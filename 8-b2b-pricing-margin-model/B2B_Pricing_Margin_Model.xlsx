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chaewonshin/icloud drive/project/8. B2B Pricing &amp; Margin Model/"/>
    </mc:Choice>
  </mc:AlternateContent>
  <xr:revisionPtr revIDLastSave="0" documentId="13_ncr:1_{5D6C3C25-0351-3240-8BB9-CA2E119521CC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README" sheetId="1" r:id="rId1"/>
    <sheet name="Assumptions" sheetId="2" r:id="rId2"/>
    <sheet name="SKU_Master" sheetId="3" r:id="rId3"/>
    <sheet name="Price_Book" sheetId="4" r:id="rId4"/>
    <sheet name="Deal_Desk" sheetId="5" r:id="rId5"/>
    <sheet name="FX_Scenario" sheetId="6" r:id="rId6"/>
    <sheet name="Orders" sheetId="7" r:id="rId7"/>
    <sheet name="Margin_Leakage" sheetId="8" r:id="rId8"/>
    <sheet name="Assortment" sheetId="9" r:id="rId9"/>
  </sheets>
  <definedNames>
    <definedName name="_xlnm._FilterDatabase" localSheetId="6" hidden="1">Orders!$A$4:$AH$1965</definedName>
    <definedName name="_xlnm._FilterDatabase" localSheetId="3" hidden="1">Price_Book!$A$4:$W$154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9" l="1"/>
  <c r="E34" i="9"/>
  <c r="D34" i="9"/>
  <c r="C34" i="9"/>
  <c r="B34" i="9"/>
  <c r="F33" i="9"/>
  <c r="E33" i="9"/>
  <c r="D33" i="9"/>
  <c r="C33" i="9"/>
  <c r="B33" i="9"/>
  <c r="F32" i="9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G25" i="9"/>
  <c r="F25" i="9"/>
  <c r="E25" i="9"/>
  <c r="D25" i="9"/>
  <c r="C25" i="9"/>
  <c r="B25" i="9"/>
  <c r="F24" i="9"/>
  <c r="E24" i="9"/>
  <c r="D24" i="9"/>
  <c r="C24" i="9"/>
  <c r="B24" i="9"/>
  <c r="F23" i="9"/>
  <c r="E23" i="9"/>
  <c r="D23" i="9"/>
  <c r="C23" i="9"/>
  <c r="B23" i="9"/>
  <c r="F22" i="9"/>
  <c r="E22" i="9"/>
  <c r="D22" i="9"/>
  <c r="C22" i="9"/>
  <c r="B22" i="9"/>
  <c r="F21" i="9"/>
  <c r="E21" i="9"/>
  <c r="D21" i="9"/>
  <c r="C21" i="9"/>
  <c r="B21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F17" i="9"/>
  <c r="E17" i="9"/>
  <c r="D17" i="9"/>
  <c r="C17" i="9"/>
  <c r="B17" i="9"/>
  <c r="G16" i="9"/>
  <c r="F16" i="9"/>
  <c r="E16" i="9"/>
  <c r="O16" i="9" s="1"/>
  <c r="D16" i="9"/>
  <c r="C16" i="9"/>
  <c r="B16" i="9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B53" i="8"/>
  <c r="B52" i="8"/>
  <c r="B51" i="8"/>
  <c r="B50" i="8"/>
  <c r="B49" i="8"/>
  <c r="B48" i="8"/>
  <c r="B47" i="8"/>
  <c r="B46" i="8"/>
  <c r="B45" i="8"/>
  <c r="B44" i="8"/>
  <c r="B43" i="8"/>
  <c r="Z1965" i="7"/>
  <c r="Y1965" i="7"/>
  <c r="AA1965" i="7" s="1"/>
  <c r="W1965" i="7"/>
  <c r="U1965" i="7"/>
  <c r="T1965" i="7"/>
  <c r="S1965" i="7"/>
  <c r="R1965" i="7"/>
  <c r="Z1964" i="7"/>
  <c r="Y1964" i="7"/>
  <c r="AA1964" i="7" s="1"/>
  <c r="W1964" i="7"/>
  <c r="U1964" i="7"/>
  <c r="T1964" i="7"/>
  <c r="S1964" i="7"/>
  <c r="R1964" i="7"/>
  <c r="Z1963" i="7"/>
  <c r="Y1963" i="7"/>
  <c r="AA1963" i="7" s="1"/>
  <c r="W1963" i="7"/>
  <c r="U1963" i="7"/>
  <c r="T1963" i="7"/>
  <c r="S1963" i="7"/>
  <c r="R1963" i="7"/>
  <c r="Z1962" i="7"/>
  <c r="Y1962" i="7"/>
  <c r="AA1962" i="7" s="1"/>
  <c r="W1962" i="7"/>
  <c r="U1962" i="7"/>
  <c r="T1962" i="7"/>
  <c r="S1962" i="7"/>
  <c r="R1962" i="7"/>
  <c r="Z1961" i="7"/>
  <c r="Y1961" i="7"/>
  <c r="AA1961" i="7" s="1"/>
  <c r="W1961" i="7"/>
  <c r="U1961" i="7"/>
  <c r="T1961" i="7"/>
  <c r="S1961" i="7"/>
  <c r="R1961" i="7"/>
  <c r="Z1960" i="7"/>
  <c r="Y1960" i="7"/>
  <c r="AA1960" i="7" s="1"/>
  <c r="W1960" i="7"/>
  <c r="U1960" i="7"/>
  <c r="T1960" i="7"/>
  <c r="S1960" i="7"/>
  <c r="R1960" i="7"/>
  <c r="Z1959" i="7"/>
  <c r="Y1959" i="7"/>
  <c r="W1959" i="7"/>
  <c r="U1959" i="7"/>
  <c r="T1959" i="7"/>
  <c r="S1959" i="7"/>
  <c r="R1959" i="7"/>
  <c r="Z1958" i="7"/>
  <c r="Y1958" i="7"/>
  <c r="AA1958" i="7" s="1"/>
  <c r="W1958" i="7"/>
  <c r="U1958" i="7"/>
  <c r="T1958" i="7"/>
  <c r="S1958" i="7"/>
  <c r="R1958" i="7"/>
  <c r="Z1957" i="7"/>
  <c r="Y1957" i="7"/>
  <c r="AA1957" i="7" s="1"/>
  <c r="W1957" i="7"/>
  <c r="U1957" i="7"/>
  <c r="T1957" i="7"/>
  <c r="S1957" i="7"/>
  <c r="R1957" i="7"/>
  <c r="Z1956" i="7"/>
  <c r="Y1956" i="7"/>
  <c r="AA1956" i="7" s="1"/>
  <c r="W1956" i="7"/>
  <c r="U1956" i="7"/>
  <c r="T1956" i="7"/>
  <c r="S1956" i="7"/>
  <c r="R1956" i="7"/>
  <c r="Z1955" i="7"/>
  <c r="Y1955" i="7"/>
  <c r="AA1955" i="7" s="1"/>
  <c r="W1955" i="7"/>
  <c r="U1955" i="7"/>
  <c r="T1955" i="7"/>
  <c r="S1955" i="7"/>
  <c r="R1955" i="7"/>
  <c r="Z1954" i="7"/>
  <c r="Y1954" i="7"/>
  <c r="AA1954" i="7" s="1"/>
  <c r="W1954" i="7"/>
  <c r="U1954" i="7"/>
  <c r="T1954" i="7"/>
  <c r="S1954" i="7"/>
  <c r="R1954" i="7"/>
  <c r="Z1953" i="7"/>
  <c r="Y1953" i="7"/>
  <c r="AA1953" i="7" s="1"/>
  <c r="W1953" i="7"/>
  <c r="U1953" i="7"/>
  <c r="T1953" i="7"/>
  <c r="S1953" i="7"/>
  <c r="R1953" i="7"/>
  <c r="Z1952" i="7"/>
  <c r="Y1952" i="7"/>
  <c r="AA1952" i="7" s="1"/>
  <c r="W1952" i="7"/>
  <c r="U1952" i="7"/>
  <c r="T1952" i="7"/>
  <c r="S1952" i="7"/>
  <c r="R1952" i="7"/>
  <c r="Z1951" i="7"/>
  <c r="Y1951" i="7"/>
  <c r="AA1951" i="7" s="1"/>
  <c r="W1951" i="7"/>
  <c r="U1951" i="7"/>
  <c r="T1951" i="7"/>
  <c r="S1951" i="7"/>
  <c r="R1951" i="7"/>
  <c r="Z1950" i="7"/>
  <c r="Y1950" i="7"/>
  <c r="AA1950" i="7" s="1"/>
  <c r="W1950" i="7"/>
  <c r="U1950" i="7"/>
  <c r="T1950" i="7"/>
  <c r="S1950" i="7"/>
  <c r="R1950" i="7"/>
  <c r="Z1949" i="7"/>
  <c r="Y1949" i="7"/>
  <c r="AA1949" i="7" s="1"/>
  <c r="W1949" i="7"/>
  <c r="U1949" i="7"/>
  <c r="T1949" i="7"/>
  <c r="S1949" i="7"/>
  <c r="R1949" i="7"/>
  <c r="Z1948" i="7"/>
  <c r="Y1948" i="7"/>
  <c r="AA1948" i="7" s="1"/>
  <c r="W1948" i="7"/>
  <c r="U1948" i="7"/>
  <c r="V1948" i="7" s="1"/>
  <c r="T1948" i="7"/>
  <c r="S1948" i="7"/>
  <c r="R1948" i="7"/>
  <c r="Z1947" i="7"/>
  <c r="Y1947" i="7"/>
  <c r="AA1947" i="7" s="1"/>
  <c r="W1947" i="7"/>
  <c r="U1947" i="7"/>
  <c r="T1947" i="7"/>
  <c r="S1947" i="7"/>
  <c r="R1947" i="7"/>
  <c r="Z1946" i="7"/>
  <c r="Y1946" i="7"/>
  <c r="AA1946" i="7" s="1"/>
  <c r="W1946" i="7"/>
  <c r="U1946" i="7"/>
  <c r="T1946" i="7"/>
  <c r="S1946" i="7"/>
  <c r="R1946" i="7"/>
  <c r="Z1945" i="7"/>
  <c r="Y1945" i="7"/>
  <c r="AA1945" i="7" s="1"/>
  <c r="W1945" i="7"/>
  <c r="U1945" i="7"/>
  <c r="T1945" i="7"/>
  <c r="S1945" i="7"/>
  <c r="R1945" i="7"/>
  <c r="Z1944" i="7"/>
  <c r="Y1944" i="7"/>
  <c r="AA1944" i="7" s="1"/>
  <c r="W1944" i="7"/>
  <c r="U1944" i="7"/>
  <c r="T1944" i="7"/>
  <c r="S1944" i="7"/>
  <c r="R1944" i="7"/>
  <c r="Z1943" i="7"/>
  <c r="Y1943" i="7"/>
  <c r="AA1943" i="7" s="1"/>
  <c r="W1943" i="7"/>
  <c r="U1943" i="7"/>
  <c r="T1943" i="7"/>
  <c r="S1943" i="7"/>
  <c r="R1943" i="7"/>
  <c r="Z1942" i="7"/>
  <c r="Y1942" i="7"/>
  <c r="AA1942" i="7" s="1"/>
  <c r="W1942" i="7"/>
  <c r="U1942" i="7"/>
  <c r="T1942" i="7"/>
  <c r="S1942" i="7"/>
  <c r="R1942" i="7"/>
  <c r="Z1941" i="7"/>
  <c r="Y1941" i="7"/>
  <c r="AA1941" i="7" s="1"/>
  <c r="W1941" i="7"/>
  <c r="U1941" i="7"/>
  <c r="T1941" i="7"/>
  <c r="S1941" i="7"/>
  <c r="R1941" i="7"/>
  <c r="Z1940" i="7"/>
  <c r="Y1940" i="7"/>
  <c r="AA1940" i="7" s="1"/>
  <c r="W1940" i="7"/>
  <c r="U1940" i="7"/>
  <c r="V1940" i="7" s="1"/>
  <c r="T1940" i="7"/>
  <c r="S1940" i="7"/>
  <c r="R1940" i="7"/>
  <c r="Z1939" i="7"/>
  <c r="Y1939" i="7"/>
  <c r="AA1939" i="7" s="1"/>
  <c r="W1939" i="7"/>
  <c r="U1939" i="7"/>
  <c r="T1939" i="7"/>
  <c r="S1939" i="7"/>
  <c r="R1939" i="7"/>
  <c r="Z1938" i="7"/>
  <c r="Y1938" i="7"/>
  <c r="AA1938" i="7" s="1"/>
  <c r="W1938" i="7"/>
  <c r="U1938" i="7"/>
  <c r="T1938" i="7"/>
  <c r="S1938" i="7"/>
  <c r="R1938" i="7"/>
  <c r="Z1937" i="7"/>
  <c r="Y1937" i="7"/>
  <c r="AA1937" i="7" s="1"/>
  <c r="W1937" i="7"/>
  <c r="U1937" i="7"/>
  <c r="V1937" i="7" s="1"/>
  <c r="T1937" i="7"/>
  <c r="S1937" i="7"/>
  <c r="R1937" i="7"/>
  <c r="Z1936" i="7"/>
  <c r="Y1936" i="7"/>
  <c r="AA1936" i="7" s="1"/>
  <c r="W1936" i="7"/>
  <c r="U1936" i="7"/>
  <c r="T1936" i="7"/>
  <c r="S1936" i="7"/>
  <c r="R1936" i="7"/>
  <c r="Z1935" i="7"/>
  <c r="Y1935" i="7"/>
  <c r="AA1935" i="7" s="1"/>
  <c r="W1935" i="7"/>
  <c r="U1935" i="7"/>
  <c r="V1935" i="7" s="1"/>
  <c r="T1935" i="7"/>
  <c r="S1935" i="7"/>
  <c r="R1935" i="7"/>
  <c r="Z1934" i="7"/>
  <c r="Y1934" i="7"/>
  <c r="AA1934" i="7" s="1"/>
  <c r="W1934" i="7"/>
  <c r="U1934" i="7"/>
  <c r="T1934" i="7"/>
  <c r="S1934" i="7"/>
  <c r="R1934" i="7"/>
  <c r="Z1933" i="7"/>
  <c r="Y1933" i="7"/>
  <c r="AA1933" i="7" s="1"/>
  <c r="W1933" i="7"/>
  <c r="U1933" i="7"/>
  <c r="V1933" i="7" s="1"/>
  <c r="T1933" i="7"/>
  <c r="S1933" i="7"/>
  <c r="R1933" i="7"/>
  <c r="Z1932" i="7"/>
  <c r="Y1932" i="7"/>
  <c r="AA1932" i="7" s="1"/>
  <c r="W1932" i="7"/>
  <c r="U1932" i="7"/>
  <c r="T1932" i="7"/>
  <c r="S1932" i="7"/>
  <c r="R1932" i="7"/>
  <c r="Z1931" i="7"/>
  <c r="Y1931" i="7"/>
  <c r="AA1931" i="7" s="1"/>
  <c r="W1931" i="7"/>
  <c r="U1931" i="7"/>
  <c r="V1931" i="7" s="1"/>
  <c r="T1931" i="7"/>
  <c r="S1931" i="7"/>
  <c r="R1931" i="7"/>
  <c r="Z1930" i="7"/>
  <c r="Y1930" i="7"/>
  <c r="AA1930" i="7" s="1"/>
  <c r="W1930" i="7"/>
  <c r="U1930" i="7"/>
  <c r="V1930" i="7" s="1"/>
  <c r="T1930" i="7"/>
  <c r="S1930" i="7"/>
  <c r="R1930" i="7"/>
  <c r="Z1929" i="7"/>
  <c r="Y1929" i="7"/>
  <c r="AA1929" i="7" s="1"/>
  <c r="W1929" i="7"/>
  <c r="U1929" i="7"/>
  <c r="T1929" i="7"/>
  <c r="S1929" i="7"/>
  <c r="R1929" i="7"/>
  <c r="Z1928" i="7"/>
  <c r="Y1928" i="7"/>
  <c r="AA1928" i="7" s="1"/>
  <c r="W1928" i="7"/>
  <c r="U1928" i="7"/>
  <c r="V1928" i="7" s="1"/>
  <c r="T1928" i="7"/>
  <c r="S1928" i="7"/>
  <c r="R1928" i="7"/>
  <c r="Z1927" i="7"/>
  <c r="Y1927" i="7"/>
  <c r="AA1927" i="7" s="1"/>
  <c r="W1927" i="7"/>
  <c r="U1927" i="7"/>
  <c r="V1927" i="7" s="1"/>
  <c r="T1927" i="7"/>
  <c r="S1927" i="7"/>
  <c r="R1927" i="7"/>
  <c r="Z1926" i="7"/>
  <c r="Y1926" i="7"/>
  <c r="AA1926" i="7" s="1"/>
  <c r="W1926" i="7"/>
  <c r="U1926" i="7"/>
  <c r="V1926" i="7" s="1"/>
  <c r="T1926" i="7"/>
  <c r="S1926" i="7"/>
  <c r="R1926" i="7"/>
  <c r="Z1925" i="7"/>
  <c r="Y1925" i="7"/>
  <c r="AA1925" i="7" s="1"/>
  <c r="W1925" i="7"/>
  <c r="U1925" i="7"/>
  <c r="V1925" i="7" s="1"/>
  <c r="T1925" i="7"/>
  <c r="S1925" i="7"/>
  <c r="R1925" i="7"/>
  <c r="Z1924" i="7"/>
  <c r="Y1924" i="7"/>
  <c r="AA1924" i="7" s="1"/>
  <c r="W1924" i="7"/>
  <c r="U1924" i="7"/>
  <c r="V1924" i="7" s="1"/>
  <c r="T1924" i="7"/>
  <c r="S1924" i="7"/>
  <c r="R1924" i="7"/>
  <c r="Z1923" i="7"/>
  <c r="Y1923" i="7"/>
  <c r="AA1923" i="7" s="1"/>
  <c r="W1923" i="7"/>
  <c r="U1923" i="7"/>
  <c r="V1923" i="7" s="1"/>
  <c r="T1923" i="7"/>
  <c r="S1923" i="7"/>
  <c r="R1923" i="7"/>
  <c r="Z1922" i="7"/>
  <c r="Y1922" i="7"/>
  <c r="W1922" i="7"/>
  <c r="U1922" i="7"/>
  <c r="V1922" i="7" s="1"/>
  <c r="T1922" i="7"/>
  <c r="S1922" i="7"/>
  <c r="R1922" i="7"/>
  <c r="Z1921" i="7"/>
  <c r="Y1921" i="7"/>
  <c r="AA1921" i="7" s="1"/>
  <c r="W1921" i="7"/>
  <c r="U1921" i="7"/>
  <c r="V1921" i="7" s="1"/>
  <c r="T1921" i="7"/>
  <c r="S1921" i="7"/>
  <c r="R1921" i="7"/>
  <c r="Z1920" i="7"/>
  <c r="Y1920" i="7"/>
  <c r="AA1920" i="7" s="1"/>
  <c r="W1920" i="7"/>
  <c r="U1920" i="7"/>
  <c r="T1920" i="7"/>
  <c r="S1920" i="7"/>
  <c r="R1920" i="7"/>
  <c r="Z1919" i="7"/>
  <c r="Y1919" i="7"/>
  <c r="AA1919" i="7" s="1"/>
  <c r="W1919" i="7"/>
  <c r="U1919" i="7"/>
  <c r="V1919" i="7" s="1"/>
  <c r="T1919" i="7"/>
  <c r="S1919" i="7"/>
  <c r="R1919" i="7"/>
  <c r="Z1918" i="7"/>
  <c r="Y1918" i="7"/>
  <c r="AA1918" i="7" s="1"/>
  <c r="W1918" i="7"/>
  <c r="U1918" i="7"/>
  <c r="V1918" i="7" s="1"/>
  <c r="T1918" i="7"/>
  <c r="S1918" i="7"/>
  <c r="R1918" i="7"/>
  <c r="Z1917" i="7"/>
  <c r="Y1917" i="7"/>
  <c r="AA1917" i="7" s="1"/>
  <c r="W1917" i="7"/>
  <c r="U1917" i="7"/>
  <c r="T1917" i="7"/>
  <c r="S1917" i="7"/>
  <c r="R1917" i="7"/>
  <c r="Z1916" i="7"/>
  <c r="Y1916" i="7"/>
  <c r="AA1916" i="7" s="1"/>
  <c r="W1916" i="7"/>
  <c r="U1916" i="7"/>
  <c r="V1916" i="7" s="1"/>
  <c r="T1916" i="7"/>
  <c r="S1916" i="7"/>
  <c r="R1916" i="7"/>
  <c r="Z1915" i="7"/>
  <c r="Y1915" i="7"/>
  <c r="AA1915" i="7" s="1"/>
  <c r="W1915" i="7"/>
  <c r="U1915" i="7"/>
  <c r="T1915" i="7"/>
  <c r="S1915" i="7"/>
  <c r="R1915" i="7"/>
  <c r="Z1914" i="7"/>
  <c r="Y1914" i="7"/>
  <c r="AA1914" i="7" s="1"/>
  <c r="W1914" i="7"/>
  <c r="U1914" i="7"/>
  <c r="T1914" i="7"/>
  <c r="S1914" i="7"/>
  <c r="R1914" i="7"/>
  <c r="Z1913" i="7"/>
  <c r="Y1913" i="7"/>
  <c r="AA1913" i="7" s="1"/>
  <c r="W1913" i="7"/>
  <c r="U1913" i="7"/>
  <c r="V1913" i="7" s="1"/>
  <c r="T1913" i="7"/>
  <c r="S1913" i="7"/>
  <c r="R1913" i="7"/>
  <c r="Z1912" i="7"/>
  <c r="Y1912" i="7"/>
  <c r="AA1912" i="7" s="1"/>
  <c r="W1912" i="7"/>
  <c r="U1912" i="7"/>
  <c r="V1912" i="7" s="1"/>
  <c r="T1912" i="7"/>
  <c r="S1912" i="7"/>
  <c r="R1912" i="7"/>
  <c r="Z1911" i="7"/>
  <c r="Y1911" i="7"/>
  <c r="AA1911" i="7" s="1"/>
  <c r="W1911" i="7"/>
  <c r="U1911" i="7"/>
  <c r="V1911" i="7" s="1"/>
  <c r="T1911" i="7"/>
  <c r="S1911" i="7"/>
  <c r="R1911" i="7"/>
  <c r="Z1910" i="7"/>
  <c r="Y1910" i="7"/>
  <c r="AA1910" i="7" s="1"/>
  <c r="W1910" i="7"/>
  <c r="U1910" i="7"/>
  <c r="T1910" i="7"/>
  <c r="S1910" i="7"/>
  <c r="R1910" i="7"/>
  <c r="Z1909" i="7"/>
  <c r="Y1909" i="7"/>
  <c r="AA1909" i="7" s="1"/>
  <c r="W1909" i="7"/>
  <c r="U1909" i="7"/>
  <c r="V1909" i="7" s="1"/>
  <c r="T1909" i="7"/>
  <c r="S1909" i="7"/>
  <c r="R1909" i="7"/>
  <c r="Z1908" i="7"/>
  <c r="Y1908" i="7"/>
  <c r="AA1908" i="7" s="1"/>
  <c r="W1908" i="7"/>
  <c r="U1908" i="7"/>
  <c r="V1908" i="7" s="1"/>
  <c r="T1908" i="7"/>
  <c r="S1908" i="7"/>
  <c r="R1908" i="7"/>
  <c r="Z1907" i="7"/>
  <c r="Y1907" i="7"/>
  <c r="AA1907" i="7" s="1"/>
  <c r="W1907" i="7"/>
  <c r="U1907" i="7"/>
  <c r="V1907" i="7" s="1"/>
  <c r="T1907" i="7"/>
  <c r="S1907" i="7"/>
  <c r="R1907" i="7"/>
  <c r="Z1906" i="7"/>
  <c r="Y1906" i="7"/>
  <c r="AA1906" i="7" s="1"/>
  <c r="W1906" i="7"/>
  <c r="U1906" i="7"/>
  <c r="V1906" i="7" s="1"/>
  <c r="T1906" i="7"/>
  <c r="S1906" i="7"/>
  <c r="R1906" i="7"/>
  <c r="Z1905" i="7"/>
  <c r="Y1905" i="7"/>
  <c r="AA1905" i="7" s="1"/>
  <c r="W1905" i="7"/>
  <c r="U1905" i="7"/>
  <c r="V1905" i="7" s="1"/>
  <c r="T1905" i="7"/>
  <c r="S1905" i="7"/>
  <c r="R1905" i="7"/>
  <c r="Z1904" i="7"/>
  <c r="Y1904" i="7"/>
  <c r="AA1904" i="7" s="1"/>
  <c r="W1904" i="7"/>
  <c r="U1904" i="7"/>
  <c r="V1904" i="7" s="1"/>
  <c r="T1904" i="7"/>
  <c r="S1904" i="7"/>
  <c r="R1904" i="7"/>
  <c r="Z1903" i="7"/>
  <c r="Y1903" i="7"/>
  <c r="AA1903" i="7" s="1"/>
  <c r="W1903" i="7"/>
  <c r="U1903" i="7"/>
  <c r="T1903" i="7"/>
  <c r="S1903" i="7"/>
  <c r="R1903" i="7"/>
  <c r="Z1902" i="7"/>
  <c r="Y1902" i="7"/>
  <c r="AA1902" i="7" s="1"/>
  <c r="W1902" i="7"/>
  <c r="U1902" i="7"/>
  <c r="V1902" i="7" s="1"/>
  <c r="T1902" i="7"/>
  <c r="S1902" i="7"/>
  <c r="R1902" i="7"/>
  <c r="Z1901" i="7"/>
  <c r="Y1901" i="7"/>
  <c r="AA1901" i="7" s="1"/>
  <c r="W1901" i="7"/>
  <c r="U1901" i="7"/>
  <c r="T1901" i="7"/>
  <c r="S1901" i="7"/>
  <c r="R1901" i="7"/>
  <c r="Z1900" i="7"/>
  <c r="Y1900" i="7"/>
  <c r="W1900" i="7"/>
  <c r="U1900" i="7"/>
  <c r="T1900" i="7"/>
  <c r="S1900" i="7"/>
  <c r="R1900" i="7"/>
  <c r="Z1899" i="7"/>
  <c r="Y1899" i="7"/>
  <c r="AA1899" i="7" s="1"/>
  <c r="W1899" i="7"/>
  <c r="U1899" i="7"/>
  <c r="V1899" i="7" s="1"/>
  <c r="T1899" i="7"/>
  <c r="S1899" i="7"/>
  <c r="R1899" i="7"/>
  <c r="Z1898" i="7"/>
  <c r="Y1898" i="7"/>
  <c r="AA1898" i="7" s="1"/>
  <c r="W1898" i="7"/>
  <c r="U1898" i="7"/>
  <c r="V1898" i="7" s="1"/>
  <c r="T1898" i="7"/>
  <c r="S1898" i="7"/>
  <c r="R1898" i="7"/>
  <c r="Z1897" i="7"/>
  <c r="Y1897" i="7"/>
  <c r="AA1897" i="7" s="1"/>
  <c r="W1897" i="7"/>
  <c r="U1897" i="7"/>
  <c r="V1897" i="7" s="1"/>
  <c r="T1897" i="7"/>
  <c r="S1897" i="7"/>
  <c r="R1897" i="7"/>
  <c r="Z1896" i="7"/>
  <c r="Y1896" i="7"/>
  <c r="AA1896" i="7" s="1"/>
  <c r="W1896" i="7"/>
  <c r="U1896" i="7"/>
  <c r="V1896" i="7" s="1"/>
  <c r="T1896" i="7"/>
  <c r="S1896" i="7"/>
  <c r="R1896" i="7"/>
  <c r="Z1895" i="7"/>
  <c r="Y1895" i="7"/>
  <c r="AA1895" i="7" s="1"/>
  <c r="W1895" i="7"/>
  <c r="U1895" i="7"/>
  <c r="V1895" i="7" s="1"/>
  <c r="T1895" i="7"/>
  <c r="S1895" i="7"/>
  <c r="R1895" i="7"/>
  <c r="Z1894" i="7"/>
  <c r="Y1894" i="7"/>
  <c r="AA1894" i="7" s="1"/>
  <c r="W1894" i="7"/>
  <c r="U1894" i="7"/>
  <c r="T1894" i="7"/>
  <c r="S1894" i="7"/>
  <c r="R1894" i="7"/>
  <c r="Z1893" i="7"/>
  <c r="Y1893" i="7"/>
  <c r="AA1893" i="7" s="1"/>
  <c r="W1893" i="7"/>
  <c r="U1893" i="7"/>
  <c r="T1893" i="7"/>
  <c r="S1893" i="7"/>
  <c r="R1893" i="7"/>
  <c r="Z1892" i="7"/>
  <c r="Y1892" i="7"/>
  <c r="AA1892" i="7" s="1"/>
  <c r="W1892" i="7"/>
  <c r="U1892" i="7"/>
  <c r="T1892" i="7"/>
  <c r="S1892" i="7"/>
  <c r="R1892" i="7"/>
  <c r="Z1891" i="7"/>
  <c r="Y1891" i="7"/>
  <c r="AA1891" i="7" s="1"/>
  <c r="W1891" i="7"/>
  <c r="U1891" i="7"/>
  <c r="V1891" i="7" s="1"/>
  <c r="T1891" i="7"/>
  <c r="S1891" i="7"/>
  <c r="R1891" i="7"/>
  <c r="Z1890" i="7"/>
  <c r="Y1890" i="7"/>
  <c r="AA1890" i="7" s="1"/>
  <c r="W1890" i="7"/>
  <c r="U1890" i="7"/>
  <c r="T1890" i="7"/>
  <c r="S1890" i="7"/>
  <c r="R1890" i="7"/>
  <c r="Z1889" i="7"/>
  <c r="Y1889" i="7"/>
  <c r="AA1889" i="7" s="1"/>
  <c r="W1889" i="7"/>
  <c r="U1889" i="7"/>
  <c r="V1889" i="7" s="1"/>
  <c r="T1889" i="7"/>
  <c r="S1889" i="7"/>
  <c r="R1889" i="7"/>
  <c r="Z1888" i="7"/>
  <c r="Y1888" i="7"/>
  <c r="AA1888" i="7" s="1"/>
  <c r="W1888" i="7"/>
  <c r="U1888" i="7"/>
  <c r="V1888" i="7" s="1"/>
  <c r="T1888" i="7"/>
  <c r="S1888" i="7"/>
  <c r="R1888" i="7"/>
  <c r="Z1887" i="7"/>
  <c r="Y1887" i="7"/>
  <c r="AA1887" i="7" s="1"/>
  <c r="W1887" i="7"/>
  <c r="U1887" i="7"/>
  <c r="V1887" i="7" s="1"/>
  <c r="T1887" i="7"/>
  <c r="S1887" i="7"/>
  <c r="R1887" i="7"/>
  <c r="Z1886" i="7"/>
  <c r="Y1886" i="7"/>
  <c r="AA1886" i="7" s="1"/>
  <c r="W1886" i="7"/>
  <c r="U1886" i="7"/>
  <c r="T1886" i="7"/>
  <c r="S1886" i="7"/>
  <c r="R1886" i="7"/>
  <c r="Z1885" i="7"/>
  <c r="Y1885" i="7"/>
  <c r="AA1885" i="7" s="1"/>
  <c r="W1885" i="7"/>
  <c r="U1885" i="7"/>
  <c r="V1885" i="7" s="1"/>
  <c r="T1885" i="7"/>
  <c r="S1885" i="7"/>
  <c r="R1885" i="7"/>
  <c r="Z1884" i="7"/>
  <c r="Y1884" i="7"/>
  <c r="AA1884" i="7" s="1"/>
  <c r="W1884" i="7"/>
  <c r="U1884" i="7"/>
  <c r="V1884" i="7" s="1"/>
  <c r="T1884" i="7"/>
  <c r="S1884" i="7"/>
  <c r="R1884" i="7"/>
  <c r="Z1883" i="7"/>
  <c r="Y1883" i="7"/>
  <c r="AA1883" i="7" s="1"/>
  <c r="W1883" i="7"/>
  <c r="U1883" i="7"/>
  <c r="V1883" i="7" s="1"/>
  <c r="T1883" i="7"/>
  <c r="S1883" i="7"/>
  <c r="R1883" i="7"/>
  <c r="Z1882" i="7"/>
  <c r="Y1882" i="7"/>
  <c r="AA1882" i="7" s="1"/>
  <c r="W1882" i="7"/>
  <c r="U1882" i="7"/>
  <c r="V1882" i="7" s="1"/>
  <c r="T1882" i="7"/>
  <c r="S1882" i="7"/>
  <c r="R1882" i="7"/>
  <c r="Z1881" i="7"/>
  <c r="Y1881" i="7"/>
  <c r="AA1881" i="7" s="1"/>
  <c r="W1881" i="7"/>
  <c r="U1881" i="7"/>
  <c r="T1881" i="7"/>
  <c r="S1881" i="7"/>
  <c r="R1881" i="7"/>
  <c r="Z1880" i="7"/>
  <c r="Y1880" i="7"/>
  <c r="AA1880" i="7" s="1"/>
  <c r="W1880" i="7"/>
  <c r="U1880" i="7"/>
  <c r="V1880" i="7" s="1"/>
  <c r="T1880" i="7"/>
  <c r="S1880" i="7"/>
  <c r="R1880" i="7"/>
  <c r="Z1879" i="7"/>
  <c r="Y1879" i="7"/>
  <c r="AA1879" i="7" s="1"/>
  <c r="W1879" i="7"/>
  <c r="U1879" i="7"/>
  <c r="V1879" i="7" s="1"/>
  <c r="T1879" i="7"/>
  <c r="S1879" i="7"/>
  <c r="R1879" i="7"/>
  <c r="Z1878" i="7"/>
  <c r="Y1878" i="7"/>
  <c r="AA1878" i="7" s="1"/>
  <c r="W1878" i="7"/>
  <c r="U1878" i="7"/>
  <c r="T1878" i="7"/>
  <c r="S1878" i="7"/>
  <c r="R1878" i="7"/>
  <c r="Z1877" i="7"/>
  <c r="Y1877" i="7"/>
  <c r="AA1877" i="7" s="1"/>
  <c r="W1877" i="7"/>
  <c r="U1877" i="7"/>
  <c r="V1877" i="7" s="1"/>
  <c r="T1877" i="7"/>
  <c r="S1877" i="7"/>
  <c r="R1877" i="7"/>
  <c r="Z1876" i="7"/>
  <c r="Y1876" i="7"/>
  <c r="AA1876" i="7" s="1"/>
  <c r="W1876" i="7"/>
  <c r="U1876" i="7"/>
  <c r="V1876" i="7" s="1"/>
  <c r="T1876" i="7"/>
  <c r="S1876" i="7"/>
  <c r="R1876" i="7"/>
  <c r="Z1875" i="7"/>
  <c r="Y1875" i="7"/>
  <c r="AA1875" i="7" s="1"/>
  <c r="W1875" i="7"/>
  <c r="U1875" i="7"/>
  <c r="T1875" i="7"/>
  <c r="S1875" i="7"/>
  <c r="R1875" i="7"/>
  <c r="Z1874" i="7"/>
  <c r="Y1874" i="7"/>
  <c r="AA1874" i="7" s="1"/>
  <c r="W1874" i="7"/>
  <c r="U1874" i="7"/>
  <c r="V1874" i="7" s="1"/>
  <c r="T1874" i="7"/>
  <c r="S1874" i="7"/>
  <c r="R1874" i="7"/>
  <c r="Z1873" i="7"/>
  <c r="Y1873" i="7"/>
  <c r="AA1873" i="7" s="1"/>
  <c r="W1873" i="7"/>
  <c r="U1873" i="7"/>
  <c r="T1873" i="7"/>
  <c r="S1873" i="7"/>
  <c r="R1873" i="7"/>
  <c r="Z1872" i="7"/>
  <c r="Y1872" i="7"/>
  <c r="AA1872" i="7" s="1"/>
  <c r="W1872" i="7"/>
  <c r="U1872" i="7"/>
  <c r="V1872" i="7" s="1"/>
  <c r="T1872" i="7"/>
  <c r="S1872" i="7"/>
  <c r="R1872" i="7"/>
  <c r="Z1871" i="7"/>
  <c r="Y1871" i="7"/>
  <c r="AA1871" i="7" s="1"/>
  <c r="W1871" i="7"/>
  <c r="U1871" i="7"/>
  <c r="V1871" i="7" s="1"/>
  <c r="T1871" i="7"/>
  <c r="S1871" i="7"/>
  <c r="R1871" i="7"/>
  <c r="Z1870" i="7"/>
  <c r="Y1870" i="7"/>
  <c r="AA1870" i="7" s="1"/>
  <c r="W1870" i="7"/>
  <c r="U1870" i="7"/>
  <c r="V1870" i="7" s="1"/>
  <c r="T1870" i="7"/>
  <c r="S1870" i="7"/>
  <c r="R1870" i="7"/>
  <c r="Z1869" i="7"/>
  <c r="Y1869" i="7"/>
  <c r="AA1869" i="7" s="1"/>
  <c r="W1869" i="7"/>
  <c r="U1869" i="7"/>
  <c r="V1869" i="7" s="1"/>
  <c r="T1869" i="7"/>
  <c r="S1869" i="7"/>
  <c r="R1869" i="7"/>
  <c r="Z1868" i="7"/>
  <c r="Y1868" i="7"/>
  <c r="AA1868" i="7" s="1"/>
  <c r="W1868" i="7"/>
  <c r="U1868" i="7"/>
  <c r="V1868" i="7" s="1"/>
  <c r="T1868" i="7"/>
  <c r="S1868" i="7"/>
  <c r="R1868" i="7"/>
  <c r="Z1867" i="7"/>
  <c r="Y1867" i="7"/>
  <c r="AA1867" i="7" s="1"/>
  <c r="W1867" i="7"/>
  <c r="U1867" i="7"/>
  <c r="T1867" i="7"/>
  <c r="S1867" i="7"/>
  <c r="R1867" i="7"/>
  <c r="Z1866" i="7"/>
  <c r="Y1866" i="7"/>
  <c r="AA1866" i="7" s="1"/>
  <c r="W1866" i="7"/>
  <c r="U1866" i="7"/>
  <c r="T1866" i="7"/>
  <c r="S1866" i="7"/>
  <c r="R1866" i="7"/>
  <c r="Z1865" i="7"/>
  <c r="Y1865" i="7"/>
  <c r="AA1865" i="7" s="1"/>
  <c r="W1865" i="7"/>
  <c r="U1865" i="7"/>
  <c r="V1865" i="7" s="1"/>
  <c r="T1865" i="7"/>
  <c r="S1865" i="7"/>
  <c r="R1865" i="7"/>
  <c r="Z1864" i="7"/>
  <c r="Y1864" i="7"/>
  <c r="AA1864" i="7" s="1"/>
  <c r="W1864" i="7"/>
  <c r="U1864" i="7"/>
  <c r="V1864" i="7" s="1"/>
  <c r="T1864" i="7"/>
  <c r="S1864" i="7"/>
  <c r="R1864" i="7"/>
  <c r="Z1863" i="7"/>
  <c r="Y1863" i="7"/>
  <c r="AA1863" i="7" s="1"/>
  <c r="W1863" i="7"/>
  <c r="U1863" i="7"/>
  <c r="V1863" i="7" s="1"/>
  <c r="T1863" i="7"/>
  <c r="S1863" i="7"/>
  <c r="R1863" i="7"/>
  <c r="Z1862" i="7"/>
  <c r="Y1862" i="7"/>
  <c r="AA1862" i="7" s="1"/>
  <c r="W1862" i="7"/>
  <c r="U1862" i="7"/>
  <c r="V1862" i="7" s="1"/>
  <c r="T1862" i="7"/>
  <c r="S1862" i="7"/>
  <c r="R1862" i="7"/>
  <c r="Z1861" i="7"/>
  <c r="Y1861" i="7"/>
  <c r="AA1861" i="7" s="1"/>
  <c r="W1861" i="7"/>
  <c r="U1861" i="7"/>
  <c r="V1861" i="7" s="1"/>
  <c r="T1861" i="7"/>
  <c r="S1861" i="7"/>
  <c r="R1861" i="7"/>
  <c r="Z1860" i="7"/>
  <c r="Y1860" i="7"/>
  <c r="AA1860" i="7" s="1"/>
  <c r="W1860" i="7"/>
  <c r="U1860" i="7"/>
  <c r="V1860" i="7" s="1"/>
  <c r="T1860" i="7"/>
  <c r="S1860" i="7"/>
  <c r="R1860" i="7"/>
  <c r="Z1859" i="7"/>
  <c r="Y1859" i="7"/>
  <c r="AA1859" i="7" s="1"/>
  <c r="W1859" i="7"/>
  <c r="U1859" i="7"/>
  <c r="V1859" i="7" s="1"/>
  <c r="T1859" i="7"/>
  <c r="S1859" i="7"/>
  <c r="R1859" i="7"/>
  <c r="Z1858" i="7"/>
  <c r="Y1858" i="7"/>
  <c r="AA1858" i="7" s="1"/>
  <c r="W1858" i="7"/>
  <c r="U1858" i="7"/>
  <c r="T1858" i="7"/>
  <c r="S1858" i="7"/>
  <c r="R1858" i="7"/>
  <c r="Z1857" i="7"/>
  <c r="Y1857" i="7"/>
  <c r="AA1857" i="7" s="1"/>
  <c r="W1857" i="7"/>
  <c r="U1857" i="7"/>
  <c r="V1857" i="7" s="1"/>
  <c r="T1857" i="7"/>
  <c r="S1857" i="7"/>
  <c r="R1857" i="7"/>
  <c r="Z1856" i="7"/>
  <c r="Y1856" i="7"/>
  <c r="AA1856" i="7" s="1"/>
  <c r="W1856" i="7"/>
  <c r="U1856" i="7"/>
  <c r="V1856" i="7" s="1"/>
  <c r="T1856" i="7"/>
  <c r="S1856" i="7"/>
  <c r="R1856" i="7"/>
  <c r="Z1855" i="7"/>
  <c r="Y1855" i="7"/>
  <c r="AA1855" i="7" s="1"/>
  <c r="W1855" i="7"/>
  <c r="U1855" i="7"/>
  <c r="V1855" i="7" s="1"/>
  <c r="T1855" i="7"/>
  <c r="S1855" i="7"/>
  <c r="R1855" i="7"/>
  <c r="Z1854" i="7"/>
  <c r="Y1854" i="7"/>
  <c r="AA1854" i="7" s="1"/>
  <c r="W1854" i="7"/>
  <c r="U1854" i="7"/>
  <c r="V1854" i="7" s="1"/>
  <c r="T1854" i="7"/>
  <c r="S1854" i="7"/>
  <c r="R1854" i="7"/>
  <c r="Z1853" i="7"/>
  <c r="Y1853" i="7"/>
  <c r="AA1853" i="7" s="1"/>
  <c r="W1853" i="7"/>
  <c r="U1853" i="7"/>
  <c r="V1853" i="7" s="1"/>
  <c r="T1853" i="7"/>
  <c r="S1853" i="7"/>
  <c r="R1853" i="7"/>
  <c r="Z1852" i="7"/>
  <c r="Y1852" i="7"/>
  <c r="AA1852" i="7" s="1"/>
  <c r="W1852" i="7"/>
  <c r="U1852" i="7"/>
  <c r="V1852" i="7" s="1"/>
  <c r="T1852" i="7"/>
  <c r="S1852" i="7"/>
  <c r="R1852" i="7"/>
  <c r="Z1851" i="7"/>
  <c r="Y1851" i="7"/>
  <c r="AA1851" i="7" s="1"/>
  <c r="W1851" i="7"/>
  <c r="U1851" i="7"/>
  <c r="T1851" i="7"/>
  <c r="S1851" i="7"/>
  <c r="R1851" i="7"/>
  <c r="Z1850" i="7"/>
  <c r="Y1850" i="7"/>
  <c r="AA1850" i="7" s="1"/>
  <c r="W1850" i="7"/>
  <c r="U1850" i="7"/>
  <c r="T1850" i="7"/>
  <c r="S1850" i="7"/>
  <c r="R1850" i="7"/>
  <c r="Z1849" i="7"/>
  <c r="Y1849" i="7"/>
  <c r="AA1849" i="7" s="1"/>
  <c r="W1849" i="7"/>
  <c r="U1849" i="7"/>
  <c r="V1849" i="7" s="1"/>
  <c r="T1849" i="7"/>
  <c r="S1849" i="7"/>
  <c r="R1849" i="7"/>
  <c r="Z1848" i="7"/>
  <c r="Y1848" i="7"/>
  <c r="AA1848" i="7" s="1"/>
  <c r="W1848" i="7"/>
  <c r="U1848" i="7"/>
  <c r="V1848" i="7" s="1"/>
  <c r="T1848" i="7"/>
  <c r="S1848" i="7"/>
  <c r="R1848" i="7"/>
  <c r="Z1847" i="7"/>
  <c r="Y1847" i="7"/>
  <c r="AA1847" i="7" s="1"/>
  <c r="W1847" i="7"/>
  <c r="U1847" i="7"/>
  <c r="T1847" i="7"/>
  <c r="S1847" i="7"/>
  <c r="R1847" i="7"/>
  <c r="Z1846" i="7"/>
  <c r="Y1846" i="7"/>
  <c r="AA1846" i="7" s="1"/>
  <c r="W1846" i="7"/>
  <c r="U1846" i="7"/>
  <c r="V1846" i="7" s="1"/>
  <c r="T1846" i="7"/>
  <c r="S1846" i="7"/>
  <c r="R1846" i="7"/>
  <c r="Z1845" i="7"/>
  <c r="Y1845" i="7"/>
  <c r="AA1845" i="7" s="1"/>
  <c r="W1845" i="7"/>
  <c r="U1845" i="7"/>
  <c r="V1845" i="7" s="1"/>
  <c r="T1845" i="7"/>
  <c r="S1845" i="7"/>
  <c r="R1845" i="7"/>
  <c r="Z1844" i="7"/>
  <c r="Y1844" i="7"/>
  <c r="AA1844" i="7" s="1"/>
  <c r="W1844" i="7"/>
  <c r="U1844" i="7"/>
  <c r="V1844" i="7" s="1"/>
  <c r="T1844" i="7"/>
  <c r="S1844" i="7"/>
  <c r="R1844" i="7"/>
  <c r="Z1843" i="7"/>
  <c r="Y1843" i="7"/>
  <c r="AA1843" i="7" s="1"/>
  <c r="W1843" i="7"/>
  <c r="U1843" i="7"/>
  <c r="V1843" i="7" s="1"/>
  <c r="T1843" i="7"/>
  <c r="S1843" i="7"/>
  <c r="R1843" i="7"/>
  <c r="Z1842" i="7"/>
  <c r="Y1842" i="7"/>
  <c r="AA1842" i="7" s="1"/>
  <c r="W1842" i="7"/>
  <c r="U1842" i="7"/>
  <c r="V1842" i="7" s="1"/>
  <c r="T1842" i="7"/>
  <c r="S1842" i="7"/>
  <c r="R1842" i="7"/>
  <c r="Z1841" i="7"/>
  <c r="Y1841" i="7"/>
  <c r="AA1841" i="7" s="1"/>
  <c r="W1841" i="7"/>
  <c r="U1841" i="7"/>
  <c r="V1841" i="7" s="1"/>
  <c r="T1841" i="7"/>
  <c r="S1841" i="7"/>
  <c r="R1841" i="7"/>
  <c r="Z1840" i="7"/>
  <c r="Y1840" i="7"/>
  <c r="AA1840" i="7" s="1"/>
  <c r="W1840" i="7"/>
  <c r="U1840" i="7"/>
  <c r="V1840" i="7" s="1"/>
  <c r="T1840" i="7"/>
  <c r="S1840" i="7"/>
  <c r="R1840" i="7"/>
  <c r="Z1839" i="7"/>
  <c r="Y1839" i="7"/>
  <c r="AA1839" i="7" s="1"/>
  <c r="W1839" i="7"/>
  <c r="U1839" i="7"/>
  <c r="V1839" i="7" s="1"/>
  <c r="T1839" i="7"/>
  <c r="S1839" i="7"/>
  <c r="R1839" i="7"/>
  <c r="Z1838" i="7"/>
  <c r="Y1838" i="7"/>
  <c r="AA1838" i="7" s="1"/>
  <c r="W1838" i="7"/>
  <c r="U1838" i="7"/>
  <c r="V1838" i="7" s="1"/>
  <c r="T1838" i="7"/>
  <c r="S1838" i="7"/>
  <c r="R1838" i="7"/>
  <c r="Z1837" i="7"/>
  <c r="Y1837" i="7"/>
  <c r="AA1837" i="7" s="1"/>
  <c r="W1837" i="7"/>
  <c r="U1837" i="7"/>
  <c r="T1837" i="7"/>
  <c r="S1837" i="7"/>
  <c r="R1837" i="7"/>
  <c r="Z1836" i="7"/>
  <c r="Y1836" i="7"/>
  <c r="AA1836" i="7" s="1"/>
  <c r="W1836" i="7"/>
  <c r="U1836" i="7"/>
  <c r="V1836" i="7" s="1"/>
  <c r="T1836" i="7"/>
  <c r="S1836" i="7"/>
  <c r="R1836" i="7"/>
  <c r="Z1835" i="7"/>
  <c r="Y1835" i="7"/>
  <c r="AA1835" i="7" s="1"/>
  <c r="W1835" i="7"/>
  <c r="U1835" i="7"/>
  <c r="V1835" i="7" s="1"/>
  <c r="T1835" i="7"/>
  <c r="S1835" i="7"/>
  <c r="R1835" i="7"/>
  <c r="Z1834" i="7"/>
  <c r="Y1834" i="7"/>
  <c r="AA1834" i="7" s="1"/>
  <c r="W1834" i="7"/>
  <c r="U1834" i="7"/>
  <c r="T1834" i="7"/>
  <c r="S1834" i="7"/>
  <c r="R1834" i="7"/>
  <c r="Z1833" i="7"/>
  <c r="Y1833" i="7"/>
  <c r="AA1833" i="7" s="1"/>
  <c r="W1833" i="7"/>
  <c r="U1833" i="7"/>
  <c r="T1833" i="7"/>
  <c r="S1833" i="7"/>
  <c r="R1833" i="7"/>
  <c r="Z1832" i="7"/>
  <c r="Y1832" i="7"/>
  <c r="AA1832" i="7" s="1"/>
  <c r="W1832" i="7"/>
  <c r="U1832" i="7"/>
  <c r="V1832" i="7" s="1"/>
  <c r="T1832" i="7"/>
  <c r="S1832" i="7"/>
  <c r="R1832" i="7"/>
  <c r="Z1831" i="7"/>
  <c r="Y1831" i="7"/>
  <c r="AA1831" i="7" s="1"/>
  <c r="W1831" i="7"/>
  <c r="U1831" i="7"/>
  <c r="V1831" i="7" s="1"/>
  <c r="T1831" i="7"/>
  <c r="S1831" i="7"/>
  <c r="R1831" i="7"/>
  <c r="Z1830" i="7"/>
  <c r="Y1830" i="7"/>
  <c r="AA1830" i="7" s="1"/>
  <c r="W1830" i="7"/>
  <c r="U1830" i="7"/>
  <c r="V1830" i="7" s="1"/>
  <c r="T1830" i="7"/>
  <c r="S1830" i="7"/>
  <c r="R1830" i="7"/>
  <c r="Z1829" i="7"/>
  <c r="Y1829" i="7"/>
  <c r="AA1829" i="7" s="1"/>
  <c r="W1829" i="7"/>
  <c r="U1829" i="7"/>
  <c r="T1829" i="7"/>
  <c r="S1829" i="7"/>
  <c r="R1829" i="7"/>
  <c r="Z1828" i="7"/>
  <c r="Y1828" i="7"/>
  <c r="AA1828" i="7" s="1"/>
  <c r="W1828" i="7"/>
  <c r="U1828" i="7"/>
  <c r="T1828" i="7"/>
  <c r="S1828" i="7"/>
  <c r="R1828" i="7"/>
  <c r="Z1827" i="7"/>
  <c r="Y1827" i="7"/>
  <c r="AA1827" i="7" s="1"/>
  <c r="W1827" i="7"/>
  <c r="U1827" i="7"/>
  <c r="V1827" i="7" s="1"/>
  <c r="T1827" i="7"/>
  <c r="S1827" i="7"/>
  <c r="R1827" i="7"/>
  <c r="Z1826" i="7"/>
  <c r="Y1826" i="7"/>
  <c r="AA1826" i="7" s="1"/>
  <c r="W1826" i="7"/>
  <c r="U1826" i="7"/>
  <c r="V1826" i="7" s="1"/>
  <c r="T1826" i="7"/>
  <c r="S1826" i="7"/>
  <c r="R1826" i="7"/>
  <c r="Z1825" i="7"/>
  <c r="Y1825" i="7"/>
  <c r="AA1825" i="7" s="1"/>
  <c r="W1825" i="7"/>
  <c r="U1825" i="7"/>
  <c r="V1825" i="7" s="1"/>
  <c r="T1825" i="7"/>
  <c r="S1825" i="7"/>
  <c r="R1825" i="7"/>
  <c r="Z1824" i="7"/>
  <c r="Y1824" i="7"/>
  <c r="AA1824" i="7" s="1"/>
  <c r="W1824" i="7"/>
  <c r="U1824" i="7"/>
  <c r="V1824" i="7" s="1"/>
  <c r="T1824" i="7"/>
  <c r="S1824" i="7"/>
  <c r="R1824" i="7"/>
  <c r="Z1823" i="7"/>
  <c r="Y1823" i="7"/>
  <c r="AA1823" i="7" s="1"/>
  <c r="W1823" i="7"/>
  <c r="U1823" i="7"/>
  <c r="V1823" i="7" s="1"/>
  <c r="T1823" i="7"/>
  <c r="S1823" i="7"/>
  <c r="R1823" i="7"/>
  <c r="Z1822" i="7"/>
  <c r="Y1822" i="7"/>
  <c r="AA1822" i="7" s="1"/>
  <c r="W1822" i="7"/>
  <c r="U1822" i="7"/>
  <c r="V1822" i="7" s="1"/>
  <c r="T1822" i="7"/>
  <c r="S1822" i="7"/>
  <c r="R1822" i="7"/>
  <c r="Z1821" i="7"/>
  <c r="Y1821" i="7"/>
  <c r="AA1821" i="7" s="1"/>
  <c r="W1821" i="7"/>
  <c r="U1821" i="7"/>
  <c r="T1821" i="7"/>
  <c r="S1821" i="7"/>
  <c r="R1821" i="7"/>
  <c r="Z1820" i="7"/>
  <c r="Y1820" i="7"/>
  <c r="AA1820" i="7" s="1"/>
  <c r="W1820" i="7"/>
  <c r="U1820" i="7"/>
  <c r="V1820" i="7" s="1"/>
  <c r="T1820" i="7"/>
  <c r="S1820" i="7"/>
  <c r="R1820" i="7"/>
  <c r="Z1819" i="7"/>
  <c r="Y1819" i="7"/>
  <c r="AA1819" i="7" s="1"/>
  <c r="W1819" i="7"/>
  <c r="U1819" i="7"/>
  <c r="T1819" i="7"/>
  <c r="S1819" i="7"/>
  <c r="R1819" i="7"/>
  <c r="Z1818" i="7"/>
  <c r="Y1818" i="7"/>
  <c r="AA1818" i="7" s="1"/>
  <c r="W1818" i="7"/>
  <c r="U1818" i="7"/>
  <c r="V1818" i="7" s="1"/>
  <c r="T1818" i="7"/>
  <c r="S1818" i="7"/>
  <c r="R1818" i="7"/>
  <c r="Z1817" i="7"/>
  <c r="Y1817" i="7"/>
  <c r="AA1817" i="7" s="1"/>
  <c r="W1817" i="7"/>
  <c r="U1817" i="7"/>
  <c r="T1817" i="7"/>
  <c r="S1817" i="7"/>
  <c r="R1817" i="7"/>
  <c r="Z1816" i="7"/>
  <c r="Y1816" i="7"/>
  <c r="AA1816" i="7" s="1"/>
  <c r="W1816" i="7"/>
  <c r="U1816" i="7"/>
  <c r="T1816" i="7"/>
  <c r="S1816" i="7"/>
  <c r="R1816" i="7"/>
  <c r="Z1815" i="7"/>
  <c r="Y1815" i="7"/>
  <c r="AA1815" i="7" s="1"/>
  <c r="W1815" i="7"/>
  <c r="U1815" i="7"/>
  <c r="T1815" i="7"/>
  <c r="S1815" i="7"/>
  <c r="R1815" i="7"/>
  <c r="Z1814" i="7"/>
  <c r="Y1814" i="7"/>
  <c r="AA1814" i="7" s="1"/>
  <c r="W1814" i="7"/>
  <c r="U1814" i="7"/>
  <c r="V1814" i="7" s="1"/>
  <c r="T1814" i="7"/>
  <c r="S1814" i="7"/>
  <c r="R1814" i="7"/>
  <c r="Z1813" i="7"/>
  <c r="Y1813" i="7"/>
  <c r="AA1813" i="7" s="1"/>
  <c r="W1813" i="7"/>
  <c r="U1813" i="7"/>
  <c r="V1813" i="7" s="1"/>
  <c r="T1813" i="7"/>
  <c r="S1813" i="7"/>
  <c r="R1813" i="7"/>
  <c r="Z1812" i="7"/>
  <c r="Y1812" i="7"/>
  <c r="AA1812" i="7" s="1"/>
  <c r="W1812" i="7"/>
  <c r="B36" i="8" s="1"/>
  <c r="U1812" i="7"/>
  <c r="V1812" i="7" s="1"/>
  <c r="T1812" i="7"/>
  <c r="S1812" i="7"/>
  <c r="R1812" i="7"/>
  <c r="Z1811" i="7"/>
  <c r="Y1811" i="7"/>
  <c r="AA1811" i="7" s="1"/>
  <c r="W1811" i="7"/>
  <c r="U1811" i="7"/>
  <c r="T1811" i="7"/>
  <c r="S1811" i="7"/>
  <c r="R1811" i="7"/>
  <c r="Z1810" i="7"/>
  <c r="Y1810" i="7"/>
  <c r="AA1810" i="7" s="1"/>
  <c r="W1810" i="7"/>
  <c r="U1810" i="7"/>
  <c r="V1810" i="7" s="1"/>
  <c r="T1810" i="7"/>
  <c r="S1810" i="7"/>
  <c r="R1810" i="7"/>
  <c r="Z1809" i="7"/>
  <c r="Y1809" i="7"/>
  <c r="AA1809" i="7" s="1"/>
  <c r="W1809" i="7"/>
  <c r="U1809" i="7"/>
  <c r="V1809" i="7" s="1"/>
  <c r="T1809" i="7"/>
  <c r="S1809" i="7"/>
  <c r="R1809" i="7"/>
  <c r="Z1808" i="7"/>
  <c r="Y1808" i="7"/>
  <c r="AA1808" i="7" s="1"/>
  <c r="W1808" i="7"/>
  <c r="U1808" i="7"/>
  <c r="V1808" i="7" s="1"/>
  <c r="T1808" i="7"/>
  <c r="S1808" i="7"/>
  <c r="R1808" i="7"/>
  <c r="Z1807" i="7"/>
  <c r="Y1807" i="7"/>
  <c r="AA1807" i="7" s="1"/>
  <c r="W1807" i="7"/>
  <c r="U1807" i="7"/>
  <c r="V1807" i="7" s="1"/>
  <c r="T1807" i="7"/>
  <c r="S1807" i="7"/>
  <c r="R1807" i="7"/>
  <c r="Z1806" i="7"/>
  <c r="Y1806" i="7"/>
  <c r="AA1806" i="7" s="1"/>
  <c r="W1806" i="7"/>
  <c r="U1806" i="7"/>
  <c r="V1806" i="7" s="1"/>
  <c r="T1806" i="7"/>
  <c r="S1806" i="7"/>
  <c r="R1806" i="7"/>
  <c r="Z1805" i="7"/>
  <c r="Y1805" i="7"/>
  <c r="AA1805" i="7" s="1"/>
  <c r="W1805" i="7"/>
  <c r="U1805" i="7"/>
  <c r="T1805" i="7"/>
  <c r="S1805" i="7"/>
  <c r="R1805" i="7"/>
  <c r="Z1804" i="7"/>
  <c r="Y1804" i="7"/>
  <c r="AA1804" i="7" s="1"/>
  <c r="W1804" i="7"/>
  <c r="U1804" i="7"/>
  <c r="T1804" i="7"/>
  <c r="S1804" i="7"/>
  <c r="R1804" i="7"/>
  <c r="Z1803" i="7"/>
  <c r="Y1803" i="7"/>
  <c r="AA1803" i="7" s="1"/>
  <c r="W1803" i="7"/>
  <c r="U1803" i="7"/>
  <c r="T1803" i="7"/>
  <c r="S1803" i="7"/>
  <c r="R1803" i="7"/>
  <c r="Z1802" i="7"/>
  <c r="Y1802" i="7"/>
  <c r="AA1802" i="7" s="1"/>
  <c r="W1802" i="7"/>
  <c r="U1802" i="7"/>
  <c r="T1802" i="7"/>
  <c r="S1802" i="7"/>
  <c r="R1802" i="7"/>
  <c r="Z1801" i="7"/>
  <c r="Y1801" i="7"/>
  <c r="AA1801" i="7" s="1"/>
  <c r="W1801" i="7"/>
  <c r="U1801" i="7"/>
  <c r="T1801" i="7"/>
  <c r="S1801" i="7"/>
  <c r="R1801" i="7"/>
  <c r="Z1800" i="7"/>
  <c r="Y1800" i="7"/>
  <c r="AA1800" i="7" s="1"/>
  <c r="W1800" i="7"/>
  <c r="U1800" i="7"/>
  <c r="T1800" i="7"/>
  <c r="S1800" i="7"/>
  <c r="R1800" i="7"/>
  <c r="Z1799" i="7"/>
  <c r="Y1799" i="7"/>
  <c r="AA1799" i="7" s="1"/>
  <c r="W1799" i="7"/>
  <c r="U1799" i="7"/>
  <c r="T1799" i="7"/>
  <c r="S1799" i="7"/>
  <c r="R1799" i="7"/>
  <c r="Z1798" i="7"/>
  <c r="Y1798" i="7"/>
  <c r="AA1798" i="7" s="1"/>
  <c r="W1798" i="7"/>
  <c r="U1798" i="7"/>
  <c r="T1798" i="7"/>
  <c r="S1798" i="7"/>
  <c r="R1798" i="7"/>
  <c r="Z1797" i="7"/>
  <c r="Y1797" i="7"/>
  <c r="AA1797" i="7" s="1"/>
  <c r="W1797" i="7"/>
  <c r="U1797" i="7"/>
  <c r="T1797" i="7"/>
  <c r="S1797" i="7"/>
  <c r="R1797" i="7"/>
  <c r="Z1796" i="7"/>
  <c r="Y1796" i="7"/>
  <c r="AA1796" i="7" s="1"/>
  <c r="W1796" i="7"/>
  <c r="U1796" i="7"/>
  <c r="T1796" i="7"/>
  <c r="S1796" i="7"/>
  <c r="R1796" i="7"/>
  <c r="Z1795" i="7"/>
  <c r="Y1795" i="7"/>
  <c r="AA1795" i="7" s="1"/>
  <c r="W1795" i="7"/>
  <c r="U1795" i="7"/>
  <c r="T1795" i="7"/>
  <c r="S1795" i="7"/>
  <c r="R1795" i="7"/>
  <c r="Z1794" i="7"/>
  <c r="Y1794" i="7"/>
  <c r="AA1794" i="7" s="1"/>
  <c r="W1794" i="7"/>
  <c r="U1794" i="7"/>
  <c r="T1794" i="7"/>
  <c r="S1794" i="7"/>
  <c r="R1794" i="7"/>
  <c r="Z1793" i="7"/>
  <c r="Y1793" i="7"/>
  <c r="AA1793" i="7" s="1"/>
  <c r="W1793" i="7"/>
  <c r="U1793" i="7"/>
  <c r="T1793" i="7"/>
  <c r="S1793" i="7"/>
  <c r="R1793" i="7"/>
  <c r="Z1792" i="7"/>
  <c r="Y1792" i="7"/>
  <c r="AA1792" i="7" s="1"/>
  <c r="W1792" i="7"/>
  <c r="U1792" i="7"/>
  <c r="T1792" i="7"/>
  <c r="S1792" i="7"/>
  <c r="R1792" i="7"/>
  <c r="Z1791" i="7"/>
  <c r="Y1791" i="7"/>
  <c r="AA1791" i="7" s="1"/>
  <c r="W1791" i="7"/>
  <c r="U1791" i="7"/>
  <c r="T1791" i="7"/>
  <c r="S1791" i="7"/>
  <c r="R1791" i="7"/>
  <c r="Z1790" i="7"/>
  <c r="Y1790" i="7"/>
  <c r="AA1790" i="7" s="1"/>
  <c r="W1790" i="7"/>
  <c r="U1790" i="7"/>
  <c r="T1790" i="7"/>
  <c r="S1790" i="7"/>
  <c r="R1790" i="7"/>
  <c r="Z1789" i="7"/>
  <c r="Y1789" i="7"/>
  <c r="AA1789" i="7" s="1"/>
  <c r="W1789" i="7"/>
  <c r="U1789" i="7"/>
  <c r="T1789" i="7"/>
  <c r="S1789" i="7"/>
  <c r="R1789" i="7"/>
  <c r="Z1788" i="7"/>
  <c r="Y1788" i="7"/>
  <c r="AA1788" i="7" s="1"/>
  <c r="W1788" i="7"/>
  <c r="U1788" i="7"/>
  <c r="T1788" i="7"/>
  <c r="S1788" i="7"/>
  <c r="R1788" i="7"/>
  <c r="Z1787" i="7"/>
  <c r="Y1787" i="7"/>
  <c r="AA1787" i="7" s="1"/>
  <c r="W1787" i="7"/>
  <c r="U1787" i="7"/>
  <c r="T1787" i="7"/>
  <c r="S1787" i="7"/>
  <c r="R1787" i="7"/>
  <c r="Z1786" i="7"/>
  <c r="Y1786" i="7"/>
  <c r="AA1786" i="7" s="1"/>
  <c r="W1786" i="7"/>
  <c r="U1786" i="7"/>
  <c r="T1786" i="7"/>
  <c r="S1786" i="7"/>
  <c r="R1786" i="7"/>
  <c r="Z1785" i="7"/>
  <c r="Y1785" i="7"/>
  <c r="AA1785" i="7" s="1"/>
  <c r="W1785" i="7"/>
  <c r="U1785" i="7"/>
  <c r="T1785" i="7"/>
  <c r="S1785" i="7"/>
  <c r="R1785" i="7"/>
  <c r="Z1784" i="7"/>
  <c r="Y1784" i="7"/>
  <c r="AA1784" i="7" s="1"/>
  <c r="W1784" i="7"/>
  <c r="U1784" i="7"/>
  <c r="T1784" i="7"/>
  <c r="S1784" i="7"/>
  <c r="R1784" i="7"/>
  <c r="Z1783" i="7"/>
  <c r="Y1783" i="7"/>
  <c r="AA1783" i="7" s="1"/>
  <c r="W1783" i="7"/>
  <c r="U1783" i="7"/>
  <c r="T1783" i="7"/>
  <c r="S1783" i="7"/>
  <c r="R1783" i="7"/>
  <c r="Z1782" i="7"/>
  <c r="Y1782" i="7"/>
  <c r="AA1782" i="7" s="1"/>
  <c r="W1782" i="7"/>
  <c r="U1782" i="7"/>
  <c r="T1782" i="7"/>
  <c r="S1782" i="7"/>
  <c r="R1782" i="7"/>
  <c r="Z1781" i="7"/>
  <c r="Y1781" i="7"/>
  <c r="AA1781" i="7" s="1"/>
  <c r="W1781" i="7"/>
  <c r="U1781" i="7"/>
  <c r="T1781" i="7"/>
  <c r="S1781" i="7"/>
  <c r="R1781" i="7"/>
  <c r="Z1780" i="7"/>
  <c r="Y1780" i="7"/>
  <c r="AA1780" i="7" s="1"/>
  <c r="W1780" i="7"/>
  <c r="U1780" i="7"/>
  <c r="T1780" i="7"/>
  <c r="S1780" i="7"/>
  <c r="R1780" i="7"/>
  <c r="Z1779" i="7"/>
  <c r="Y1779" i="7"/>
  <c r="AA1779" i="7" s="1"/>
  <c r="W1779" i="7"/>
  <c r="U1779" i="7"/>
  <c r="T1779" i="7"/>
  <c r="S1779" i="7"/>
  <c r="R1779" i="7"/>
  <c r="Z1778" i="7"/>
  <c r="Y1778" i="7"/>
  <c r="AA1778" i="7" s="1"/>
  <c r="W1778" i="7"/>
  <c r="U1778" i="7"/>
  <c r="T1778" i="7"/>
  <c r="S1778" i="7"/>
  <c r="R1778" i="7"/>
  <c r="Z1777" i="7"/>
  <c r="Y1777" i="7"/>
  <c r="AA1777" i="7" s="1"/>
  <c r="W1777" i="7"/>
  <c r="U1777" i="7"/>
  <c r="T1777" i="7"/>
  <c r="S1777" i="7"/>
  <c r="R1777" i="7"/>
  <c r="Z1776" i="7"/>
  <c r="Y1776" i="7"/>
  <c r="AA1776" i="7" s="1"/>
  <c r="W1776" i="7"/>
  <c r="U1776" i="7"/>
  <c r="T1776" i="7"/>
  <c r="S1776" i="7"/>
  <c r="R1776" i="7"/>
  <c r="Z1775" i="7"/>
  <c r="Y1775" i="7"/>
  <c r="AA1775" i="7" s="1"/>
  <c r="W1775" i="7"/>
  <c r="U1775" i="7"/>
  <c r="T1775" i="7"/>
  <c r="S1775" i="7"/>
  <c r="R1775" i="7"/>
  <c r="Z1774" i="7"/>
  <c r="Y1774" i="7"/>
  <c r="AA1774" i="7" s="1"/>
  <c r="W1774" i="7"/>
  <c r="U1774" i="7"/>
  <c r="T1774" i="7"/>
  <c r="S1774" i="7"/>
  <c r="R1774" i="7"/>
  <c r="Z1773" i="7"/>
  <c r="Y1773" i="7"/>
  <c r="AA1773" i="7" s="1"/>
  <c r="W1773" i="7"/>
  <c r="U1773" i="7"/>
  <c r="T1773" i="7"/>
  <c r="S1773" i="7"/>
  <c r="R1773" i="7"/>
  <c r="Z1772" i="7"/>
  <c r="Y1772" i="7"/>
  <c r="AA1772" i="7" s="1"/>
  <c r="W1772" i="7"/>
  <c r="U1772" i="7"/>
  <c r="T1772" i="7"/>
  <c r="S1772" i="7"/>
  <c r="R1772" i="7"/>
  <c r="Z1771" i="7"/>
  <c r="Y1771" i="7"/>
  <c r="AA1771" i="7" s="1"/>
  <c r="W1771" i="7"/>
  <c r="U1771" i="7"/>
  <c r="T1771" i="7"/>
  <c r="S1771" i="7"/>
  <c r="R1771" i="7"/>
  <c r="Z1770" i="7"/>
  <c r="Y1770" i="7"/>
  <c r="AA1770" i="7" s="1"/>
  <c r="W1770" i="7"/>
  <c r="U1770" i="7"/>
  <c r="T1770" i="7"/>
  <c r="S1770" i="7"/>
  <c r="R1770" i="7"/>
  <c r="Z1769" i="7"/>
  <c r="Y1769" i="7"/>
  <c r="AA1769" i="7" s="1"/>
  <c r="W1769" i="7"/>
  <c r="U1769" i="7"/>
  <c r="T1769" i="7"/>
  <c r="S1769" i="7"/>
  <c r="R1769" i="7"/>
  <c r="Z1768" i="7"/>
  <c r="Y1768" i="7"/>
  <c r="AA1768" i="7" s="1"/>
  <c r="W1768" i="7"/>
  <c r="U1768" i="7"/>
  <c r="T1768" i="7"/>
  <c r="S1768" i="7"/>
  <c r="R1768" i="7"/>
  <c r="Z1767" i="7"/>
  <c r="Y1767" i="7"/>
  <c r="AA1767" i="7" s="1"/>
  <c r="W1767" i="7"/>
  <c r="U1767" i="7"/>
  <c r="T1767" i="7"/>
  <c r="S1767" i="7"/>
  <c r="R1767" i="7"/>
  <c r="Z1766" i="7"/>
  <c r="Y1766" i="7"/>
  <c r="AA1766" i="7" s="1"/>
  <c r="W1766" i="7"/>
  <c r="U1766" i="7"/>
  <c r="T1766" i="7"/>
  <c r="S1766" i="7"/>
  <c r="R1766" i="7"/>
  <c r="Z1765" i="7"/>
  <c r="Y1765" i="7"/>
  <c r="AA1765" i="7" s="1"/>
  <c r="W1765" i="7"/>
  <c r="U1765" i="7"/>
  <c r="T1765" i="7"/>
  <c r="S1765" i="7"/>
  <c r="R1765" i="7"/>
  <c r="Z1764" i="7"/>
  <c r="Y1764" i="7"/>
  <c r="AA1764" i="7" s="1"/>
  <c r="W1764" i="7"/>
  <c r="U1764" i="7"/>
  <c r="T1764" i="7"/>
  <c r="S1764" i="7"/>
  <c r="R1764" i="7"/>
  <c r="Z1763" i="7"/>
  <c r="Y1763" i="7"/>
  <c r="AA1763" i="7" s="1"/>
  <c r="W1763" i="7"/>
  <c r="U1763" i="7"/>
  <c r="T1763" i="7"/>
  <c r="S1763" i="7"/>
  <c r="R1763" i="7"/>
  <c r="Z1762" i="7"/>
  <c r="Y1762" i="7"/>
  <c r="AA1762" i="7" s="1"/>
  <c r="W1762" i="7"/>
  <c r="U1762" i="7"/>
  <c r="T1762" i="7"/>
  <c r="S1762" i="7"/>
  <c r="R1762" i="7"/>
  <c r="Z1761" i="7"/>
  <c r="Y1761" i="7"/>
  <c r="AA1761" i="7" s="1"/>
  <c r="W1761" i="7"/>
  <c r="U1761" i="7"/>
  <c r="T1761" i="7"/>
  <c r="S1761" i="7"/>
  <c r="R1761" i="7"/>
  <c r="Z1760" i="7"/>
  <c r="Y1760" i="7"/>
  <c r="AA1760" i="7" s="1"/>
  <c r="W1760" i="7"/>
  <c r="U1760" i="7"/>
  <c r="T1760" i="7"/>
  <c r="S1760" i="7"/>
  <c r="R1760" i="7"/>
  <c r="Z1759" i="7"/>
  <c r="Y1759" i="7"/>
  <c r="AA1759" i="7" s="1"/>
  <c r="W1759" i="7"/>
  <c r="U1759" i="7"/>
  <c r="T1759" i="7"/>
  <c r="S1759" i="7"/>
  <c r="R1759" i="7"/>
  <c r="Z1758" i="7"/>
  <c r="Y1758" i="7"/>
  <c r="AA1758" i="7" s="1"/>
  <c r="W1758" i="7"/>
  <c r="U1758" i="7"/>
  <c r="T1758" i="7"/>
  <c r="S1758" i="7"/>
  <c r="R1758" i="7"/>
  <c r="Z1757" i="7"/>
  <c r="Y1757" i="7"/>
  <c r="AA1757" i="7" s="1"/>
  <c r="W1757" i="7"/>
  <c r="U1757" i="7"/>
  <c r="T1757" i="7"/>
  <c r="S1757" i="7"/>
  <c r="R1757" i="7"/>
  <c r="Z1756" i="7"/>
  <c r="Y1756" i="7"/>
  <c r="AA1756" i="7" s="1"/>
  <c r="W1756" i="7"/>
  <c r="U1756" i="7"/>
  <c r="T1756" i="7"/>
  <c r="S1756" i="7"/>
  <c r="R1756" i="7"/>
  <c r="Z1755" i="7"/>
  <c r="Y1755" i="7"/>
  <c r="AA1755" i="7" s="1"/>
  <c r="W1755" i="7"/>
  <c r="U1755" i="7"/>
  <c r="T1755" i="7"/>
  <c r="S1755" i="7"/>
  <c r="R1755" i="7"/>
  <c r="Z1754" i="7"/>
  <c r="Y1754" i="7"/>
  <c r="AA1754" i="7" s="1"/>
  <c r="W1754" i="7"/>
  <c r="U1754" i="7"/>
  <c r="T1754" i="7"/>
  <c r="S1754" i="7"/>
  <c r="R1754" i="7"/>
  <c r="Z1753" i="7"/>
  <c r="Y1753" i="7"/>
  <c r="AA1753" i="7" s="1"/>
  <c r="W1753" i="7"/>
  <c r="U1753" i="7"/>
  <c r="T1753" i="7"/>
  <c r="S1753" i="7"/>
  <c r="R1753" i="7"/>
  <c r="Z1752" i="7"/>
  <c r="Y1752" i="7"/>
  <c r="AA1752" i="7" s="1"/>
  <c r="W1752" i="7"/>
  <c r="U1752" i="7"/>
  <c r="T1752" i="7"/>
  <c r="S1752" i="7"/>
  <c r="R1752" i="7"/>
  <c r="Z1751" i="7"/>
  <c r="Y1751" i="7"/>
  <c r="AA1751" i="7" s="1"/>
  <c r="W1751" i="7"/>
  <c r="U1751" i="7"/>
  <c r="T1751" i="7"/>
  <c r="S1751" i="7"/>
  <c r="R1751" i="7"/>
  <c r="Z1750" i="7"/>
  <c r="Y1750" i="7"/>
  <c r="AA1750" i="7" s="1"/>
  <c r="W1750" i="7"/>
  <c r="U1750" i="7"/>
  <c r="T1750" i="7"/>
  <c r="S1750" i="7"/>
  <c r="R1750" i="7"/>
  <c r="Z1749" i="7"/>
  <c r="Y1749" i="7"/>
  <c r="AA1749" i="7" s="1"/>
  <c r="W1749" i="7"/>
  <c r="U1749" i="7"/>
  <c r="T1749" i="7"/>
  <c r="S1749" i="7"/>
  <c r="R1749" i="7"/>
  <c r="Z1748" i="7"/>
  <c r="Y1748" i="7"/>
  <c r="AA1748" i="7" s="1"/>
  <c r="W1748" i="7"/>
  <c r="U1748" i="7"/>
  <c r="T1748" i="7"/>
  <c r="S1748" i="7"/>
  <c r="R1748" i="7"/>
  <c r="Z1747" i="7"/>
  <c r="Y1747" i="7"/>
  <c r="AA1747" i="7" s="1"/>
  <c r="W1747" i="7"/>
  <c r="U1747" i="7"/>
  <c r="T1747" i="7"/>
  <c r="S1747" i="7"/>
  <c r="R1747" i="7"/>
  <c r="Z1746" i="7"/>
  <c r="Y1746" i="7"/>
  <c r="AA1746" i="7" s="1"/>
  <c r="W1746" i="7"/>
  <c r="U1746" i="7"/>
  <c r="T1746" i="7"/>
  <c r="S1746" i="7"/>
  <c r="R1746" i="7"/>
  <c r="Z1745" i="7"/>
  <c r="Y1745" i="7"/>
  <c r="AA1745" i="7" s="1"/>
  <c r="W1745" i="7"/>
  <c r="U1745" i="7"/>
  <c r="T1745" i="7"/>
  <c r="S1745" i="7"/>
  <c r="R1745" i="7"/>
  <c r="Z1744" i="7"/>
  <c r="Y1744" i="7"/>
  <c r="AA1744" i="7" s="1"/>
  <c r="W1744" i="7"/>
  <c r="U1744" i="7"/>
  <c r="T1744" i="7"/>
  <c r="S1744" i="7"/>
  <c r="R1744" i="7"/>
  <c r="Z1743" i="7"/>
  <c r="Y1743" i="7"/>
  <c r="AA1743" i="7" s="1"/>
  <c r="W1743" i="7"/>
  <c r="U1743" i="7"/>
  <c r="T1743" i="7"/>
  <c r="S1743" i="7"/>
  <c r="R1743" i="7"/>
  <c r="Z1742" i="7"/>
  <c r="Y1742" i="7"/>
  <c r="AA1742" i="7" s="1"/>
  <c r="W1742" i="7"/>
  <c r="U1742" i="7"/>
  <c r="T1742" i="7"/>
  <c r="S1742" i="7"/>
  <c r="R1742" i="7"/>
  <c r="Z1741" i="7"/>
  <c r="Y1741" i="7"/>
  <c r="AA1741" i="7" s="1"/>
  <c r="W1741" i="7"/>
  <c r="U1741" i="7"/>
  <c r="T1741" i="7"/>
  <c r="S1741" i="7"/>
  <c r="R1741" i="7"/>
  <c r="Z1740" i="7"/>
  <c r="Y1740" i="7"/>
  <c r="AA1740" i="7" s="1"/>
  <c r="W1740" i="7"/>
  <c r="U1740" i="7"/>
  <c r="T1740" i="7"/>
  <c r="S1740" i="7"/>
  <c r="R1740" i="7"/>
  <c r="Z1739" i="7"/>
  <c r="Y1739" i="7"/>
  <c r="AA1739" i="7" s="1"/>
  <c r="W1739" i="7"/>
  <c r="U1739" i="7"/>
  <c r="T1739" i="7"/>
  <c r="S1739" i="7"/>
  <c r="R1739" i="7"/>
  <c r="Z1738" i="7"/>
  <c r="Y1738" i="7"/>
  <c r="AA1738" i="7" s="1"/>
  <c r="W1738" i="7"/>
  <c r="U1738" i="7"/>
  <c r="T1738" i="7"/>
  <c r="S1738" i="7"/>
  <c r="R1738" i="7"/>
  <c r="Z1737" i="7"/>
  <c r="Y1737" i="7"/>
  <c r="AA1737" i="7" s="1"/>
  <c r="W1737" i="7"/>
  <c r="U1737" i="7"/>
  <c r="T1737" i="7"/>
  <c r="S1737" i="7"/>
  <c r="R1737" i="7"/>
  <c r="Z1736" i="7"/>
  <c r="Y1736" i="7"/>
  <c r="AA1736" i="7" s="1"/>
  <c r="W1736" i="7"/>
  <c r="U1736" i="7"/>
  <c r="T1736" i="7"/>
  <c r="S1736" i="7"/>
  <c r="R1736" i="7"/>
  <c r="Z1735" i="7"/>
  <c r="Y1735" i="7"/>
  <c r="AA1735" i="7" s="1"/>
  <c r="W1735" i="7"/>
  <c r="U1735" i="7"/>
  <c r="T1735" i="7"/>
  <c r="S1735" i="7"/>
  <c r="R1735" i="7"/>
  <c r="Z1734" i="7"/>
  <c r="Y1734" i="7"/>
  <c r="AA1734" i="7" s="1"/>
  <c r="W1734" i="7"/>
  <c r="U1734" i="7"/>
  <c r="T1734" i="7"/>
  <c r="S1734" i="7"/>
  <c r="R1734" i="7"/>
  <c r="Z1733" i="7"/>
  <c r="Y1733" i="7"/>
  <c r="AA1733" i="7" s="1"/>
  <c r="W1733" i="7"/>
  <c r="U1733" i="7"/>
  <c r="T1733" i="7"/>
  <c r="S1733" i="7"/>
  <c r="R1733" i="7"/>
  <c r="Z1732" i="7"/>
  <c r="Y1732" i="7"/>
  <c r="AA1732" i="7" s="1"/>
  <c r="W1732" i="7"/>
  <c r="U1732" i="7"/>
  <c r="T1732" i="7"/>
  <c r="S1732" i="7"/>
  <c r="R1732" i="7"/>
  <c r="Z1731" i="7"/>
  <c r="Y1731" i="7"/>
  <c r="AA1731" i="7" s="1"/>
  <c r="W1731" i="7"/>
  <c r="U1731" i="7"/>
  <c r="T1731" i="7"/>
  <c r="S1731" i="7"/>
  <c r="R1731" i="7"/>
  <c r="Z1730" i="7"/>
  <c r="Y1730" i="7"/>
  <c r="AA1730" i="7" s="1"/>
  <c r="W1730" i="7"/>
  <c r="U1730" i="7"/>
  <c r="T1730" i="7"/>
  <c r="S1730" i="7"/>
  <c r="R1730" i="7"/>
  <c r="Z1729" i="7"/>
  <c r="Y1729" i="7"/>
  <c r="AA1729" i="7" s="1"/>
  <c r="W1729" i="7"/>
  <c r="U1729" i="7"/>
  <c r="T1729" i="7"/>
  <c r="S1729" i="7"/>
  <c r="R1729" i="7"/>
  <c r="Z1728" i="7"/>
  <c r="Y1728" i="7"/>
  <c r="AA1728" i="7" s="1"/>
  <c r="W1728" i="7"/>
  <c r="U1728" i="7"/>
  <c r="T1728" i="7"/>
  <c r="S1728" i="7"/>
  <c r="R1728" i="7"/>
  <c r="Z1727" i="7"/>
  <c r="Y1727" i="7"/>
  <c r="AA1727" i="7" s="1"/>
  <c r="W1727" i="7"/>
  <c r="U1727" i="7"/>
  <c r="T1727" i="7"/>
  <c r="S1727" i="7"/>
  <c r="R1727" i="7"/>
  <c r="Z1726" i="7"/>
  <c r="Y1726" i="7"/>
  <c r="AA1726" i="7" s="1"/>
  <c r="W1726" i="7"/>
  <c r="U1726" i="7"/>
  <c r="T1726" i="7"/>
  <c r="S1726" i="7"/>
  <c r="R1726" i="7"/>
  <c r="Z1725" i="7"/>
  <c r="Y1725" i="7"/>
  <c r="AA1725" i="7" s="1"/>
  <c r="W1725" i="7"/>
  <c r="U1725" i="7"/>
  <c r="T1725" i="7"/>
  <c r="S1725" i="7"/>
  <c r="R1725" i="7"/>
  <c r="Z1724" i="7"/>
  <c r="Y1724" i="7"/>
  <c r="AA1724" i="7" s="1"/>
  <c r="W1724" i="7"/>
  <c r="U1724" i="7"/>
  <c r="T1724" i="7"/>
  <c r="S1724" i="7"/>
  <c r="R1724" i="7"/>
  <c r="Z1723" i="7"/>
  <c r="Y1723" i="7"/>
  <c r="AA1723" i="7" s="1"/>
  <c r="W1723" i="7"/>
  <c r="U1723" i="7"/>
  <c r="T1723" i="7"/>
  <c r="S1723" i="7"/>
  <c r="R1723" i="7"/>
  <c r="Z1722" i="7"/>
  <c r="Y1722" i="7"/>
  <c r="AA1722" i="7" s="1"/>
  <c r="W1722" i="7"/>
  <c r="U1722" i="7"/>
  <c r="T1722" i="7"/>
  <c r="S1722" i="7"/>
  <c r="R1722" i="7"/>
  <c r="Z1721" i="7"/>
  <c r="Y1721" i="7"/>
  <c r="AA1721" i="7" s="1"/>
  <c r="W1721" i="7"/>
  <c r="U1721" i="7"/>
  <c r="T1721" i="7"/>
  <c r="S1721" i="7"/>
  <c r="R1721" i="7"/>
  <c r="Z1720" i="7"/>
  <c r="Y1720" i="7"/>
  <c r="AA1720" i="7" s="1"/>
  <c r="W1720" i="7"/>
  <c r="U1720" i="7"/>
  <c r="T1720" i="7"/>
  <c r="S1720" i="7"/>
  <c r="R1720" i="7"/>
  <c r="Z1719" i="7"/>
  <c r="Y1719" i="7"/>
  <c r="AA1719" i="7" s="1"/>
  <c r="W1719" i="7"/>
  <c r="U1719" i="7"/>
  <c r="T1719" i="7"/>
  <c r="S1719" i="7"/>
  <c r="R1719" i="7"/>
  <c r="Z1718" i="7"/>
  <c r="Y1718" i="7"/>
  <c r="AA1718" i="7" s="1"/>
  <c r="W1718" i="7"/>
  <c r="U1718" i="7"/>
  <c r="T1718" i="7"/>
  <c r="S1718" i="7"/>
  <c r="R1718" i="7"/>
  <c r="Z1717" i="7"/>
  <c r="Y1717" i="7"/>
  <c r="AA1717" i="7" s="1"/>
  <c r="W1717" i="7"/>
  <c r="U1717" i="7"/>
  <c r="T1717" i="7"/>
  <c r="S1717" i="7"/>
  <c r="R1717" i="7"/>
  <c r="Z1716" i="7"/>
  <c r="Y1716" i="7"/>
  <c r="AA1716" i="7" s="1"/>
  <c r="W1716" i="7"/>
  <c r="U1716" i="7"/>
  <c r="T1716" i="7"/>
  <c r="S1716" i="7"/>
  <c r="R1716" i="7"/>
  <c r="Z1715" i="7"/>
  <c r="Y1715" i="7"/>
  <c r="AA1715" i="7" s="1"/>
  <c r="W1715" i="7"/>
  <c r="U1715" i="7"/>
  <c r="T1715" i="7"/>
  <c r="S1715" i="7"/>
  <c r="R1715" i="7"/>
  <c r="Z1714" i="7"/>
  <c r="Y1714" i="7"/>
  <c r="AA1714" i="7" s="1"/>
  <c r="W1714" i="7"/>
  <c r="U1714" i="7"/>
  <c r="T1714" i="7"/>
  <c r="S1714" i="7"/>
  <c r="R1714" i="7"/>
  <c r="Z1713" i="7"/>
  <c r="Y1713" i="7"/>
  <c r="AA1713" i="7" s="1"/>
  <c r="W1713" i="7"/>
  <c r="U1713" i="7"/>
  <c r="T1713" i="7"/>
  <c r="S1713" i="7"/>
  <c r="R1713" i="7"/>
  <c r="Z1712" i="7"/>
  <c r="Y1712" i="7"/>
  <c r="AA1712" i="7" s="1"/>
  <c r="W1712" i="7"/>
  <c r="U1712" i="7"/>
  <c r="T1712" i="7"/>
  <c r="S1712" i="7"/>
  <c r="R1712" i="7"/>
  <c r="Z1711" i="7"/>
  <c r="Y1711" i="7"/>
  <c r="AA1711" i="7" s="1"/>
  <c r="W1711" i="7"/>
  <c r="U1711" i="7"/>
  <c r="T1711" i="7"/>
  <c r="S1711" i="7"/>
  <c r="R1711" i="7"/>
  <c r="Z1710" i="7"/>
  <c r="Y1710" i="7"/>
  <c r="AA1710" i="7" s="1"/>
  <c r="W1710" i="7"/>
  <c r="U1710" i="7"/>
  <c r="T1710" i="7"/>
  <c r="S1710" i="7"/>
  <c r="R1710" i="7"/>
  <c r="Z1709" i="7"/>
  <c r="Y1709" i="7"/>
  <c r="AA1709" i="7" s="1"/>
  <c r="W1709" i="7"/>
  <c r="U1709" i="7"/>
  <c r="T1709" i="7"/>
  <c r="S1709" i="7"/>
  <c r="R1709" i="7"/>
  <c r="Z1708" i="7"/>
  <c r="Y1708" i="7"/>
  <c r="AA1708" i="7" s="1"/>
  <c r="W1708" i="7"/>
  <c r="U1708" i="7"/>
  <c r="T1708" i="7"/>
  <c r="S1708" i="7"/>
  <c r="R1708" i="7"/>
  <c r="Z1707" i="7"/>
  <c r="Y1707" i="7"/>
  <c r="AA1707" i="7" s="1"/>
  <c r="W1707" i="7"/>
  <c r="U1707" i="7"/>
  <c r="T1707" i="7"/>
  <c r="S1707" i="7"/>
  <c r="R1707" i="7"/>
  <c r="Z1706" i="7"/>
  <c r="Y1706" i="7"/>
  <c r="AA1706" i="7" s="1"/>
  <c r="W1706" i="7"/>
  <c r="U1706" i="7"/>
  <c r="T1706" i="7"/>
  <c r="S1706" i="7"/>
  <c r="R1706" i="7"/>
  <c r="Z1705" i="7"/>
  <c r="Y1705" i="7"/>
  <c r="AA1705" i="7" s="1"/>
  <c r="W1705" i="7"/>
  <c r="U1705" i="7"/>
  <c r="T1705" i="7"/>
  <c r="S1705" i="7"/>
  <c r="R1705" i="7"/>
  <c r="Z1704" i="7"/>
  <c r="Y1704" i="7"/>
  <c r="AA1704" i="7" s="1"/>
  <c r="W1704" i="7"/>
  <c r="U1704" i="7"/>
  <c r="T1704" i="7"/>
  <c r="S1704" i="7"/>
  <c r="R1704" i="7"/>
  <c r="Z1703" i="7"/>
  <c r="Y1703" i="7"/>
  <c r="AA1703" i="7" s="1"/>
  <c r="W1703" i="7"/>
  <c r="U1703" i="7"/>
  <c r="T1703" i="7"/>
  <c r="S1703" i="7"/>
  <c r="R1703" i="7"/>
  <c r="Z1702" i="7"/>
  <c r="Y1702" i="7"/>
  <c r="AA1702" i="7" s="1"/>
  <c r="W1702" i="7"/>
  <c r="U1702" i="7"/>
  <c r="T1702" i="7"/>
  <c r="S1702" i="7"/>
  <c r="R1702" i="7"/>
  <c r="Z1701" i="7"/>
  <c r="Y1701" i="7"/>
  <c r="AA1701" i="7" s="1"/>
  <c r="W1701" i="7"/>
  <c r="U1701" i="7"/>
  <c r="T1701" i="7"/>
  <c r="S1701" i="7"/>
  <c r="R1701" i="7"/>
  <c r="Z1700" i="7"/>
  <c r="Y1700" i="7"/>
  <c r="AA1700" i="7" s="1"/>
  <c r="W1700" i="7"/>
  <c r="U1700" i="7"/>
  <c r="T1700" i="7"/>
  <c r="S1700" i="7"/>
  <c r="R1700" i="7"/>
  <c r="Z1699" i="7"/>
  <c r="Y1699" i="7"/>
  <c r="AA1699" i="7" s="1"/>
  <c r="W1699" i="7"/>
  <c r="U1699" i="7"/>
  <c r="T1699" i="7"/>
  <c r="S1699" i="7"/>
  <c r="R1699" i="7"/>
  <c r="Z1698" i="7"/>
  <c r="Y1698" i="7"/>
  <c r="AA1698" i="7" s="1"/>
  <c r="W1698" i="7"/>
  <c r="U1698" i="7"/>
  <c r="T1698" i="7"/>
  <c r="S1698" i="7"/>
  <c r="R1698" i="7"/>
  <c r="Z1697" i="7"/>
  <c r="Y1697" i="7"/>
  <c r="AA1697" i="7" s="1"/>
  <c r="W1697" i="7"/>
  <c r="U1697" i="7"/>
  <c r="T1697" i="7"/>
  <c r="S1697" i="7"/>
  <c r="R1697" i="7"/>
  <c r="Z1696" i="7"/>
  <c r="Y1696" i="7"/>
  <c r="AA1696" i="7" s="1"/>
  <c r="W1696" i="7"/>
  <c r="U1696" i="7"/>
  <c r="T1696" i="7"/>
  <c r="S1696" i="7"/>
  <c r="R1696" i="7"/>
  <c r="Z1695" i="7"/>
  <c r="Y1695" i="7"/>
  <c r="AA1695" i="7" s="1"/>
  <c r="W1695" i="7"/>
  <c r="U1695" i="7"/>
  <c r="T1695" i="7"/>
  <c r="S1695" i="7"/>
  <c r="R1695" i="7"/>
  <c r="Z1694" i="7"/>
  <c r="Y1694" i="7"/>
  <c r="AA1694" i="7" s="1"/>
  <c r="W1694" i="7"/>
  <c r="U1694" i="7"/>
  <c r="T1694" i="7"/>
  <c r="S1694" i="7"/>
  <c r="R1694" i="7"/>
  <c r="Z1693" i="7"/>
  <c r="Y1693" i="7"/>
  <c r="AA1693" i="7" s="1"/>
  <c r="W1693" i="7"/>
  <c r="U1693" i="7"/>
  <c r="T1693" i="7"/>
  <c r="S1693" i="7"/>
  <c r="R1693" i="7"/>
  <c r="Z1692" i="7"/>
  <c r="Y1692" i="7"/>
  <c r="AA1692" i="7" s="1"/>
  <c r="W1692" i="7"/>
  <c r="U1692" i="7"/>
  <c r="T1692" i="7"/>
  <c r="S1692" i="7"/>
  <c r="R1692" i="7"/>
  <c r="Z1691" i="7"/>
  <c r="Y1691" i="7"/>
  <c r="AA1691" i="7" s="1"/>
  <c r="W1691" i="7"/>
  <c r="U1691" i="7"/>
  <c r="T1691" i="7"/>
  <c r="S1691" i="7"/>
  <c r="R1691" i="7"/>
  <c r="Z1690" i="7"/>
  <c r="Y1690" i="7"/>
  <c r="AA1690" i="7" s="1"/>
  <c r="W1690" i="7"/>
  <c r="U1690" i="7"/>
  <c r="T1690" i="7"/>
  <c r="S1690" i="7"/>
  <c r="R1690" i="7"/>
  <c r="Z1689" i="7"/>
  <c r="Y1689" i="7"/>
  <c r="AA1689" i="7" s="1"/>
  <c r="W1689" i="7"/>
  <c r="U1689" i="7"/>
  <c r="T1689" i="7"/>
  <c r="S1689" i="7"/>
  <c r="R1689" i="7"/>
  <c r="Z1688" i="7"/>
  <c r="Y1688" i="7"/>
  <c r="AA1688" i="7" s="1"/>
  <c r="W1688" i="7"/>
  <c r="U1688" i="7"/>
  <c r="T1688" i="7"/>
  <c r="S1688" i="7"/>
  <c r="R1688" i="7"/>
  <c r="Z1687" i="7"/>
  <c r="Y1687" i="7"/>
  <c r="AA1687" i="7" s="1"/>
  <c r="W1687" i="7"/>
  <c r="U1687" i="7"/>
  <c r="T1687" i="7"/>
  <c r="S1687" i="7"/>
  <c r="R1687" i="7"/>
  <c r="Z1686" i="7"/>
  <c r="Y1686" i="7"/>
  <c r="AA1686" i="7" s="1"/>
  <c r="W1686" i="7"/>
  <c r="U1686" i="7"/>
  <c r="T1686" i="7"/>
  <c r="S1686" i="7"/>
  <c r="R1686" i="7"/>
  <c r="Z1685" i="7"/>
  <c r="Y1685" i="7"/>
  <c r="AA1685" i="7" s="1"/>
  <c r="W1685" i="7"/>
  <c r="U1685" i="7"/>
  <c r="T1685" i="7"/>
  <c r="S1685" i="7"/>
  <c r="R1685" i="7"/>
  <c r="Z1684" i="7"/>
  <c r="Y1684" i="7"/>
  <c r="AA1684" i="7" s="1"/>
  <c r="W1684" i="7"/>
  <c r="U1684" i="7"/>
  <c r="T1684" i="7"/>
  <c r="S1684" i="7"/>
  <c r="R1684" i="7"/>
  <c r="Z1683" i="7"/>
  <c r="Y1683" i="7"/>
  <c r="AA1683" i="7" s="1"/>
  <c r="W1683" i="7"/>
  <c r="U1683" i="7"/>
  <c r="T1683" i="7"/>
  <c r="S1683" i="7"/>
  <c r="R1683" i="7"/>
  <c r="Z1682" i="7"/>
  <c r="Y1682" i="7"/>
  <c r="AA1682" i="7" s="1"/>
  <c r="W1682" i="7"/>
  <c r="U1682" i="7"/>
  <c r="T1682" i="7"/>
  <c r="S1682" i="7"/>
  <c r="R1682" i="7"/>
  <c r="Z1681" i="7"/>
  <c r="Y1681" i="7"/>
  <c r="AA1681" i="7" s="1"/>
  <c r="W1681" i="7"/>
  <c r="U1681" i="7"/>
  <c r="T1681" i="7"/>
  <c r="S1681" i="7"/>
  <c r="R1681" i="7"/>
  <c r="Z1680" i="7"/>
  <c r="Y1680" i="7"/>
  <c r="AA1680" i="7" s="1"/>
  <c r="W1680" i="7"/>
  <c r="U1680" i="7"/>
  <c r="T1680" i="7"/>
  <c r="S1680" i="7"/>
  <c r="R1680" i="7"/>
  <c r="Z1679" i="7"/>
  <c r="Y1679" i="7"/>
  <c r="AA1679" i="7" s="1"/>
  <c r="W1679" i="7"/>
  <c r="U1679" i="7"/>
  <c r="T1679" i="7"/>
  <c r="S1679" i="7"/>
  <c r="R1679" i="7"/>
  <c r="Z1678" i="7"/>
  <c r="Y1678" i="7"/>
  <c r="AA1678" i="7" s="1"/>
  <c r="W1678" i="7"/>
  <c r="U1678" i="7"/>
  <c r="T1678" i="7"/>
  <c r="S1678" i="7"/>
  <c r="R1678" i="7"/>
  <c r="Z1677" i="7"/>
  <c r="Y1677" i="7"/>
  <c r="AA1677" i="7" s="1"/>
  <c r="W1677" i="7"/>
  <c r="U1677" i="7"/>
  <c r="T1677" i="7"/>
  <c r="S1677" i="7"/>
  <c r="R1677" i="7"/>
  <c r="Z1676" i="7"/>
  <c r="Y1676" i="7"/>
  <c r="AA1676" i="7" s="1"/>
  <c r="W1676" i="7"/>
  <c r="U1676" i="7"/>
  <c r="T1676" i="7"/>
  <c r="S1676" i="7"/>
  <c r="R1676" i="7"/>
  <c r="Z1675" i="7"/>
  <c r="Y1675" i="7"/>
  <c r="AA1675" i="7" s="1"/>
  <c r="W1675" i="7"/>
  <c r="U1675" i="7"/>
  <c r="T1675" i="7"/>
  <c r="S1675" i="7"/>
  <c r="R1675" i="7"/>
  <c r="Z1674" i="7"/>
  <c r="Y1674" i="7"/>
  <c r="AA1674" i="7" s="1"/>
  <c r="W1674" i="7"/>
  <c r="U1674" i="7"/>
  <c r="T1674" i="7"/>
  <c r="S1674" i="7"/>
  <c r="R1674" i="7"/>
  <c r="Z1673" i="7"/>
  <c r="Y1673" i="7"/>
  <c r="AA1673" i="7" s="1"/>
  <c r="W1673" i="7"/>
  <c r="U1673" i="7"/>
  <c r="T1673" i="7"/>
  <c r="S1673" i="7"/>
  <c r="R1673" i="7"/>
  <c r="Z1672" i="7"/>
  <c r="Y1672" i="7"/>
  <c r="AA1672" i="7" s="1"/>
  <c r="W1672" i="7"/>
  <c r="U1672" i="7"/>
  <c r="T1672" i="7"/>
  <c r="S1672" i="7"/>
  <c r="R1672" i="7"/>
  <c r="Z1671" i="7"/>
  <c r="Y1671" i="7"/>
  <c r="AA1671" i="7" s="1"/>
  <c r="W1671" i="7"/>
  <c r="U1671" i="7"/>
  <c r="T1671" i="7"/>
  <c r="S1671" i="7"/>
  <c r="R1671" i="7"/>
  <c r="Z1670" i="7"/>
  <c r="Y1670" i="7"/>
  <c r="AA1670" i="7" s="1"/>
  <c r="W1670" i="7"/>
  <c r="U1670" i="7"/>
  <c r="T1670" i="7"/>
  <c r="S1670" i="7"/>
  <c r="R1670" i="7"/>
  <c r="Z1669" i="7"/>
  <c r="Y1669" i="7"/>
  <c r="AA1669" i="7" s="1"/>
  <c r="W1669" i="7"/>
  <c r="U1669" i="7"/>
  <c r="T1669" i="7"/>
  <c r="S1669" i="7"/>
  <c r="R1669" i="7"/>
  <c r="Z1668" i="7"/>
  <c r="Y1668" i="7"/>
  <c r="AA1668" i="7" s="1"/>
  <c r="W1668" i="7"/>
  <c r="U1668" i="7"/>
  <c r="T1668" i="7"/>
  <c r="S1668" i="7"/>
  <c r="R1668" i="7"/>
  <c r="Z1667" i="7"/>
  <c r="Y1667" i="7"/>
  <c r="AA1667" i="7" s="1"/>
  <c r="W1667" i="7"/>
  <c r="U1667" i="7"/>
  <c r="T1667" i="7"/>
  <c r="S1667" i="7"/>
  <c r="R1667" i="7"/>
  <c r="Z1666" i="7"/>
  <c r="Y1666" i="7"/>
  <c r="AA1666" i="7" s="1"/>
  <c r="W1666" i="7"/>
  <c r="U1666" i="7"/>
  <c r="T1666" i="7"/>
  <c r="S1666" i="7"/>
  <c r="R1666" i="7"/>
  <c r="Z1665" i="7"/>
  <c r="Y1665" i="7"/>
  <c r="AA1665" i="7" s="1"/>
  <c r="W1665" i="7"/>
  <c r="U1665" i="7"/>
  <c r="T1665" i="7"/>
  <c r="S1665" i="7"/>
  <c r="R1665" i="7"/>
  <c r="Z1664" i="7"/>
  <c r="Y1664" i="7"/>
  <c r="AA1664" i="7" s="1"/>
  <c r="W1664" i="7"/>
  <c r="U1664" i="7"/>
  <c r="T1664" i="7"/>
  <c r="S1664" i="7"/>
  <c r="R1664" i="7"/>
  <c r="Z1663" i="7"/>
  <c r="Y1663" i="7"/>
  <c r="AA1663" i="7" s="1"/>
  <c r="W1663" i="7"/>
  <c r="U1663" i="7"/>
  <c r="T1663" i="7"/>
  <c r="S1663" i="7"/>
  <c r="R1663" i="7"/>
  <c r="Z1662" i="7"/>
  <c r="Y1662" i="7"/>
  <c r="AA1662" i="7" s="1"/>
  <c r="W1662" i="7"/>
  <c r="U1662" i="7"/>
  <c r="T1662" i="7"/>
  <c r="S1662" i="7"/>
  <c r="R1662" i="7"/>
  <c r="Z1661" i="7"/>
  <c r="Y1661" i="7"/>
  <c r="AA1661" i="7" s="1"/>
  <c r="W1661" i="7"/>
  <c r="U1661" i="7"/>
  <c r="T1661" i="7"/>
  <c r="S1661" i="7"/>
  <c r="R1661" i="7"/>
  <c r="Z1660" i="7"/>
  <c r="Y1660" i="7"/>
  <c r="AA1660" i="7" s="1"/>
  <c r="W1660" i="7"/>
  <c r="U1660" i="7"/>
  <c r="T1660" i="7"/>
  <c r="S1660" i="7"/>
  <c r="R1660" i="7"/>
  <c r="Z1659" i="7"/>
  <c r="Y1659" i="7"/>
  <c r="AA1659" i="7" s="1"/>
  <c r="W1659" i="7"/>
  <c r="U1659" i="7"/>
  <c r="T1659" i="7"/>
  <c r="S1659" i="7"/>
  <c r="R1659" i="7"/>
  <c r="Z1658" i="7"/>
  <c r="Y1658" i="7"/>
  <c r="AA1658" i="7" s="1"/>
  <c r="I53" i="8" s="1"/>
  <c r="W1658" i="7"/>
  <c r="U1658" i="7"/>
  <c r="T1658" i="7"/>
  <c r="S1658" i="7"/>
  <c r="R1658" i="7"/>
  <c r="Z1657" i="7"/>
  <c r="Y1657" i="7"/>
  <c r="AA1657" i="7" s="1"/>
  <c r="W1657" i="7"/>
  <c r="U1657" i="7"/>
  <c r="T1657" i="7"/>
  <c r="S1657" i="7"/>
  <c r="R1657" i="7"/>
  <c r="Z1656" i="7"/>
  <c r="Y1656" i="7"/>
  <c r="AA1656" i="7" s="1"/>
  <c r="W1656" i="7"/>
  <c r="U1656" i="7"/>
  <c r="T1656" i="7"/>
  <c r="S1656" i="7"/>
  <c r="R1656" i="7"/>
  <c r="Z1655" i="7"/>
  <c r="Y1655" i="7"/>
  <c r="AA1655" i="7" s="1"/>
  <c r="W1655" i="7"/>
  <c r="U1655" i="7"/>
  <c r="T1655" i="7"/>
  <c r="S1655" i="7"/>
  <c r="R1655" i="7"/>
  <c r="Z1654" i="7"/>
  <c r="Y1654" i="7"/>
  <c r="AA1654" i="7" s="1"/>
  <c r="W1654" i="7"/>
  <c r="U1654" i="7"/>
  <c r="T1654" i="7"/>
  <c r="S1654" i="7"/>
  <c r="R1654" i="7"/>
  <c r="Z1653" i="7"/>
  <c r="Y1653" i="7"/>
  <c r="AA1653" i="7" s="1"/>
  <c r="W1653" i="7"/>
  <c r="U1653" i="7"/>
  <c r="T1653" i="7"/>
  <c r="S1653" i="7"/>
  <c r="R1653" i="7"/>
  <c r="Z1652" i="7"/>
  <c r="Y1652" i="7"/>
  <c r="AA1652" i="7" s="1"/>
  <c r="W1652" i="7"/>
  <c r="U1652" i="7"/>
  <c r="T1652" i="7"/>
  <c r="S1652" i="7"/>
  <c r="R1652" i="7"/>
  <c r="Z1651" i="7"/>
  <c r="Y1651" i="7"/>
  <c r="AA1651" i="7" s="1"/>
  <c r="W1651" i="7"/>
  <c r="U1651" i="7"/>
  <c r="T1651" i="7"/>
  <c r="S1651" i="7"/>
  <c r="R1651" i="7"/>
  <c r="Z1650" i="7"/>
  <c r="Y1650" i="7"/>
  <c r="AA1650" i="7" s="1"/>
  <c r="W1650" i="7"/>
  <c r="U1650" i="7"/>
  <c r="T1650" i="7"/>
  <c r="S1650" i="7"/>
  <c r="R1650" i="7"/>
  <c r="Z1649" i="7"/>
  <c r="Y1649" i="7"/>
  <c r="AA1649" i="7" s="1"/>
  <c r="W1649" i="7"/>
  <c r="U1649" i="7"/>
  <c r="T1649" i="7"/>
  <c r="S1649" i="7"/>
  <c r="R1649" i="7"/>
  <c r="Z1648" i="7"/>
  <c r="Y1648" i="7"/>
  <c r="AA1648" i="7" s="1"/>
  <c r="W1648" i="7"/>
  <c r="U1648" i="7"/>
  <c r="T1648" i="7"/>
  <c r="S1648" i="7"/>
  <c r="R1648" i="7"/>
  <c r="Z1647" i="7"/>
  <c r="Y1647" i="7"/>
  <c r="AA1647" i="7" s="1"/>
  <c r="W1647" i="7"/>
  <c r="U1647" i="7"/>
  <c r="T1647" i="7"/>
  <c r="S1647" i="7"/>
  <c r="R1647" i="7"/>
  <c r="Z1646" i="7"/>
  <c r="Y1646" i="7"/>
  <c r="AA1646" i="7" s="1"/>
  <c r="W1646" i="7"/>
  <c r="U1646" i="7"/>
  <c r="T1646" i="7"/>
  <c r="S1646" i="7"/>
  <c r="R1646" i="7"/>
  <c r="Z1645" i="7"/>
  <c r="Y1645" i="7"/>
  <c r="AA1645" i="7" s="1"/>
  <c r="W1645" i="7"/>
  <c r="U1645" i="7"/>
  <c r="T1645" i="7"/>
  <c r="S1645" i="7"/>
  <c r="R1645" i="7"/>
  <c r="Z1644" i="7"/>
  <c r="Y1644" i="7"/>
  <c r="AA1644" i="7" s="1"/>
  <c r="W1644" i="7"/>
  <c r="U1644" i="7"/>
  <c r="T1644" i="7"/>
  <c r="S1644" i="7"/>
  <c r="R1644" i="7"/>
  <c r="Z1643" i="7"/>
  <c r="Y1643" i="7"/>
  <c r="AA1643" i="7" s="1"/>
  <c r="W1643" i="7"/>
  <c r="U1643" i="7"/>
  <c r="T1643" i="7"/>
  <c r="S1643" i="7"/>
  <c r="R1643" i="7"/>
  <c r="Z1642" i="7"/>
  <c r="Y1642" i="7"/>
  <c r="AA1642" i="7" s="1"/>
  <c r="W1642" i="7"/>
  <c r="U1642" i="7"/>
  <c r="T1642" i="7"/>
  <c r="S1642" i="7"/>
  <c r="R1642" i="7"/>
  <c r="Z1641" i="7"/>
  <c r="Y1641" i="7"/>
  <c r="AA1641" i="7" s="1"/>
  <c r="W1641" i="7"/>
  <c r="U1641" i="7"/>
  <c r="T1641" i="7"/>
  <c r="S1641" i="7"/>
  <c r="R1641" i="7"/>
  <c r="Z1640" i="7"/>
  <c r="Y1640" i="7"/>
  <c r="AA1640" i="7" s="1"/>
  <c r="W1640" i="7"/>
  <c r="U1640" i="7"/>
  <c r="T1640" i="7"/>
  <c r="S1640" i="7"/>
  <c r="R1640" i="7"/>
  <c r="Z1639" i="7"/>
  <c r="Y1639" i="7"/>
  <c r="AA1639" i="7" s="1"/>
  <c r="W1639" i="7"/>
  <c r="U1639" i="7"/>
  <c r="T1639" i="7"/>
  <c r="S1639" i="7"/>
  <c r="R1639" i="7"/>
  <c r="Z1638" i="7"/>
  <c r="Y1638" i="7"/>
  <c r="AA1638" i="7" s="1"/>
  <c r="W1638" i="7"/>
  <c r="U1638" i="7"/>
  <c r="T1638" i="7"/>
  <c r="S1638" i="7"/>
  <c r="R1638" i="7"/>
  <c r="Z1637" i="7"/>
  <c r="Y1637" i="7"/>
  <c r="AA1637" i="7" s="1"/>
  <c r="W1637" i="7"/>
  <c r="U1637" i="7"/>
  <c r="T1637" i="7"/>
  <c r="S1637" i="7"/>
  <c r="R1637" i="7"/>
  <c r="Z1636" i="7"/>
  <c r="Y1636" i="7"/>
  <c r="AA1636" i="7" s="1"/>
  <c r="W1636" i="7"/>
  <c r="U1636" i="7"/>
  <c r="T1636" i="7"/>
  <c r="S1636" i="7"/>
  <c r="R1636" i="7"/>
  <c r="Z1635" i="7"/>
  <c r="Y1635" i="7"/>
  <c r="AA1635" i="7" s="1"/>
  <c r="W1635" i="7"/>
  <c r="U1635" i="7"/>
  <c r="T1635" i="7"/>
  <c r="S1635" i="7"/>
  <c r="R1635" i="7"/>
  <c r="Z1634" i="7"/>
  <c r="Y1634" i="7"/>
  <c r="AA1634" i="7" s="1"/>
  <c r="W1634" i="7"/>
  <c r="U1634" i="7"/>
  <c r="T1634" i="7"/>
  <c r="S1634" i="7"/>
  <c r="R1634" i="7"/>
  <c r="Z1633" i="7"/>
  <c r="Y1633" i="7"/>
  <c r="AA1633" i="7" s="1"/>
  <c r="W1633" i="7"/>
  <c r="U1633" i="7"/>
  <c r="T1633" i="7"/>
  <c r="S1633" i="7"/>
  <c r="R1633" i="7"/>
  <c r="Z1632" i="7"/>
  <c r="Y1632" i="7"/>
  <c r="AA1632" i="7" s="1"/>
  <c r="W1632" i="7"/>
  <c r="U1632" i="7"/>
  <c r="T1632" i="7"/>
  <c r="S1632" i="7"/>
  <c r="R1632" i="7"/>
  <c r="Z1631" i="7"/>
  <c r="Y1631" i="7"/>
  <c r="AA1631" i="7" s="1"/>
  <c r="W1631" i="7"/>
  <c r="U1631" i="7"/>
  <c r="T1631" i="7"/>
  <c r="S1631" i="7"/>
  <c r="R1631" i="7"/>
  <c r="Z1630" i="7"/>
  <c r="Y1630" i="7"/>
  <c r="AA1630" i="7" s="1"/>
  <c r="W1630" i="7"/>
  <c r="U1630" i="7"/>
  <c r="T1630" i="7"/>
  <c r="S1630" i="7"/>
  <c r="R1630" i="7"/>
  <c r="Z1629" i="7"/>
  <c r="Y1629" i="7"/>
  <c r="AA1629" i="7" s="1"/>
  <c r="W1629" i="7"/>
  <c r="U1629" i="7"/>
  <c r="T1629" i="7"/>
  <c r="S1629" i="7"/>
  <c r="R1629" i="7"/>
  <c r="Z1628" i="7"/>
  <c r="Y1628" i="7"/>
  <c r="AA1628" i="7" s="1"/>
  <c r="W1628" i="7"/>
  <c r="U1628" i="7"/>
  <c r="T1628" i="7"/>
  <c r="S1628" i="7"/>
  <c r="R1628" i="7"/>
  <c r="Z1627" i="7"/>
  <c r="Y1627" i="7"/>
  <c r="AA1627" i="7" s="1"/>
  <c r="W1627" i="7"/>
  <c r="U1627" i="7"/>
  <c r="T1627" i="7"/>
  <c r="S1627" i="7"/>
  <c r="R1627" i="7"/>
  <c r="Z1626" i="7"/>
  <c r="Y1626" i="7"/>
  <c r="AA1626" i="7" s="1"/>
  <c r="W1626" i="7"/>
  <c r="U1626" i="7"/>
  <c r="T1626" i="7"/>
  <c r="S1626" i="7"/>
  <c r="R1626" i="7"/>
  <c r="Z1625" i="7"/>
  <c r="Y1625" i="7"/>
  <c r="AA1625" i="7" s="1"/>
  <c r="W1625" i="7"/>
  <c r="U1625" i="7"/>
  <c r="T1625" i="7"/>
  <c r="S1625" i="7"/>
  <c r="R1625" i="7"/>
  <c r="Z1624" i="7"/>
  <c r="Y1624" i="7"/>
  <c r="AA1624" i="7" s="1"/>
  <c r="W1624" i="7"/>
  <c r="U1624" i="7"/>
  <c r="T1624" i="7"/>
  <c r="S1624" i="7"/>
  <c r="R1624" i="7"/>
  <c r="Z1623" i="7"/>
  <c r="Y1623" i="7"/>
  <c r="AA1623" i="7" s="1"/>
  <c r="W1623" i="7"/>
  <c r="U1623" i="7"/>
  <c r="T1623" i="7"/>
  <c r="S1623" i="7"/>
  <c r="R1623" i="7"/>
  <c r="Z1622" i="7"/>
  <c r="Y1622" i="7"/>
  <c r="AA1622" i="7" s="1"/>
  <c r="W1622" i="7"/>
  <c r="U1622" i="7"/>
  <c r="T1622" i="7"/>
  <c r="S1622" i="7"/>
  <c r="R1622" i="7"/>
  <c r="Z1621" i="7"/>
  <c r="Y1621" i="7"/>
  <c r="AA1621" i="7" s="1"/>
  <c r="W1621" i="7"/>
  <c r="U1621" i="7"/>
  <c r="T1621" i="7"/>
  <c r="S1621" i="7"/>
  <c r="R1621" i="7"/>
  <c r="Z1620" i="7"/>
  <c r="Y1620" i="7"/>
  <c r="AA1620" i="7" s="1"/>
  <c r="W1620" i="7"/>
  <c r="U1620" i="7"/>
  <c r="T1620" i="7"/>
  <c r="S1620" i="7"/>
  <c r="R1620" i="7"/>
  <c r="Z1619" i="7"/>
  <c r="Y1619" i="7"/>
  <c r="AA1619" i="7" s="1"/>
  <c r="W1619" i="7"/>
  <c r="U1619" i="7"/>
  <c r="T1619" i="7"/>
  <c r="S1619" i="7"/>
  <c r="R1619" i="7"/>
  <c r="Z1618" i="7"/>
  <c r="Y1618" i="7"/>
  <c r="AA1618" i="7" s="1"/>
  <c r="W1618" i="7"/>
  <c r="U1618" i="7"/>
  <c r="T1618" i="7"/>
  <c r="S1618" i="7"/>
  <c r="R1618" i="7"/>
  <c r="Z1617" i="7"/>
  <c r="Y1617" i="7"/>
  <c r="AA1617" i="7" s="1"/>
  <c r="W1617" i="7"/>
  <c r="U1617" i="7"/>
  <c r="T1617" i="7"/>
  <c r="S1617" i="7"/>
  <c r="R1617" i="7"/>
  <c r="Z1616" i="7"/>
  <c r="Y1616" i="7"/>
  <c r="AA1616" i="7" s="1"/>
  <c r="W1616" i="7"/>
  <c r="U1616" i="7"/>
  <c r="T1616" i="7"/>
  <c r="S1616" i="7"/>
  <c r="R1616" i="7"/>
  <c r="Z1615" i="7"/>
  <c r="Y1615" i="7"/>
  <c r="AA1615" i="7" s="1"/>
  <c r="W1615" i="7"/>
  <c r="U1615" i="7"/>
  <c r="T1615" i="7"/>
  <c r="S1615" i="7"/>
  <c r="R1615" i="7"/>
  <c r="Z1614" i="7"/>
  <c r="Y1614" i="7"/>
  <c r="AA1614" i="7" s="1"/>
  <c r="W1614" i="7"/>
  <c r="U1614" i="7"/>
  <c r="T1614" i="7"/>
  <c r="S1614" i="7"/>
  <c r="R1614" i="7"/>
  <c r="Z1613" i="7"/>
  <c r="Y1613" i="7"/>
  <c r="AA1613" i="7" s="1"/>
  <c r="W1613" i="7"/>
  <c r="U1613" i="7"/>
  <c r="T1613" i="7"/>
  <c r="S1613" i="7"/>
  <c r="R1613" i="7"/>
  <c r="Z1612" i="7"/>
  <c r="Y1612" i="7"/>
  <c r="AA1612" i="7" s="1"/>
  <c r="W1612" i="7"/>
  <c r="U1612" i="7"/>
  <c r="T1612" i="7"/>
  <c r="S1612" i="7"/>
  <c r="R1612" i="7"/>
  <c r="Z1611" i="7"/>
  <c r="Y1611" i="7"/>
  <c r="AA1611" i="7" s="1"/>
  <c r="W1611" i="7"/>
  <c r="U1611" i="7"/>
  <c r="T1611" i="7"/>
  <c r="S1611" i="7"/>
  <c r="R1611" i="7"/>
  <c r="Z1610" i="7"/>
  <c r="Y1610" i="7"/>
  <c r="AA1610" i="7" s="1"/>
  <c r="W1610" i="7"/>
  <c r="U1610" i="7"/>
  <c r="T1610" i="7"/>
  <c r="S1610" i="7"/>
  <c r="R1610" i="7"/>
  <c r="Z1609" i="7"/>
  <c r="Y1609" i="7"/>
  <c r="AA1609" i="7" s="1"/>
  <c r="W1609" i="7"/>
  <c r="U1609" i="7"/>
  <c r="T1609" i="7"/>
  <c r="S1609" i="7"/>
  <c r="R1609" i="7"/>
  <c r="Z1608" i="7"/>
  <c r="Y1608" i="7"/>
  <c r="AA1608" i="7" s="1"/>
  <c r="W1608" i="7"/>
  <c r="U1608" i="7"/>
  <c r="T1608" i="7"/>
  <c r="S1608" i="7"/>
  <c r="R1608" i="7"/>
  <c r="Z1607" i="7"/>
  <c r="Y1607" i="7"/>
  <c r="AA1607" i="7" s="1"/>
  <c r="W1607" i="7"/>
  <c r="U1607" i="7"/>
  <c r="T1607" i="7"/>
  <c r="S1607" i="7"/>
  <c r="R1607" i="7"/>
  <c r="Z1606" i="7"/>
  <c r="Y1606" i="7"/>
  <c r="AA1606" i="7" s="1"/>
  <c r="W1606" i="7"/>
  <c r="U1606" i="7"/>
  <c r="T1606" i="7"/>
  <c r="S1606" i="7"/>
  <c r="R1606" i="7"/>
  <c r="Z1605" i="7"/>
  <c r="Y1605" i="7"/>
  <c r="AA1605" i="7" s="1"/>
  <c r="W1605" i="7"/>
  <c r="U1605" i="7"/>
  <c r="T1605" i="7"/>
  <c r="S1605" i="7"/>
  <c r="R1605" i="7"/>
  <c r="Z1604" i="7"/>
  <c r="Y1604" i="7"/>
  <c r="AA1604" i="7" s="1"/>
  <c r="W1604" i="7"/>
  <c r="U1604" i="7"/>
  <c r="T1604" i="7"/>
  <c r="S1604" i="7"/>
  <c r="R1604" i="7"/>
  <c r="Z1603" i="7"/>
  <c r="Y1603" i="7"/>
  <c r="AA1603" i="7" s="1"/>
  <c r="W1603" i="7"/>
  <c r="U1603" i="7"/>
  <c r="T1603" i="7"/>
  <c r="S1603" i="7"/>
  <c r="R1603" i="7"/>
  <c r="Z1602" i="7"/>
  <c r="Y1602" i="7"/>
  <c r="AA1602" i="7" s="1"/>
  <c r="W1602" i="7"/>
  <c r="U1602" i="7"/>
  <c r="T1602" i="7"/>
  <c r="S1602" i="7"/>
  <c r="R1602" i="7"/>
  <c r="Z1601" i="7"/>
  <c r="Y1601" i="7"/>
  <c r="AA1601" i="7" s="1"/>
  <c r="W1601" i="7"/>
  <c r="U1601" i="7"/>
  <c r="T1601" i="7"/>
  <c r="S1601" i="7"/>
  <c r="R1601" i="7"/>
  <c r="Z1600" i="7"/>
  <c r="Y1600" i="7"/>
  <c r="AA1600" i="7" s="1"/>
  <c r="W1600" i="7"/>
  <c r="U1600" i="7"/>
  <c r="T1600" i="7"/>
  <c r="S1600" i="7"/>
  <c r="R1600" i="7"/>
  <c r="Z1599" i="7"/>
  <c r="Y1599" i="7"/>
  <c r="AA1599" i="7" s="1"/>
  <c r="W1599" i="7"/>
  <c r="U1599" i="7"/>
  <c r="T1599" i="7"/>
  <c r="S1599" i="7"/>
  <c r="R1599" i="7"/>
  <c r="Z1598" i="7"/>
  <c r="Y1598" i="7"/>
  <c r="AA1598" i="7" s="1"/>
  <c r="W1598" i="7"/>
  <c r="U1598" i="7"/>
  <c r="T1598" i="7"/>
  <c r="S1598" i="7"/>
  <c r="R1598" i="7"/>
  <c r="Z1597" i="7"/>
  <c r="Y1597" i="7"/>
  <c r="AA1597" i="7" s="1"/>
  <c r="W1597" i="7"/>
  <c r="U1597" i="7"/>
  <c r="T1597" i="7"/>
  <c r="S1597" i="7"/>
  <c r="R1597" i="7"/>
  <c r="Z1596" i="7"/>
  <c r="Y1596" i="7"/>
  <c r="AA1596" i="7" s="1"/>
  <c r="W1596" i="7"/>
  <c r="U1596" i="7"/>
  <c r="T1596" i="7"/>
  <c r="S1596" i="7"/>
  <c r="R1596" i="7"/>
  <c r="Z1595" i="7"/>
  <c r="Y1595" i="7"/>
  <c r="AA1595" i="7" s="1"/>
  <c r="W1595" i="7"/>
  <c r="U1595" i="7"/>
  <c r="T1595" i="7"/>
  <c r="S1595" i="7"/>
  <c r="R1595" i="7"/>
  <c r="Z1594" i="7"/>
  <c r="Y1594" i="7"/>
  <c r="AA1594" i="7" s="1"/>
  <c r="W1594" i="7"/>
  <c r="U1594" i="7"/>
  <c r="T1594" i="7"/>
  <c r="S1594" i="7"/>
  <c r="R1594" i="7"/>
  <c r="Z1593" i="7"/>
  <c r="Y1593" i="7"/>
  <c r="AA1593" i="7" s="1"/>
  <c r="W1593" i="7"/>
  <c r="U1593" i="7"/>
  <c r="T1593" i="7"/>
  <c r="S1593" i="7"/>
  <c r="R1593" i="7"/>
  <c r="Z1592" i="7"/>
  <c r="Y1592" i="7"/>
  <c r="AA1592" i="7" s="1"/>
  <c r="W1592" i="7"/>
  <c r="U1592" i="7"/>
  <c r="T1592" i="7"/>
  <c r="S1592" i="7"/>
  <c r="R1592" i="7"/>
  <c r="Z1591" i="7"/>
  <c r="Y1591" i="7"/>
  <c r="AA1591" i="7" s="1"/>
  <c r="W1591" i="7"/>
  <c r="U1591" i="7"/>
  <c r="T1591" i="7"/>
  <c r="S1591" i="7"/>
  <c r="R1591" i="7"/>
  <c r="Z1590" i="7"/>
  <c r="Y1590" i="7"/>
  <c r="AA1590" i="7" s="1"/>
  <c r="W1590" i="7"/>
  <c r="U1590" i="7"/>
  <c r="T1590" i="7"/>
  <c r="S1590" i="7"/>
  <c r="R1590" i="7"/>
  <c r="Z1589" i="7"/>
  <c r="Y1589" i="7"/>
  <c r="AA1589" i="7" s="1"/>
  <c r="W1589" i="7"/>
  <c r="U1589" i="7"/>
  <c r="T1589" i="7"/>
  <c r="S1589" i="7"/>
  <c r="R1589" i="7"/>
  <c r="Z1588" i="7"/>
  <c r="Y1588" i="7"/>
  <c r="AA1588" i="7" s="1"/>
  <c r="W1588" i="7"/>
  <c r="U1588" i="7"/>
  <c r="T1588" i="7"/>
  <c r="S1588" i="7"/>
  <c r="R1588" i="7"/>
  <c r="Z1587" i="7"/>
  <c r="Y1587" i="7"/>
  <c r="AA1587" i="7" s="1"/>
  <c r="W1587" i="7"/>
  <c r="U1587" i="7"/>
  <c r="T1587" i="7"/>
  <c r="S1587" i="7"/>
  <c r="R1587" i="7"/>
  <c r="Z1586" i="7"/>
  <c r="Y1586" i="7"/>
  <c r="AA1586" i="7" s="1"/>
  <c r="W1586" i="7"/>
  <c r="U1586" i="7"/>
  <c r="T1586" i="7"/>
  <c r="S1586" i="7"/>
  <c r="R1586" i="7"/>
  <c r="Z1585" i="7"/>
  <c r="Y1585" i="7"/>
  <c r="AA1585" i="7" s="1"/>
  <c r="W1585" i="7"/>
  <c r="U1585" i="7"/>
  <c r="T1585" i="7"/>
  <c r="S1585" i="7"/>
  <c r="R1585" i="7"/>
  <c r="Z1584" i="7"/>
  <c r="Y1584" i="7"/>
  <c r="AA1584" i="7" s="1"/>
  <c r="W1584" i="7"/>
  <c r="U1584" i="7"/>
  <c r="T1584" i="7"/>
  <c r="S1584" i="7"/>
  <c r="R1584" i="7"/>
  <c r="Z1583" i="7"/>
  <c r="Y1583" i="7"/>
  <c r="AA1583" i="7" s="1"/>
  <c r="W1583" i="7"/>
  <c r="U1583" i="7"/>
  <c r="T1583" i="7"/>
  <c r="S1583" i="7"/>
  <c r="R1583" i="7"/>
  <c r="Z1582" i="7"/>
  <c r="Y1582" i="7"/>
  <c r="AA1582" i="7" s="1"/>
  <c r="W1582" i="7"/>
  <c r="U1582" i="7"/>
  <c r="T1582" i="7"/>
  <c r="S1582" i="7"/>
  <c r="R1582" i="7"/>
  <c r="Z1581" i="7"/>
  <c r="Y1581" i="7"/>
  <c r="AA1581" i="7" s="1"/>
  <c r="W1581" i="7"/>
  <c r="U1581" i="7"/>
  <c r="T1581" i="7"/>
  <c r="S1581" i="7"/>
  <c r="R1581" i="7"/>
  <c r="Z1580" i="7"/>
  <c r="Y1580" i="7"/>
  <c r="AA1580" i="7" s="1"/>
  <c r="W1580" i="7"/>
  <c r="U1580" i="7"/>
  <c r="T1580" i="7"/>
  <c r="S1580" i="7"/>
  <c r="R1580" i="7"/>
  <c r="Z1579" i="7"/>
  <c r="Y1579" i="7"/>
  <c r="AA1579" i="7" s="1"/>
  <c r="W1579" i="7"/>
  <c r="U1579" i="7"/>
  <c r="T1579" i="7"/>
  <c r="S1579" i="7"/>
  <c r="R1579" i="7"/>
  <c r="Z1578" i="7"/>
  <c r="Y1578" i="7"/>
  <c r="AA1578" i="7" s="1"/>
  <c r="W1578" i="7"/>
  <c r="U1578" i="7"/>
  <c r="T1578" i="7"/>
  <c r="S1578" i="7"/>
  <c r="R1578" i="7"/>
  <c r="Z1577" i="7"/>
  <c r="Y1577" i="7"/>
  <c r="AA1577" i="7" s="1"/>
  <c r="W1577" i="7"/>
  <c r="U1577" i="7"/>
  <c r="T1577" i="7"/>
  <c r="S1577" i="7"/>
  <c r="R1577" i="7"/>
  <c r="Z1576" i="7"/>
  <c r="Y1576" i="7"/>
  <c r="AA1576" i="7" s="1"/>
  <c r="W1576" i="7"/>
  <c r="U1576" i="7"/>
  <c r="T1576" i="7"/>
  <c r="S1576" i="7"/>
  <c r="R1576" i="7"/>
  <c r="Z1575" i="7"/>
  <c r="Y1575" i="7"/>
  <c r="AA1575" i="7" s="1"/>
  <c r="W1575" i="7"/>
  <c r="U1575" i="7"/>
  <c r="T1575" i="7"/>
  <c r="S1575" i="7"/>
  <c r="R1575" i="7"/>
  <c r="Z1574" i="7"/>
  <c r="Y1574" i="7"/>
  <c r="AA1574" i="7" s="1"/>
  <c r="W1574" i="7"/>
  <c r="U1574" i="7"/>
  <c r="T1574" i="7"/>
  <c r="S1574" i="7"/>
  <c r="R1574" i="7"/>
  <c r="Z1573" i="7"/>
  <c r="Y1573" i="7"/>
  <c r="AA1573" i="7" s="1"/>
  <c r="W1573" i="7"/>
  <c r="U1573" i="7"/>
  <c r="T1573" i="7"/>
  <c r="S1573" i="7"/>
  <c r="R1573" i="7"/>
  <c r="Z1572" i="7"/>
  <c r="Y1572" i="7"/>
  <c r="AA1572" i="7" s="1"/>
  <c r="W1572" i="7"/>
  <c r="U1572" i="7"/>
  <c r="T1572" i="7"/>
  <c r="S1572" i="7"/>
  <c r="R1572" i="7"/>
  <c r="Z1571" i="7"/>
  <c r="Y1571" i="7"/>
  <c r="AA1571" i="7" s="1"/>
  <c r="W1571" i="7"/>
  <c r="U1571" i="7"/>
  <c r="T1571" i="7"/>
  <c r="S1571" i="7"/>
  <c r="R1571" i="7"/>
  <c r="Z1570" i="7"/>
  <c r="Y1570" i="7"/>
  <c r="AA1570" i="7" s="1"/>
  <c r="W1570" i="7"/>
  <c r="U1570" i="7"/>
  <c r="T1570" i="7"/>
  <c r="S1570" i="7"/>
  <c r="R1570" i="7"/>
  <c r="Z1569" i="7"/>
  <c r="Y1569" i="7"/>
  <c r="AA1569" i="7" s="1"/>
  <c r="W1569" i="7"/>
  <c r="U1569" i="7"/>
  <c r="T1569" i="7"/>
  <c r="S1569" i="7"/>
  <c r="R1569" i="7"/>
  <c r="Z1568" i="7"/>
  <c r="Y1568" i="7"/>
  <c r="AA1568" i="7" s="1"/>
  <c r="W1568" i="7"/>
  <c r="U1568" i="7"/>
  <c r="T1568" i="7"/>
  <c r="S1568" i="7"/>
  <c r="R1568" i="7"/>
  <c r="Z1567" i="7"/>
  <c r="Y1567" i="7"/>
  <c r="AA1567" i="7" s="1"/>
  <c r="W1567" i="7"/>
  <c r="U1567" i="7"/>
  <c r="T1567" i="7"/>
  <c r="S1567" i="7"/>
  <c r="R1567" i="7"/>
  <c r="Z1566" i="7"/>
  <c r="Y1566" i="7"/>
  <c r="AA1566" i="7" s="1"/>
  <c r="W1566" i="7"/>
  <c r="U1566" i="7"/>
  <c r="T1566" i="7"/>
  <c r="S1566" i="7"/>
  <c r="R1566" i="7"/>
  <c r="Z1565" i="7"/>
  <c r="Y1565" i="7"/>
  <c r="AA1565" i="7" s="1"/>
  <c r="W1565" i="7"/>
  <c r="U1565" i="7"/>
  <c r="T1565" i="7"/>
  <c r="S1565" i="7"/>
  <c r="R1565" i="7"/>
  <c r="Z1564" i="7"/>
  <c r="Y1564" i="7"/>
  <c r="AA1564" i="7" s="1"/>
  <c r="W1564" i="7"/>
  <c r="U1564" i="7"/>
  <c r="T1564" i="7"/>
  <c r="S1564" i="7"/>
  <c r="R1564" i="7"/>
  <c r="Z1563" i="7"/>
  <c r="Y1563" i="7"/>
  <c r="AA1563" i="7" s="1"/>
  <c r="W1563" i="7"/>
  <c r="U1563" i="7"/>
  <c r="T1563" i="7"/>
  <c r="S1563" i="7"/>
  <c r="R1563" i="7"/>
  <c r="Z1562" i="7"/>
  <c r="Y1562" i="7"/>
  <c r="AA1562" i="7" s="1"/>
  <c r="W1562" i="7"/>
  <c r="U1562" i="7"/>
  <c r="T1562" i="7"/>
  <c r="S1562" i="7"/>
  <c r="R1562" i="7"/>
  <c r="Z1561" i="7"/>
  <c r="Y1561" i="7"/>
  <c r="AA1561" i="7" s="1"/>
  <c r="W1561" i="7"/>
  <c r="U1561" i="7"/>
  <c r="T1561" i="7"/>
  <c r="S1561" i="7"/>
  <c r="R1561" i="7"/>
  <c r="Z1560" i="7"/>
  <c r="Y1560" i="7"/>
  <c r="AA1560" i="7" s="1"/>
  <c r="W1560" i="7"/>
  <c r="U1560" i="7"/>
  <c r="T1560" i="7"/>
  <c r="S1560" i="7"/>
  <c r="R1560" i="7"/>
  <c r="Z1559" i="7"/>
  <c r="Y1559" i="7"/>
  <c r="AA1559" i="7" s="1"/>
  <c r="W1559" i="7"/>
  <c r="U1559" i="7"/>
  <c r="T1559" i="7"/>
  <c r="S1559" i="7"/>
  <c r="R1559" i="7"/>
  <c r="Z1558" i="7"/>
  <c r="Y1558" i="7"/>
  <c r="AA1558" i="7" s="1"/>
  <c r="W1558" i="7"/>
  <c r="U1558" i="7"/>
  <c r="T1558" i="7"/>
  <c r="S1558" i="7"/>
  <c r="R1558" i="7"/>
  <c r="Z1557" i="7"/>
  <c r="Y1557" i="7"/>
  <c r="AA1557" i="7" s="1"/>
  <c r="W1557" i="7"/>
  <c r="U1557" i="7"/>
  <c r="T1557" i="7"/>
  <c r="S1557" i="7"/>
  <c r="R1557" i="7"/>
  <c r="Z1556" i="7"/>
  <c r="Y1556" i="7"/>
  <c r="AA1556" i="7" s="1"/>
  <c r="W1556" i="7"/>
  <c r="U1556" i="7"/>
  <c r="T1556" i="7"/>
  <c r="S1556" i="7"/>
  <c r="R1556" i="7"/>
  <c r="Z1555" i="7"/>
  <c r="Y1555" i="7"/>
  <c r="AA1555" i="7" s="1"/>
  <c r="W1555" i="7"/>
  <c r="U1555" i="7"/>
  <c r="T1555" i="7"/>
  <c r="S1555" i="7"/>
  <c r="R1555" i="7"/>
  <c r="Z1554" i="7"/>
  <c r="Y1554" i="7"/>
  <c r="AA1554" i="7" s="1"/>
  <c r="W1554" i="7"/>
  <c r="U1554" i="7"/>
  <c r="T1554" i="7"/>
  <c r="S1554" i="7"/>
  <c r="R1554" i="7"/>
  <c r="Z1553" i="7"/>
  <c r="Y1553" i="7"/>
  <c r="AA1553" i="7" s="1"/>
  <c r="W1553" i="7"/>
  <c r="U1553" i="7"/>
  <c r="T1553" i="7"/>
  <c r="S1553" i="7"/>
  <c r="R1553" i="7"/>
  <c r="Z1552" i="7"/>
  <c r="Y1552" i="7"/>
  <c r="AA1552" i="7" s="1"/>
  <c r="W1552" i="7"/>
  <c r="U1552" i="7"/>
  <c r="T1552" i="7"/>
  <c r="S1552" i="7"/>
  <c r="R1552" i="7"/>
  <c r="Z1551" i="7"/>
  <c r="Y1551" i="7"/>
  <c r="AA1551" i="7" s="1"/>
  <c r="W1551" i="7"/>
  <c r="U1551" i="7"/>
  <c r="T1551" i="7"/>
  <c r="S1551" i="7"/>
  <c r="R1551" i="7"/>
  <c r="Z1550" i="7"/>
  <c r="Y1550" i="7"/>
  <c r="AA1550" i="7" s="1"/>
  <c r="W1550" i="7"/>
  <c r="U1550" i="7"/>
  <c r="T1550" i="7"/>
  <c r="S1550" i="7"/>
  <c r="R1550" i="7"/>
  <c r="Z1549" i="7"/>
  <c r="Y1549" i="7"/>
  <c r="AA1549" i="7" s="1"/>
  <c r="W1549" i="7"/>
  <c r="U1549" i="7"/>
  <c r="T1549" i="7"/>
  <c r="S1549" i="7"/>
  <c r="R1549" i="7"/>
  <c r="Z1548" i="7"/>
  <c r="Y1548" i="7"/>
  <c r="AA1548" i="7" s="1"/>
  <c r="W1548" i="7"/>
  <c r="U1548" i="7"/>
  <c r="T1548" i="7"/>
  <c r="S1548" i="7"/>
  <c r="R1548" i="7"/>
  <c r="Z1547" i="7"/>
  <c r="Y1547" i="7"/>
  <c r="AA1547" i="7" s="1"/>
  <c r="W1547" i="7"/>
  <c r="U1547" i="7"/>
  <c r="T1547" i="7"/>
  <c r="S1547" i="7"/>
  <c r="R1547" i="7"/>
  <c r="Z1546" i="7"/>
  <c r="Y1546" i="7"/>
  <c r="AA1546" i="7" s="1"/>
  <c r="W1546" i="7"/>
  <c r="U1546" i="7"/>
  <c r="T1546" i="7"/>
  <c r="S1546" i="7"/>
  <c r="R1546" i="7"/>
  <c r="Z1545" i="7"/>
  <c r="Y1545" i="7"/>
  <c r="AA1545" i="7" s="1"/>
  <c r="W1545" i="7"/>
  <c r="U1545" i="7"/>
  <c r="T1545" i="7"/>
  <c r="S1545" i="7"/>
  <c r="R1545" i="7"/>
  <c r="Z1544" i="7"/>
  <c r="Y1544" i="7"/>
  <c r="AA1544" i="7" s="1"/>
  <c r="W1544" i="7"/>
  <c r="U1544" i="7"/>
  <c r="T1544" i="7"/>
  <c r="S1544" i="7"/>
  <c r="R1544" i="7"/>
  <c r="Z1543" i="7"/>
  <c r="Y1543" i="7"/>
  <c r="AA1543" i="7" s="1"/>
  <c r="W1543" i="7"/>
  <c r="U1543" i="7"/>
  <c r="T1543" i="7"/>
  <c r="S1543" i="7"/>
  <c r="R1543" i="7"/>
  <c r="Z1542" i="7"/>
  <c r="Y1542" i="7"/>
  <c r="AA1542" i="7" s="1"/>
  <c r="W1542" i="7"/>
  <c r="U1542" i="7"/>
  <c r="T1542" i="7"/>
  <c r="S1542" i="7"/>
  <c r="R1542" i="7"/>
  <c r="Z1541" i="7"/>
  <c r="Y1541" i="7"/>
  <c r="AA1541" i="7" s="1"/>
  <c r="W1541" i="7"/>
  <c r="U1541" i="7"/>
  <c r="T1541" i="7"/>
  <c r="S1541" i="7"/>
  <c r="R1541" i="7"/>
  <c r="Z1540" i="7"/>
  <c r="Y1540" i="7"/>
  <c r="AA1540" i="7" s="1"/>
  <c r="W1540" i="7"/>
  <c r="U1540" i="7"/>
  <c r="T1540" i="7"/>
  <c r="S1540" i="7"/>
  <c r="R1540" i="7"/>
  <c r="Z1539" i="7"/>
  <c r="Y1539" i="7"/>
  <c r="AA1539" i="7" s="1"/>
  <c r="W1539" i="7"/>
  <c r="U1539" i="7"/>
  <c r="T1539" i="7"/>
  <c r="S1539" i="7"/>
  <c r="R1539" i="7"/>
  <c r="Z1538" i="7"/>
  <c r="Y1538" i="7"/>
  <c r="AA1538" i="7" s="1"/>
  <c r="W1538" i="7"/>
  <c r="U1538" i="7"/>
  <c r="T1538" i="7"/>
  <c r="S1538" i="7"/>
  <c r="R1538" i="7"/>
  <c r="Z1537" i="7"/>
  <c r="Y1537" i="7"/>
  <c r="AA1537" i="7" s="1"/>
  <c r="W1537" i="7"/>
  <c r="U1537" i="7"/>
  <c r="T1537" i="7"/>
  <c r="S1537" i="7"/>
  <c r="R1537" i="7"/>
  <c r="Z1536" i="7"/>
  <c r="Y1536" i="7"/>
  <c r="AA1536" i="7" s="1"/>
  <c r="W1536" i="7"/>
  <c r="U1536" i="7"/>
  <c r="T1536" i="7"/>
  <c r="S1536" i="7"/>
  <c r="R1536" i="7"/>
  <c r="Z1535" i="7"/>
  <c r="Y1535" i="7"/>
  <c r="AA1535" i="7" s="1"/>
  <c r="W1535" i="7"/>
  <c r="U1535" i="7"/>
  <c r="T1535" i="7"/>
  <c r="S1535" i="7"/>
  <c r="R1535" i="7"/>
  <c r="Z1534" i="7"/>
  <c r="Y1534" i="7"/>
  <c r="AA1534" i="7" s="1"/>
  <c r="W1534" i="7"/>
  <c r="U1534" i="7"/>
  <c r="T1534" i="7"/>
  <c r="S1534" i="7"/>
  <c r="R1534" i="7"/>
  <c r="Z1533" i="7"/>
  <c r="Y1533" i="7"/>
  <c r="AA1533" i="7" s="1"/>
  <c r="W1533" i="7"/>
  <c r="U1533" i="7"/>
  <c r="T1533" i="7"/>
  <c r="S1533" i="7"/>
  <c r="R1533" i="7"/>
  <c r="Z1532" i="7"/>
  <c r="Y1532" i="7"/>
  <c r="AA1532" i="7" s="1"/>
  <c r="W1532" i="7"/>
  <c r="U1532" i="7"/>
  <c r="T1532" i="7"/>
  <c r="S1532" i="7"/>
  <c r="R1532" i="7"/>
  <c r="Z1531" i="7"/>
  <c r="Y1531" i="7"/>
  <c r="AA1531" i="7" s="1"/>
  <c r="W1531" i="7"/>
  <c r="U1531" i="7"/>
  <c r="T1531" i="7"/>
  <c r="S1531" i="7"/>
  <c r="R1531" i="7"/>
  <c r="Z1530" i="7"/>
  <c r="Y1530" i="7"/>
  <c r="AA1530" i="7" s="1"/>
  <c r="W1530" i="7"/>
  <c r="U1530" i="7"/>
  <c r="T1530" i="7"/>
  <c r="S1530" i="7"/>
  <c r="R1530" i="7"/>
  <c r="Z1529" i="7"/>
  <c r="Y1529" i="7"/>
  <c r="AA1529" i="7" s="1"/>
  <c r="W1529" i="7"/>
  <c r="U1529" i="7"/>
  <c r="T1529" i="7"/>
  <c r="S1529" i="7"/>
  <c r="R1529" i="7"/>
  <c r="Z1528" i="7"/>
  <c r="Y1528" i="7"/>
  <c r="AA1528" i="7" s="1"/>
  <c r="W1528" i="7"/>
  <c r="U1528" i="7"/>
  <c r="T1528" i="7"/>
  <c r="S1528" i="7"/>
  <c r="R1528" i="7"/>
  <c r="Z1527" i="7"/>
  <c r="Y1527" i="7"/>
  <c r="AA1527" i="7" s="1"/>
  <c r="W1527" i="7"/>
  <c r="U1527" i="7"/>
  <c r="T1527" i="7"/>
  <c r="S1527" i="7"/>
  <c r="R1527" i="7"/>
  <c r="Z1526" i="7"/>
  <c r="Y1526" i="7"/>
  <c r="AA1526" i="7" s="1"/>
  <c r="W1526" i="7"/>
  <c r="U1526" i="7"/>
  <c r="T1526" i="7"/>
  <c r="S1526" i="7"/>
  <c r="R1526" i="7"/>
  <c r="Z1525" i="7"/>
  <c r="Y1525" i="7"/>
  <c r="AA1525" i="7" s="1"/>
  <c r="W1525" i="7"/>
  <c r="U1525" i="7"/>
  <c r="T1525" i="7"/>
  <c r="S1525" i="7"/>
  <c r="R1525" i="7"/>
  <c r="Z1524" i="7"/>
  <c r="Y1524" i="7"/>
  <c r="AA1524" i="7" s="1"/>
  <c r="W1524" i="7"/>
  <c r="U1524" i="7"/>
  <c r="T1524" i="7"/>
  <c r="S1524" i="7"/>
  <c r="R1524" i="7"/>
  <c r="Z1523" i="7"/>
  <c r="Y1523" i="7"/>
  <c r="AA1523" i="7" s="1"/>
  <c r="W1523" i="7"/>
  <c r="U1523" i="7"/>
  <c r="T1523" i="7"/>
  <c r="S1523" i="7"/>
  <c r="R1523" i="7"/>
  <c r="Z1522" i="7"/>
  <c r="Y1522" i="7"/>
  <c r="AA1522" i="7" s="1"/>
  <c r="W1522" i="7"/>
  <c r="U1522" i="7"/>
  <c r="T1522" i="7"/>
  <c r="S1522" i="7"/>
  <c r="R1522" i="7"/>
  <c r="Z1521" i="7"/>
  <c r="Y1521" i="7"/>
  <c r="AA1521" i="7" s="1"/>
  <c r="W1521" i="7"/>
  <c r="U1521" i="7"/>
  <c r="T1521" i="7"/>
  <c r="S1521" i="7"/>
  <c r="R1521" i="7"/>
  <c r="Z1520" i="7"/>
  <c r="Y1520" i="7"/>
  <c r="AA1520" i="7" s="1"/>
  <c r="W1520" i="7"/>
  <c r="U1520" i="7"/>
  <c r="T1520" i="7"/>
  <c r="S1520" i="7"/>
  <c r="R1520" i="7"/>
  <c r="Z1519" i="7"/>
  <c r="Y1519" i="7"/>
  <c r="AA1519" i="7" s="1"/>
  <c r="W1519" i="7"/>
  <c r="U1519" i="7"/>
  <c r="T1519" i="7"/>
  <c r="S1519" i="7"/>
  <c r="R1519" i="7"/>
  <c r="Z1518" i="7"/>
  <c r="Y1518" i="7"/>
  <c r="AA1518" i="7" s="1"/>
  <c r="W1518" i="7"/>
  <c r="U1518" i="7"/>
  <c r="T1518" i="7"/>
  <c r="S1518" i="7"/>
  <c r="R1518" i="7"/>
  <c r="Z1517" i="7"/>
  <c r="Y1517" i="7"/>
  <c r="AA1517" i="7" s="1"/>
  <c r="W1517" i="7"/>
  <c r="U1517" i="7"/>
  <c r="T1517" i="7"/>
  <c r="S1517" i="7"/>
  <c r="R1517" i="7"/>
  <c r="Z1516" i="7"/>
  <c r="Y1516" i="7"/>
  <c r="AA1516" i="7" s="1"/>
  <c r="W1516" i="7"/>
  <c r="U1516" i="7"/>
  <c r="T1516" i="7"/>
  <c r="S1516" i="7"/>
  <c r="R1516" i="7"/>
  <c r="Z1515" i="7"/>
  <c r="Y1515" i="7"/>
  <c r="AA1515" i="7" s="1"/>
  <c r="W1515" i="7"/>
  <c r="U1515" i="7"/>
  <c r="T1515" i="7"/>
  <c r="S1515" i="7"/>
  <c r="R1515" i="7"/>
  <c r="Z1514" i="7"/>
  <c r="Y1514" i="7"/>
  <c r="AA1514" i="7" s="1"/>
  <c r="W1514" i="7"/>
  <c r="U1514" i="7"/>
  <c r="T1514" i="7"/>
  <c r="S1514" i="7"/>
  <c r="R1514" i="7"/>
  <c r="Z1513" i="7"/>
  <c r="Y1513" i="7"/>
  <c r="AA1513" i="7" s="1"/>
  <c r="W1513" i="7"/>
  <c r="U1513" i="7"/>
  <c r="T1513" i="7"/>
  <c r="S1513" i="7"/>
  <c r="R1513" i="7"/>
  <c r="Z1512" i="7"/>
  <c r="Y1512" i="7"/>
  <c r="AA1512" i="7" s="1"/>
  <c r="W1512" i="7"/>
  <c r="U1512" i="7"/>
  <c r="T1512" i="7"/>
  <c r="S1512" i="7"/>
  <c r="R1512" i="7"/>
  <c r="Z1511" i="7"/>
  <c r="Y1511" i="7"/>
  <c r="AA1511" i="7" s="1"/>
  <c r="W1511" i="7"/>
  <c r="U1511" i="7"/>
  <c r="T1511" i="7"/>
  <c r="S1511" i="7"/>
  <c r="R1511" i="7"/>
  <c r="Z1510" i="7"/>
  <c r="Y1510" i="7"/>
  <c r="AA1510" i="7" s="1"/>
  <c r="W1510" i="7"/>
  <c r="U1510" i="7"/>
  <c r="T1510" i="7"/>
  <c r="S1510" i="7"/>
  <c r="R1510" i="7"/>
  <c r="Z1509" i="7"/>
  <c r="Y1509" i="7"/>
  <c r="AA1509" i="7" s="1"/>
  <c r="W1509" i="7"/>
  <c r="U1509" i="7"/>
  <c r="T1509" i="7"/>
  <c r="S1509" i="7"/>
  <c r="R1509" i="7"/>
  <c r="Z1508" i="7"/>
  <c r="Y1508" i="7"/>
  <c r="AA1508" i="7" s="1"/>
  <c r="W1508" i="7"/>
  <c r="U1508" i="7"/>
  <c r="T1508" i="7"/>
  <c r="S1508" i="7"/>
  <c r="R1508" i="7"/>
  <c r="Z1507" i="7"/>
  <c r="Y1507" i="7"/>
  <c r="AA1507" i="7" s="1"/>
  <c r="W1507" i="7"/>
  <c r="U1507" i="7"/>
  <c r="T1507" i="7"/>
  <c r="S1507" i="7"/>
  <c r="R1507" i="7"/>
  <c r="Z1506" i="7"/>
  <c r="Y1506" i="7"/>
  <c r="AA1506" i="7" s="1"/>
  <c r="W1506" i="7"/>
  <c r="U1506" i="7"/>
  <c r="T1506" i="7"/>
  <c r="S1506" i="7"/>
  <c r="R1506" i="7"/>
  <c r="Z1505" i="7"/>
  <c r="Y1505" i="7"/>
  <c r="AA1505" i="7" s="1"/>
  <c r="W1505" i="7"/>
  <c r="U1505" i="7"/>
  <c r="T1505" i="7"/>
  <c r="S1505" i="7"/>
  <c r="R1505" i="7"/>
  <c r="Z1504" i="7"/>
  <c r="Y1504" i="7"/>
  <c r="AA1504" i="7" s="1"/>
  <c r="W1504" i="7"/>
  <c r="U1504" i="7"/>
  <c r="T1504" i="7"/>
  <c r="S1504" i="7"/>
  <c r="R1504" i="7"/>
  <c r="Z1503" i="7"/>
  <c r="Y1503" i="7"/>
  <c r="AA1503" i="7" s="1"/>
  <c r="W1503" i="7"/>
  <c r="U1503" i="7"/>
  <c r="T1503" i="7"/>
  <c r="S1503" i="7"/>
  <c r="R1503" i="7"/>
  <c r="Z1502" i="7"/>
  <c r="Y1502" i="7"/>
  <c r="AA1502" i="7" s="1"/>
  <c r="W1502" i="7"/>
  <c r="U1502" i="7"/>
  <c r="T1502" i="7"/>
  <c r="S1502" i="7"/>
  <c r="R1502" i="7"/>
  <c r="Z1501" i="7"/>
  <c r="Y1501" i="7"/>
  <c r="AA1501" i="7" s="1"/>
  <c r="W1501" i="7"/>
  <c r="U1501" i="7"/>
  <c r="T1501" i="7"/>
  <c r="S1501" i="7"/>
  <c r="R1501" i="7"/>
  <c r="Z1500" i="7"/>
  <c r="Y1500" i="7"/>
  <c r="AA1500" i="7" s="1"/>
  <c r="W1500" i="7"/>
  <c r="U1500" i="7"/>
  <c r="T1500" i="7"/>
  <c r="S1500" i="7"/>
  <c r="R1500" i="7"/>
  <c r="Z1499" i="7"/>
  <c r="Y1499" i="7"/>
  <c r="AA1499" i="7" s="1"/>
  <c r="W1499" i="7"/>
  <c r="U1499" i="7"/>
  <c r="T1499" i="7"/>
  <c r="S1499" i="7"/>
  <c r="R1499" i="7"/>
  <c r="Z1498" i="7"/>
  <c r="Y1498" i="7"/>
  <c r="AA1498" i="7" s="1"/>
  <c r="W1498" i="7"/>
  <c r="U1498" i="7"/>
  <c r="T1498" i="7"/>
  <c r="S1498" i="7"/>
  <c r="R1498" i="7"/>
  <c r="Z1497" i="7"/>
  <c r="Y1497" i="7"/>
  <c r="AA1497" i="7" s="1"/>
  <c r="W1497" i="7"/>
  <c r="U1497" i="7"/>
  <c r="T1497" i="7"/>
  <c r="S1497" i="7"/>
  <c r="R1497" i="7"/>
  <c r="Z1496" i="7"/>
  <c r="Y1496" i="7"/>
  <c r="AA1496" i="7" s="1"/>
  <c r="W1496" i="7"/>
  <c r="U1496" i="7"/>
  <c r="T1496" i="7"/>
  <c r="S1496" i="7"/>
  <c r="R1496" i="7"/>
  <c r="Z1495" i="7"/>
  <c r="Y1495" i="7"/>
  <c r="AA1495" i="7" s="1"/>
  <c r="W1495" i="7"/>
  <c r="U1495" i="7"/>
  <c r="T1495" i="7"/>
  <c r="S1495" i="7"/>
  <c r="R1495" i="7"/>
  <c r="Z1494" i="7"/>
  <c r="Y1494" i="7"/>
  <c r="AA1494" i="7" s="1"/>
  <c r="W1494" i="7"/>
  <c r="U1494" i="7"/>
  <c r="T1494" i="7"/>
  <c r="S1494" i="7"/>
  <c r="R1494" i="7"/>
  <c r="Z1493" i="7"/>
  <c r="Y1493" i="7"/>
  <c r="AA1493" i="7" s="1"/>
  <c r="W1493" i="7"/>
  <c r="U1493" i="7"/>
  <c r="T1493" i="7"/>
  <c r="S1493" i="7"/>
  <c r="R1493" i="7"/>
  <c r="Z1492" i="7"/>
  <c r="Y1492" i="7"/>
  <c r="AA1492" i="7" s="1"/>
  <c r="W1492" i="7"/>
  <c r="U1492" i="7"/>
  <c r="T1492" i="7"/>
  <c r="S1492" i="7"/>
  <c r="R1492" i="7"/>
  <c r="Z1491" i="7"/>
  <c r="Y1491" i="7"/>
  <c r="AA1491" i="7" s="1"/>
  <c r="W1491" i="7"/>
  <c r="U1491" i="7"/>
  <c r="T1491" i="7"/>
  <c r="S1491" i="7"/>
  <c r="R1491" i="7"/>
  <c r="Z1490" i="7"/>
  <c r="Y1490" i="7"/>
  <c r="AA1490" i="7" s="1"/>
  <c r="W1490" i="7"/>
  <c r="U1490" i="7"/>
  <c r="T1490" i="7"/>
  <c r="S1490" i="7"/>
  <c r="R1490" i="7"/>
  <c r="Z1489" i="7"/>
  <c r="Y1489" i="7"/>
  <c r="AA1489" i="7" s="1"/>
  <c r="W1489" i="7"/>
  <c r="U1489" i="7"/>
  <c r="T1489" i="7"/>
  <c r="S1489" i="7"/>
  <c r="R1489" i="7"/>
  <c r="Z1488" i="7"/>
  <c r="Y1488" i="7"/>
  <c r="AA1488" i="7" s="1"/>
  <c r="W1488" i="7"/>
  <c r="U1488" i="7"/>
  <c r="T1488" i="7"/>
  <c r="S1488" i="7"/>
  <c r="R1488" i="7"/>
  <c r="Z1487" i="7"/>
  <c r="Y1487" i="7"/>
  <c r="AA1487" i="7" s="1"/>
  <c r="W1487" i="7"/>
  <c r="U1487" i="7"/>
  <c r="T1487" i="7"/>
  <c r="S1487" i="7"/>
  <c r="R1487" i="7"/>
  <c r="Z1486" i="7"/>
  <c r="Y1486" i="7"/>
  <c r="AA1486" i="7" s="1"/>
  <c r="W1486" i="7"/>
  <c r="U1486" i="7"/>
  <c r="T1486" i="7"/>
  <c r="S1486" i="7"/>
  <c r="R1486" i="7"/>
  <c r="Z1485" i="7"/>
  <c r="Y1485" i="7"/>
  <c r="AA1485" i="7" s="1"/>
  <c r="W1485" i="7"/>
  <c r="U1485" i="7"/>
  <c r="T1485" i="7"/>
  <c r="S1485" i="7"/>
  <c r="R1485" i="7"/>
  <c r="Z1484" i="7"/>
  <c r="Y1484" i="7"/>
  <c r="AA1484" i="7" s="1"/>
  <c r="W1484" i="7"/>
  <c r="U1484" i="7"/>
  <c r="T1484" i="7"/>
  <c r="S1484" i="7"/>
  <c r="R1484" i="7"/>
  <c r="Z1483" i="7"/>
  <c r="Y1483" i="7"/>
  <c r="AA1483" i="7" s="1"/>
  <c r="W1483" i="7"/>
  <c r="U1483" i="7"/>
  <c r="T1483" i="7"/>
  <c r="S1483" i="7"/>
  <c r="R1483" i="7"/>
  <c r="Z1482" i="7"/>
  <c r="Y1482" i="7"/>
  <c r="AA1482" i="7" s="1"/>
  <c r="W1482" i="7"/>
  <c r="U1482" i="7"/>
  <c r="T1482" i="7"/>
  <c r="S1482" i="7"/>
  <c r="R1482" i="7"/>
  <c r="Z1481" i="7"/>
  <c r="Y1481" i="7"/>
  <c r="AA1481" i="7" s="1"/>
  <c r="W1481" i="7"/>
  <c r="U1481" i="7"/>
  <c r="T1481" i="7"/>
  <c r="S1481" i="7"/>
  <c r="R1481" i="7"/>
  <c r="Z1480" i="7"/>
  <c r="Y1480" i="7"/>
  <c r="AA1480" i="7" s="1"/>
  <c r="W1480" i="7"/>
  <c r="U1480" i="7"/>
  <c r="T1480" i="7"/>
  <c r="S1480" i="7"/>
  <c r="R1480" i="7"/>
  <c r="Z1479" i="7"/>
  <c r="Y1479" i="7"/>
  <c r="AA1479" i="7" s="1"/>
  <c r="W1479" i="7"/>
  <c r="U1479" i="7"/>
  <c r="T1479" i="7"/>
  <c r="S1479" i="7"/>
  <c r="R1479" i="7"/>
  <c r="Z1478" i="7"/>
  <c r="Y1478" i="7"/>
  <c r="AA1478" i="7" s="1"/>
  <c r="W1478" i="7"/>
  <c r="U1478" i="7"/>
  <c r="T1478" i="7"/>
  <c r="S1478" i="7"/>
  <c r="R1478" i="7"/>
  <c r="Z1477" i="7"/>
  <c r="Y1477" i="7"/>
  <c r="AA1477" i="7" s="1"/>
  <c r="W1477" i="7"/>
  <c r="U1477" i="7"/>
  <c r="T1477" i="7"/>
  <c r="S1477" i="7"/>
  <c r="R1477" i="7"/>
  <c r="Z1476" i="7"/>
  <c r="Y1476" i="7"/>
  <c r="AA1476" i="7" s="1"/>
  <c r="W1476" i="7"/>
  <c r="U1476" i="7"/>
  <c r="T1476" i="7"/>
  <c r="S1476" i="7"/>
  <c r="R1476" i="7"/>
  <c r="Z1475" i="7"/>
  <c r="Y1475" i="7"/>
  <c r="AA1475" i="7" s="1"/>
  <c r="W1475" i="7"/>
  <c r="U1475" i="7"/>
  <c r="T1475" i="7"/>
  <c r="S1475" i="7"/>
  <c r="R1475" i="7"/>
  <c r="Z1474" i="7"/>
  <c r="Y1474" i="7"/>
  <c r="AA1474" i="7" s="1"/>
  <c r="W1474" i="7"/>
  <c r="U1474" i="7"/>
  <c r="T1474" i="7"/>
  <c r="S1474" i="7"/>
  <c r="R1474" i="7"/>
  <c r="Z1473" i="7"/>
  <c r="Y1473" i="7"/>
  <c r="AA1473" i="7" s="1"/>
  <c r="W1473" i="7"/>
  <c r="U1473" i="7"/>
  <c r="T1473" i="7"/>
  <c r="S1473" i="7"/>
  <c r="R1473" i="7"/>
  <c r="Z1472" i="7"/>
  <c r="Y1472" i="7"/>
  <c r="AA1472" i="7" s="1"/>
  <c r="W1472" i="7"/>
  <c r="U1472" i="7"/>
  <c r="T1472" i="7"/>
  <c r="S1472" i="7"/>
  <c r="R1472" i="7"/>
  <c r="Z1471" i="7"/>
  <c r="Y1471" i="7"/>
  <c r="AA1471" i="7" s="1"/>
  <c r="W1471" i="7"/>
  <c r="U1471" i="7"/>
  <c r="T1471" i="7"/>
  <c r="S1471" i="7"/>
  <c r="R1471" i="7"/>
  <c r="Z1470" i="7"/>
  <c r="Y1470" i="7"/>
  <c r="AA1470" i="7" s="1"/>
  <c r="W1470" i="7"/>
  <c r="U1470" i="7"/>
  <c r="T1470" i="7"/>
  <c r="S1470" i="7"/>
  <c r="R1470" i="7"/>
  <c r="Z1469" i="7"/>
  <c r="Y1469" i="7"/>
  <c r="AA1469" i="7" s="1"/>
  <c r="W1469" i="7"/>
  <c r="U1469" i="7"/>
  <c r="T1469" i="7"/>
  <c r="S1469" i="7"/>
  <c r="R1469" i="7"/>
  <c r="Z1468" i="7"/>
  <c r="Y1468" i="7"/>
  <c r="AA1468" i="7" s="1"/>
  <c r="W1468" i="7"/>
  <c r="U1468" i="7"/>
  <c r="T1468" i="7"/>
  <c r="S1468" i="7"/>
  <c r="R1468" i="7"/>
  <c r="Z1467" i="7"/>
  <c r="Y1467" i="7"/>
  <c r="AA1467" i="7" s="1"/>
  <c r="W1467" i="7"/>
  <c r="U1467" i="7"/>
  <c r="T1467" i="7"/>
  <c r="S1467" i="7"/>
  <c r="R1467" i="7"/>
  <c r="Z1466" i="7"/>
  <c r="Y1466" i="7"/>
  <c r="AA1466" i="7" s="1"/>
  <c r="W1466" i="7"/>
  <c r="U1466" i="7"/>
  <c r="T1466" i="7"/>
  <c r="S1466" i="7"/>
  <c r="R1466" i="7"/>
  <c r="Z1465" i="7"/>
  <c r="Y1465" i="7"/>
  <c r="AA1465" i="7" s="1"/>
  <c r="W1465" i="7"/>
  <c r="U1465" i="7"/>
  <c r="T1465" i="7"/>
  <c r="S1465" i="7"/>
  <c r="R1465" i="7"/>
  <c r="Z1464" i="7"/>
  <c r="Y1464" i="7"/>
  <c r="AA1464" i="7" s="1"/>
  <c r="W1464" i="7"/>
  <c r="U1464" i="7"/>
  <c r="T1464" i="7"/>
  <c r="S1464" i="7"/>
  <c r="R1464" i="7"/>
  <c r="Z1463" i="7"/>
  <c r="Y1463" i="7"/>
  <c r="AA1463" i="7" s="1"/>
  <c r="W1463" i="7"/>
  <c r="U1463" i="7"/>
  <c r="T1463" i="7"/>
  <c r="S1463" i="7"/>
  <c r="R1463" i="7"/>
  <c r="Z1462" i="7"/>
  <c r="Y1462" i="7"/>
  <c r="AA1462" i="7" s="1"/>
  <c r="W1462" i="7"/>
  <c r="U1462" i="7"/>
  <c r="T1462" i="7"/>
  <c r="S1462" i="7"/>
  <c r="R1462" i="7"/>
  <c r="Z1461" i="7"/>
  <c r="Y1461" i="7"/>
  <c r="AA1461" i="7" s="1"/>
  <c r="W1461" i="7"/>
  <c r="U1461" i="7"/>
  <c r="T1461" i="7"/>
  <c r="S1461" i="7"/>
  <c r="R1461" i="7"/>
  <c r="Z1460" i="7"/>
  <c r="Y1460" i="7"/>
  <c r="AA1460" i="7" s="1"/>
  <c r="W1460" i="7"/>
  <c r="U1460" i="7"/>
  <c r="T1460" i="7"/>
  <c r="S1460" i="7"/>
  <c r="R1460" i="7"/>
  <c r="Z1459" i="7"/>
  <c r="Y1459" i="7"/>
  <c r="AA1459" i="7" s="1"/>
  <c r="W1459" i="7"/>
  <c r="U1459" i="7"/>
  <c r="T1459" i="7"/>
  <c r="S1459" i="7"/>
  <c r="R1459" i="7"/>
  <c r="Z1458" i="7"/>
  <c r="Y1458" i="7"/>
  <c r="AA1458" i="7" s="1"/>
  <c r="W1458" i="7"/>
  <c r="U1458" i="7"/>
  <c r="T1458" i="7"/>
  <c r="S1458" i="7"/>
  <c r="R1458" i="7"/>
  <c r="Z1457" i="7"/>
  <c r="Y1457" i="7"/>
  <c r="AA1457" i="7" s="1"/>
  <c r="W1457" i="7"/>
  <c r="U1457" i="7"/>
  <c r="T1457" i="7"/>
  <c r="S1457" i="7"/>
  <c r="R1457" i="7"/>
  <c r="Z1456" i="7"/>
  <c r="Y1456" i="7"/>
  <c r="AA1456" i="7" s="1"/>
  <c r="W1456" i="7"/>
  <c r="U1456" i="7"/>
  <c r="T1456" i="7"/>
  <c r="S1456" i="7"/>
  <c r="R1456" i="7"/>
  <c r="Z1455" i="7"/>
  <c r="Y1455" i="7"/>
  <c r="AA1455" i="7" s="1"/>
  <c r="W1455" i="7"/>
  <c r="U1455" i="7"/>
  <c r="T1455" i="7"/>
  <c r="S1455" i="7"/>
  <c r="R1455" i="7"/>
  <c r="Z1454" i="7"/>
  <c r="Y1454" i="7"/>
  <c r="AA1454" i="7" s="1"/>
  <c r="W1454" i="7"/>
  <c r="U1454" i="7"/>
  <c r="T1454" i="7"/>
  <c r="S1454" i="7"/>
  <c r="R1454" i="7"/>
  <c r="Z1453" i="7"/>
  <c r="Y1453" i="7"/>
  <c r="AA1453" i="7" s="1"/>
  <c r="W1453" i="7"/>
  <c r="U1453" i="7"/>
  <c r="T1453" i="7"/>
  <c r="S1453" i="7"/>
  <c r="R1453" i="7"/>
  <c r="Z1452" i="7"/>
  <c r="Y1452" i="7"/>
  <c r="AA1452" i="7" s="1"/>
  <c r="W1452" i="7"/>
  <c r="U1452" i="7"/>
  <c r="T1452" i="7"/>
  <c r="S1452" i="7"/>
  <c r="R1452" i="7"/>
  <c r="Z1451" i="7"/>
  <c r="Y1451" i="7"/>
  <c r="AA1451" i="7" s="1"/>
  <c r="W1451" i="7"/>
  <c r="U1451" i="7"/>
  <c r="T1451" i="7"/>
  <c r="S1451" i="7"/>
  <c r="R1451" i="7"/>
  <c r="Z1450" i="7"/>
  <c r="Y1450" i="7"/>
  <c r="AA1450" i="7" s="1"/>
  <c r="W1450" i="7"/>
  <c r="U1450" i="7"/>
  <c r="T1450" i="7"/>
  <c r="S1450" i="7"/>
  <c r="R1450" i="7"/>
  <c r="Z1449" i="7"/>
  <c r="Y1449" i="7"/>
  <c r="AA1449" i="7" s="1"/>
  <c r="W1449" i="7"/>
  <c r="U1449" i="7"/>
  <c r="T1449" i="7"/>
  <c r="S1449" i="7"/>
  <c r="R1449" i="7"/>
  <c r="Z1448" i="7"/>
  <c r="Y1448" i="7"/>
  <c r="AA1448" i="7" s="1"/>
  <c r="W1448" i="7"/>
  <c r="U1448" i="7"/>
  <c r="T1448" i="7"/>
  <c r="S1448" i="7"/>
  <c r="R1448" i="7"/>
  <c r="Z1447" i="7"/>
  <c r="Y1447" i="7"/>
  <c r="AA1447" i="7" s="1"/>
  <c r="W1447" i="7"/>
  <c r="U1447" i="7"/>
  <c r="T1447" i="7"/>
  <c r="S1447" i="7"/>
  <c r="R1447" i="7"/>
  <c r="Z1446" i="7"/>
  <c r="Y1446" i="7"/>
  <c r="AA1446" i="7" s="1"/>
  <c r="W1446" i="7"/>
  <c r="U1446" i="7"/>
  <c r="T1446" i="7"/>
  <c r="S1446" i="7"/>
  <c r="R1446" i="7"/>
  <c r="Z1445" i="7"/>
  <c r="Y1445" i="7"/>
  <c r="AA1445" i="7" s="1"/>
  <c r="W1445" i="7"/>
  <c r="U1445" i="7"/>
  <c r="T1445" i="7"/>
  <c r="S1445" i="7"/>
  <c r="R1445" i="7"/>
  <c r="Z1444" i="7"/>
  <c r="Y1444" i="7"/>
  <c r="AA1444" i="7" s="1"/>
  <c r="W1444" i="7"/>
  <c r="U1444" i="7"/>
  <c r="T1444" i="7"/>
  <c r="S1444" i="7"/>
  <c r="R1444" i="7"/>
  <c r="Z1443" i="7"/>
  <c r="Y1443" i="7"/>
  <c r="AA1443" i="7" s="1"/>
  <c r="W1443" i="7"/>
  <c r="U1443" i="7"/>
  <c r="T1443" i="7"/>
  <c r="S1443" i="7"/>
  <c r="R1443" i="7"/>
  <c r="Z1442" i="7"/>
  <c r="Y1442" i="7"/>
  <c r="AA1442" i="7" s="1"/>
  <c r="W1442" i="7"/>
  <c r="U1442" i="7"/>
  <c r="T1442" i="7"/>
  <c r="S1442" i="7"/>
  <c r="R1442" i="7"/>
  <c r="Z1441" i="7"/>
  <c r="Y1441" i="7"/>
  <c r="AA1441" i="7" s="1"/>
  <c r="W1441" i="7"/>
  <c r="U1441" i="7"/>
  <c r="T1441" i="7"/>
  <c r="S1441" i="7"/>
  <c r="R1441" i="7"/>
  <c r="Z1440" i="7"/>
  <c r="Y1440" i="7"/>
  <c r="AA1440" i="7" s="1"/>
  <c r="W1440" i="7"/>
  <c r="U1440" i="7"/>
  <c r="T1440" i="7"/>
  <c r="S1440" i="7"/>
  <c r="R1440" i="7"/>
  <c r="Z1439" i="7"/>
  <c r="Y1439" i="7"/>
  <c r="AA1439" i="7" s="1"/>
  <c r="W1439" i="7"/>
  <c r="U1439" i="7"/>
  <c r="T1439" i="7"/>
  <c r="S1439" i="7"/>
  <c r="R1439" i="7"/>
  <c r="Z1438" i="7"/>
  <c r="Y1438" i="7"/>
  <c r="AA1438" i="7" s="1"/>
  <c r="W1438" i="7"/>
  <c r="U1438" i="7"/>
  <c r="T1438" i="7"/>
  <c r="S1438" i="7"/>
  <c r="R1438" i="7"/>
  <c r="Z1437" i="7"/>
  <c r="Y1437" i="7"/>
  <c r="AA1437" i="7" s="1"/>
  <c r="W1437" i="7"/>
  <c r="U1437" i="7"/>
  <c r="T1437" i="7"/>
  <c r="S1437" i="7"/>
  <c r="R1437" i="7"/>
  <c r="Z1436" i="7"/>
  <c r="Y1436" i="7"/>
  <c r="AA1436" i="7" s="1"/>
  <c r="W1436" i="7"/>
  <c r="U1436" i="7"/>
  <c r="T1436" i="7"/>
  <c r="S1436" i="7"/>
  <c r="R1436" i="7"/>
  <c r="Z1435" i="7"/>
  <c r="Y1435" i="7"/>
  <c r="AA1435" i="7" s="1"/>
  <c r="W1435" i="7"/>
  <c r="U1435" i="7"/>
  <c r="T1435" i="7"/>
  <c r="S1435" i="7"/>
  <c r="R1435" i="7"/>
  <c r="Z1434" i="7"/>
  <c r="Y1434" i="7"/>
  <c r="AA1434" i="7" s="1"/>
  <c r="W1434" i="7"/>
  <c r="U1434" i="7"/>
  <c r="T1434" i="7"/>
  <c r="S1434" i="7"/>
  <c r="R1434" i="7"/>
  <c r="Z1433" i="7"/>
  <c r="Y1433" i="7"/>
  <c r="AA1433" i="7" s="1"/>
  <c r="W1433" i="7"/>
  <c r="U1433" i="7"/>
  <c r="T1433" i="7"/>
  <c r="S1433" i="7"/>
  <c r="R1433" i="7"/>
  <c r="Z1432" i="7"/>
  <c r="Y1432" i="7"/>
  <c r="AA1432" i="7" s="1"/>
  <c r="W1432" i="7"/>
  <c r="U1432" i="7"/>
  <c r="T1432" i="7"/>
  <c r="S1432" i="7"/>
  <c r="R1432" i="7"/>
  <c r="Z1431" i="7"/>
  <c r="Y1431" i="7"/>
  <c r="AA1431" i="7" s="1"/>
  <c r="W1431" i="7"/>
  <c r="U1431" i="7"/>
  <c r="T1431" i="7"/>
  <c r="S1431" i="7"/>
  <c r="R1431" i="7"/>
  <c r="Z1430" i="7"/>
  <c r="Y1430" i="7"/>
  <c r="AA1430" i="7" s="1"/>
  <c r="W1430" i="7"/>
  <c r="U1430" i="7"/>
  <c r="T1430" i="7"/>
  <c r="S1430" i="7"/>
  <c r="R1430" i="7"/>
  <c r="Z1429" i="7"/>
  <c r="Y1429" i="7"/>
  <c r="AA1429" i="7" s="1"/>
  <c r="W1429" i="7"/>
  <c r="U1429" i="7"/>
  <c r="T1429" i="7"/>
  <c r="S1429" i="7"/>
  <c r="R1429" i="7"/>
  <c r="Z1428" i="7"/>
  <c r="Y1428" i="7"/>
  <c r="AA1428" i="7" s="1"/>
  <c r="W1428" i="7"/>
  <c r="U1428" i="7"/>
  <c r="T1428" i="7"/>
  <c r="S1428" i="7"/>
  <c r="R1428" i="7"/>
  <c r="Z1427" i="7"/>
  <c r="Y1427" i="7"/>
  <c r="AA1427" i="7" s="1"/>
  <c r="W1427" i="7"/>
  <c r="U1427" i="7"/>
  <c r="T1427" i="7"/>
  <c r="S1427" i="7"/>
  <c r="R1427" i="7"/>
  <c r="Z1426" i="7"/>
  <c r="Y1426" i="7"/>
  <c r="AA1426" i="7" s="1"/>
  <c r="W1426" i="7"/>
  <c r="U1426" i="7"/>
  <c r="T1426" i="7"/>
  <c r="S1426" i="7"/>
  <c r="R1426" i="7"/>
  <c r="Z1425" i="7"/>
  <c r="Y1425" i="7"/>
  <c r="AA1425" i="7" s="1"/>
  <c r="W1425" i="7"/>
  <c r="U1425" i="7"/>
  <c r="T1425" i="7"/>
  <c r="S1425" i="7"/>
  <c r="R1425" i="7"/>
  <c r="Z1424" i="7"/>
  <c r="Y1424" i="7"/>
  <c r="AA1424" i="7" s="1"/>
  <c r="W1424" i="7"/>
  <c r="U1424" i="7"/>
  <c r="T1424" i="7"/>
  <c r="S1424" i="7"/>
  <c r="R1424" i="7"/>
  <c r="Z1423" i="7"/>
  <c r="Y1423" i="7"/>
  <c r="AA1423" i="7" s="1"/>
  <c r="W1423" i="7"/>
  <c r="U1423" i="7"/>
  <c r="T1423" i="7"/>
  <c r="S1423" i="7"/>
  <c r="R1423" i="7"/>
  <c r="Z1422" i="7"/>
  <c r="Y1422" i="7"/>
  <c r="AA1422" i="7" s="1"/>
  <c r="W1422" i="7"/>
  <c r="U1422" i="7"/>
  <c r="T1422" i="7"/>
  <c r="S1422" i="7"/>
  <c r="R1422" i="7"/>
  <c r="Z1421" i="7"/>
  <c r="Y1421" i="7"/>
  <c r="AA1421" i="7" s="1"/>
  <c r="W1421" i="7"/>
  <c r="U1421" i="7"/>
  <c r="T1421" i="7"/>
  <c r="S1421" i="7"/>
  <c r="R1421" i="7"/>
  <c r="Z1420" i="7"/>
  <c r="Y1420" i="7"/>
  <c r="AA1420" i="7" s="1"/>
  <c r="W1420" i="7"/>
  <c r="U1420" i="7"/>
  <c r="T1420" i="7"/>
  <c r="S1420" i="7"/>
  <c r="R1420" i="7"/>
  <c r="Z1419" i="7"/>
  <c r="Y1419" i="7"/>
  <c r="AA1419" i="7" s="1"/>
  <c r="W1419" i="7"/>
  <c r="U1419" i="7"/>
  <c r="T1419" i="7"/>
  <c r="S1419" i="7"/>
  <c r="R1419" i="7"/>
  <c r="Z1418" i="7"/>
  <c r="Y1418" i="7"/>
  <c r="AA1418" i="7" s="1"/>
  <c r="W1418" i="7"/>
  <c r="U1418" i="7"/>
  <c r="T1418" i="7"/>
  <c r="S1418" i="7"/>
  <c r="R1418" i="7"/>
  <c r="Z1417" i="7"/>
  <c r="Y1417" i="7"/>
  <c r="AA1417" i="7" s="1"/>
  <c r="W1417" i="7"/>
  <c r="U1417" i="7"/>
  <c r="T1417" i="7"/>
  <c r="S1417" i="7"/>
  <c r="R1417" i="7"/>
  <c r="Z1416" i="7"/>
  <c r="Y1416" i="7"/>
  <c r="AA1416" i="7" s="1"/>
  <c r="W1416" i="7"/>
  <c r="U1416" i="7"/>
  <c r="T1416" i="7"/>
  <c r="S1416" i="7"/>
  <c r="R1416" i="7"/>
  <c r="Z1415" i="7"/>
  <c r="Y1415" i="7"/>
  <c r="AA1415" i="7" s="1"/>
  <c r="W1415" i="7"/>
  <c r="U1415" i="7"/>
  <c r="T1415" i="7"/>
  <c r="S1415" i="7"/>
  <c r="R1415" i="7"/>
  <c r="Z1414" i="7"/>
  <c r="Y1414" i="7"/>
  <c r="AA1414" i="7" s="1"/>
  <c r="W1414" i="7"/>
  <c r="U1414" i="7"/>
  <c r="T1414" i="7"/>
  <c r="S1414" i="7"/>
  <c r="R1414" i="7"/>
  <c r="Z1413" i="7"/>
  <c r="Y1413" i="7"/>
  <c r="AA1413" i="7" s="1"/>
  <c r="W1413" i="7"/>
  <c r="U1413" i="7"/>
  <c r="T1413" i="7"/>
  <c r="S1413" i="7"/>
  <c r="R1413" i="7"/>
  <c r="Z1412" i="7"/>
  <c r="Y1412" i="7"/>
  <c r="AA1412" i="7" s="1"/>
  <c r="W1412" i="7"/>
  <c r="U1412" i="7"/>
  <c r="T1412" i="7"/>
  <c r="S1412" i="7"/>
  <c r="R1412" i="7"/>
  <c r="Z1411" i="7"/>
  <c r="Y1411" i="7"/>
  <c r="AA1411" i="7" s="1"/>
  <c r="W1411" i="7"/>
  <c r="U1411" i="7"/>
  <c r="T1411" i="7"/>
  <c r="S1411" i="7"/>
  <c r="R1411" i="7"/>
  <c r="Z1410" i="7"/>
  <c r="Y1410" i="7"/>
  <c r="AA1410" i="7" s="1"/>
  <c r="W1410" i="7"/>
  <c r="U1410" i="7"/>
  <c r="T1410" i="7"/>
  <c r="S1410" i="7"/>
  <c r="R1410" i="7"/>
  <c r="Z1409" i="7"/>
  <c r="Y1409" i="7"/>
  <c r="AA1409" i="7" s="1"/>
  <c r="W1409" i="7"/>
  <c r="U1409" i="7"/>
  <c r="T1409" i="7"/>
  <c r="S1409" i="7"/>
  <c r="R1409" i="7"/>
  <c r="Z1408" i="7"/>
  <c r="Y1408" i="7"/>
  <c r="AA1408" i="7" s="1"/>
  <c r="W1408" i="7"/>
  <c r="U1408" i="7"/>
  <c r="T1408" i="7"/>
  <c r="S1408" i="7"/>
  <c r="R1408" i="7"/>
  <c r="Z1407" i="7"/>
  <c r="Y1407" i="7"/>
  <c r="AA1407" i="7" s="1"/>
  <c r="W1407" i="7"/>
  <c r="U1407" i="7"/>
  <c r="T1407" i="7"/>
  <c r="S1407" i="7"/>
  <c r="R1407" i="7"/>
  <c r="Z1406" i="7"/>
  <c r="Y1406" i="7"/>
  <c r="AA1406" i="7" s="1"/>
  <c r="W1406" i="7"/>
  <c r="U1406" i="7"/>
  <c r="T1406" i="7"/>
  <c r="S1406" i="7"/>
  <c r="R1406" i="7"/>
  <c r="Z1405" i="7"/>
  <c r="Y1405" i="7"/>
  <c r="AA1405" i="7" s="1"/>
  <c r="W1405" i="7"/>
  <c r="U1405" i="7"/>
  <c r="T1405" i="7"/>
  <c r="S1405" i="7"/>
  <c r="R1405" i="7"/>
  <c r="Z1404" i="7"/>
  <c r="Y1404" i="7"/>
  <c r="AA1404" i="7" s="1"/>
  <c r="W1404" i="7"/>
  <c r="U1404" i="7"/>
  <c r="T1404" i="7"/>
  <c r="S1404" i="7"/>
  <c r="R1404" i="7"/>
  <c r="Z1403" i="7"/>
  <c r="Y1403" i="7"/>
  <c r="AA1403" i="7" s="1"/>
  <c r="W1403" i="7"/>
  <c r="U1403" i="7"/>
  <c r="T1403" i="7"/>
  <c r="S1403" i="7"/>
  <c r="R1403" i="7"/>
  <c r="Z1402" i="7"/>
  <c r="Y1402" i="7"/>
  <c r="AA1402" i="7" s="1"/>
  <c r="W1402" i="7"/>
  <c r="U1402" i="7"/>
  <c r="T1402" i="7"/>
  <c r="S1402" i="7"/>
  <c r="R1402" i="7"/>
  <c r="Z1401" i="7"/>
  <c r="Y1401" i="7"/>
  <c r="AA1401" i="7" s="1"/>
  <c r="W1401" i="7"/>
  <c r="U1401" i="7"/>
  <c r="T1401" i="7"/>
  <c r="S1401" i="7"/>
  <c r="R1401" i="7"/>
  <c r="Z1400" i="7"/>
  <c r="Y1400" i="7"/>
  <c r="AA1400" i="7" s="1"/>
  <c r="W1400" i="7"/>
  <c r="U1400" i="7"/>
  <c r="T1400" i="7"/>
  <c r="S1400" i="7"/>
  <c r="R1400" i="7"/>
  <c r="Z1399" i="7"/>
  <c r="Y1399" i="7"/>
  <c r="AA1399" i="7" s="1"/>
  <c r="W1399" i="7"/>
  <c r="U1399" i="7"/>
  <c r="T1399" i="7"/>
  <c r="S1399" i="7"/>
  <c r="R1399" i="7"/>
  <c r="Z1398" i="7"/>
  <c r="Y1398" i="7"/>
  <c r="AA1398" i="7" s="1"/>
  <c r="W1398" i="7"/>
  <c r="U1398" i="7"/>
  <c r="T1398" i="7"/>
  <c r="S1398" i="7"/>
  <c r="R1398" i="7"/>
  <c r="Z1397" i="7"/>
  <c r="Y1397" i="7"/>
  <c r="AA1397" i="7" s="1"/>
  <c r="W1397" i="7"/>
  <c r="U1397" i="7"/>
  <c r="T1397" i="7"/>
  <c r="S1397" i="7"/>
  <c r="R1397" i="7"/>
  <c r="Z1396" i="7"/>
  <c r="Y1396" i="7"/>
  <c r="AA1396" i="7" s="1"/>
  <c r="W1396" i="7"/>
  <c r="U1396" i="7"/>
  <c r="T1396" i="7"/>
  <c r="S1396" i="7"/>
  <c r="R1396" i="7"/>
  <c r="Z1395" i="7"/>
  <c r="Y1395" i="7"/>
  <c r="AA1395" i="7" s="1"/>
  <c r="W1395" i="7"/>
  <c r="U1395" i="7"/>
  <c r="T1395" i="7"/>
  <c r="S1395" i="7"/>
  <c r="R1395" i="7"/>
  <c r="Z1394" i="7"/>
  <c r="Y1394" i="7"/>
  <c r="AA1394" i="7" s="1"/>
  <c r="W1394" i="7"/>
  <c r="U1394" i="7"/>
  <c r="T1394" i="7"/>
  <c r="S1394" i="7"/>
  <c r="R1394" i="7"/>
  <c r="Z1393" i="7"/>
  <c r="Y1393" i="7"/>
  <c r="AA1393" i="7" s="1"/>
  <c r="W1393" i="7"/>
  <c r="U1393" i="7"/>
  <c r="T1393" i="7"/>
  <c r="S1393" i="7"/>
  <c r="R1393" i="7"/>
  <c r="Z1392" i="7"/>
  <c r="Y1392" i="7"/>
  <c r="AA1392" i="7" s="1"/>
  <c r="W1392" i="7"/>
  <c r="U1392" i="7"/>
  <c r="T1392" i="7"/>
  <c r="S1392" i="7"/>
  <c r="R1392" i="7"/>
  <c r="Z1391" i="7"/>
  <c r="Y1391" i="7"/>
  <c r="AA1391" i="7" s="1"/>
  <c r="W1391" i="7"/>
  <c r="U1391" i="7"/>
  <c r="T1391" i="7"/>
  <c r="S1391" i="7"/>
  <c r="R1391" i="7"/>
  <c r="Z1390" i="7"/>
  <c r="Y1390" i="7"/>
  <c r="AA1390" i="7" s="1"/>
  <c r="W1390" i="7"/>
  <c r="U1390" i="7"/>
  <c r="T1390" i="7"/>
  <c r="S1390" i="7"/>
  <c r="R1390" i="7"/>
  <c r="Z1389" i="7"/>
  <c r="Y1389" i="7"/>
  <c r="AA1389" i="7" s="1"/>
  <c r="W1389" i="7"/>
  <c r="U1389" i="7"/>
  <c r="T1389" i="7"/>
  <c r="S1389" i="7"/>
  <c r="R1389" i="7"/>
  <c r="Z1388" i="7"/>
  <c r="Y1388" i="7"/>
  <c r="AA1388" i="7" s="1"/>
  <c r="W1388" i="7"/>
  <c r="U1388" i="7"/>
  <c r="T1388" i="7"/>
  <c r="S1388" i="7"/>
  <c r="R1388" i="7"/>
  <c r="Z1387" i="7"/>
  <c r="Y1387" i="7"/>
  <c r="AA1387" i="7" s="1"/>
  <c r="W1387" i="7"/>
  <c r="U1387" i="7"/>
  <c r="T1387" i="7"/>
  <c r="S1387" i="7"/>
  <c r="R1387" i="7"/>
  <c r="Z1386" i="7"/>
  <c r="Y1386" i="7"/>
  <c r="AA1386" i="7" s="1"/>
  <c r="W1386" i="7"/>
  <c r="U1386" i="7"/>
  <c r="T1386" i="7"/>
  <c r="S1386" i="7"/>
  <c r="R1386" i="7"/>
  <c r="Z1385" i="7"/>
  <c r="Y1385" i="7"/>
  <c r="AA1385" i="7" s="1"/>
  <c r="W1385" i="7"/>
  <c r="U1385" i="7"/>
  <c r="T1385" i="7"/>
  <c r="S1385" i="7"/>
  <c r="R1385" i="7"/>
  <c r="Z1384" i="7"/>
  <c r="Y1384" i="7"/>
  <c r="AA1384" i="7" s="1"/>
  <c r="W1384" i="7"/>
  <c r="U1384" i="7"/>
  <c r="T1384" i="7"/>
  <c r="S1384" i="7"/>
  <c r="R1384" i="7"/>
  <c r="Z1383" i="7"/>
  <c r="Y1383" i="7"/>
  <c r="AA1383" i="7" s="1"/>
  <c r="W1383" i="7"/>
  <c r="U1383" i="7"/>
  <c r="T1383" i="7"/>
  <c r="S1383" i="7"/>
  <c r="R1383" i="7"/>
  <c r="Z1382" i="7"/>
  <c r="Y1382" i="7"/>
  <c r="AA1382" i="7" s="1"/>
  <c r="W1382" i="7"/>
  <c r="U1382" i="7"/>
  <c r="T1382" i="7"/>
  <c r="S1382" i="7"/>
  <c r="R1382" i="7"/>
  <c r="Z1381" i="7"/>
  <c r="Y1381" i="7"/>
  <c r="AA1381" i="7" s="1"/>
  <c r="W1381" i="7"/>
  <c r="U1381" i="7"/>
  <c r="T1381" i="7"/>
  <c r="S1381" i="7"/>
  <c r="R1381" i="7"/>
  <c r="Z1380" i="7"/>
  <c r="Y1380" i="7"/>
  <c r="AA1380" i="7" s="1"/>
  <c r="W1380" i="7"/>
  <c r="U1380" i="7"/>
  <c r="T1380" i="7"/>
  <c r="S1380" i="7"/>
  <c r="R1380" i="7"/>
  <c r="Z1379" i="7"/>
  <c r="Y1379" i="7"/>
  <c r="AA1379" i="7" s="1"/>
  <c r="W1379" i="7"/>
  <c r="U1379" i="7"/>
  <c r="T1379" i="7"/>
  <c r="S1379" i="7"/>
  <c r="R1379" i="7"/>
  <c r="Z1378" i="7"/>
  <c r="Y1378" i="7"/>
  <c r="AA1378" i="7" s="1"/>
  <c r="W1378" i="7"/>
  <c r="U1378" i="7"/>
  <c r="T1378" i="7"/>
  <c r="S1378" i="7"/>
  <c r="R1378" i="7"/>
  <c r="Z1377" i="7"/>
  <c r="Y1377" i="7"/>
  <c r="AA1377" i="7" s="1"/>
  <c r="W1377" i="7"/>
  <c r="U1377" i="7"/>
  <c r="T1377" i="7"/>
  <c r="S1377" i="7"/>
  <c r="R1377" i="7"/>
  <c r="Z1376" i="7"/>
  <c r="Y1376" i="7"/>
  <c r="AA1376" i="7" s="1"/>
  <c r="W1376" i="7"/>
  <c r="U1376" i="7"/>
  <c r="T1376" i="7"/>
  <c r="S1376" i="7"/>
  <c r="R1376" i="7"/>
  <c r="Z1375" i="7"/>
  <c r="Y1375" i="7"/>
  <c r="AA1375" i="7" s="1"/>
  <c r="W1375" i="7"/>
  <c r="U1375" i="7"/>
  <c r="T1375" i="7"/>
  <c r="S1375" i="7"/>
  <c r="R1375" i="7"/>
  <c r="Z1374" i="7"/>
  <c r="Y1374" i="7"/>
  <c r="AA1374" i="7" s="1"/>
  <c r="W1374" i="7"/>
  <c r="U1374" i="7"/>
  <c r="T1374" i="7"/>
  <c r="S1374" i="7"/>
  <c r="R1374" i="7"/>
  <c r="Z1373" i="7"/>
  <c r="Y1373" i="7"/>
  <c r="AA1373" i="7" s="1"/>
  <c r="W1373" i="7"/>
  <c r="U1373" i="7"/>
  <c r="T1373" i="7"/>
  <c r="S1373" i="7"/>
  <c r="R1373" i="7"/>
  <c r="Z1372" i="7"/>
  <c r="Y1372" i="7"/>
  <c r="AA1372" i="7" s="1"/>
  <c r="W1372" i="7"/>
  <c r="U1372" i="7"/>
  <c r="T1372" i="7"/>
  <c r="S1372" i="7"/>
  <c r="R1372" i="7"/>
  <c r="Z1371" i="7"/>
  <c r="Y1371" i="7"/>
  <c r="AA1371" i="7" s="1"/>
  <c r="W1371" i="7"/>
  <c r="U1371" i="7"/>
  <c r="T1371" i="7"/>
  <c r="S1371" i="7"/>
  <c r="R1371" i="7"/>
  <c r="Z1370" i="7"/>
  <c r="Y1370" i="7"/>
  <c r="AA1370" i="7" s="1"/>
  <c r="W1370" i="7"/>
  <c r="U1370" i="7"/>
  <c r="T1370" i="7"/>
  <c r="S1370" i="7"/>
  <c r="R1370" i="7"/>
  <c r="Z1369" i="7"/>
  <c r="Y1369" i="7"/>
  <c r="AA1369" i="7" s="1"/>
  <c r="W1369" i="7"/>
  <c r="U1369" i="7"/>
  <c r="T1369" i="7"/>
  <c r="S1369" i="7"/>
  <c r="R1369" i="7"/>
  <c r="Z1368" i="7"/>
  <c r="Y1368" i="7"/>
  <c r="AA1368" i="7" s="1"/>
  <c r="W1368" i="7"/>
  <c r="U1368" i="7"/>
  <c r="T1368" i="7"/>
  <c r="S1368" i="7"/>
  <c r="R1368" i="7"/>
  <c r="Z1367" i="7"/>
  <c r="Y1367" i="7"/>
  <c r="AA1367" i="7" s="1"/>
  <c r="W1367" i="7"/>
  <c r="U1367" i="7"/>
  <c r="T1367" i="7"/>
  <c r="S1367" i="7"/>
  <c r="R1367" i="7"/>
  <c r="Z1366" i="7"/>
  <c r="Y1366" i="7"/>
  <c r="AA1366" i="7" s="1"/>
  <c r="W1366" i="7"/>
  <c r="U1366" i="7"/>
  <c r="T1366" i="7"/>
  <c r="S1366" i="7"/>
  <c r="R1366" i="7"/>
  <c r="Z1365" i="7"/>
  <c r="Y1365" i="7"/>
  <c r="AA1365" i="7" s="1"/>
  <c r="W1365" i="7"/>
  <c r="U1365" i="7"/>
  <c r="T1365" i="7"/>
  <c r="S1365" i="7"/>
  <c r="R1365" i="7"/>
  <c r="Z1364" i="7"/>
  <c r="Y1364" i="7"/>
  <c r="AA1364" i="7" s="1"/>
  <c r="W1364" i="7"/>
  <c r="U1364" i="7"/>
  <c r="T1364" i="7"/>
  <c r="S1364" i="7"/>
  <c r="R1364" i="7"/>
  <c r="Z1363" i="7"/>
  <c r="Y1363" i="7"/>
  <c r="AA1363" i="7" s="1"/>
  <c r="W1363" i="7"/>
  <c r="U1363" i="7"/>
  <c r="T1363" i="7"/>
  <c r="S1363" i="7"/>
  <c r="R1363" i="7"/>
  <c r="Z1362" i="7"/>
  <c r="Y1362" i="7"/>
  <c r="AA1362" i="7" s="1"/>
  <c r="W1362" i="7"/>
  <c r="U1362" i="7"/>
  <c r="T1362" i="7"/>
  <c r="S1362" i="7"/>
  <c r="R1362" i="7"/>
  <c r="Z1361" i="7"/>
  <c r="Y1361" i="7"/>
  <c r="AA1361" i="7" s="1"/>
  <c r="W1361" i="7"/>
  <c r="U1361" i="7"/>
  <c r="T1361" i="7"/>
  <c r="S1361" i="7"/>
  <c r="R1361" i="7"/>
  <c r="Z1360" i="7"/>
  <c r="Y1360" i="7"/>
  <c r="AA1360" i="7" s="1"/>
  <c r="W1360" i="7"/>
  <c r="U1360" i="7"/>
  <c r="T1360" i="7"/>
  <c r="S1360" i="7"/>
  <c r="R1360" i="7"/>
  <c r="Z1359" i="7"/>
  <c r="Y1359" i="7"/>
  <c r="AA1359" i="7" s="1"/>
  <c r="W1359" i="7"/>
  <c r="U1359" i="7"/>
  <c r="T1359" i="7"/>
  <c r="S1359" i="7"/>
  <c r="R1359" i="7"/>
  <c r="Z1358" i="7"/>
  <c r="Y1358" i="7"/>
  <c r="AA1358" i="7" s="1"/>
  <c r="W1358" i="7"/>
  <c r="U1358" i="7"/>
  <c r="T1358" i="7"/>
  <c r="S1358" i="7"/>
  <c r="R1358" i="7"/>
  <c r="Z1357" i="7"/>
  <c r="Y1357" i="7"/>
  <c r="AA1357" i="7" s="1"/>
  <c r="W1357" i="7"/>
  <c r="U1357" i="7"/>
  <c r="T1357" i="7"/>
  <c r="S1357" i="7"/>
  <c r="R1357" i="7"/>
  <c r="Z1356" i="7"/>
  <c r="Y1356" i="7"/>
  <c r="AA1356" i="7" s="1"/>
  <c r="W1356" i="7"/>
  <c r="U1356" i="7"/>
  <c r="T1356" i="7"/>
  <c r="S1356" i="7"/>
  <c r="R1356" i="7"/>
  <c r="Z1355" i="7"/>
  <c r="Y1355" i="7"/>
  <c r="AA1355" i="7" s="1"/>
  <c r="W1355" i="7"/>
  <c r="U1355" i="7"/>
  <c r="T1355" i="7"/>
  <c r="S1355" i="7"/>
  <c r="R1355" i="7"/>
  <c r="Z1354" i="7"/>
  <c r="Y1354" i="7"/>
  <c r="AA1354" i="7" s="1"/>
  <c r="W1354" i="7"/>
  <c r="U1354" i="7"/>
  <c r="T1354" i="7"/>
  <c r="S1354" i="7"/>
  <c r="R1354" i="7"/>
  <c r="Z1353" i="7"/>
  <c r="Y1353" i="7"/>
  <c r="AA1353" i="7" s="1"/>
  <c r="W1353" i="7"/>
  <c r="U1353" i="7"/>
  <c r="T1353" i="7"/>
  <c r="S1353" i="7"/>
  <c r="R1353" i="7"/>
  <c r="Z1352" i="7"/>
  <c r="Y1352" i="7"/>
  <c r="AA1352" i="7" s="1"/>
  <c r="W1352" i="7"/>
  <c r="U1352" i="7"/>
  <c r="T1352" i="7"/>
  <c r="S1352" i="7"/>
  <c r="R1352" i="7"/>
  <c r="Z1351" i="7"/>
  <c r="Y1351" i="7"/>
  <c r="AA1351" i="7" s="1"/>
  <c r="W1351" i="7"/>
  <c r="U1351" i="7"/>
  <c r="T1351" i="7"/>
  <c r="S1351" i="7"/>
  <c r="R1351" i="7"/>
  <c r="Z1350" i="7"/>
  <c r="Y1350" i="7"/>
  <c r="AA1350" i="7" s="1"/>
  <c r="W1350" i="7"/>
  <c r="U1350" i="7"/>
  <c r="T1350" i="7"/>
  <c r="S1350" i="7"/>
  <c r="R1350" i="7"/>
  <c r="Z1349" i="7"/>
  <c r="Y1349" i="7"/>
  <c r="AA1349" i="7" s="1"/>
  <c r="W1349" i="7"/>
  <c r="U1349" i="7"/>
  <c r="T1349" i="7"/>
  <c r="S1349" i="7"/>
  <c r="R1349" i="7"/>
  <c r="Z1348" i="7"/>
  <c r="Y1348" i="7"/>
  <c r="AA1348" i="7" s="1"/>
  <c r="W1348" i="7"/>
  <c r="U1348" i="7"/>
  <c r="T1348" i="7"/>
  <c r="S1348" i="7"/>
  <c r="R1348" i="7"/>
  <c r="Z1347" i="7"/>
  <c r="Y1347" i="7"/>
  <c r="AA1347" i="7" s="1"/>
  <c r="W1347" i="7"/>
  <c r="U1347" i="7"/>
  <c r="T1347" i="7"/>
  <c r="S1347" i="7"/>
  <c r="R1347" i="7"/>
  <c r="Z1346" i="7"/>
  <c r="Y1346" i="7"/>
  <c r="AA1346" i="7" s="1"/>
  <c r="W1346" i="7"/>
  <c r="U1346" i="7"/>
  <c r="T1346" i="7"/>
  <c r="S1346" i="7"/>
  <c r="R1346" i="7"/>
  <c r="Z1345" i="7"/>
  <c r="Y1345" i="7"/>
  <c r="AA1345" i="7" s="1"/>
  <c r="W1345" i="7"/>
  <c r="U1345" i="7"/>
  <c r="T1345" i="7"/>
  <c r="S1345" i="7"/>
  <c r="R1345" i="7"/>
  <c r="Z1344" i="7"/>
  <c r="Y1344" i="7"/>
  <c r="AA1344" i="7" s="1"/>
  <c r="W1344" i="7"/>
  <c r="U1344" i="7"/>
  <c r="T1344" i="7"/>
  <c r="S1344" i="7"/>
  <c r="R1344" i="7"/>
  <c r="Z1343" i="7"/>
  <c r="Y1343" i="7"/>
  <c r="AA1343" i="7" s="1"/>
  <c r="W1343" i="7"/>
  <c r="U1343" i="7"/>
  <c r="T1343" i="7"/>
  <c r="S1343" i="7"/>
  <c r="R1343" i="7"/>
  <c r="Z1342" i="7"/>
  <c r="Y1342" i="7"/>
  <c r="AA1342" i="7" s="1"/>
  <c r="W1342" i="7"/>
  <c r="U1342" i="7"/>
  <c r="T1342" i="7"/>
  <c r="S1342" i="7"/>
  <c r="R1342" i="7"/>
  <c r="Z1341" i="7"/>
  <c r="Y1341" i="7"/>
  <c r="AA1341" i="7" s="1"/>
  <c r="W1341" i="7"/>
  <c r="U1341" i="7"/>
  <c r="T1341" i="7"/>
  <c r="S1341" i="7"/>
  <c r="R1341" i="7"/>
  <c r="Z1340" i="7"/>
  <c r="Y1340" i="7"/>
  <c r="AA1340" i="7" s="1"/>
  <c r="W1340" i="7"/>
  <c r="U1340" i="7"/>
  <c r="T1340" i="7"/>
  <c r="S1340" i="7"/>
  <c r="R1340" i="7"/>
  <c r="Z1339" i="7"/>
  <c r="Y1339" i="7"/>
  <c r="AA1339" i="7" s="1"/>
  <c r="W1339" i="7"/>
  <c r="U1339" i="7"/>
  <c r="T1339" i="7"/>
  <c r="S1339" i="7"/>
  <c r="R1339" i="7"/>
  <c r="Z1338" i="7"/>
  <c r="Y1338" i="7"/>
  <c r="AA1338" i="7" s="1"/>
  <c r="W1338" i="7"/>
  <c r="U1338" i="7"/>
  <c r="T1338" i="7"/>
  <c r="S1338" i="7"/>
  <c r="R1338" i="7"/>
  <c r="Z1337" i="7"/>
  <c r="Y1337" i="7"/>
  <c r="AA1337" i="7" s="1"/>
  <c r="W1337" i="7"/>
  <c r="U1337" i="7"/>
  <c r="T1337" i="7"/>
  <c r="S1337" i="7"/>
  <c r="R1337" i="7"/>
  <c r="Z1336" i="7"/>
  <c r="Y1336" i="7"/>
  <c r="AA1336" i="7" s="1"/>
  <c r="W1336" i="7"/>
  <c r="U1336" i="7"/>
  <c r="T1336" i="7"/>
  <c r="S1336" i="7"/>
  <c r="R1336" i="7"/>
  <c r="Z1335" i="7"/>
  <c r="Y1335" i="7"/>
  <c r="AA1335" i="7" s="1"/>
  <c r="W1335" i="7"/>
  <c r="U1335" i="7"/>
  <c r="T1335" i="7"/>
  <c r="S1335" i="7"/>
  <c r="R1335" i="7"/>
  <c r="Z1334" i="7"/>
  <c r="Y1334" i="7"/>
  <c r="AA1334" i="7" s="1"/>
  <c r="W1334" i="7"/>
  <c r="U1334" i="7"/>
  <c r="T1334" i="7"/>
  <c r="S1334" i="7"/>
  <c r="R1334" i="7"/>
  <c r="Z1333" i="7"/>
  <c r="Y1333" i="7"/>
  <c r="AA1333" i="7" s="1"/>
  <c r="W1333" i="7"/>
  <c r="U1333" i="7"/>
  <c r="T1333" i="7"/>
  <c r="S1333" i="7"/>
  <c r="R1333" i="7"/>
  <c r="Z1332" i="7"/>
  <c r="Y1332" i="7"/>
  <c r="AA1332" i="7" s="1"/>
  <c r="W1332" i="7"/>
  <c r="U1332" i="7"/>
  <c r="T1332" i="7"/>
  <c r="S1332" i="7"/>
  <c r="R1332" i="7"/>
  <c r="Z1331" i="7"/>
  <c r="Y1331" i="7"/>
  <c r="AA1331" i="7" s="1"/>
  <c r="W1331" i="7"/>
  <c r="U1331" i="7"/>
  <c r="T1331" i="7"/>
  <c r="S1331" i="7"/>
  <c r="R1331" i="7"/>
  <c r="Z1330" i="7"/>
  <c r="Y1330" i="7"/>
  <c r="AA1330" i="7" s="1"/>
  <c r="W1330" i="7"/>
  <c r="U1330" i="7"/>
  <c r="T1330" i="7"/>
  <c r="S1330" i="7"/>
  <c r="R1330" i="7"/>
  <c r="Z1329" i="7"/>
  <c r="Y1329" i="7"/>
  <c r="AA1329" i="7" s="1"/>
  <c r="W1329" i="7"/>
  <c r="U1329" i="7"/>
  <c r="T1329" i="7"/>
  <c r="S1329" i="7"/>
  <c r="R1329" i="7"/>
  <c r="Z1328" i="7"/>
  <c r="Y1328" i="7"/>
  <c r="AA1328" i="7" s="1"/>
  <c r="W1328" i="7"/>
  <c r="U1328" i="7"/>
  <c r="T1328" i="7"/>
  <c r="S1328" i="7"/>
  <c r="R1328" i="7"/>
  <c r="Z1327" i="7"/>
  <c r="Y1327" i="7"/>
  <c r="AA1327" i="7" s="1"/>
  <c r="W1327" i="7"/>
  <c r="U1327" i="7"/>
  <c r="T1327" i="7"/>
  <c r="S1327" i="7"/>
  <c r="R1327" i="7"/>
  <c r="Z1326" i="7"/>
  <c r="Y1326" i="7"/>
  <c r="AA1326" i="7" s="1"/>
  <c r="W1326" i="7"/>
  <c r="U1326" i="7"/>
  <c r="T1326" i="7"/>
  <c r="S1326" i="7"/>
  <c r="R1326" i="7"/>
  <c r="Z1325" i="7"/>
  <c r="Y1325" i="7"/>
  <c r="AA1325" i="7" s="1"/>
  <c r="W1325" i="7"/>
  <c r="U1325" i="7"/>
  <c r="T1325" i="7"/>
  <c r="S1325" i="7"/>
  <c r="R1325" i="7"/>
  <c r="Z1324" i="7"/>
  <c r="Y1324" i="7"/>
  <c r="AA1324" i="7" s="1"/>
  <c r="W1324" i="7"/>
  <c r="U1324" i="7"/>
  <c r="T1324" i="7"/>
  <c r="S1324" i="7"/>
  <c r="R1324" i="7"/>
  <c r="Z1323" i="7"/>
  <c r="Y1323" i="7"/>
  <c r="AA1323" i="7" s="1"/>
  <c r="W1323" i="7"/>
  <c r="U1323" i="7"/>
  <c r="T1323" i="7"/>
  <c r="S1323" i="7"/>
  <c r="R1323" i="7"/>
  <c r="Z1322" i="7"/>
  <c r="Y1322" i="7"/>
  <c r="AA1322" i="7" s="1"/>
  <c r="W1322" i="7"/>
  <c r="U1322" i="7"/>
  <c r="T1322" i="7"/>
  <c r="S1322" i="7"/>
  <c r="R1322" i="7"/>
  <c r="Z1321" i="7"/>
  <c r="Y1321" i="7"/>
  <c r="AA1321" i="7" s="1"/>
  <c r="W1321" i="7"/>
  <c r="U1321" i="7"/>
  <c r="T1321" i="7"/>
  <c r="S1321" i="7"/>
  <c r="R1321" i="7"/>
  <c r="Z1320" i="7"/>
  <c r="Y1320" i="7"/>
  <c r="AA1320" i="7" s="1"/>
  <c r="W1320" i="7"/>
  <c r="U1320" i="7"/>
  <c r="T1320" i="7"/>
  <c r="S1320" i="7"/>
  <c r="R1320" i="7"/>
  <c r="Z1319" i="7"/>
  <c r="Y1319" i="7"/>
  <c r="AA1319" i="7" s="1"/>
  <c r="W1319" i="7"/>
  <c r="U1319" i="7"/>
  <c r="T1319" i="7"/>
  <c r="S1319" i="7"/>
  <c r="R1319" i="7"/>
  <c r="Z1318" i="7"/>
  <c r="Y1318" i="7"/>
  <c r="AA1318" i="7" s="1"/>
  <c r="W1318" i="7"/>
  <c r="U1318" i="7"/>
  <c r="T1318" i="7"/>
  <c r="S1318" i="7"/>
  <c r="R1318" i="7"/>
  <c r="Z1317" i="7"/>
  <c r="Y1317" i="7"/>
  <c r="AA1317" i="7" s="1"/>
  <c r="W1317" i="7"/>
  <c r="U1317" i="7"/>
  <c r="T1317" i="7"/>
  <c r="S1317" i="7"/>
  <c r="R1317" i="7"/>
  <c r="Z1316" i="7"/>
  <c r="Y1316" i="7"/>
  <c r="AA1316" i="7" s="1"/>
  <c r="W1316" i="7"/>
  <c r="U1316" i="7"/>
  <c r="T1316" i="7"/>
  <c r="S1316" i="7"/>
  <c r="R1316" i="7"/>
  <c r="Z1315" i="7"/>
  <c r="Y1315" i="7"/>
  <c r="AA1315" i="7" s="1"/>
  <c r="W1315" i="7"/>
  <c r="U1315" i="7"/>
  <c r="T1315" i="7"/>
  <c r="S1315" i="7"/>
  <c r="R1315" i="7"/>
  <c r="Z1314" i="7"/>
  <c r="Y1314" i="7"/>
  <c r="AA1314" i="7" s="1"/>
  <c r="W1314" i="7"/>
  <c r="X1314" i="7" s="1"/>
  <c r="U1314" i="7"/>
  <c r="V1314" i="7" s="1"/>
  <c r="T1314" i="7"/>
  <c r="S1314" i="7"/>
  <c r="R1314" i="7"/>
  <c r="Z1313" i="7"/>
  <c r="Y1313" i="7"/>
  <c r="AA1313" i="7" s="1"/>
  <c r="W1313" i="7"/>
  <c r="U1313" i="7"/>
  <c r="T1313" i="7"/>
  <c r="S1313" i="7"/>
  <c r="R1313" i="7"/>
  <c r="Z1312" i="7"/>
  <c r="Y1312" i="7"/>
  <c r="AA1312" i="7" s="1"/>
  <c r="W1312" i="7"/>
  <c r="U1312" i="7"/>
  <c r="T1312" i="7"/>
  <c r="S1312" i="7"/>
  <c r="R1312" i="7"/>
  <c r="Z1311" i="7"/>
  <c r="Y1311" i="7"/>
  <c r="AA1311" i="7" s="1"/>
  <c r="W1311" i="7"/>
  <c r="U1311" i="7"/>
  <c r="T1311" i="7"/>
  <c r="S1311" i="7"/>
  <c r="R1311" i="7"/>
  <c r="Z1310" i="7"/>
  <c r="Y1310" i="7"/>
  <c r="AA1310" i="7" s="1"/>
  <c r="W1310" i="7"/>
  <c r="U1310" i="7"/>
  <c r="T1310" i="7"/>
  <c r="S1310" i="7"/>
  <c r="R1310" i="7"/>
  <c r="Z1309" i="7"/>
  <c r="Y1309" i="7"/>
  <c r="AA1309" i="7" s="1"/>
  <c r="W1309" i="7"/>
  <c r="U1309" i="7"/>
  <c r="T1309" i="7"/>
  <c r="S1309" i="7"/>
  <c r="R1309" i="7"/>
  <c r="Z1308" i="7"/>
  <c r="Y1308" i="7"/>
  <c r="AA1308" i="7" s="1"/>
  <c r="W1308" i="7"/>
  <c r="U1308" i="7"/>
  <c r="T1308" i="7"/>
  <c r="S1308" i="7"/>
  <c r="R1308" i="7"/>
  <c r="Z1307" i="7"/>
  <c r="Y1307" i="7"/>
  <c r="AA1307" i="7" s="1"/>
  <c r="W1307" i="7"/>
  <c r="U1307" i="7"/>
  <c r="T1307" i="7"/>
  <c r="S1307" i="7"/>
  <c r="R1307" i="7"/>
  <c r="Z1306" i="7"/>
  <c r="Y1306" i="7"/>
  <c r="AA1306" i="7" s="1"/>
  <c r="W1306" i="7"/>
  <c r="U1306" i="7"/>
  <c r="T1306" i="7"/>
  <c r="S1306" i="7"/>
  <c r="R1306" i="7"/>
  <c r="Z1305" i="7"/>
  <c r="Y1305" i="7"/>
  <c r="AA1305" i="7" s="1"/>
  <c r="W1305" i="7"/>
  <c r="U1305" i="7"/>
  <c r="T1305" i="7"/>
  <c r="S1305" i="7"/>
  <c r="R1305" i="7"/>
  <c r="Z1304" i="7"/>
  <c r="Y1304" i="7"/>
  <c r="AA1304" i="7" s="1"/>
  <c r="W1304" i="7"/>
  <c r="U1304" i="7"/>
  <c r="T1304" i="7"/>
  <c r="S1304" i="7"/>
  <c r="R1304" i="7"/>
  <c r="Z1303" i="7"/>
  <c r="Y1303" i="7"/>
  <c r="AA1303" i="7" s="1"/>
  <c r="W1303" i="7"/>
  <c r="U1303" i="7"/>
  <c r="T1303" i="7"/>
  <c r="S1303" i="7"/>
  <c r="R1303" i="7"/>
  <c r="Z1302" i="7"/>
  <c r="Y1302" i="7"/>
  <c r="AA1302" i="7" s="1"/>
  <c r="W1302" i="7"/>
  <c r="U1302" i="7"/>
  <c r="T1302" i="7"/>
  <c r="S1302" i="7"/>
  <c r="R1302" i="7"/>
  <c r="Z1301" i="7"/>
  <c r="Y1301" i="7"/>
  <c r="AA1301" i="7" s="1"/>
  <c r="W1301" i="7"/>
  <c r="U1301" i="7"/>
  <c r="T1301" i="7"/>
  <c r="S1301" i="7"/>
  <c r="R1301" i="7"/>
  <c r="Z1300" i="7"/>
  <c r="Y1300" i="7"/>
  <c r="AA1300" i="7" s="1"/>
  <c r="W1300" i="7"/>
  <c r="U1300" i="7"/>
  <c r="T1300" i="7"/>
  <c r="S1300" i="7"/>
  <c r="R1300" i="7"/>
  <c r="Z1299" i="7"/>
  <c r="Y1299" i="7"/>
  <c r="AA1299" i="7" s="1"/>
  <c r="W1299" i="7"/>
  <c r="U1299" i="7"/>
  <c r="T1299" i="7"/>
  <c r="S1299" i="7"/>
  <c r="R1299" i="7"/>
  <c r="Z1298" i="7"/>
  <c r="Y1298" i="7"/>
  <c r="AA1298" i="7" s="1"/>
  <c r="W1298" i="7"/>
  <c r="U1298" i="7"/>
  <c r="T1298" i="7"/>
  <c r="S1298" i="7"/>
  <c r="R1298" i="7"/>
  <c r="Z1297" i="7"/>
  <c r="Y1297" i="7"/>
  <c r="AA1297" i="7" s="1"/>
  <c r="W1297" i="7"/>
  <c r="U1297" i="7"/>
  <c r="T1297" i="7"/>
  <c r="S1297" i="7"/>
  <c r="R1297" i="7"/>
  <c r="Z1296" i="7"/>
  <c r="Y1296" i="7"/>
  <c r="AA1296" i="7" s="1"/>
  <c r="W1296" i="7"/>
  <c r="U1296" i="7"/>
  <c r="V1296" i="7" s="1"/>
  <c r="T1296" i="7"/>
  <c r="S1296" i="7"/>
  <c r="R1296" i="7"/>
  <c r="Z1295" i="7"/>
  <c r="Y1295" i="7"/>
  <c r="AA1295" i="7" s="1"/>
  <c r="W1295" i="7"/>
  <c r="U1295" i="7"/>
  <c r="T1295" i="7"/>
  <c r="S1295" i="7"/>
  <c r="R1295" i="7"/>
  <c r="Z1294" i="7"/>
  <c r="Y1294" i="7"/>
  <c r="AA1294" i="7" s="1"/>
  <c r="W1294" i="7"/>
  <c r="U1294" i="7"/>
  <c r="T1294" i="7"/>
  <c r="S1294" i="7"/>
  <c r="R1294" i="7"/>
  <c r="Z1293" i="7"/>
  <c r="Y1293" i="7"/>
  <c r="AA1293" i="7" s="1"/>
  <c r="W1293" i="7"/>
  <c r="U1293" i="7"/>
  <c r="T1293" i="7"/>
  <c r="S1293" i="7"/>
  <c r="R1293" i="7"/>
  <c r="Z1292" i="7"/>
  <c r="Y1292" i="7"/>
  <c r="AA1292" i="7" s="1"/>
  <c r="W1292" i="7"/>
  <c r="U1292" i="7"/>
  <c r="T1292" i="7"/>
  <c r="S1292" i="7"/>
  <c r="R1292" i="7"/>
  <c r="Z1291" i="7"/>
  <c r="Y1291" i="7"/>
  <c r="AA1291" i="7" s="1"/>
  <c r="W1291" i="7"/>
  <c r="U1291" i="7"/>
  <c r="T1291" i="7"/>
  <c r="S1291" i="7"/>
  <c r="R1291" i="7"/>
  <c r="Z1290" i="7"/>
  <c r="Y1290" i="7"/>
  <c r="AA1290" i="7" s="1"/>
  <c r="W1290" i="7"/>
  <c r="U1290" i="7"/>
  <c r="T1290" i="7"/>
  <c r="S1290" i="7"/>
  <c r="R1290" i="7"/>
  <c r="Z1289" i="7"/>
  <c r="Y1289" i="7"/>
  <c r="AA1289" i="7" s="1"/>
  <c r="W1289" i="7"/>
  <c r="U1289" i="7"/>
  <c r="T1289" i="7"/>
  <c r="S1289" i="7"/>
  <c r="R1289" i="7"/>
  <c r="Z1288" i="7"/>
  <c r="Y1288" i="7"/>
  <c r="AA1288" i="7" s="1"/>
  <c r="W1288" i="7"/>
  <c r="U1288" i="7"/>
  <c r="T1288" i="7"/>
  <c r="S1288" i="7"/>
  <c r="R1288" i="7"/>
  <c r="Z1287" i="7"/>
  <c r="Y1287" i="7"/>
  <c r="AA1287" i="7" s="1"/>
  <c r="W1287" i="7"/>
  <c r="U1287" i="7"/>
  <c r="T1287" i="7"/>
  <c r="S1287" i="7"/>
  <c r="R1287" i="7"/>
  <c r="Z1286" i="7"/>
  <c r="Y1286" i="7"/>
  <c r="AA1286" i="7" s="1"/>
  <c r="W1286" i="7"/>
  <c r="U1286" i="7"/>
  <c r="T1286" i="7"/>
  <c r="S1286" i="7"/>
  <c r="R1286" i="7"/>
  <c r="Z1285" i="7"/>
  <c r="Y1285" i="7"/>
  <c r="AA1285" i="7" s="1"/>
  <c r="W1285" i="7"/>
  <c r="U1285" i="7"/>
  <c r="T1285" i="7"/>
  <c r="S1285" i="7"/>
  <c r="R1285" i="7"/>
  <c r="Z1284" i="7"/>
  <c r="Y1284" i="7"/>
  <c r="AA1284" i="7" s="1"/>
  <c r="W1284" i="7"/>
  <c r="U1284" i="7"/>
  <c r="T1284" i="7"/>
  <c r="S1284" i="7"/>
  <c r="R1284" i="7"/>
  <c r="Z1283" i="7"/>
  <c r="Y1283" i="7"/>
  <c r="AA1283" i="7" s="1"/>
  <c r="W1283" i="7"/>
  <c r="U1283" i="7"/>
  <c r="T1283" i="7"/>
  <c r="S1283" i="7"/>
  <c r="R1283" i="7"/>
  <c r="Z1282" i="7"/>
  <c r="Y1282" i="7"/>
  <c r="AA1282" i="7" s="1"/>
  <c r="W1282" i="7"/>
  <c r="U1282" i="7"/>
  <c r="T1282" i="7"/>
  <c r="S1282" i="7"/>
  <c r="R1282" i="7"/>
  <c r="Z1281" i="7"/>
  <c r="Y1281" i="7"/>
  <c r="AA1281" i="7" s="1"/>
  <c r="W1281" i="7"/>
  <c r="U1281" i="7"/>
  <c r="T1281" i="7"/>
  <c r="S1281" i="7"/>
  <c r="R1281" i="7"/>
  <c r="Z1280" i="7"/>
  <c r="Y1280" i="7"/>
  <c r="AA1280" i="7" s="1"/>
  <c r="W1280" i="7"/>
  <c r="U1280" i="7"/>
  <c r="T1280" i="7"/>
  <c r="S1280" i="7"/>
  <c r="R1280" i="7"/>
  <c r="Z1279" i="7"/>
  <c r="Y1279" i="7"/>
  <c r="AA1279" i="7" s="1"/>
  <c r="W1279" i="7"/>
  <c r="U1279" i="7"/>
  <c r="T1279" i="7"/>
  <c r="S1279" i="7"/>
  <c r="R1279" i="7"/>
  <c r="Z1278" i="7"/>
  <c r="Y1278" i="7"/>
  <c r="AA1278" i="7" s="1"/>
  <c r="W1278" i="7"/>
  <c r="U1278" i="7"/>
  <c r="T1278" i="7"/>
  <c r="S1278" i="7"/>
  <c r="R1278" i="7"/>
  <c r="Z1277" i="7"/>
  <c r="Y1277" i="7"/>
  <c r="AA1277" i="7" s="1"/>
  <c r="W1277" i="7"/>
  <c r="U1277" i="7"/>
  <c r="T1277" i="7"/>
  <c r="S1277" i="7"/>
  <c r="R1277" i="7"/>
  <c r="Z1276" i="7"/>
  <c r="Y1276" i="7"/>
  <c r="AA1276" i="7" s="1"/>
  <c r="W1276" i="7"/>
  <c r="U1276" i="7"/>
  <c r="T1276" i="7"/>
  <c r="S1276" i="7"/>
  <c r="R1276" i="7"/>
  <c r="Z1275" i="7"/>
  <c r="Y1275" i="7"/>
  <c r="AA1275" i="7" s="1"/>
  <c r="W1275" i="7"/>
  <c r="U1275" i="7"/>
  <c r="T1275" i="7"/>
  <c r="S1275" i="7"/>
  <c r="R1275" i="7"/>
  <c r="Z1274" i="7"/>
  <c r="Y1274" i="7"/>
  <c r="AA1274" i="7" s="1"/>
  <c r="W1274" i="7"/>
  <c r="U1274" i="7"/>
  <c r="T1274" i="7"/>
  <c r="S1274" i="7"/>
  <c r="R1274" i="7"/>
  <c r="Z1273" i="7"/>
  <c r="Y1273" i="7"/>
  <c r="AA1273" i="7" s="1"/>
  <c r="W1273" i="7"/>
  <c r="U1273" i="7"/>
  <c r="T1273" i="7"/>
  <c r="S1273" i="7"/>
  <c r="R1273" i="7"/>
  <c r="Z1272" i="7"/>
  <c r="Y1272" i="7"/>
  <c r="AA1272" i="7" s="1"/>
  <c r="W1272" i="7"/>
  <c r="U1272" i="7"/>
  <c r="T1272" i="7"/>
  <c r="S1272" i="7"/>
  <c r="R1272" i="7"/>
  <c r="Z1271" i="7"/>
  <c r="Y1271" i="7"/>
  <c r="AA1271" i="7" s="1"/>
  <c r="W1271" i="7"/>
  <c r="U1271" i="7"/>
  <c r="T1271" i="7"/>
  <c r="S1271" i="7"/>
  <c r="R1271" i="7"/>
  <c r="Z1270" i="7"/>
  <c r="Y1270" i="7"/>
  <c r="AA1270" i="7" s="1"/>
  <c r="W1270" i="7"/>
  <c r="U1270" i="7"/>
  <c r="T1270" i="7"/>
  <c r="S1270" i="7"/>
  <c r="R1270" i="7"/>
  <c r="Z1269" i="7"/>
  <c r="Y1269" i="7"/>
  <c r="AA1269" i="7" s="1"/>
  <c r="W1269" i="7"/>
  <c r="U1269" i="7"/>
  <c r="T1269" i="7"/>
  <c r="S1269" i="7"/>
  <c r="R1269" i="7"/>
  <c r="Z1268" i="7"/>
  <c r="Y1268" i="7"/>
  <c r="AA1268" i="7" s="1"/>
  <c r="W1268" i="7"/>
  <c r="U1268" i="7"/>
  <c r="T1268" i="7"/>
  <c r="S1268" i="7"/>
  <c r="R1268" i="7"/>
  <c r="Z1267" i="7"/>
  <c r="Y1267" i="7"/>
  <c r="W1267" i="7"/>
  <c r="U1267" i="7"/>
  <c r="T1267" i="7"/>
  <c r="S1267" i="7"/>
  <c r="R1267" i="7"/>
  <c r="Z1266" i="7"/>
  <c r="Y1266" i="7"/>
  <c r="AA1266" i="7" s="1"/>
  <c r="W1266" i="7"/>
  <c r="U1266" i="7"/>
  <c r="T1266" i="7"/>
  <c r="S1266" i="7"/>
  <c r="R1266" i="7"/>
  <c r="Z1265" i="7"/>
  <c r="Y1265" i="7"/>
  <c r="AA1265" i="7" s="1"/>
  <c r="W1265" i="7"/>
  <c r="U1265" i="7"/>
  <c r="T1265" i="7"/>
  <c r="S1265" i="7"/>
  <c r="R1265" i="7"/>
  <c r="Z1264" i="7"/>
  <c r="Y1264" i="7"/>
  <c r="AA1264" i="7" s="1"/>
  <c r="W1264" i="7"/>
  <c r="U1264" i="7"/>
  <c r="T1264" i="7"/>
  <c r="S1264" i="7"/>
  <c r="R1264" i="7"/>
  <c r="Z1263" i="7"/>
  <c r="Y1263" i="7"/>
  <c r="AA1263" i="7" s="1"/>
  <c r="W1263" i="7"/>
  <c r="U1263" i="7"/>
  <c r="T1263" i="7"/>
  <c r="S1263" i="7"/>
  <c r="R1263" i="7"/>
  <c r="Z1262" i="7"/>
  <c r="Y1262" i="7"/>
  <c r="AA1262" i="7" s="1"/>
  <c r="W1262" i="7"/>
  <c r="U1262" i="7"/>
  <c r="T1262" i="7"/>
  <c r="S1262" i="7"/>
  <c r="R1262" i="7"/>
  <c r="Z1261" i="7"/>
  <c r="Y1261" i="7"/>
  <c r="AA1261" i="7" s="1"/>
  <c r="W1261" i="7"/>
  <c r="U1261" i="7"/>
  <c r="T1261" i="7"/>
  <c r="S1261" i="7"/>
  <c r="R1261" i="7"/>
  <c r="Z1260" i="7"/>
  <c r="Y1260" i="7"/>
  <c r="AA1260" i="7" s="1"/>
  <c r="W1260" i="7"/>
  <c r="U1260" i="7"/>
  <c r="T1260" i="7"/>
  <c r="S1260" i="7"/>
  <c r="R1260" i="7"/>
  <c r="Z1259" i="7"/>
  <c r="Y1259" i="7"/>
  <c r="AA1259" i="7" s="1"/>
  <c r="W1259" i="7"/>
  <c r="U1259" i="7"/>
  <c r="T1259" i="7"/>
  <c r="S1259" i="7"/>
  <c r="R1259" i="7"/>
  <c r="Z1258" i="7"/>
  <c r="Y1258" i="7"/>
  <c r="AA1258" i="7" s="1"/>
  <c r="W1258" i="7"/>
  <c r="U1258" i="7"/>
  <c r="T1258" i="7"/>
  <c r="S1258" i="7"/>
  <c r="R1258" i="7"/>
  <c r="Z1257" i="7"/>
  <c r="Y1257" i="7"/>
  <c r="AA1257" i="7" s="1"/>
  <c r="W1257" i="7"/>
  <c r="U1257" i="7"/>
  <c r="T1257" i="7"/>
  <c r="S1257" i="7"/>
  <c r="R1257" i="7"/>
  <c r="Z1256" i="7"/>
  <c r="Y1256" i="7"/>
  <c r="AA1256" i="7" s="1"/>
  <c r="W1256" i="7"/>
  <c r="U1256" i="7"/>
  <c r="T1256" i="7"/>
  <c r="S1256" i="7"/>
  <c r="R1256" i="7"/>
  <c r="Z1255" i="7"/>
  <c r="Y1255" i="7"/>
  <c r="AA1255" i="7" s="1"/>
  <c r="W1255" i="7"/>
  <c r="U1255" i="7"/>
  <c r="T1255" i="7"/>
  <c r="S1255" i="7"/>
  <c r="R1255" i="7"/>
  <c r="Z1254" i="7"/>
  <c r="Y1254" i="7"/>
  <c r="AA1254" i="7" s="1"/>
  <c r="W1254" i="7"/>
  <c r="U1254" i="7"/>
  <c r="T1254" i="7"/>
  <c r="S1254" i="7"/>
  <c r="R1254" i="7"/>
  <c r="Z1253" i="7"/>
  <c r="Y1253" i="7"/>
  <c r="AA1253" i="7" s="1"/>
  <c r="W1253" i="7"/>
  <c r="U1253" i="7"/>
  <c r="T1253" i="7"/>
  <c r="S1253" i="7"/>
  <c r="R1253" i="7"/>
  <c r="Z1252" i="7"/>
  <c r="Y1252" i="7"/>
  <c r="AA1252" i="7" s="1"/>
  <c r="W1252" i="7"/>
  <c r="U1252" i="7"/>
  <c r="T1252" i="7"/>
  <c r="S1252" i="7"/>
  <c r="R1252" i="7"/>
  <c r="Z1251" i="7"/>
  <c r="Y1251" i="7"/>
  <c r="AA1251" i="7" s="1"/>
  <c r="W1251" i="7"/>
  <c r="U1251" i="7"/>
  <c r="T1251" i="7"/>
  <c r="S1251" i="7"/>
  <c r="R1251" i="7"/>
  <c r="Z1250" i="7"/>
  <c r="Y1250" i="7"/>
  <c r="AA1250" i="7" s="1"/>
  <c r="W1250" i="7"/>
  <c r="U1250" i="7"/>
  <c r="T1250" i="7"/>
  <c r="S1250" i="7"/>
  <c r="R1250" i="7"/>
  <c r="Z1249" i="7"/>
  <c r="Y1249" i="7"/>
  <c r="AA1249" i="7" s="1"/>
  <c r="W1249" i="7"/>
  <c r="U1249" i="7"/>
  <c r="T1249" i="7"/>
  <c r="S1249" i="7"/>
  <c r="R1249" i="7"/>
  <c r="Z1248" i="7"/>
  <c r="Y1248" i="7"/>
  <c r="AA1248" i="7" s="1"/>
  <c r="W1248" i="7"/>
  <c r="U1248" i="7"/>
  <c r="T1248" i="7"/>
  <c r="S1248" i="7"/>
  <c r="R1248" i="7"/>
  <c r="Z1247" i="7"/>
  <c r="Y1247" i="7"/>
  <c r="AA1247" i="7" s="1"/>
  <c r="W1247" i="7"/>
  <c r="U1247" i="7"/>
  <c r="T1247" i="7"/>
  <c r="S1247" i="7"/>
  <c r="R1247" i="7"/>
  <c r="Z1246" i="7"/>
  <c r="Y1246" i="7"/>
  <c r="AA1246" i="7" s="1"/>
  <c r="W1246" i="7"/>
  <c r="U1246" i="7"/>
  <c r="T1246" i="7"/>
  <c r="S1246" i="7"/>
  <c r="R1246" i="7"/>
  <c r="Z1245" i="7"/>
  <c r="Y1245" i="7"/>
  <c r="AA1245" i="7" s="1"/>
  <c r="W1245" i="7"/>
  <c r="U1245" i="7"/>
  <c r="T1245" i="7"/>
  <c r="S1245" i="7"/>
  <c r="R1245" i="7"/>
  <c r="Z1244" i="7"/>
  <c r="Y1244" i="7"/>
  <c r="AA1244" i="7" s="1"/>
  <c r="W1244" i="7"/>
  <c r="U1244" i="7"/>
  <c r="T1244" i="7"/>
  <c r="S1244" i="7"/>
  <c r="R1244" i="7"/>
  <c r="Z1243" i="7"/>
  <c r="Y1243" i="7"/>
  <c r="AA1243" i="7" s="1"/>
  <c r="W1243" i="7"/>
  <c r="U1243" i="7"/>
  <c r="T1243" i="7"/>
  <c r="S1243" i="7"/>
  <c r="R1243" i="7"/>
  <c r="Z1242" i="7"/>
  <c r="Y1242" i="7"/>
  <c r="AA1242" i="7" s="1"/>
  <c r="W1242" i="7"/>
  <c r="U1242" i="7"/>
  <c r="T1242" i="7"/>
  <c r="S1242" i="7"/>
  <c r="R1242" i="7"/>
  <c r="Z1241" i="7"/>
  <c r="Y1241" i="7"/>
  <c r="AA1241" i="7" s="1"/>
  <c r="W1241" i="7"/>
  <c r="U1241" i="7"/>
  <c r="T1241" i="7"/>
  <c r="S1241" i="7"/>
  <c r="R1241" i="7"/>
  <c r="Z1240" i="7"/>
  <c r="Y1240" i="7"/>
  <c r="AA1240" i="7" s="1"/>
  <c r="W1240" i="7"/>
  <c r="U1240" i="7"/>
  <c r="T1240" i="7"/>
  <c r="S1240" i="7"/>
  <c r="R1240" i="7"/>
  <c r="Z1239" i="7"/>
  <c r="Y1239" i="7"/>
  <c r="AA1239" i="7" s="1"/>
  <c r="W1239" i="7"/>
  <c r="U1239" i="7"/>
  <c r="T1239" i="7"/>
  <c r="S1239" i="7"/>
  <c r="R1239" i="7"/>
  <c r="Z1238" i="7"/>
  <c r="Y1238" i="7"/>
  <c r="AA1238" i="7" s="1"/>
  <c r="W1238" i="7"/>
  <c r="U1238" i="7"/>
  <c r="T1238" i="7"/>
  <c r="S1238" i="7"/>
  <c r="R1238" i="7"/>
  <c r="Z1237" i="7"/>
  <c r="Y1237" i="7"/>
  <c r="AA1237" i="7" s="1"/>
  <c r="W1237" i="7"/>
  <c r="U1237" i="7"/>
  <c r="T1237" i="7"/>
  <c r="S1237" i="7"/>
  <c r="R1237" i="7"/>
  <c r="Z1236" i="7"/>
  <c r="Y1236" i="7"/>
  <c r="AA1236" i="7" s="1"/>
  <c r="W1236" i="7"/>
  <c r="U1236" i="7"/>
  <c r="T1236" i="7"/>
  <c r="S1236" i="7"/>
  <c r="R1236" i="7"/>
  <c r="Z1235" i="7"/>
  <c r="Y1235" i="7"/>
  <c r="AA1235" i="7" s="1"/>
  <c r="W1235" i="7"/>
  <c r="U1235" i="7"/>
  <c r="T1235" i="7"/>
  <c r="S1235" i="7"/>
  <c r="R1235" i="7"/>
  <c r="Z1234" i="7"/>
  <c r="Y1234" i="7"/>
  <c r="AA1234" i="7" s="1"/>
  <c r="W1234" i="7"/>
  <c r="U1234" i="7"/>
  <c r="T1234" i="7"/>
  <c r="S1234" i="7"/>
  <c r="R1234" i="7"/>
  <c r="Z1233" i="7"/>
  <c r="Y1233" i="7"/>
  <c r="AA1233" i="7" s="1"/>
  <c r="W1233" i="7"/>
  <c r="U1233" i="7"/>
  <c r="T1233" i="7"/>
  <c r="S1233" i="7"/>
  <c r="R1233" i="7"/>
  <c r="Z1232" i="7"/>
  <c r="Y1232" i="7"/>
  <c r="AA1232" i="7" s="1"/>
  <c r="W1232" i="7"/>
  <c r="U1232" i="7"/>
  <c r="T1232" i="7"/>
  <c r="S1232" i="7"/>
  <c r="R1232" i="7"/>
  <c r="Z1231" i="7"/>
  <c r="Y1231" i="7"/>
  <c r="AA1231" i="7" s="1"/>
  <c r="W1231" i="7"/>
  <c r="U1231" i="7"/>
  <c r="T1231" i="7"/>
  <c r="S1231" i="7"/>
  <c r="R1231" i="7"/>
  <c r="Z1230" i="7"/>
  <c r="Y1230" i="7"/>
  <c r="AA1230" i="7" s="1"/>
  <c r="W1230" i="7"/>
  <c r="U1230" i="7"/>
  <c r="T1230" i="7"/>
  <c r="S1230" i="7"/>
  <c r="R1230" i="7"/>
  <c r="Z1229" i="7"/>
  <c r="Y1229" i="7"/>
  <c r="AA1229" i="7" s="1"/>
  <c r="W1229" i="7"/>
  <c r="U1229" i="7"/>
  <c r="T1229" i="7"/>
  <c r="S1229" i="7"/>
  <c r="R1229" i="7"/>
  <c r="Z1228" i="7"/>
  <c r="Y1228" i="7"/>
  <c r="AA1228" i="7" s="1"/>
  <c r="W1228" i="7"/>
  <c r="U1228" i="7"/>
  <c r="T1228" i="7"/>
  <c r="S1228" i="7"/>
  <c r="R1228" i="7"/>
  <c r="Z1227" i="7"/>
  <c r="Y1227" i="7"/>
  <c r="AA1227" i="7" s="1"/>
  <c r="W1227" i="7"/>
  <c r="U1227" i="7"/>
  <c r="T1227" i="7"/>
  <c r="S1227" i="7"/>
  <c r="R1227" i="7"/>
  <c r="Z1226" i="7"/>
  <c r="Y1226" i="7"/>
  <c r="AA1226" i="7" s="1"/>
  <c r="W1226" i="7"/>
  <c r="U1226" i="7"/>
  <c r="T1226" i="7"/>
  <c r="S1226" i="7"/>
  <c r="R1226" i="7"/>
  <c r="Z1225" i="7"/>
  <c r="Y1225" i="7"/>
  <c r="AA1225" i="7" s="1"/>
  <c r="W1225" i="7"/>
  <c r="U1225" i="7"/>
  <c r="T1225" i="7"/>
  <c r="S1225" i="7"/>
  <c r="R1225" i="7"/>
  <c r="Z1224" i="7"/>
  <c r="Y1224" i="7"/>
  <c r="AA1224" i="7" s="1"/>
  <c r="W1224" i="7"/>
  <c r="U1224" i="7"/>
  <c r="T1224" i="7"/>
  <c r="S1224" i="7"/>
  <c r="R1224" i="7"/>
  <c r="Z1223" i="7"/>
  <c r="Y1223" i="7"/>
  <c r="AA1223" i="7" s="1"/>
  <c r="W1223" i="7"/>
  <c r="U1223" i="7"/>
  <c r="T1223" i="7"/>
  <c r="S1223" i="7"/>
  <c r="R1223" i="7"/>
  <c r="Z1222" i="7"/>
  <c r="Y1222" i="7"/>
  <c r="AA1222" i="7" s="1"/>
  <c r="W1222" i="7"/>
  <c r="U1222" i="7"/>
  <c r="T1222" i="7"/>
  <c r="S1222" i="7"/>
  <c r="R1222" i="7"/>
  <c r="Z1221" i="7"/>
  <c r="Y1221" i="7"/>
  <c r="AA1221" i="7" s="1"/>
  <c r="W1221" i="7"/>
  <c r="U1221" i="7"/>
  <c r="T1221" i="7"/>
  <c r="S1221" i="7"/>
  <c r="R1221" i="7"/>
  <c r="Z1220" i="7"/>
  <c r="Y1220" i="7"/>
  <c r="AA1220" i="7" s="1"/>
  <c r="W1220" i="7"/>
  <c r="U1220" i="7"/>
  <c r="T1220" i="7"/>
  <c r="S1220" i="7"/>
  <c r="R1220" i="7"/>
  <c r="Z1219" i="7"/>
  <c r="Y1219" i="7"/>
  <c r="AA1219" i="7" s="1"/>
  <c r="W1219" i="7"/>
  <c r="U1219" i="7"/>
  <c r="T1219" i="7"/>
  <c r="S1219" i="7"/>
  <c r="R1219" i="7"/>
  <c r="Z1218" i="7"/>
  <c r="Y1218" i="7"/>
  <c r="AA1218" i="7" s="1"/>
  <c r="W1218" i="7"/>
  <c r="U1218" i="7"/>
  <c r="T1218" i="7"/>
  <c r="S1218" i="7"/>
  <c r="R1218" i="7"/>
  <c r="Z1217" i="7"/>
  <c r="Y1217" i="7"/>
  <c r="AA1217" i="7" s="1"/>
  <c r="W1217" i="7"/>
  <c r="U1217" i="7"/>
  <c r="T1217" i="7"/>
  <c r="S1217" i="7"/>
  <c r="R1217" i="7"/>
  <c r="Z1216" i="7"/>
  <c r="Y1216" i="7"/>
  <c r="AA1216" i="7" s="1"/>
  <c r="W1216" i="7"/>
  <c r="U1216" i="7"/>
  <c r="T1216" i="7"/>
  <c r="S1216" i="7"/>
  <c r="R1216" i="7"/>
  <c r="Z1215" i="7"/>
  <c r="Y1215" i="7"/>
  <c r="AA1215" i="7" s="1"/>
  <c r="W1215" i="7"/>
  <c r="U1215" i="7"/>
  <c r="T1215" i="7"/>
  <c r="S1215" i="7"/>
  <c r="R1215" i="7"/>
  <c r="Z1214" i="7"/>
  <c r="Y1214" i="7"/>
  <c r="AA1214" i="7" s="1"/>
  <c r="W1214" i="7"/>
  <c r="U1214" i="7"/>
  <c r="T1214" i="7"/>
  <c r="S1214" i="7"/>
  <c r="R1214" i="7"/>
  <c r="Z1213" i="7"/>
  <c r="Y1213" i="7"/>
  <c r="AA1213" i="7" s="1"/>
  <c r="W1213" i="7"/>
  <c r="U1213" i="7"/>
  <c r="T1213" i="7"/>
  <c r="S1213" i="7"/>
  <c r="R1213" i="7"/>
  <c r="Z1212" i="7"/>
  <c r="Y1212" i="7"/>
  <c r="AA1212" i="7" s="1"/>
  <c r="W1212" i="7"/>
  <c r="U1212" i="7"/>
  <c r="T1212" i="7"/>
  <c r="S1212" i="7"/>
  <c r="R1212" i="7"/>
  <c r="Z1211" i="7"/>
  <c r="Y1211" i="7"/>
  <c r="AA1211" i="7" s="1"/>
  <c r="W1211" i="7"/>
  <c r="U1211" i="7"/>
  <c r="T1211" i="7"/>
  <c r="S1211" i="7"/>
  <c r="R1211" i="7"/>
  <c r="Z1210" i="7"/>
  <c r="Y1210" i="7"/>
  <c r="AA1210" i="7" s="1"/>
  <c r="W1210" i="7"/>
  <c r="U1210" i="7"/>
  <c r="T1210" i="7"/>
  <c r="S1210" i="7"/>
  <c r="R1210" i="7"/>
  <c r="Z1209" i="7"/>
  <c r="Y1209" i="7"/>
  <c r="AA1209" i="7" s="1"/>
  <c r="W1209" i="7"/>
  <c r="U1209" i="7"/>
  <c r="T1209" i="7"/>
  <c r="S1209" i="7"/>
  <c r="R1209" i="7"/>
  <c r="Z1208" i="7"/>
  <c r="Y1208" i="7"/>
  <c r="AA1208" i="7" s="1"/>
  <c r="W1208" i="7"/>
  <c r="U1208" i="7"/>
  <c r="T1208" i="7"/>
  <c r="S1208" i="7"/>
  <c r="R1208" i="7"/>
  <c r="Z1207" i="7"/>
  <c r="Y1207" i="7"/>
  <c r="AA1207" i="7" s="1"/>
  <c r="W1207" i="7"/>
  <c r="U1207" i="7"/>
  <c r="T1207" i="7"/>
  <c r="S1207" i="7"/>
  <c r="R1207" i="7"/>
  <c r="Z1206" i="7"/>
  <c r="Y1206" i="7"/>
  <c r="AA1206" i="7" s="1"/>
  <c r="W1206" i="7"/>
  <c r="U1206" i="7"/>
  <c r="T1206" i="7"/>
  <c r="S1206" i="7"/>
  <c r="R1206" i="7"/>
  <c r="Z1205" i="7"/>
  <c r="Y1205" i="7"/>
  <c r="AA1205" i="7" s="1"/>
  <c r="W1205" i="7"/>
  <c r="U1205" i="7"/>
  <c r="T1205" i="7"/>
  <c r="S1205" i="7"/>
  <c r="R1205" i="7"/>
  <c r="Z1204" i="7"/>
  <c r="Y1204" i="7"/>
  <c r="AA1204" i="7" s="1"/>
  <c r="W1204" i="7"/>
  <c r="U1204" i="7"/>
  <c r="T1204" i="7"/>
  <c r="S1204" i="7"/>
  <c r="R1204" i="7"/>
  <c r="Z1203" i="7"/>
  <c r="Y1203" i="7"/>
  <c r="AA1203" i="7" s="1"/>
  <c r="W1203" i="7"/>
  <c r="U1203" i="7"/>
  <c r="T1203" i="7"/>
  <c r="S1203" i="7"/>
  <c r="R1203" i="7"/>
  <c r="Z1202" i="7"/>
  <c r="Y1202" i="7"/>
  <c r="AA1202" i="7" s="1"/>
  <c r="W1202" i="7"/>
  <c r="U1202" i="7"/>
  <c r="T1202" i="7"/>
  <c r="S1202" i="7"/>
  <c r="R1202" i="7"/>
  <c r="Z1201" i="7"/>
  <c r="Y1201" i="7"/>
  <c r="AA1201" i="7" s="1"/>
  <c r="W1201" i="7"/>
  <c r="U1201" i="7"/>
  <c r="T1201" i="7"/>
  <c r="S1201" i="7"/>
  <c r="R1201" i="7"/>
  <c r="Z1200" i="7"/>
  <c r="Y1200" i="7"/>
  <c r="AA1200" i="7" s="1"/>
  <c r="W1200" i="7"/>
  <c r="U1200" i="7"/>
  <c r="T1200" i="7"/>
  <c r="S1200" i="7"/>
  <c r="R1200" i="7"/>
  <c r="Z1199" i="7"/>
  <c r="Y1199" i="7"/>
  <c r="AA1199" i="7" s="1"/>
  <c r="W1199" i="7"/>
  <c r="U1199" i="7"/>
  <c r="T1199" i="7"/>
  <c r="S1199" i="7"/>
  <c r="R1199" i="7"/>
  <c r="Z1198" i="7"/>
  <c r="Y1198" i="7"/>
  <c r="AA1198" i="7" s="1"/>
  <c r="W1198" i="7"/>
  <c r="U1198" i="7"/>
  <c r="T1198" i="7"/>
  <c r="S1198" i="7"/>
  <c r="R1198" i="7"/>
  <c r="Z1197" i="7"/>
  <c r="Y1197" i="7"/>
  <c r="AA1197" i="7" s="1"/>
  <c r="W1197" i="7"/>
  <c r="U1197" i="7"/>
  <c r="T1197" i="7"/>
  <c r="S1197" i="7"/>
  <c r="R1197" i="7"/>
  <c r="Z1196" i="7"/>
  <c r="Y1196" i="7"/>
  <c r="AA1196" i="7" s="1"/>
  <c r="W1196" i="7"/>
  <c r="U1196" i="7"/>
  <c r="T1196" i="7"/>
  <c r="S1196" i="7"/>
  <c r="R1196" i="7"/>
  <c r="Z1195" i="7"/>
  <c r="Y1195" i="7"/>
  <c r="AA1195" i="7" s="1"/>
  <c r="W1195" i="7"/>
  <c r="U1195" i="7"/>
  <c r="T1195" i="7"/>
  <c r="S1195" i="7"/>
  <c r="R1195" i="7"/>
  <c r="Z1194" i="7"/>
  <c r="Y1194" i="7"/>
  <c r="AA1194" i="7" s="1"/>
  <c r="W1194" i="7"/>
  <c r="U1194" i="7"/>
  <c r="T1194" i="7"/>
  <c r="S1194" i="7"/>
  <c r="R1194" i="7"/>
  <c r="Z1193" i="7"/>
  <c r="Y1193" i="7"/>
  <c r="AA1193" i="7" s="1"/>
  <c r="W1193" i="7"/>
  <c r="U1193" i="7"/>
  <c r="T1193" i="7"/>
  <c r="S1193" i="7"/>
  <c r="R1193" i="7"/>
  <c r="Z1192" i="7"/>
  <c r="Y1192" i="7"/>
  <c r="AA1192" i="7" s="1"/>
  <c r="W1192" i="7"/>
  <c r="U1192" i="7"/>
  <c r="T1192" i="7"/>
  <c r="S1192" i="7"/>
  <c r="R1192" i="7"/>
  <c r="Z1191" i="7"/>
  <c r="Y1191" i="7"/>
  <c r="AA1191" i="7" s="1"/>
  <c r="W1191" i="7"/>
  <c r="U1191" i="7"/>
  <c r="T1191" i="7"/>
  <c r="S1191" i="7"/>
  <c r="R1191" i="7"/>
  <c r="Z1190" i="7"/>
  <c r="Y1190" i="7"/>
  <c r="AA1190" i="7" s="1"/>
  <c r="W1190" i="7"/>
  <c r="U1190" i="7"/>
  <c r="T1190" i="7"/>
  <c r="S1190" i="7"/>
  <c r="R1190" i="7"/>
  <c r="Z1189" i="7"/>
  <c r="Y1189" i="7"/>
  <c r="AA1189" i="7" s="1"/>
  <c r="W1189" i="7"/>
  <c r="U1189" i="7"/>
  <c r="T1189" i="7"/>
  <c r="S1189" i="7"/>
  <c r="R1189" i="7"/>
  <c r="Z1188" i="7"/>
  <c r="Y1188" i="7"/>
  <c r="AA1188" i="7" s="1"/>
  <c r="W1188" i="7"/>
  <c r="U1188" i="7"/>
  <c r="T1188" i="7"/>
  <c r="S1188" i="7"/>
  <c r="R1188" i="7"/>
  <c r="Z1187" i="7"/>
  <c r="Y1187" i="7"/>
  <c r="AA1187" i="7" s="1"/>
  <c r="W1187" i="7"/>
  <c r="U1187" i="7"/>
  <c r="T1187" i="7"/>
  <c r="S1187" i="7"/>
  <c r="R1187" i="7"/>
  <c r="Z1186" i="7"/>
  <c r="Y1186" i="7"/>
  <c r="AA1186" i="7" s="1"/>
  <c r="W1186" i="7"/>
  <c r="U1186" i="7"/>
  <c r="T1186" i="7"/>
  <c r="S1186" i="7"/>
  <c r="R1186" i="7"/>
  <c r="Z1185" i="7"/>
  <c r="Y1185" i="7"/>
  <c r="AA1185" i="7" s="1"/>
  <c r="W1185" i="7"/>
  <c r="U1185" i="7"/>
  <c r="T1185" i="7"/>
  <c r="S1185" i="7"/>
  <c r="R1185" i="7"/>
  <c r="Z1184" i="7"/>
  <c r="Y1184" i="7"/>
  <c r="AA1184" i="7" s="1"/>
  <c r="W1184" i="7"/>
  <c r="U1184" i="7"/>
  <c r="T1184" i="7"/>
  <c r="S1184" i="7"/>
  <c r="R1184" i="7"/>
  <c r="Z1183" i="7"/>
  <c r="Y1183" i="7"/>
  <c r="AA1183" i="7" s="1"/>
  <c r="W1183" i="7"/>
  <c r="U1183" i="7"/>
  <c r="T1183" i="7"/>
  <c r="S1183" i="7"/>
  <c r="R1183" i="7"/>
  <c r="Z1182" i="7"/>
  <c r="Y1182" i="7"/>
  <c r="AA1182" i="7" s="1"/>
  <c r="W1182" i="7"/>
  <c r="U1182" i="7"/>
  <c r="T1182" i="7"/>
  <c r="S1182" i="7"/>
  <c r="R1182" i="7"/>
  <c r="Z1181" i="7"/>
  <c r="Y1181" i="7"/>
  <c r="AA1181" i="7" s="1"/>
  <c r="W1181" i="7"/>
  <c r="U1181" i="7"/>
  <c r="T1181" i="7"/>
  <c r="S1181" i="7"/>
  <c r="R1181" i="7"/>
  <c r="Z1180" i="7"/>
  <c r="Y1180" i="7"/>
  <c r="AA1180" i="7" s="1"/>
  <c r="W1180" i="7"/>
  <c r="U1180" i="7"/>
  <c r="T1180" i="7"/>
  <c r="S1180" i="7"/>
  <c r="R1180" i="7"/>
  <c r="Z1179" i="7"/>
  <c r="Y1179" i="7"/>
  <c r="AA1179" i="7" s="1"/>
  <c r="W1179" i="7"/>
  <c r="U1179" i="7"/>
  <c r="T1179" i="7"/>
  <c r="S1179" i="7"/>
  <c r="R1179" i="7"/>
  <c r="Z1178" i="7"/>
  <c r="Y1178" i="7"/>
  <c r="AA1178" i="7" s="1"/>
  <c r="W1178" i="7"/>
  <c r="U1178" i="7"/>
  <c r="T1178" i="7"/>
  <c r="S1178" i="7"/>
  <c r="R1178" i="7"/>
  <c r="Z1177" i="7"/>
  <c r="Y1177" i="7"/>
  <c r="AA1177" i="7" s="1"/>
  <c r="W1177" i="7"/>
  <c r="U1177" i="7"/>
  <c r="T1177" i="7"/>
  <c r="S1177" i="7"/>
  <c r="R1177" i="7"/>
  <c r="Z1176" i="7"/>
  <c r="Y1176" i="7"/>
  <c r="AA1176" i="7" s="1"/>
  <c r="W1176" i="7"/>
  <c r="U1176" i="7"/>
  <c r="T1176" i="7"/>
  <c r="S1176" i="7"/>
  <c r="R1176" i="7"/>
  <c r="Z1175" i="7"/>
  <c r="Y1175" i="7"/>
  <c r="AA1175" i="7" s="1"/>
  <c r="W1175" i="7"/>
  <c r="U1175" i="7"/>
  <c r="T1175" i="7"/>
  <c r="S1175" i="7"/>
  <c r="R1175" i="7"/>
  <c r="Z1174" i="7"/>
  <c r="Y1174" i="7"/>
  <c r="AA1174" i="7" s="1"/>
  <c r="W1174" i="7"/>
  <c r="U1174" i="7"/>
  <c r="T1174" i="7"/>
  <c r="S1174" i="7"/>
  <c r="R1174" i="7"/>
  <c r="Z1173" i="7"/>
  <c r="Y1173" i="7"/>
  <c r="AA1173" i="7" s="1"/>
  <c r="W1173" i="7"/>
  <c r="U1173" i="7"/>
  <c r="T1173" i="7"/>
  <c r="S1173" i="7"/>
  <c r="R1173" i="7"/>
  <c r="Z1172" i="7"/>
  <c r="Y1172" i="7"/>
  <c r="AA1172" i="7" s="1"/>
  <c r="W1172" i="7"/>
  <c r="U1172" i="7"/>
  <c r="T1172" i="7"/>
  <c r="S1172" i="7"/>
  <c r="R1172" i="7"/>
  <c r="Z1171" i="7"/>
  <c r="Y1171" i="7"/>
  <c r="AA1171" i="7" s="1"/>
  <c r="W1171" i="7"/>
  <c r="U1171" i="7"/>
  <c r="T1171" i="7"/>
  <c r="S1171" i="7"/>
  <c r="R1171" i="7"/>
  <c r="Z1170" i="7"/>
  <c r="Y1170" i="7"/>
  <c r="AA1170" i="7" s="1"/>
  <c r="W1170" i="7"/>
  <c r="U1170" i="7"/>
  <c r="T1170" i="7"/>
  <c r="S1170" i="7"/>
  <c r="R1170" i="7"/>
  <c r="Z1169" i="7"/>
  <c r="Y1169" i="7"/>
  <c r="AA1169" i="7" s="1"/>
  <c r="W1169" i="7"/>
  <c r="U1169" i="7"/>
  <c r="T1169" i="7"/>
  <c r="S1169" i="7"/>
  <c r="R1169" i="7"/>
  <c r="Z1168" i="7"/>
  <c r="Y1168" i="7"/>
  <c r="AA1168" i="7" s="1"/>
  <c r="W1168" i="7"/>
  <c r="U1168" i="7"/>
  <c r="T1168" i="7"/>
  <c r="S1168" i="7"/>
  <c r="R1168" i="7"/>
  <c r="Z1167" i="7"/>
  <c r="Y1167" i="7"/>
  <c r="AA1167" i="7" s="1"/>
  <c r="W1167" i="7"/>
  <c r="U1167" i="7"/>
  <c r="T1167" i="7"/>
  <c r="S1167" i="7"/>
  <c r="R1167" i="7"/>
  <c r="Z1166" i="7"/>
  <c r="Y1166" i="7"/>
  <c r="AA1166" i="7" s="1"/>
  <c r="W1166" i="7"/>
  <c r="U1166" i="7"/>
  <c r="T1166" i="7"/>
  <c r="S1166" i="7"/>
  <c r="R1166" i="7"/>
  <c r="Z1165" i="7"/>
  <c r="Y1165" i="7"/>
  <c r="AA1165" i="7" s="1"/>
  <c r="W1165" i="7"/>
  <c r="U1165" i="7"/>
  <c r="T1165" i="7"/>
  <c r="S1165" i="7"/>
  <c r="R1165" i="7"/>
  <c r="Z1164" i="7"/>
  <c r="Y1164" i="7"/>
  <c r="AA1164" i="7" s="1"/>
  <c r="W1164" i="7"/>
  <c r="U1164" i="7"/>
  <c r="T1164" i="7"/>
  <c r="S1164" i="7"/>
  <c r="R1164" i="7"/>
  <c r="Z1163" i="7"/>
  <c r="Y1163" i="7"/>
  <c r="AA1163" i="7" s="1"/>
  <c r="W1163" i="7"/>
  <c r="U1163" i="7"/>
  <c r="T1163" i="7"/>
  <c r="S1163" i="7"/>
  <c r="R1163" i="7"/>
  <c r="Z1162" i="7"/>
  <c r="Y1162" i="7"/>
  <c r="AA1162" i="7" s="1"/>
  <c r="W1162" i="7"/>
  <c r="U1162" i="7"/>
  <c r="T1162" i="7"/>
  <c r="S1162" i="7"/>
  <c r="R1162" i="7"/>
  <c r="Z1161" i="7"/>
  <c r="Y1161" i="7"/>
  <c r="AA1161" i="7" s="1"/>
  <c r="W1161" i="7"/>
  <c r="U1161" i="7"/>
  <c r="T1161" i="7"/>
  <c r="S1161" i="7"/>
  <c r="R1161" i="7"/>
  <c r="Z1160" i="7"/>
  <c r="Y1160" i="7"/>
  <c r="AA1160" i="7" s="1"/>
  <c r="W1160" i="7"/>
  <c r="U1160" i="7"/>
  <c r="T1160" i="7"/>
  <c r="S1160" i="7"/>
  <c r="R1160" i="7"/>
  <c r="Z1159" i="7"/>
  <c r="Y1159" i="7"/>
  <c r="AA1159" i="7" s="1"/>
  <c r="W1159" i="7"/>
  <c r="U1159" i="7"/>
  <c r="T1159" i="7"/>
  <c r="S1159" i="7"/>
  <c r="R1159" i="7"/>
  <c r="Z1158" i="7"/>
  <c r="Y1158" i="7"/>
  <c r="AA1158" i="7" s="1"/>
  <c r="W1158" i="7"/>
  <c r="U1158" i="7"/>
  <c r="T1158" i="7"/>
  <c r="S1158" i="7"/>
  <c r="R1158" i="7"/>
  <c r="Z1157" i="7"/>
  <c r="Y1157" i="7"/>
  <c r="AA1157" i="7" s="1"/>
  <c r="W1157" i="7"/>
  <c r="U1157" i="7"/>
  <c r="T1157" i="7"/>
  <c r="S1157" i="7"/>
  <c r="R1157" i="7"/>
  <c r="Z1156" i="7"/>
  <c r="Y1156" i="7"/>
  <c r="AA1156" i="7" s="1"/>
  <c r="W1156" i="7"/>
  <c r="U1156" i="7"/>
  <c r="T1156" i="7"/>
  <c r="S1156" i="7"/>
  <c r="R1156" i="7"/>
  <c r="Z1155" i="7"/>
  <c r="Y1155" i="7"/>
  <c r="AA1155" i="7" s="1"/>
  <c r="W1155" i="7"/>
  <c r="U1155" i="7"/>
  <c r="T1155" i="7"/>
  <c r="S1155" i="7"/>
  <c r="R1155" i="7"/>
  <c r="Z1154" i="7"/>
  <c r="Y1154" i="7"/>
  <c r="AA1154" i="7" s="1"/>
  <c r="W1154" i="7"/>
  <c r="U1154" i="7"/>
  <c r="T1154" i="7"/>
  <c r="S1154" i="7"/>
  <c r="R1154" i="7"/>
  <c r="Z1153" i="7"/>
  <c r="Y1153" i="7"/>
  <c r="AA1153" i="7" s="1"/>
  <c r="W1153" i="7"/>
  <c r="U1153" i="7"/>
  <c r="T1153" i="7"/>
  <c r="S1153" i="7"/>
  <c r="R1153" i="7"/>
  <c r="Z1152" i="7"/>
  <c r="Y1152" i="7"/>
  <c r="AA1152" i="7" s="1"/>
  <c r="W1152" i="7"/>
  <c r="U1152" i="7"/>
  <c r="T1152" i="7"/>
  <c r="S1152" i="7"/>
  <c r="R1152" i="7"/>
  <c r="Z1151" i="7"/>
  <c r="Y1151" i="7"/>
  <c r="AA1151" i="7" s="1"/>
  <c r="W1151" i="7"/>
  <c r="U1151" i="7"/>
  <c r="T1151" i="7"/>
  <c r="S1151" i="7"/>
  <c r="R1151" i="7"/>
  <c r="Z1150" i="7"/>
  <c r="Y1150" i="7"/>
  <c r="AA1150" i="7" s="1"/>
  <c r="W1150" i="7"/>
  <c r="U1150" i="7"/>
  <c r="T1150" i="7"/>
  <c r="S1150" i="7"/>
  <c r="R1150" i="7"/>
  <c r="Z1149" i="7"/>
  <c r="Y1149" i="7"/>
  <c r="AA1149" i="7" s="1"/>
  <c r="W1149" i="7"/>
  <c r="U1149" i="7"/>
  <c r="T1149" i="7"/>
  <c r="S1149" i="7"/>
  <c r="R1149" i="7"/>
  <c r="Z1148" i="7"/>
  <c r="Y1148" i="7"/>
  <c r="AA1148" i="7" s="1"/>
  <c r="W1148" i="7"/>
  <c r="U1148" i="7"/>
  <c r="T1148" i="7"/>
  <c r="S1148" i="7"/>
  <c r="R1148" i="7"/>
  <c r="Z1147" i="7"/>
  <c r="Y1147" i="7"/>
  <c r="AA1147" i="7" s="1"/>
  <c r="W1147" i="7"/>
  <c r="U1147" i="7"/>
  <c r="T1147" i="7"/>
  <c r="S1147" i="7"/>
  <c r="R1147" i="7"/>
  <c r="Z1146" i="7"/>
  <c r="Y1146" i="7"/>
  <c r="AA1146" i="7" s="1"/>
  <c r="W1146" i="7"/>
  <c r="U1146" i="7"/>
  <c r="T1146" i="7"/>
  <c r="S1146" i="7"/>
  <c r="R1146" i="7"/>
  <c r="Z1145" i="7"/>
  <c r="Y1145" i="7"/>
  <c r="AA1145" i="7" s="1"/>
  <c r="W1145" i="7"/>
  <c r="U1145" i="7"/>
  <c r="T1145" i="7"/>
  <c r="S1145" i="7"/>
  <c r="R1145" i="7"/>
  <c r="Z1144" i="7"/>
  <c r="Y1144" i="7"/>
  <c r="AA1144" i="7" s="1"/>
  <c r="W1144" i="7"/>
  <c r="U1144" i="7"/>
  <c r="T1144" i="7"/>
  <c r="S1144" i="7"/>
  <c r="R1144" i="7"/>
  <c r="Z1143" i="7"/>
  <c r="Y1143" i="7"/>
  <c r="AA1143" i="7" s="1"/>
  <c r="W1143" i="7"/>
  <c r="U1143" i="7"/>
  <c r="T1143" i="7"/>
  <c r="S1143" i="7"/>
  <c r="R1143" i="7"/>
  <c r="Z1142" i="7"/>
  <c r="Y1142" i="7"/>
  <c r="AA1142" i="7" s="1"/>
  <c r="W1142" i="7"/>
  <c r="U1142" i="7"/>
  <c r="T1142" i="7"/>
  <c r="S1142" i="7"/>
  <c r="R1142" i="7"/>
  <c r="Z1141" i="7"/>
  <c r="Y1141" i="7"/>
  <c r="AA1141" i="7" s="1"/>
  <c r="W1141" i="7"/>
  <c r="U1141" i="7"/>
  <c r="T1141" i="7"/>
  <c r="S1141" i="7"/>
  <c r="R1141" i="7"/>
  <c r="Z1140" i="7"/>
  <c r="Y1140" i="7"/>
  <c r="AA1140" i="7" s="1"/>
  <c r="W1140" i="7"/>
  <c r="U1140" i="7"/>
  <c r="T1140" i="7"/>
  <c r="S1140" i="7"/>
  <c r="R1140" i="7"/>
  <c r="Z1139" i="7"/>
  <c r="Y1139" i="7"/>
  <c r="AA1139" i="7" s="1"/>
  <c r="W1139" i="7"/>
  <c r="U1139" i="7"/>
  <c r="T1139" i="7"/>
  <c r="S1139" i="7"/>
  <c r="R1139" i="7"/>
  <c r="Z1138" i="7"/>
  <c r="Y1138" i="7"/>
  <c r="AA1138" i="7" s="1"/>
  <c r="W1138" i="7"/>
  <c r="U1138" i="7"/>
  <c r="T1138" i="7"/>
  <c r="S1138" i="7"/>
  <c r="R1138" i="7"/>
  <c r="Z1137" i="7"/>
  <c r="Y1137" i="7"/>
  <c r="AA1137" i="7" s="1"/>
  <c r="W1137" i="7"/>
  <c r="U1137" i="7"/>
  <c r="T1137" i="7"/>
  <c r="S1137" i="7"/>
  <c r="R1137" i="7"/>
  <c r="Z1136" i="7"/>
  <c r="Y1136" i="7"/>
  <c r="AA1136" i="7" s="1"/>
  <c r="W1136" i="7"/>
  <c r="U1136" i="7"/>
  <c r="T1136" i="7"/>
  <c r="S1136" i="7"/>
  <c r="R1136" i="7"/>
  <c r="Z1135" i="7"/>
  <c r="Y1135" i="7"/>
  <c r="AA1135" i="7" s="1"/>
  <c r="W1135" i="7"/>
  <c r="U1135" i="7"/>
  <c r="T1135" i="7"/>
  <c r="S1135" i="7"/>
  <c r="R1135" i="7"/>
  <c r="Z1134" i="7"/>
  <c r="Y1134" i="7"/>
  <c r="AA1134" i="7" s="1"/>
  <c r="W1134" i="7"/>
  <c r="U1134" i="7"/>
  <c r="T1134" i="7"/>
  <c r="S1134" i="7"/>
  <c r="R1134" i="7"/>
  <c r="Z1133" i="7"/>
  <c r="Y1133" i="7"/>
  <c r="AA1133" i="7" s="1"/>
  <c r="W1133" i="7"/>
  <c r="U1133" i="7"/>
  <c r="T1133" i="7"/>
  <c r="S1133" i="7"/>
  <c r="R1133" i="7"/>
  <c r="Z1132" i="7"/>
  <c r="Y1132" i="7"/>
  <c r="AA1132" i="7" s="1"/>
  <c r="W1132" i="7"/>
  <c r="U1132" i="7"/>
  <c r="T1132" i="7"/>
  <c r="S1132" i="7"/>
  <c r="R1132" i="7"/>
  <c r="Z1131" i="7"/>
  <c r="Y1131" i="7"/>
  <c r="AA1131" i="7" s="1"/>
  <c r="W1131" i="7"/>
  <c r="U1131" i="7"/>
  <c r="T1131" i="7"/>
  <c r="S1131" i="7"/>
  <c r="R1131" i="7"/>
  <c r="Z1130" i="7"/>
  <c r="Y1130" i="7"/>
  <c r="AA1130" i="7" s="1"/>
  <c r="W1130" i="7"/>
  <c r="U1130" i="7"/>
  <c r="T1130" i="7"/>
  <c r="S1130" i="7"/>
  <c r="R1130" i="7"/>
  <c r="Z1129" i="7"/>
  <c r="Y1129" i="7"/>
  <c r="AA1129" i="7" s="1"/>
  <c r="W1129" i="7"/>
  <c r="U1129" i="7"/>
  <c r="T1129" i="7"/>
  <c r="S1129" i="7"/>
  <c r="R1129" i="7"/>
  <c r="Z1128" i="7"/>
  <c r="Y1128" i="7"/>
  <c r="AA1128" i="7" s="1"/>
  <c r="W1128" i="7"/>
  <c r="U1128" i="7"/>
  <c r="T1128" i="7"/>
  <c r="S1128" i="7"/>
  <c r="R1128" i="7"/>
  <c r="Z1127" i="7"/>
  <c r="Y1127" i="7"/>
  <c r="AA1127" i="7" s="1"/>
  <c r="W1127" i="7"/>
  <c r="U1127" i="7"/>
  <c r="T1127" i="7"/>
  <c r="S1127" i="7"/>
  <c r="R1127" i="7"/>
  <c r="Z1126" i="7"/>
  <c r="Y1126" i="7"/>
  <c r="AA1126" i="7" s="1"/>
  <c r="W1126" i="7"/>
  <c r="U1126" i="7"/>
  <c r="T1126" i="7"/>
  <c r="S1126" i="7"/>
  <c r="R1126" i="7"/>
  <c r="Z1125" i="7"/>
  <c r="Y1125" i="7"/>
  <c r="AA1125" i="7" s="1"/>
  <c r="W1125" i="7"/>
  <c r="U1125" i="7"/>
  <c r="T1125" i="7"/>
  <c r="S1125" i="7"/>
  <c r="R1125" i="7"/>
  <c r="Z1124" i="7"/>
  <c r="Y1124" i="7"/>
  <c r="AA1124" i="7" s="1"/>
  <c r="W1124" i="7"/>
  <c r="U1124" i="7"/>
  <c r="T1124" i="7"/>
  <c r="S1124" i="7"/>
  <c r="R1124" i="7"/>
  <c r="Z1123" i="7"/>
  <c r="Y1123" i="7"/>
  <c r="AA1123" i="7" s="1"/>
  <c r="W1123" i="7"/>
  <c r="U1123" i="7"/>
  <c r="T1123" i="7"/>
  <c r="S1123" i="7"/>
  <c r="R1123" i="7"/>
  <c r="Z1122" i="7"/>
  <c r="Y1122" i="7"/>
  <c r="AA1122" i="7" s="1"/>
  <c r="W1122" i="7"/>
  <c r="U1122" i="7"/>
  <c r="T1122" i="7"/>
  <c r="S1122" i="7"/>
  <c r="R1122" i="7"/>
  <c r="Z1121" i="7"/>
  <c r="Y1121" i="7"/>
  <c r="AA1121" i="7" s="1"/>
  <c r="W1121" i="7"/>
  <c r="U1121" i="7"/>
  <c r="T1121" i="7"/>
  <c r="S1121" i="7"/>
  <c r="R1121" i="7"/>
  <c r="Z1120" i="7"/>
  <c r="Y1120" i="7"/>
  <c r="AA1120" i="7" s="1"/>
  <c r="W1120" i="7"/>
  <c r="U1120" i="7"/>
  <c r="T1120" i="7"/>
  <c r="S1120" i="7"/>
  <c r="R1120" i="7"/>
  <c r="Z1119" i="7"/>
  <c r="Y1119" i="7"/>
  <c r="AA1119" i="7" s="1"/>
  <c r="W1119" i="7"/>
  <c r="U1119" i="7"/>
  <c r="T1119" i="7"/>
  <c r="S1119" i="7"/>
  <c r="R1119" i="7"/>
  <c r="Z1118" i="7"/>
  <c r="Y1118" i="7"/>
  <c r="AA1118" i="7" s="1"/>
  <c r="W1118" i="7"/>
  <c r="U1118" i="7"/>
  <c r="T1118" i="7"/>
  <c r="S1118" i="7"/>
  <c r="R1118" i="7"/>
  <c r="Z1117" i="7"/>
  <c r="Y1117" i="7"/>
  <c r="AA1117" i="7" s="1"/>
  <c r="W1117" i="7"/>
  <c r="U1117" i="7"/>
  <c r="T1117" i="7"/>
  <c r="S1117" i="7"/>
  <c r="R1117" i="7"/>
  <c r="Z1116" i="7"/>
  <c r="Y1116" i="7"/>
  <c r="AA1116" i="7" s="1"/>
  <c r="W1116" i="7"/>
  <c r="U1116" i="7"/>
  <c r="T1116" i="7"/>
  <c r="S1116" i="7"/>
  <c r="R1116" i="7"/>
  <c r="Z1115" i="7"/>
  <c r="Y1115" i="7"/>
  <c r="AA1115" i="7" s="1"/>
  <c r="W1115" i="7"/>
  <c r="U1115" i="7"/>
  <c r="T1115" i="7"/>
  <c r="S1115" i="7"/>
  <c r="R1115" i="7"/>
  <c r="Z1114" i="7"/>
  <c r="Y1114" i="7"/>
  <c r="AA1114" i="7" s="1"/>
  <c r="W1114" i="7"/>
  <c r="U1114" i="7"/>
  <c r="T1114" i="7"/>
  <c r="S1114" i="7"/>
  <c r="R1114" i="7"/>
  <c r="Z1113" i="7"/>
  <c r="Y1113" i="7"/>
  <c r="AA1113" i="7" s="1"/>
  <c r="W1113" i="7"/>
  <c r="U1113" i="7"/>
  <c r="T1113" i="7"/>
  <c r="S1113" i="7"/>
  <c r="R1113" i="7"/>
  <c r="Z1112" i="7"/>
  <c r="Y1112" i="7"/>
  <c r="AA1112" i="7" s="1"/>
  <c r="W1112" i="7"/>
  <c r="U1112" i="7"/>
  <c r="T1112" i="7"/>
  <c r="S1112" i="7"/>
  <c r="R1112" i="7"/>
  <c r="Z1111" i="7"/>
  <c r="Y1111" i="7"/>
  <c r="AA1111" i="7" s="1"/>
  <c r="W1111" i="7"/>
  <c r="U1111" i="7"/>
  <c r="T1111" i="7"/>
  <c r="S1111" i="7"/>
  <c r="R1111" i="7"/>
  <c r="Z1110" i="7"/>
  <c r="Y1110" i="7"/>
  <c r="AA1110" i="7" s="1"/>
  <c r="W1110" i="7"/>
  <c r="U1110" i="7"/>
  <c r="T1110" i="7"/>
  <c r="S1110" i="7"/>
  <c r="R1110" i="7"/>
  <c r="Z1109" i="7"/>
  <c r="Y1109" i="7"/>
  <c r="AA1109" i="7" s="1"/>
  <c r="W1109" i="7"/>
  <c r="U1109" i="7"/>
  <c r="T1109" i="7"/>
  <c r="S1109" i="7"/>
  <c r="R1109" i="7"/>
  <c r="Z1108" i="7"/>
  <c r="Y1108" i="7"/>
  <c r="AA1108" i="7" s="1"/>
  <c r="W1108" i="7"/>
  <c r="U1108" i="7"/>
  <c r="T1108" i="7"/>
  <c r="S1108" i="7"/>
  <c r="R1108" i="7"/>
  <c r="Z1107" i="7"/>
  <c r="Y1107" i="7"/>
  <c r="AA1107" i="7" s="1"/>
  <c r="W1107" i="7"/>
  <c r="U1107" i="7"/>
  <c r="T1107" i="7"/>
  <c r="S1107" i="7"/>
  <c r="R1107" i="7"/>
  <c r="Z1106" i="7"/>
  <c r="Y1106" i="7"/>
  <c r="AA1106" i="7" s="1"/>
  <c r="W1106" i="7"/>
  <c r="U1106" i="7"/>
  <c r="T1106" i="7"/>
  <c r="S1106" i="7"/>
  <c r="R1106" i="7"/>
  <c r="Z1105" i="7"/>
  <c r="Y1105" i="7"/>
  <c r="AA1105" i="7" s="1"/>
  <c r="W1105" i="7"/>
  <c r="U1105" i="7"/>
  <c r="T1105" i="7"/>
  <c r="S1105" i="7"/>
  <c r="R1105" i="7"/>
  <c r="Z1104" i="7"/>
  <c r="Y1104" i="7"/>
  <c r="AA1104" i="7" s="1"/>
  <c r="W1104" i="7"/>
  <c r="U1104" i="7"/>
  <c r="T1104" i="7"/>
  <c r="S1104" i="7"/>
  <c r="R1104" i="7"/>
  <c r="Z1103" i="7"/>
  <c r="Y1103" i="7"/>
  <c r="AA1103" i="7" s="1"/>
  <c r="W1103" i="7"/>
  <c r="U1103" i="7"/>
  <c r="T1103" i="7"/>
  <c r="S1103" i="7"/>
  <c r="R1103" i="7"/>
  <c r="Z1102" i="7"/>
  <c r="Y1102" i="7"/>
  <c r="AA1102" i="7" s="1"/>
  <c r="W1102" i="7"/>
  <c r="U1102" i="7"/>
  <c r="T1102" i="7"/>
  <c r="S1102" i="7"/>
  <c r="R1102" i="7"/>
  <c r="Z1101" i="7"/>
  <c r="Y1101" i="7"/>
  <c r="AA1101" i="7" s="1"/>
  <c r="W1101" i="7"/>
  <c r="U1101" i="7"/>
  <c r="T1101" i="7"/>
  <c r="S1101" i="7"/>
  <c r="R1101" i="7"/>
  <c r="Z1100" i="7"/>
  <c r="Y1100" i="7"/>
  <c r="AA1100" i="7" s="1"/>
  <c r="W1100" i="7"/>
  <c r="U1100" i="7"/>
  <c r="T1100" i="7"/>
  <c r="S1100" i="7"/>
  <c r="R1100" i="7"/>
  <c r="Z1099" i="7"/>
  <c r="Y1099" i="7"/>
  <c r="AA1099" i="7" s="1"/>
  <c r="W1099" i="7"/>
  <c r="U1099" i="7"/>
  <c r="T1099" i="7"/>
  <c r="S1099" i="7"/>
  <c r="R1099" i="7"/>
  <c r="Z1098" i="7"/>
  <c r="Y1098" i="7"/>
  <c r="AA1098" i="7" s="1"/>
  <c r="W1098" i="7"/>
  <c r="U1098" i="7"/>
  <c r="T1098" i="7"/>
  <c r="S1098" i="7"/>
  <c r="R1098" i="7"/>
  <c r="Z1097" i="7"/>
  <c r="Y1097" i="7"/>
  <c r="AA1097" i="7" s="1"/>
  <c r="W1097" i="7"/>
  <c r="U1097" i="7"/>
  <c r="T1097" i="7"/>
  <c r="S1097" i="7"/>
  <c r="R1097" i="7"/>
  <c r="Z1096" i="7"/>
  <c r="Y1096" i="7"/>
  <c r="AA1096" i="7" s="1"/>
  <c r="W1096" i="7"/>
  <c r="U1096" i="7"/>
  <c r="T1096" i="7"/>
  <c r="S1096" i="7"/>
  <c r="R1096" i="7"/>
  <c r="Z1095" i="7"/>
  <c r="Y1095" i="7"/>
  <c r="AA1095" i="7" s="1"/>
  <c r="W1095" i="7"/>
  <c r="U1095" i="7"/>
  <c r="T1095" i="7"/>
  <c r="S1095" i="7"/>
  <c r="R1095" i="7"/>
  <c r="Z1094" i="7"/>
  <c r="Y1094" i="7"/>
  <c r="AA1094" i="7" s="1"/>
  <c r="W1094" i="7"/>
  <c r="U1094" i="7"/>
  <c r="V1094" i="7" s="1"/>
  <c r="T1094" i="7"/>
  <c r="S1094" i="7"/>
  <c r="R1094" i="7"/>
  <c r="Z1093" i="7"/>
  <c r="Y1093" i="7"/>
  <c r="AA1093" i="7" s="1"/>
  <c r="W1093" i="7"/>
  <c r="U1093" i="7"/>
  <c r="T1093" i="7"/>
  <c r="S1093" i="7"/>
  <c r="R1093" i="7"/>
  <c r="Z1092" i="7"/>
  <c r="Y1092" i="7"/>
  <c r="AA1092" i="7" s="1"/>
  <c r="W1092" i="7"/>
  <c r="U1092" i="7"/>
  <c r="T1092" i="7"/>
  <c r="S1092" i="7"/>
  <c r="R1092" i="7"/>
  <c r="Z1091" i="7"/>
  <c r="Y1091" i="7"/>
  <c r="AA1091" i="7" s="1"/>
  <c r="W1091" i="7"/>
  <c r="U1091" i="7"/>
  <c r="T1091" i="7"/>
  <c r="S1091" i="7"/>
  <c r="R1091" i="7"/>
  <c r="Z1090" i="7"/>
  <c r="Y1090" i="7"/>
  <c r="AA1090" i="7" s="1"/>
  <c r="W1090" i="7"/>
  <c r="U1090" i="7"/>
  <c r="T1090" i="7"/>
  <c r="S1090" i="7"/>
  <c r="R1090" i="7"/>
  <c r="Z1089" i="7"/>
  <c r="Y1089" i="7"/>
  <c r="AA1089" i="7" s="1"/>
  <c r="W1089" i="7"/>
  <c r="U1089" i="7"/>
  <c r="T1089" i="7"/>
  <c r="S1089" i="7"/>
  <c r="R1089" i="7"/>
  <c r="Z1088" i="7"/>
  <c r="Y1088" i="7"/>
  <c r="AA1088" i="7" s="1"/>
  <c r="W1088" i="7"/>
  <c r="U1088" i="7"/>
  <c r="T1088" i="7"/>
  <c r="S1088" i="7"/>
  <c r="R1088" i="7"/>
  <c r="Z1087" i="7"/>
  <c r="Y1087" i="7"/>
  <c r="AA1087" i="7" s="1"/>
  <c r="W1087" i="7"/>
  <c r="U1087" i="7"/>
  <c r="T1087" i="7"/>
  <c r="S1087" i="7"/>
  <c r="R1087" i="7"/>
  <c r="Z1086" i="7"/>
  <c r="Y1086" i="7"/>
  <c r="AA1086" i="7" s="1"/>
  <c r="W1086" i="7"/>
  <c r="U1086" i="7"/>
  <c r="T1086" i="7"/>
  <c r="S1086" i="7"/>
  <c r="R1086" i="7"/>
  <c r="Z1085" i="7"/>
  <c r="Y1085" i="7"/>
  <c r="AA1085" i="7" s="1"/>
  <c r="W1085" i="7"/>
  <c r="U1085" i="7"/>
  <c r="T1085" i="7"/>
  <c r="S1085" i="7"/>
  <c r="R1085" i="7"/>
  <c r="Z1084" i="7"/>
  <c r="Y1084" i="7"/>
  <c r="AA1084" i="7" s="1"/>
  <c r="W1084" i="7"/>
  <c r="U1084" i="7"/>
  <c r="T1084" i="7"/>
  <c r="S1084" i="7"/>
  <c r="R1084" i="7"/>
  <c r="Z1083" i="7"/>
  <c r="Y1083" i="7"/>
  <c r="AA1083" i="7" s="1"/>
  <c r="W1083" i="7"/>
  <c r="U1083" i="7"/>
  <c r="T1083" i="7"/>
  <c r="S1083" i="7"/>
  <c r="R1083" i="7"/>
  <c r="Z1082" i="7"/>
  <c r="Y1082" i="7"/>
  <c r="AA1082" i="7" s="1"/>
  <c r="W1082" i="7"/>
  <c r="U1082" i="7"/>
  <c r="T1082" i="7"/>
  <c r="S1082" i="7"/>
  <c r="R1082" i="7"/>
  <c r="Z1081" i="7"/>
  <c r="Y1081" i="7"/>
  <c r="AA1081" i="7" s="1"/>
  <c r="W1081" i="7"/>
  <c r="U1081" i="7"/>
  <c r="T1081" i="7"/>
  <c r="S1081" i="7"/>
  <c r="R1081" i="7"/>
  <c r="Z1080" i="7"/>
  <c r="Y1080" i="7"/>
  <c r="AA1080" i="7" s="1"/>
  <c r="W1080" i="7"/>
  <c r="U1080" i="7"/>
  <c r="T1080" i="7"/>
  <c r="S1080" i="7"/>
  <c r="R1080" i="7"/>
  <c r="Z1079" i="7"/>
  <c r="Y1079" i="7"/>
  <c r="AA1079" i="7" s="1"/>
  <c r="W1079" i="7"/>
  <c r="U1079" i="7"/>
  <c r="T1079" i="7"/>
  <c r="S1079" i="7"/>
  <c r="R1079" i="7"/>
  <c r="Z1078" i="7"/>
  <c r="Y1078" i="7"/>
  <c r="AA1078" i="7" s="1"/>
  <c r="W1078" i="7"/>
  <c r="U1078" i="7"/>
  <c r="T1078" i="7"/>
  <c r="S1078" i="7"/>
  <c r="R1078" i="7"/>
  <c r="Z1077" i="7"/>
  <c r="Y1077" i="7"/>
  <c r="AA1077" i="7" s="1"/>
  <c r="W1077" i="7"/>
  <c r="U1077" i="7"/>
  <c r="T1077" i="7"/>
  <c r="S1077" i="7"/>
  <c r="R1077" i="7"/>
  <c r="Z1076" i="7"/>
  <c r="Y1076" i="7"/>
  <c r="AA1076" i="7" s="1"/>
  <c r="W1076" i="7"/>
  <c r="U1076" i="7"/>
  <c r="T1076" i="7"/>
  <c r="S1076" i="7"/>
  <c r="R1076" i="7"/>
  <c r="Z1075" i="7"/>
  <c r="Y1075" i="7"/>
  <c r="AA1075" i="7" s="1"/>
  <c r="W1075" i="7"/>
  <c r="U1075" i="7"/>
  <c r="T1075" i="7"/>
  <c r="S1075" i="7"/>
  <c r="R1075" i="7"/>
  <c r="Z1074" i="7"/>
  <c r="Y1074" i="7"/>
  <c r="AA1074" i="7" s="1"/>
  <c r="W1074" i="7"/>
  <c r="U1074" i="7"/>
  <c r="T1074" i="7"/>
  <c r="S1074" i="7"/>
  <c r="R1074" i="7"/>
  <c r="Z1073" i="7"/>
  <c r="Y1073" i="7"/>
  <c r="AA1073" i="7" s="1"/>
  <c r="W1073" i="7"/>
  <c r="U1073" i="7"/>
  <c r="T1073" i="7"/>
  <c r="S1073" i="7"/>
  <c r="R1073" i="7"/>
  <c r="Z1072" i="7"/>
  <c r="Y1072" i="7"/>
  <c r="AA1072" i="7" s="1"/>
  <c r="W1072" i="7"/>
  <c r="U1072" i="7"/>
  <c r="T1072" i="7"/>
  <c r="S1072" i="7"/>
  <c r="R1072" i="7"/>
  <c r="Z1071" i="7"/>
  <c r="Y1071" i="7"/>
  <c r="AA1071" i="7" s="1"/>
  <c r="W1071" i="7"/>
  <c r="U1071" i="7"/>
  <c r="T1071" i="7"/>
  <c r="S1071" i="7"/>
  <c r="R1071" i="7"/>
  <c r="Z1070" i="7"/>
  <c r="Y1070" i="7"/>
  <c r="AA1070" i="7" s="1"/>
  <c r="W1070" i="7"/>
  <c r="U1070" i="7"/>
  <c r="T1070" i="7"/>
  <c r="S1070" i="7"/>
  <c r="R1070" i="7"/>
  <c r="Z1069" i="7"/>
  <c r="Y1069" i="7"/>
  <c r="AA1069" i="7" s="1"/>
  <c r="W1069" i="7"/>
  <c r="U1069" i="7"/>
  <c r="T1069" i="7"/>
  <c r="S1069" i="7"/>
  <c r="R1069" i="7"/>
  <c r="Z1068" i="7"/>
  <c r="Y1068" i="7"/>
  <c r="AA1068" i="7" s="1"/>
  <c r="W1068" i="7"/>
  <c r="U1068" i="7"/>
  <c r="T1068" i="7"/>
  <c r="S1068" i="7"/>
  <c r="R1068" i="7"/>
  <c r="Z1067" i="7"/>
  <c r="Y1067" i="7"/>
  <c r="AA1067" i="7" s="1"/>
  <c r="W1067" i="7"/>
  <c r="U1067" i="7"/>
  <c r="T1067" i="7"/>
  <c r="S1067" i="7"/>
  <c r="R1067" i="7"/>
  <c r="Z1066" i="7"/>
  <c r="Y1066" i="7"/>
  <c r="AA1066" i="7" s="1"/>
  <c r="W1066" i="7"/>
  <c r="U1066" i="7"/>
  <c r="T1066" i="7"/>
  <c r="S1066" i="7"/>
  <c r="R1066" i="7"/>
  <c r="Z1065" i="7"/>
  <c r="Y1065" i="7"/>
  <c r="AA1065" i="7" s="1"/>
  <c r="W1065" i="7"/>
  <c r="U1065" i="7"/>
  <c r="T1065" i="7"/>
  <c r="S1065" i="7"/>
  <c r="R1065" i="7"/>
  <c r="Z1064" i="7"/>
  <c r="Y1064" i="7"/>
  <c r="AA1064" i="7" s="1"/>
  <c r="W1064" i="7"/>
  <c r="U1064" i="7"/>
  <c r="T1064" i="7"/>
  <c r="S1064" i="7"/>
  <c r="R1064" i="7"/>
  <c r="Z1063" i="7"/>
  <c r="Y1063" i="7"/>
  <c r="AA1063" i="7" s="1"/>
  <c r="W1063" i="7"/>
  <c r="U1063" i="7"/>
  <c r="T1063" i="7"/>
  <c r="S1063" i="7"/>
  <c r="R1063" i="7"/>
  <c r="Z1062" i="7"/>
  <c r="Y1062" i="7"/>
  <c r="AA1062" i="7" s="1"/>
  <c r="W1062" i="7"/>
  <c r="U1062" i="7"/>
  <c r="T1062" i="7"/>
  <c r="S1062" i="7"/>
  <c r="R1062" i="7"/>
  <c r="Z1061" i="7"/>
  <c r="Y1061" i="7"/>
  <c r="AA1061" i="7" s="1"/>
  <c r="W1061" i="7"/>
  <c r="U1061" i="7"/>
  <c r="T1061" i="7"/>
  <c r="S1061" i="7"/>
  <c r="R1061" i="7"/>
  <c r="Z1060" i="7"/>
  <c r="Y1060" i="7"/>
  <c r="AA1060" i="7" s="1"/>
  <c r="W1060" i="7"/>
  <c r="U1060" i="7"/>
  <c r="T1060" i="7"/>
  <c r="S1060" i="7"/>
  <c r="R1060" i="7"/>
  <c r="Z1059" i="7"/>
  <c r="Y1059" i="7"/>
  <c r="AA1059" i="7" s="1"/>
  <c r="W1059" i="7"/>
  <c r="U1059" i="7"/>
  <c r="T1059" i="7"/>
  <c r="S1059" i="7"/>
  <c r="R1059" i="7"/>
  <c r="Z1058" i="7"/>
  <c r="Y1058" i="7"/>
  <c r="AA1058" i="7" s="1"/>
  <c r="W1058" i="7"/>
  <c r="U1058" i="7"/>
  <c r="T1058" i="7"/>
  <c r="S1058" i="7"/>
  <c r="R1058" i="7"/>
  <c r="Z1057" i="7"/>
  <c r="Y1057" i="7"/>
  <c r="AA1057" i="7" s="1"/>
  <c r="W1057" i="7"/>
  <c r="U1057" i="7"/>
  <c r="T1057" i="7"/>
  <c r="S1057" i="7"/>
  <c r="R1057" i="7"/>
  <c r="Z1056" i="7"/>
  <c r="Y1056" i="7"/>
  <c r="AA1056" i="7" s="1"/>
  <c r="W1056" i="7"/>
  <c r="U1056" i="7"/>
  <c r="T1056" i="7"/>
  <c r="S1056" i="7"/>
  <c r="R1056" i="7"/>
  <c r="Z1055" i="7"/>
  <c r="Y1055" i="7"/>
  <c r="AA1055" i="7" s="1"/>
  <c r="W1055" i="7"/>
  <c r="U1055" i="7"/>
  <c r="T1055" i="7"/>
  <c r="S1055" i="7"/>
  <c r="R1055" i="7"/>
  <c r="Z1054" i="7"/>
  <c r="Y1054" i="7"/>
  <c r="AA1054" i="7" s="1"/>
  <c r="W1054" i="7"/>
  <c r="U1054" i="7"/>
  <c r="T1054" i="7"/>
  <c r="S1054" i="7"/>
  <c r="R1054" i="7"/>
  <c r="Z1053" i="7"/>
  <c r="Y1053" i="7"/>
  <c r="AA1053" i="7" s="1"/>
  <c r="W1053" i="7"/>
  <c r="U1053" i="7"/>
  <c r="T1053" i="7"/>
  <c r="S1053" i="7"/>
  <c r="R1053" i="7"/>
  <c r="Z1052" i="7"/>
  <c r="Y1052" i="7"/>
  <c r="AA1052" i="7" s="1"/>
  <c r="W1052" i="7"/>
  <c r="U1052" i="7"/>
  <c r="T1052" i="7"/>
  <c r="S1052" i="7"/>
  <c r="R1052" i="7"/>
  <c r="Z1051" i="7"/>
  <c r="Y1051" i="7"/>
  <c r="AA1051" i="7" s="1"/>
  <c r="W1051" i="7"/>
  <c r="U1051" i="7"/>
  <c r="T1051" i="7"/>
  <c r="S1051" i="7"/>
  <c r="R1051" i="7"/>
  <c r="Z1050" i="7"/>
  <c r="Y1050" i="7"/>
  <c r="AA1050" i="7" s="1"/>
  <c r="W1050" i="7"/>
  <c r="U1050" i="7"/>
  <c r="T1050" i="7"/>
  <c r="S1050" i="7"/>
  <c r="R1050" i="7"/>
  <c r="Z1049" i="7"/>
  <c r="Y1049" i="7"/>
  <c r="AA1049" i="7" s="1"/>
  <c r="W1049" i="7"/>
  <c r="U1049" i="7"/>
  <c r="T1049" i="7"/>
  <c r="S1049" i="7"/>
  <c r="R1049" i="7"/>
  <c r="Z1048" i="7"/>
  <c r="Y1048" i="7"/>
  <c r="AA1048" i="7" s="1"/>
  <c r="W1048" i="7"/>
  <c r="U1048" i="7"/>
  <c r="T1048" i="7"/>
  <c r="S1048" i="7"/>
  <c r="R1048" i="7"/>
  <c r="Z1047" i="7"/>
  <c r="Y1047" i="7"/>
  <c r="AA1047" i="7" s="1"/>
  <c r="W1047" i="7"/>
  <c r="U1047" i="7"/>
  <c r="T1047" i="7"/>
  <c r="S1047" i="7"/>
  <c r="R1047" i="7"/>
  <c r="Z1046" i="7"/>
  <c r="Y1046" i="7"/>
  <c r="AA1046" i="7" s="1"/>
  <c r="W1046" i="7"/>
  <c r="U1046" i="7"/>
  <c r="T1046" i="7"/>
  <c r="S1046" i="7"/>
  <c r="R1046" i="7"/>
  <c r="Z1045" i="7"/>
  <c r="Y1045" i="7"/>
  <c r="AA1045" i="7" s="1"/>
  <c r="W1045" i="7"/>
  <c r="U1045" i="7"/>
  <c r="T1045" i="7"/>
  <c r="S1045" i="7"/>
  <c r="R1045" i="7"/>
  <c r="Z1044" i="7"/>
  <c r="Y1044" i="7"/>
  <c r="AA1044" i="7" s="1"/>
  <c r="W1044" i="7"/>
  <c r="U1044" i="7"/>
  <c r="T1044" i="7"/>
  <c r="S1044" i="7"/>
  <c r="R1044" i="7"/>
  <c r="Z1043" i="7"/>
  <c r="Y1043" i="7"/>
  <c r="AA1043" i="7" s="1"/>
  <c r="W1043" i="7"/>
  <c r="U1043" i="7"/>
  <c r="T1043" i="7"/>
  <c r="S1043" i="7"/>
  <c r="R1043" i="7"/>
  <c r="Z1042" i="7"/>
  <c r="Y1042" i="7"/>
  <c r="AA1042" i="7" s="1"/>
  <c r="W1042" i="7"/>
  <c r="U1042" i="7"/>
  <c r="T1042" i="7"/>
  <c r="S1042" i="7"/>
  <c r="R1042" i="7"/>
  <c r="Z1041" i="7"/>
  <c r="Y1041" i="7"/>
  <c r="AA1041" i="7" s="1"/>
  <c r="W1041" i="7"/>
  <c r="U1041" i="7"/>
  <c r="T1041" i="7"/>
  <c r="S1041" i="7"/>
  <c r="R1041" i="7"/>
  <c r="Z1040" i="7"/>
  <c r="Y1040" i="7"/>
  <c r="AA1040" i="7" s="1"/>
  <c r="W1040" i="7"/>
  <c r="U1040" i="7"/>
  <c r="T1040" i="7"/>
  <c r="S1040" i="7"/>
  <c r="R1040" i="7"/>
  <c r="Z1039" i="7"/>
  <c r="Y1039" i="7"/>
  <c r="AA1039" i="7" s="1"/>
  <c r="W1039" i="7"/>
  <c r="U1039" i="7"/>
  <c r="T1039" i="7"/>
  <c r="S1039" i="7"/>
  <c r="R1039" i="7"/>
  <c r="Z1038" i="7"/>
  <c r="Y1038" i="7"/>
  <c r="AA1038" i="7" s="1"/>
  <c r="W1038" i="7"/>
  <c r="U1038" i="7"/>
  <c r="T1038" i="7"/>
  <c r="S1038" i="7"/>
  <c r="R1038" i="7"/>
  <c r="Z1037" i="7"/>
  <c r="Y1037" i="7"/>
  <c r="AA1037" i="7" s="1"/>
  <c r="W1037" i="7"/>
  <c r="U1037" i="7"/>
  <c r="T1037" i="7"/>
  <c r="S1037" i="7"/>
  <c r="R1037" i="7"/>
  <c r="Z1036" i="7"/>
  <c r="Y1036" i="7"/>
  <c r="AA1036" i="7" s="1"/>
  <c r="W1036" i="7"/>
  <c r="U1036" i="7"/>
  <c r="T1036" i="7"/>
  <c r="S1036" i="7"/>
  <c r="R1036" i="7"/>
  <c r="Z1035" i="7"/>
  <c r="Y1035" i="7"/>
  <c r="AA1035" i="7" s="1"/>
  <c r="W1035" i="7"/>
  <c r="U1035" i="7"/>
  <c r="T1035" i="7"/>
  <c r="S1035" i="7"/>
  <c r="R1035" i="7"/>
  <c r="Z1034" i="7"/>
  <c r="Y1034" i="7"/>
  <c r="AA1034" i="7" s="1"/>
  <c r="W1034" i="7"/>
  <c r="U1034" i="7"/>
  <c r="T1034" i="7"/>
  <c r="S1034" i="7"/>
  <c r="R1034" i="7"/>
  <c r="Z1033" i="7"/>
  <c r="Y1033" i="7"/>
  <c r="AA1033" i="7" s="1"/>
  <c r="W1033" i="7"/>
  <c r="U1033" i="7"/>
  <c r="T1033" i="7"/>
  <c r="S1033" i="7"/>
  <c r="R1033" i="7"/>
  <c r="Z1032" i="7"/>
  <c r="Y1032" i="7"/>
  <c r="AA1032" i="7" s="1"/>
  <c r="W1032" i="7"/>
  <c r="U1032" i="7"/>
  <c r="T1032" i="7"/>
  <c r="S1032" i="7"/>
  <c r="R1032" i="7"/>
  <c r="Z1031" i="7"/>
  <c r="Y1031" i="7"/>
  <c r="AA1031" i="7" s="1"/>
  <c r="W1031" i="7"/>
  <c r="U1031" i="7"/>
  <c r="T1031" i="7"/>
  <c r="S1031" i="7"/>
  <c r="R1031" i="7"/>
  <c r="Z1030" i="7"/>
  <c r="Y1030" i="7"/>
  <c r="AA1030" i="7" s="1"/>
  <c r="W1030" i="7"/>
  <c r="U1030" i="7"/>
  <c r="T1030" i="7"/>
  <c r="S1030" i="7"/>
  <c r="R1030" i="7"/>
  <c r="Z1029" i="7"/>
  <c r="Y1029" i="7"/>
  <c r="AA1029" i="7" s="1"/>
  <c r="W1029" i="7"/>
  <c r="U1029" i="7"/>
  <c r="T1029" i="7"/>
  <c r="S1029" i="7"/>
  <c r="R1029" i="7"/>
  <c r="Z1028" i="7"/>
  <c r="Y1028" i="7"/>
  <c r="AA1028" i="7" s="1"/>
  <c r="W1028" i="7"/>
  <c r="U1028" i="7"/>
  <c r="T1028" i="7"/>
  <c r="S1028" i="7"/>
  <c r="R1028" i="7"/>
  <c r="Z1027" i="7"/>
  <c r="Y1027" i="7"/>
  <c r="AA1027" i="7" s="1"/>
  <c r="W1027" i="7"/>
  <c r="U1027" i="7"/>
  <c r="T1027" i="7"/>
  <c r="S1027" i="7"/>
  <c r="R1027" i="7"/>
  <c r="Z1026" i="7"/>
  <c r="Y1026" i="7"/>
  <c r="AA1026" i="7" s="1"/>
  <c r="W1026" i="7"/>
  <c r="U1026" i="7"/>
  <c r="T1026" i="7"/>
  <c r="S1026" i="7"/>
  <c r="R1026" i="7"/>
  <c r="Z1025" i="7"/>
  <c r="Y1025" i="7"/>
  <c r="AA1025" i="7" s="1"/>
  <c r="W1025" i="7"/>
  <c r="U1025" i="7"/>
  <c r="T1025" i="7"/>
  <c r="S1025" i="7"/>
  <c r="R1025" i="7"/>
  <c r="Z1024" i="7"/>
  <c r="Y1024" i="7"/>
  <c r="AA1024" i="7" s="1"/>
  <c r="W1024" i="7"/>
  <c r="U1024" i="7"/>
  <c r="T1024" i="7"/>
  <c r="S1024" i="7"/>
  <c r="R1024" i="7"/>
  <c r="Z1023" i="7"/>
  <c r="Y1023" i="7"/>
  <c r="AA1023" i="7" s="1"/>
  <c r="W1023" i="7"/>
  <c r="U1023" i="7"/>
  <c r="T1023" i="7"/>
  <c r="S1023" i="7"/>
  <c r="R1023" i="7"/>
  <c r="Z1022" i="7"/>
  <c r="Y1022" i="7"/>
  <c r="AA1022" i="7" s="1"/>
  <c r="W1022" i="7"/>
  <c r="U1022" i="7"/>
  <c r="T1022" i="7"/>
  <c r="S1022" i="7"/>
  <c r="R1022" i="7"/>
  <c r="Z1021" i="7"/>
  <c r="Y1021" i="7"/>
  <c r="AA1021" i="7" s="1"/>
  <c r="W1021" i="7"/>
  <c r="U1021" i="7"/>
  <c r="T1021" i="7"/>
  <c r="S1021" i="7"/>
  <c r="R1021" i="7"/>
  <c r="Z1020" i="7"/>
  <c r="Y1020" i="7"/>
  <c r="AA1020" i="7" s="1"/>
  <c r="W1020" i="7"/>
  <c r="U1020" i="7"/>
  <c r="T1020" i="7"/>
  <c r="S1020" i="7"/>
  <c r="R1020" i="7"/>
  <c r="Z1019" i="7"/>
  <c r="Y1019" i="7"/>
  <c r="AA1019" i="7" s="1"/>
  <c r="W1019" i="7"/>
  <c r="U1019" i="7"/>
  <c r="T1019" i="7"/>
  <c r="S1019" i="7"/>
  <c r="R1019" i="7"/>
  <c r="Z1018" i="7"/>
  <c r="Y1018" i="7"/>
  <c r="AA1018" i="7" s="1"/>
  <c r="W1018" i="7"/>
  <c r="U1018" i="7"/>
  <c r="T1018" i="7"/>
  <c r="S1018" i="7"/>
  <c r="R1018" i="7"/>
  <c r="Z1017" i="7"/>
  <c r="Y1017" i="7"/>
  <c r="AA1017" i="7" s="1"/>
  <c r="W1017" i="7"/>
  <c r="U1017" i="7"/>
  <c r="T1017" i="7"/>
  <c r="S1017" i="7"/>
  <c r="R1017" i="7"/>
  <c r="Z1016" i="7"/>
  <c r="Y1016" i="7"/>
  <c r="AA1016" i="7" s="1"/>
  <c r="W1016" i="7"/>
  <c r="U1016" i="7"/>
  <c r="T1016" i="7"/>
  <c r="S1016" i="7"/>
  <c r="R1016" i="7"/>
  <c r="Z1015" i="7"/>
  <c r="Y1015" i="7"/>
  <c r="AA1015" i="7" s="1"/>
  <c r="W1015" i="7"/>
  <c r="U1015" i="7"/>
  <c r="T1015" i="7"/>
  <c r="S1015" i="7"/>
  <c r="R1015" i="7"/>
  <c r="Z1014" i="7"/>
  <c r="Y1014" i="7"/>
  <c r="AA1014" i="7" s="1"/>
  <c r="W1014" i="7"/>
  <c r="U1014" i="7"/>
  <c r="T1014" i="7"/>
  <c r="S1014" i="7"/>
  <c r="R1014" i="7"/>
  <c r="Z1013" i="7"/>
  <c r="Y1013" i="7"/>
  <c r="AA1013" i="7" s="1"/>
  <c r="W1013" i="7"/>
  <c r="U1013" i="7"/>
  <c r="T1013" i="7"/>
  <c r="S1013" i="7"/>
  <c r="R1013" i="7"/>
  <c r="Z1012" i="7"/>
  <c r="Y1012" i="7"/>
  <c r="AA1012" i="7" s="1"/>
  <c r="W1012" i="7"/>
  <c r="U1012" i="7"/>
  <c r="T1012" i="7"/>
  <c r="S1012" i="7"/>
  <c r="R1012" i="7"/>
  <c r="Z1011" i="7"/>
  <c r="Y1011" i="7"/>
  <c r="AA1011" i="7" s="1"/>
  <c r="W1011" i="7"/>
  <c r="U1011" i="7"/>
  <c r="T1011" i="7"/>
  <c r="S1011" i="7"/>
  <c r="R1011" i="7"/>
  <c r="Z1010" i="7"/>
  <c r="Y1010" i="7"/>
  <c r="AA1010" i="7" s="1"/>
  <c r="W1010" i="7"/>
  <c r="U1010" i="7"/>
  <c r="T1010" i="7"/>
  <c r="S1010" i="7"/>
  <c r="R1010" i="7"/>
  <c r="Z1009" i="7"/>
  <c r="Y1009" i="7"/>
  <c r="AA1009" i="7" s="1"/>
  <c r="W1009" i="7"/>
  <c r="U1009" i="7"/>
  <c r="T1009" i="7"/>
  <c r="S1009" i="7"/>
  <c r="R1009" i="7"/>
  <c r="Z1008" i="7"/>
  <c r="Y1008" i="7"/>
  <c r="AA1008" i="7" s="1"/>
  <c r="W1008" i="7"/>
  <c r="U1008" i="7"/>
  <c r="T1008" i="7"/>
  <c r="S1008" i="7"/>
  <c r="R1008" i="7"/>
  <c r="Z1007" i="7"/>
  <c r="Y1007" i="7"/>
  <c r="AA1007" i="7" s="1"/>
  <c r="W1007" i="7"/>
  <c r="U1007" i="7"/>
  <c r="T1007" i="7"/>
  <c r="S1007" i="7"/>
  <c r="R1007" i="7"/>
  <c r="Z1006" i="7"/>
  <c r="Y1006" i="7"/>
  <c r="AA1006" i="7" s="1"/>
  <c r="W1006" i="7"/>
  <c r="U1006" i="7"/>
  <c r="T1006" i="7"/>
  <c r="S1006" i="7"/>
  <c r="R1006" i="7"/>
  <c r="Z1005" i="7"/>
  <c r="Y1005" i="7"/>
  <c r="AA1005" i="7" s="1"/>
  <c r="W1005" i="7"/>
  <c r="U1005" i="7"/>
  <c r="T1005" i="7"/>
  <c r="S1005" i="7"/>
  <c r="R1005" i="7"/>
  <c r="Z1004" i="7"/>
  <c r="Y1004" i="7"/>
  <c r="AA1004" i="7" s="1"/>
  <c r="W1004" i="7"/>
  <c r="U1004" i="7"/>
  <c r="T1004" i="7"/>
  <c r="S1004" i="7"/>
  <c r="R1004" i="7"/>
  <c r="Z1003" i="7"/>
  <c r="Y1003" i="7"/>
  <c r="AA1003" i="7" s="1"/>
  <c r="W1003" i="7"/>
  <c r="U1003" i="7"/>
  <c r="T1003" i="7"/>
  <c r="S1003" i="7"/>
  <c r="R1003" i="7"/>
  <c r="Z1002" i="7"/>
  <c r="Y1002" i="7"/>
  <c r="AA1002" i="7" s="1"/>
  <c r="W1002" i="7"/>
  <c r="U1002" i="7"/>
  <c r="T1002" i="7"/>
  <c r="S1002" i="7"/>
  <c r="R1002" i="7"/>
  <c r="Z1001" i="7"/>
  <c r="Y1001" i="7"/>
  <c r="AA1001" i="7" s="1"/>
  <c r="W1001" i="7"/>
  <c r="U1001" i="7"/>
  <c r="T1001" i="7"/>
  <c r="S1001" i="7"/>
  <c r="R1001" i="7"/>
  <c r="Z1000" i="7"/>
  <c r="Y1000" i="7"/>
  <c r="AA1000" i="7" s="1"/>
  <c r="W1000" i="7"/>
  <c r="U1000" i="7"/>
  <c r="T1000" i="7"/>
  <c r="S1000" i="7"/>
  <c r="R1000" i="7"/>
  <c r="Z999" i="7"/>
  <c r="Y999" i="7"/>
  <c r="AA999" i="7" s="1"/>
  <c r="W999" i="7"/>
  <c r="U999" i="7"/>
  <c r="T999" i="7"/>
  <c r="S999" i="7"/>
  <c r="R999" i="7"/>
  <c r="Z998" i="7"/>
  <c r="Y998" i="7"/>
  <c r="AA998" i="7" s="1"/>
  <c r="W998" i="7"/>
  <c r="U998" i="7"/>
  <c r="T998" i="7"/>
  <c r="S998" i="7"/>
  <c r="R998" i="7"/>
  <c r="Z997" i="7"/>
  <c r="Y997" i="7"/>
  <c r="AA997" i="7" s="1"/>
  <c r="W997" i="7"/>
  <c r="U997" i="7"/>
  <c r="T997" i="7"/>
  <c r="S997" i="7"/>
  <c r="R997" i="7"/>
  <c r="Z996" i="7"/>
  <c r="Y996" i="7"/>
  <c r="AA996" i="7" s="1"/>
  <c r="W996" i="7"/>
  <c r="U996" i="7"/>
  <c r="T996" i="7"/>
  <c r="S996" i="7"/>
  <c r="R996" i="7"/>
  <c r="Z995" i="7"/>
  <c r="Y995" i="7"/>
  <c r="AA995" i="7" s="1"/>
  <c r="W995" i="7"/>
  <c r="U995" i="7"/>
  <c r="T995" i="7"/>
  <c r="S995" i="7"/>
  <c r="R995" i="7"/>
  <c r="Z994" i="7"/>
  <c r="Y994" i="7"/>
  <c r="AA994" i="7" s="1"/>
  <c r="W994" i="7"/>
  <c r="U994" i="7"/>
  <c r="T994" i="7"/>
  <c r="S994" i="7"/>
  <c r="R994" i="7"/>
  <c r="Z993" i="7"/>
  <c r="Y993" i="7"/>
  <c r="AA993" i="7" s="1"/>
  <c r="W993" i="7"/>
  <c r="U993" i="7"/>
  <c r="T993" i="7"/>
  <c r="S993" i="7"/>
  <c r="R993" i="7"/>
  <c r="Z992" i="7"/>
  <c r="Y992" i="7"/>
  <c r="AA992" i="7" s="1"/>
  <c r="W992" i="7"/>
  <c r="U992" i="7"/>
  <c r="T992" i="7"/>
  <c r="S992" i="7"/>
  <c r="R992" i="7"/>
  <c r="Z991" i="7"/>
  <c r="Y991" i="7"/>
  <c r="AA991" i="7" s="1"/>
  <c r="W991" i="7"/>
  <c r="U991" i="7"/>
  <c r="T991" i="7"/>
  <c r="S991" i="7"/>
  <c r="R991" i="7"/>
  <c r="Z990" i="7"/>
  <c r="Y990" i="7"/>
  <c r="AA990" i="7" s="1"/>
  <c r="W990" i="7"/>
  <c r="U990" i="7"/>
  <c r="T990" i="7"/>
  <c r="S990" i="7"/>
  <c r="R990" i="7"/>
  <c r="Z989" i="7"/>
  <c r="Y989" i="7"/>
  <c r="AA989" i="7" s="1"/>
  <c r="W989" i="7"/>
  <c r="U989" i="7"/>
  <c r="T989" i="7"/>
  <c r="S989" i="7"/>
  <c r="R989" i="7"/>
  <c r="Z988" i="7"/>
  <c r="Y988" i="7"/>
  <c r="AA988" i="7" s="1"/>
  <c r="W988" i="7"/>
  <c r="U988" i="7"/>
  <c r="T988" i="7"/>
  <c r="S988" i="7"/>
  <c r="R988" i="7"/>
  <c r="Z987" i="7"/>
  <c r="Y987" i="7"/>
  <c r="AA987" i="7" s="1"/>
  <c r="W987" i="7"/>
  <c r="U987" i="7"/>
  <c r="T987" i="7"/>
  <c r="S987" i="7"/>
  <c r="R987" i="7"/>
  <c r="Z986" i="7"/>
  <c r="Y986" i="7"/>
  <c r="AA986" i="7" s="1"/>
  <c r="W986" i="7"/>
  <c r="U986" i="7"/>
  <c r="T986" i="7"/>
  <c r="S986" i="7"/>
  <c r="R986" i="7"/>
  <c r="Z985" i="7"/>
  <c r="Y985" i="7"/>
  <c r="AA985" i="7" s="1"/>
  <c r="W985" i="7"/>
  <c r="U985" i="7"/>
  <c r="T985" i="7"/>
  <c r="S985" i="7"/>
  <c r="R985" i="7"/>
  <c r="Z984" i="7"/>
  <c r="Y984" i="7"/>
  <c r="AA984" i="7" s="1"/>
  <c r="W984" i="7"/>
  <c r="U984" i="7"/>
  <c r="T984" i="7"/>
  <c r="S984" i="7"/>
  <c r="R984" i="7"/>
  <c r="Z983" i="7"/>
  <c r="Y983" i="7"/>
  <c r="AA983" i="7" s="1"/>
  <c r="W983" i="7"/>
  <c r="U983" i="7"/>
  <c r="T983" i="7"/>
  <c r="S983" i="7"/>
  <c r="R983" i="7"/>
  <c r="Z982" i="7"/>
  <c r="Y982" i="7"/>
  <c r="AA982" i="7" s="1"/>
  <c r="W982" i="7"/>
  <c r="U982" i="7"/>
  <c r="T982" i="7"/>
  <c r="S982" i="7"/>
  <c r="R982" i="7"/>
  <c r="Z981" i="7"/>
  <c r="Y981" i="7"/>
  <c r="AA981" i="7" s="1"/>
  <c r="W981" i="7"/>
  <c r="U981" i="7"/>
  <c r="T981" i="7"/>
  <c r="S981" i="7"/>
  <c r="R981" i="7"/>
  <c r="Z980" i="7"/>
  <c r="Y980" i="7"/>
  <c r="AA980" i="7" s="1"/>
  <c r="W980" i="7"/>
  <c r="U980" i="7"/>
  <c r="T980" i="7"/>
  <c r="S980" i="7"/>
  <c r="R980" i="7"/>
  <c r="Z979" i="7"/>
  <c r="Y979" i="7"/>
  <c r="AA979" i="7" s="1"/>
  <c r="W979" i="7"/>
  <c r="U979" i="7"/>
  <c r="T979" i="7"/>
  <c r="S979" i="7"/>
  <c r="R979" i="7"/>
  <c r="Z978" i="7"/>
  <c r="Y978" i="7"/>
  <c r="AA978" i="7" s="1"/>
  <c r="W978" i="7"/>
  <c r="U978" i="7"/>
  <c r="T978" i="7"/>
  <c r="S978" i="7"/>
  <c r="R978" i="7"/>
  <c r="Z977" i="7"/>
  <c r="Y977" i="7"/>
  <c r="AA977" i="7" s="1"/>
  <c r="W977" i="7"/>
  <c r="U977" i="7"/>
  <c r="T977" i="7"/>
  <c r="S977" i="7"/>
  <c r="R977" i="7"/>
  <c r="Z976" i="7"/>
  <c r="Y976" i="7"/>
  <c r="AA976" i="7" s="1"/>
  <c r="W976" i="7"/>
  <c r="U976" i="7"/>
  <c r="T976" i="7"/>
  <c r="S976" i="7"/>
  <c r="R976" i="7"/>
  <c r="Z975" i="7"/>
  <c r="Y975" i="7"/>
  <c r="AA975" i="7" s="1"/>
  <c r="W975" i="7"/>
  <c r="U975" i="7"/>
  <c r="T975" i="7"/>
  <c r="S975" i="7"/>
  <c r="R975" i="7"/>
  <c r="Z974" i="7"/>
  <c r="Y974" i="7"/>
  <c r="AA974" i="7" s="1"/>
  <c r="W974" i="7"/>
  <c r="U974" i="7"/>
  <c r="T974" i="7"/>
  <c r="S974" i="7"/>
  <c r="R974" i="7"/>
  <c r="Z973" i="7"/>
  <c r="Y973" i="7"/>
  <c r="AA973" i="7" s="1"/>
  <c r="W973" i="7"/>
  <c r="U973" i="7"/>
  <c r="T973" i="7"/>
  <c r="S973" i="7"/>
  <c r="R973" i="7"/>
  <c r="Z972" i="7"/>
  <c r="Y972" i="7"/>
  <c r="AA972" i="7" s="1"/>
  <c r="W972" i="7"/>
  <c r="U972" i="7"/>
  <c r="T972" i="7"/>
  <c r="S972" i="7"/>
  <c r="R972" i="7"/>
  <c r="Z971" i="7"/>
  <c r="Y971" i="7"/>
  <c r="AA971" i="7" s="1"/>
  <c r="W971" i="7"/>
  <c r="U971" i="7"/>
  <c r="T971" i="7"/>
  <c r="S971" i="7"/>
  <c r="R971" i="7"/>
  <c r="Z970" i="7"/>
  <c r="Y970" i="7"/>
  <c r="AA970" i="7" s="1"/>
  <c r="W970" i="7"/>
  <c r="U970" i="7"/>
  <c r="T970" i="7"/>
  <c r="S970" i="7"/>
  <c r="R970" i="7"/>
  <c r="Z969" i="7"/>
  <c r="Y969" i="7"/>
  <c r="AA969" i="7" s="1"/>
  <c r="W969" i="7"/>
  <c r="U969" i="7"/>
  <c r="T969" i="7"/>
  <c r="S969" i="7"/>
  <c r="R969" i="7"/>
  <c r="Z968" i="7"/>
  <c r="Y968" i="7"/>
  <c r="AA968" i="7" s="1"/>
  <c r="W968" i="7"/>
  <c r="U968" i="7"/>
  <c r="T968" i="7"/>
  <c r="S968" i="7"/>
  <c r="R968" i="7"/>
  <c r="Z967" i="7"/>
  <c r="Y967" i="7"/>
  <c r="AA967" i="7" s="1"/>
  <c r="W967" i="7"/>
  <c r="U967" i="7"/>
  <c r="T967" i="7"/>
  <c r="S967" i="7"/>
  <c r="R967" i="7"/>
  <c r="Z966" i="7"/>
  <c r="Y966" i="7"/>
  <c r="AA966" i="7" s="1"/>
  <c r="W966" i="7"/>
  <c r="U966" i="7"/>
  <c r="T966" i="7"/>
  <c r="S966" i="7"/>
  <c r="R966" i="7"/>
  <c r="Z965" i="7"/>
  <c r="Y965" i="7"/>
  <c r="AA965" i="7" s="1"/>
  <c r="W965" i="7"/>
  <c r="U965" i="7"/>
  <c r="T965" i="7"/>
  <c r="S965" i="7"/>
  <c r="R965" i="7"/>
  <c r="Z964" i="7"/>
  <c r="Y964" i="7"/>
  <c r="AA964" i="7" s="1"/>
  <c r="W964" i="7"/>
  <c r="U964" i="7"/>
  <c r="T964" i="7"/>
  <c r="S964" i="7"/>
  <c r="R964" i="7"/>
  <c r="Z963" i="7"/>
  <c r="Y963" i="7"/>
  <c r="AA963" i="7" s="1"/>
  <c r="W963" i="7"/>
  <c r="U963" i="7"/>
  <c r="T963" i="7"/>
  <c r="S963" i="7"/>
  <c r="R963" i="7"/>
  <c r="Z962" i="7"/>
  <c r="Y962" i="7"/>
  <c r="AA962" i="7" s="1"/>
  <c r="W962" i="7"/>
  <c r="U962" i="7"/>
  <c r="T962" i="7"/>
  <c r="S962" i="7"/>
  <c r="R962" i="7"/>
  <c r="Z961" i="7"/>
  <c r="Y961" i="7"/>
  <c r="AA961" i="7" s="1"/>
  <c r="W961" i="7"/>
  <c r="U961" i="7"/>
  <c r="T961" i="7"/>
  <c r="S961" i="7"/>
  <c r="R961" i="7"/>
  <c r="Z960" i="7"/>
  <c r="Y960" i="7"/>
  <c r="AA960" i="7" s="1"/>
  <c r="W960" i="7"/>
  <c r="U960" i="7"/>
  <c r="T960" i="7"/>
  <c r="S960" i="7"/>
  <c r="R960" i="7"/>
  <c r="Z959" i="7"/>
  <c r="Y959" i="7"/>
  <c r="AA959" i="7" s="1"/>
  <c r="W959" i="7"/>
  <c r="U959" i="7"/>
  <c r="T959" i="7"/>
  <c r="S959" i="7"/>
  <c r="R959" i="7"/>
  <c r="Z958" i="7"/>
  <c r="Y958" i="7"/>
  <c r="AA958" i="7" s="1"/>
  <c r="W958" i="7"/>
  <c r="U958" i="7"/>
  <c r="T958" i="7"/>
  <c r="S958" i="7"/>
  <c r="R958" i="7"/>
  <c r="Z957" i="7"/>
  <c r="Y957" i="7"/>
  <c r="AA957" i="7" s="1"/>
  <c r="W957" i="7"/>
  <c r="U957" i="7"/>
  <c r="T957" i="7"/>
  <c r="S957" i="7"/>
  <c r="R957" i="7"/>
  <c r="Z956" i="7"/>
  <c r="Y956" i="7"/>
  <c r="AA956" i="7" s="1"/>
  <c r="W956" i="7"/>
  <c r="U956" i="7"/>
  <c r="T956" i="7"/>
  <c r="S956" i="7"/>
  <c r="R956" i="7"/>
  <c r="Z955" i="7"/>
  <c r="Y955" i="7"/>
  <c r="AA955" i="7" s="1"/>
  <c r="W955" i="7"/>
  <c r="U955" i="7"/>
  <c r="T955" i="7"/>
  <c r="S955" i="7"/>
  <c r="R955" i="7"/>
  <c r="Z954" i="7"/>
  <c r="Y954" i="7"/>
  <c r="AA954" i="7" s="1"/>
  <c r="W954" i="7"/>
  <c r="U954" i="7"/>
  <c r="T954" i="7"/>
  <c r="S954" i="7"/>
  <c r="R954" i="7"/>
  <c r="Z953" i="7"/>
  <c r="Y953" i="7"/>
  <c r="AA953" i="7" s="1"/>
  <c r="W953" i="7"/>
  <c r="U953" i="7"/>
  <c r="T953" i="7"/>
  <c r="S953" i="7"/>
  <c r="R953" i="7"/>
  <c r="Z952" i="7"/>
  <c r="Y952" i="7"/>
  <c r="AA952" i="7" s="1"/>
  <c r="W952" i="7"/>
  <c r="U952" i="7"/>
  <c r="T952" i="7"/>
  <c r="S952" i="7"/>
  <c r="R952" i="7"/>
  <c r="Z951" i="7"/>
  <c r="Y951" i="7"/>
  <c r="AA951" i="7" s="1"/>
  <c r="W951" i="7"/>
  <c r="U951" i="7"/>
  <c r="T951" i="7"/>
  <c r="S951" i="7"/>
  <c r="R951" i="7"/>
  <c r="Z950" i="7"/>
  <c r="Y950" i="7"/>
  <c r="AA950" i="7" s="1"/>
  <c r="W950" i="7"/>
  <c r="U950" i="7"/>
  <c r="T950" i="7"/>
  <c r="S950" i="7"/>
  <c r="R950" i="7"/>
  <c r="Z949" i="7"/>
  <c r="Y949" i="7"/>
  <c r="AA949" i="7" s="1"/>
  <c r="W949" i="7"/>
  <c r="U949" i="7"/>
  <c r="T949" i="7"/>
  <c r="S949" i="7"/>
  <c r="R949" i="7"/>
  <c r="Z948" i="7"/>
  <c r="Y948" i="7"/>
  <c r="AA948" i="7" s="1"/>
  <c r="W948" i="7"/>
  <c r="U948" i="7"/>
  <c r="T948" i="7"/>
  <c r="S948" i="7"/>
  <c r="R948" i="7"/>
  <c r="Z947" i="7"/>
  <c r="Y947" i="7"/>
  <c r="AA947" i="7" s="1"/>
  <c r="W947" i="7"/>
  <c r="U947" i="7"/>
  <c r="T947" i="7"/>
  <c r="S947" i="7"/>
  <c r="R947" i="7"/>
  <c r="Z946" i="7"/>
  <c r="Y946" i="7"/>
  <c r="AA946" i="7" s="1"/>
  <c r="W946" i="7"/>
  <c r="U946" i="7"/>
  <c r="T946" i="7"/>
  <c r="S946" i="7"/>
  <c r="R946" i="7"/>
  <c r="Z945" i="7"/>
  <c r="Y945" i="7"/>
  <c r="AA945" i="7" s="1"/>
  <c r="W945" i="7"/>
  <c r="U945" i="7"/>
  <c r="T945" i="7"/>
  <c r="S945" i="7"/>
  <c r="R945" i="7"/>
  <c r="Z944" i="7"/>
  <c r="Y944" i="7"/>
  <c r="AA944" i="7" s="1"/>
  <c r="W944" i="7"/>
  <c r="U944" i="7"/>
  <c r="T944" i="7"/>
  <c r="S944" i="7"/>
  <c r="R944" i="7"/>
  <c r="Z943" i="7"/>
  <c r="Y943" i="7"/>
  <c r="AA943" i="7" s="1"/>
  <c r="W943" i="7"/>
  <c r="U943" i="7"/>
  <c r="T943" i="7"/>
  <c r="S943" i="7"/>
  <c r="R943" i="7"/>
  <c r="Z942" i="7"/>
  <c r="Y942" i="7"/>
  <c r="AA942" i="7" s="1"/>
  <c r="W942" i="7"/>
  <c r="U942" i="7"/>
  <c r="V942" i="7" s="1"/>
  <c r="T942" i="7"/>
  <c r="S942" i="7"/>
  <c r="R942" i="7"/>
  <c r="Z941" i="7"/>
  <c r="Y941" i="7"/>
  <c r="AA941" i="7" s="1"/>
  <c r="W941" i="7"/>
  <c r="U941" i="7"/>
  <c r="T941" i="7"/>
  <c r="S941" i="7"/>
  <c r="R941" i="7"/>
  <c r="Z940" i="7"/>
  <c r="Y940" i="7"/>
  <c r="AA940" i="7" s="1"/>
  <c r="W940" i="7"/>
  <c r="U940" i="7"/>
  <c r="T940" i="7"/>
  <c r="S940" i="7"/>
  <c r="R940" i="7"/>
  <c r="Z939" i="7"/>
  <c r="Y939" i="7"/>
  <c r="AA939" i="7" s="1"/>
  <c r="W939" i="7"/>
  <c r="U939" i="7"/>
  <c r="T939" i="7"/>
  <c r="S939" i="7"/>
  <c r="R939" i="7"/>
  <c r="Z938" i="7"/>
  <c r="Y938" i="7"/>
  <c r="AA938" i="7" s="1"/>
  <c r="W938" i="7"/>
  <c r="U938" i="7"/>
  <c r="T938" i="7"/>
  <c r="S938" i="7"/>
  <c r="R938" i="7"/>
  <c r="Z937" i="7"/>
  <c r="Y937" i="7"/>
  <c r="AA937" i="7" s="1"/>
  <c r="W937" i="7"/>
  <c r="U937" i="7"/>
  <c r="T937" i="7"/>
  <c r="S937" i="7"/>
  <c r="R937" i="7"/>
  <c r="Z936" i="7"/>
  <c r="Y936" i="7"/>
  <c r="AA936" i="7" s="1"/>
  <c r="W936" i="7"/>
  <c r="U936" i="7"/>
  <c r="T936" i="7"/>
  <c r="S936" i="7"/>
  <c r="R936" i="7"/>
  <c r="Z935" i="7"/>
  <c r="Y935" i="7"/>
  <c r="AA935" i="7" s="1"/>
  <c r="W935" i="7"/>
  <c r="U935" i="7"/>
  <c r="T935" i="7"/>
  <c r="S935" i="7"/>
  <c r="R935" i="7"/>
  <c r="Z934" i="7"/>
  <c r="Y934" i="7"/>
  <c r="AA934" i="7" s="1"/>
  <c r="W934" i="7"/>
  <c r="U934" i="7"/>
  <c r="T934" i="7"/>
  <c r="S934" i="7"/>
  <c r="R934" i="7"/>
  <c r="Z933" i="7"/>
  <c r="Y933" i="7"/>
  <c r="AA933" i="7" s="1"/>
  <c r="W933" i="7"/>
  <c r="U933" i="7"/>
  <c r="T933" i="7"/>
  <c r="S933" i="7"/>
  <c r="R933" i="7"/>
  <c r="Z932" i="7"/>
  <c r="Y932" i="7"/>
  <c r="AA932" i="7" s="1"/>
  <c r="W932" i="7"/>
  <c r="U932" i="7"/>
  <c r="T932" i="7"/>
  <c r="S932" i="7"/>
  <c r="R932" i="7"/>
  <c r="Z931" i="7"/>
  <c r="Y931" i="7"/>
  <c r="AA931" i="7" s="1"/>
  <c r="W931" i="7"/>
  <c r="U931" i="7"/>
  <c r="T931" i="7"/>
  <c r="S931" i="7"/>
  <c r="R931" i="7"/>
  <c r="Z930" i="7"/>
  <c r="Y930" i="7"/>
  <c r="AA930" i="7" s="1"/>
  <c r="W930" i="7"/>
  <c r="U930" i="7"/>
  <c r="T930" i="7"/>
  <c r="S930" i="7"/>
  <c r="R930" i="7"/>
  <c r="Z929" i="7"/>
  <c r="Y929" i="7"/>
  <c r="AA929" i="7" s="1"/>
  <c r="W929" i="7"/>
  <c r="U929" i="7"/>
  <c r="T929" i="7"/>
  <c r="S929" i="7"/>
  <c r="R929" i="7"/>
  <c r="Z928" i="7"/>
  <c r="Y928" i="7"/>
  <c r="AA928" i="7" s="1"/>
  <c r="W928" i="7"/>
  <c r="U928" i="7"/>
  <c r="T928" i="7"/>
  <c r="S928" i="7"/>
  <c r="R928" i="7"/>
  <c r="Z927" i="7"/>
  <c r="Y927" i="7"/>
  <c r="AA927" i="7" s="1"/>
  <c r="W927" i="7"/>
  <c r="U927" i="7"/>
  <c r="T927" i="7"/>
  <c r="S927" i="7"/>
  <c r="R927" i="7"/>
  <c r="Z926" i="7"/>
  <c r="Y926" i="7"/>
  <c r="AA926" i="7" s="1"/>
  <c r="W926" i="7"/>
  <c r="U926" i="7"/>
  <c r="V926" i="7" s="1"/>
  <c r="T926" i="7"/>
  <c r="S926" i="7"/>
  <c r="R926" i="7"/>
  <c r="Z925" i="7"/>
  <c r="Y925" i="7"/>
  <c r="AA925" i="7" s="1"/>
  <c r="W925" i="7"/>
  <c r="U925" i="7"/>
  <c r="T925" i="7"/>
  <c r="S925" i="7"/>
  <c r="R925" i="7"/>
  <c r="Z924" i="7"/>
  <c r="Y924" i="7"/>
  <c r="AA924" i="7" s="1"/>
  <c r="W924" i="7"/>
  <c r="U924" i="7"/>
  <c r="T924" i="7"/>
  <c r="S924" i="7"/>
  <c r="R924" i="7"/>
  <c r="Z923" i="7"/>
  <c r="Y923" i="7"/>
  <c r="AA923" i="7" s="1"/>
  <c r="W923" i="7"/>
  <c r="U923" i="7"/>
  <c r="T923" i="7"/>
  <c r="S923" i="7"/>
  <c r="R923" i="7"/>
  <c r="Z922" i="7"/>
  <c r="Y922" i="7"/>
  <c r="AA922" i="7" s="1"/>
  <c r="W922" i="7"/>
  <c r="U922" i="7"/>
  <c r="T922" i="7"/>
  <c r="S922" i="7"/>
  <c r="R922" i="7"/>
  <c r="Z921" i="7"/>
  <c r="Y921" i="7"/>
  <c r="AA921" i="7" s="1"/>
  <c r="W921" i="7"/>
  <c r="U921" i="7"/>
  <c r="T921" i="7"/>
  <c r="S921" i="7"/>
  <c r="R921" i="7"/>
  <c r="Z920" i="7"/>
  <c r="Y920" i="7"/>
  <c r="AA920" i="7" s="1"/>
  <c r="W920" i="7"/>
  <c r="U920" i="7"/>
  <c r="T920" i="7"/>
  <c r="S920" i="7"/>
  <c r="R920" i="7"/>
  <c r="Z919" i="7"/>
  <c r="Y919" i="7"/>
  <c r="AA919" i="7" s="1"/>
  <c r="W919" i="7"/>
  <c r="U919" i="7"/>
  <c r="T919" i="7"/>
  <c r="S919" i="7"/>
  <c r="R919" i="7"/>
  <c r="Z918" i="7"/>
  <c r="Y918" i="7"/>
  <c r="AA918" i="7" s="1"/>
  <c r="W918" i="7"/>
  <c r="U918" i="7"/>
  <c r="T918" i="7"/>
  <c r="S918" i="7"/>
  <c r="R918" i="7"/>
  <c r="Z917" i="7"/>
  <c r="Y917" i="7"/>
  <c r="AA917" i="7" s="1"/>
  <c r="W917" i="7"/>
  <c r="U917" i="7"/>
  <c r="T917" i="7"/>
  <c r="S917" i="7"/>
  <c r="R917" i="7"/>
  <c r="Z916" i="7"/>
  <c r="Y916" i="7"/>
  <c r="AA916" i="7" s="1"/>
  <c r="W916" i="7"/>
  <c r="U916" i="7"/>
  <c r="T916" i="7"/>
  <c r="S916" i="7"/>
  <c r="R916" i="7"/>
  <c r="Z915" i="7"/>
  <c r="Y915" i="7"/>
  <c r="AA915" i="7" s="1"/>
  <c r="W915" i="7"/>
  <c r="U915" i="7"/>
  <c r="T915" i="7"/>
  <c r="S915" i="7"/>
  <c r="R915" i="7"/>
  <c r="Z914" i="7"/>
  <c r="Y914" i="7"/>
  <c r="AA914" i="7" s="1"/>
  <c r="W914" i="7"/>
  <c r="U914" i="7"/>
  <c r="T914" i="7"/>
  <c r="S914" i="7"/>
  <c r="R914" i="7"/>
  <c r="Z913" i="7"/>
  <c r="Y913" i="7"/>
  <c r="AA913" i="7" s="1"/>
  <c r="W913" i="7"/>
  <c r="U913" i="7"/>
  <c r="T913" i="7"/>
  <c r="S913" i="7"/>
  <c r="R913" i="7"/>
  <c r="Z912" i="7"/>
  <c r="Y912" i="7"/>
  <c r="AA912" i="7" s="1"/>
  <c r="W912" i="7"/>
  <c r="U912" i="7"/>
  <c r="T912" i="7"/>
  <c r="S912" i="7"/>
  <c r="R912" i="7"/>
  <c r="Z911" i="7"/>
  <c r="Y911" i="7"/>
  <c r="AA911" i="7" s="1"/>
  <c r="W911" i="7"/>
  <c r="U911" i="7"/>
  <c r="T911" i="7"/>
  <c r="S911" i="7"/>
  <c r="R911" i="7"/>
  <c r="Z910" i="7"/>
  <c r="Y910" i="7"/>
  <c r="AA910" i="7" s="1"/>
  <c r="W910" i="7"/>
  <c r="U910" i="7"/>
  <c r="T910" i="7"/>
  <c r="S910" i="7"/>
  <c r="R910" i="7"/>
  <c r="Z909" i="7"/>
  <c r="Y909" i="7"/>
  <c r="AA909" i="7" s="1"/>
  <c r="W909" i="7"/>
  <c r="U909" i="7"/>
  <c r="T909" i="7"/>
  <c r="S909" i="7"/>
  <c r="R909" i="7"/>
  <c r="Z908" i="7"/>
  <c r="Y908" i="7"/>
  <c r="AA908" i="7" s="1"/>
  <c r="W908" i="7"/>
  <c r="U908" i="7"/>
  <c r="T908" i="7"/>
  <c r="S908" i="7"/>
  <c r="R908" i="7"/>
  <c r="Z907" i="7"/>
  <c r="Y907" i="7"/>
  <c r="AA907" i="7" s="1"/>
  <c r="W907" i="7"/>
  <c r="U907" i="7"/>
  <c r="T907" i="7"/>
  <c r="S907" i="7"/>
  <c r="R907" i="7"/>
  <c r="Z906" i="7"/>
  <c r="Y906" i="7"/>
  <c r="AA906" i="7" s="1"/>
  <c r="W906" i="7"/>
  <c r="U906" i="7"/>
  <c r="T906" i="7"/>
  <c r="S906" i="7"/>
  <c r="R906" i="7"/>
  <c r="Z905" i="7"/>
  <c r="Y905" i="7"/>
  <c r="AA905" i="7" s="1"/>
  <c r="W905" i="7"/>
  <c r="U905" i="7"/>
  <c r="T905" i="7"/>
  <c r="S905" i="7"/>
  <c r="R905" i="7"/>
  <c r="Z904" i="7"/>
  <c r="Y904" i="7"/>
  <c r="AA904" i="7" s="1"/>
  <c r="W904" i="7"/>
  <c r="U904" i="7"/>
  <c r="T904" i="7"/>
  <c r="S904" i="7"/>
  <c r="R904" i="7"/>
  <c r="Z903" i="7"/>
  <c r="Y903" i="7"/>
  <c r="AA903" i="7" s="1"/>
  <c r="W903" i="7"/>
  <c r="U903" i="7"/>
  <c r="T903" i="7"/>
  <c r="S903" i="7"/>
  <c r="R903" i="7"/>
  <c r="Z902" i="7"/>
  <c r="Y902" i="7"/>
  <c r="AA902" i="7" s="1"/>
  <c r="W902" i="7"/>
  <c r="U902" i="7"/>
  <c r="T902" i="7"/>
  <c r="S902" i="7"/>
  <c r="R902" i="7"/>
  <c r="Z901" i="7"/>
  <c r="Y901" i="7"/>
  <c r="AA901" i="7" s="1"/>
  <c r="W901" i="7"/>
  <c r="U901" i="7"/>
  <c r="T901" i="7"/>
  <c r="S901" i="7"/>
  <c r="R901" i="7"/>
  <c r="Z900" i="7"/>
  <c r="Y900" i="7"/>
  <c r="AA900" i="7" s="1"/>
  <c r="W900" i="7"/>
  <c r="U900" i="7"/>
  <c r="T900" i="7"/>
  <c r="S900" i="7"/>
  <c r="R900" i="7"/>
  <c r="Z899" i="7"/>
  <c r="Y899" i="7"/>
  <c r="AA899" i="7" s="1"/>
  <c r="W899" i="7"/>
  <c r="U899" i="7"/>
  <c r="T899" i="7"/>
  <c r="S899" i="7"/>
  <c r="R899" i="7"/>
  <c r="Z898" i="7"/>
  <c r="Y898" i="7"/>
  <c r="AA898" i="7" s="1"/>
  <c r="W898" i="7"/>
  <c r="U898" i="7"/>
  <c r="T898" i="7"/>
  <c r="S898" i="7"/>
  <c r="R898" i="7"/>
  <c r="Z897" i="7"/>
  <c r="Y897" i="7"/>
  <c r="AA897" i="7" s="1"/>
  <c r="W897" i="7"/>
  <c r="U897" i="7"/>
  <c r="T897" i="7"/>
  <c r="S897" i="7"/>
  <c r="R897" i="7"/>
  <c r="Z896" i="7"/>
  <c r="Y896" i="7"/>
  <c r="AA896" i="7" s="1"/>
  <c r="W896" i="7"/>
  <c r="U896" i="7"/>
  <c r="T896" i="7"/>
  <c r="S896" i="7"/>
  <c r="R896" i="7"/>
  <c r="Z895" i="7"/>
  <c r="Y895" i="7"/>
  <c r="AA895" i="7" s="1"/>
  <c r="W895" i="7"/>
  <c r="U895" i="7"/>
  <c r="T895" i="7"/>
  <c r="S895" i="7"/>
  <c r="R895" i="7"/>
  <c r="Z894" i="7"/>
  <c r="Y894" i="7"/>
  <c r="AA894" i="7" s="1"/>
  <c r="W894" i="7"/>
  <c r="U894" i="7"/>
  <c r="T894" i="7"/>
  <c r="S894" i="7"/>
  <c r="R894" i="7"/>
  <c r="Z893" i="7"/>
  <c r="Y893" i="7"/>
  <c r="AA893" i="7" s="1"/>
  <c r="W893" i="7"/>
  <c r="U893" i="7"/>
  <c r="T893" i="7"/>
  <c r="S893" i="7"/>
  <c r="R893" i="7"/>
  <c r="Z892" i="7"/>
  <c r="Y892" i="7"/>
  <c r="AA892" i="7" s="1"/>
  <c r="W892" i="7"/>
  <c r="U892" i="7"/>
  <c r="T892" i="7"/>
  <c r="S892" i="7"/>
  <c r="R892" i="7"/>
  <c r="Z891" i="7"/>
  <c r="Y891" i="7"/>
  <c r="AA891" i="7" s="1"/>
  <c r="W891" i="7"/>
  <c r="U891" i="7"/>
  <c r="T891" i="7"/>
  <c r="S891" i="7"/>
  <c r="R891" i="7"/>
  <c r="Z890" i="7"/>
  <c r="Y890" i="7"/>
  <c r="AA890" i="7" s="1"/>
  <c r="W890" i="7"/>
  <c r="U890" i="7"/>
  <c r="T890" i="7"/>
  <c r="S890" i="7"/>
  <c r="R890" i="7"/>
  <c r="Z889" i="7"/>
  <c r="Y889" i="7"/>
  <c r="AA889" i="7" s="1"/>
  <c r="W889" i="7"/>
  <c r="U889" i="7"/>
  <c r="T889" i="7"/>
  <c r="S889" i="7"/>
  <c r="R889" i="7"/>
  <c r="Z888" i="7"/>
  <c r="Y888" i="7"/>
  <c r="AA888" i="7" s="1"/>
  <c r="W888" i="7"/>
  <c r="U888" i="7"/>
  <c r="T888" i="7"/>
  <c r="S888" i="7"/>
  <c r="R888" i="7"/>
  <c r="Z887" i="7"/>
  <c r="Y887" i="7"/>
  <c r="AA887" i="7" s="1"/>
  <c r="W887" i="7"/>
  <c r="U887" i="7"/>
  <c r="T887" i="7"/>
  <c r="S887" i="7"/>
  <c r="R887" i="7"/>
  <c r="Z886" i="7"/>
  <c r="Y886" i="7"/>
  <c r="AA886" i="7" s="1"/>
  <c r="W886" i="7"/>
  <c r="U886" i="7"/>
  <c r="T886" i="7"/>
  <c r="S886" i="7"/>
  <c r="R886" i="7"/>
  <c r="Z885" i="7"/>
  <c r="Y885" i="7"/>
  <c r="AA885" i="7" s="1"/>
  <c r="W885" i="7"/>
  <c r="U885" i="7"/>
  <c r="T885" i="7"/>
  <c r="S885" i="7"/>
  <c r="R885" i="7"/>
  <c r="Z884" i="7"/>
  <c r="Y884" i="7"/>
  <c r="AA884" i="7" s="1"/>
  <c r="W884" i="7"/>
  <c r="U884" i="7"/>
  <c r="T884" i="7"/>
  <c r="S884" i="7"/>
  <c r="R884" i="7"/>
  <c r="Z883" i="7"/>
  <c r="Y883" i="7"/>
  <c r="AA883" i="7" s="1"/>
  <c r="W883" i="7"/>
  <c r="U883" i="7"/>
  <c r="T883" i="7"/>
  <c r="S883" i="7"/>
  <c r="R883" i="7"/>
  <c r="Z882" i="7"/>
  <c r="Y882" i="7"/>
  <c r="AA882" i="7" s="1"/>
  <c r="W882" i="7"/>
  <c r="U882" i="7"/>
  <c r="T882" i="7"/>
  <c r="S882" i="7"/>
  <c r="R882" i="7"/>
  <c r="Z881" i="7"/>
  <c r="Y881" i="7"/>
  <c r="AA881" i="7" s="1"/>
  <c r="W881" i="7"/>
  <c r="U881" i="7"/>
  <c r="T881" i="7"/>
  <c r="S881" i="7"/>
  <c r="R881" i="7"/>
  <c r="Z880" i="7"/>
  <c r="Y880" i="7"/>
  <c r="AA880" i="7" s="1"/>
  <c r="W880" i="7"/>
  <c r="U880" i="7"/>
  <c r="T880" i="7"/>
  <c r="S880" i="7"/>
  <c r="R880" i="7"/>
  <c r="Z879" i="7"/>
  <c r="Y879" i="7"/>
  <c r="AA879" i="7" s="1"/>
  <c r="W879" i="7"/>
  <c r="U879" i="7"/>
  <c r="T879" i="7"/>
  <c r="S879" i="7"/>
  <c r="R879" i="7"/>
  <c r="Z878" i="7"/>
  <c r="Y878" i="7"/>
  <c r="AA878" i="7" s="1"/>
  <c r="W878" i="7"/>
  <c r="U878" i="7"/>
  <c r="T878" i="7"/>
  <c r="S878" i="7"/>
  <c r="R878" i="7"/>
  <c r="Z877" i="7"/>
  <c r="Y877" i="7"/>
  <c r="AA877" i="7" s="1"/>
  <c r="W877" i="7"/>
  <c r="U877" i="7"/>
  <c r="T877" i="7"/>
  <c r="S877" i="7"/>
  <c r="R877" i="7"/>
  <c r="Z876" i="7"/>
  <c r="Y876" i="7"/>
  <c r="AA876" i="7" s="1"/>
  <c r="W876" i="7"/>
  <c r="U876" i="7"/>
  <c r="T876" i="7"/>
  <c r="S876" i="7"/>
  <c r="R876" i="7"/>
  <c r="Z875" i="7"/>
  <c r="Y875" i="7"/>
  <c r="AA875" i="7" s="1"/>
  <c r="W875" i="7"/>
  <c r="U875" i="7"/>
  <c r="T875" i="7"/>
  <c r="S875" i="7"/>
  <c r="R875" i="7"/>
  <c r="Z874" i="7"/>
  <c r="Y874" i="7"/>
  <c r="AA874" i="7" s="1"/>
  <c r="W874" i="7"/>
  <c r="U874" i="7"/>
  <c r="T874" i="7"/>
  <c r="S874" i="7"/>
  <c r="R874" i="7"/>
  <c r="Z873" i="7"/>
  <c r="Y873" i="7"/>
  <c r="AA873" i="7" s="1"/>
  <c r="W873" i="7"/>
  <c r="U873" i="7"/>
  <c r="T873" i="7"/>
  <c r="S873" i="7"/>
  <c r="R873" i="7"/>
  <c r="Z872" i="7"/>
  <c r="Y872" i="7"/>
  <c r="AA872" i="7" s="1"/>
  <c r="W872" i="7"/>
  <c r="U872" i="7"/>
  <c r="T872" i="7"/>
  <c r="S872" i="7"/>
  <c r="R872" i="7"/>
  <c r="Z871" i="7"/>
  <c r="Y871" i="7"/>
  <c r="AA871" i="7" s="1"/>
  <c r="W871" i="7"/>
  <c r="U871" i="7"/>
  <c r="T871" i="7"/>
  <c r="S871" i="7"/>
  <c r="R871" i="7"/>
  <c r="Z870" i="7"/>
  <c r="Y870" i="7"/>
  <c r="AA870" i="7" s="1"/>
  <c r="W870" i="7"/>
  <c r="U870" i="7"/>
  <c r="T870" i="7"/>
  <c r="S870" i="7"/>
  <c r="R870" i="7"/>
  <c r="Z869" i="7"/>
  <c r="Y869" i="7"/>
  <c r="AA869" i="7" s="1"/>
  <c r="W869" i="7"/>
  <c r="U869" i="7"/>
  <c r="T869" i="7"/>
  <c r="S869" i="7"/>
  <c r="R869" i="7"/>
  <c r="Z868" i="7"/>
  <c r="Y868" i="7"/>
  <c r="AA868" i="7" s="1"/>
  <c r="W868" i="7"/>
  <c r="U868" i="7"/>
  <c r="T868" i="7"/>
  <c r="S868" i="7"/>
  <c r="R868" i="7"/>
  <c r="Z867" i="7"/>
  <c r="Y867" i="7"/>
  <c r="AA867" i="7" s="1"/>
  <c r="W867" i="7"/>
  <c r="U867" i="7"/>
  <c r="T867" i="7"/>
  <c r="S867" i="7"/>
  <c r="R867" i="7"/>
  <c r="Z866" i="7"/>
  <c r="Y866" i="7"/>
  <c r="AA866" i="7" s="1"/>
  <c r="W866" i="7"/>
  <c r="U866" i="7"/>
  <c r="T866" i="7"/>
  <c r="S866" i="7"/>
  <c r="R866" i="7"/>
  <c r="Z865" i="7"/>
  <c r="Y865" i="7"/>
  <c r="AA865" i="7" s="1"/>
  <c r="W865" i="7"/>
  <c r="U865" i="7"/>
  <c r="T865" i="7"/>
  <c r="S865" i="7"/>
  <c r="R865" i="7"/>
  <c r="Z864" i="7"/>
  <c r="Y864" i="7"/>
  <c r="AA864" i="7" s="1"/>
  <c r="W864" i="7"/>
  <c r="U864" i="7"/>
  <c r="T864" i="7"/>
  <c r="S864" i="7"/>
  <c r="R864" i="7"/>
  <c r="Z863" i="7"/>
  <c r="Y863" i="7"/>
  <c r="AA863" i="7" s="1"/>
  <c r="W863" i="7"/>
  <c r="U863" i="7"/>
  <c r="T863" i="7"/>
  <c r="S863" i="7"/>
  <c r="R863" i="7"/>
  <c r="Z862" i="7"/>
  <c r="Y862" i="7"/>
  <c r="AA862" i="7" s="1"/>
  <c r="W862" i="7"/>
  <c r="U862" i="7"/>
  <c r="T862" i="7"/>
  <c r="S862" i="7"/>
  <c r="R862" i="7"/>
  <c r="Z861" i="7"/>
  <c r="Y861" i="7"/>
  <c r="AA861" i="7" s="1"/>
  <c r="W861" i="7"/>
  <c r="U861" i="7"/>
  <c r="T861" i="7"/>
  <c r="S861" i="7"/>
  <c r="R861" i="7"/>
  <c r="Z860" i="7"/>
  <c r="Y860" i="7"/>
  <c r="AA860" i="7" s="1"/>
  <c r="W860" i="7"/>
  <c r="U860" i="7"/>
  <c r="T860" i="7"/>
  <c r="S860" i="7"/>
  <c r="R860" i="7"/>
  <c r="Z859" i="7"/>
  <c r="Y859" i="7"/>
  <c r="AA859" i="7" s="1"/>
  <c r="W859" i="7"/>
  <c r="U859" i="7"/>
  <c r="T859" i="7"/>
  <c r="S859" i="7"/>
  <c r="R859" i="7"/>
  <c r="Z858" i="7"/>
  <c r="Y858" i="7"/>
  <c r="AA858" i="7" s="1"/>
  <c r="W858" i="7"/>
  <c r="U858" i="7"/>
  <c r="T858" i="7"/>
  <c r="S858" i="7"/>
  <c r="R858" i="7"/>
  <c r="Z857" i="7"/>
  <c r="Y857" i="7"/>
  <c r="AA857" i="7" s="1"/>
  <c r="W857" i="7"/>
  <c r="U857" i="7"/>
  <c r="T857" i="7"/>
  <c r="S857" i="7"/>
  <c r="R857" i="7"/>
  <c r="Z856" i="7"/>
  <c r="Y856" i="7"/>
  <c r="AA856" i="7" s="1"/>
  <c r="W856" i="7"/>
  <c r="U856" i="7"/>
  <c r="T856" i="7"/>
  <c r="S856" i="7"/>
  <c r="R856" i="7"/>
  <c r="Z855" i="7"/>
  <c r="Y855" i="7"/>
  <c r="AA855" i="7" s="1"/>
  <c r="W855" i="7"/>
  <c r="U855" i="7"/>
  <c r="T855" i="7"/>
  <c r="S855" i="7"/>
  <c r="R855" i="7"/>
  <c r="Z854" i="7"/>
  <c r="Y854" i="7"/>
  <c r="AA854" i="7" s="1"/>
  <c r="W854" i="7"/>
  <c r="U854" i="7"/>
  <c r="T854" i="7"/>
  <c r="S854" i="7"/>
  <c r="R854" i="7"/>
  <c r="Z853" i="7"/>
  <c r="Y853" i="7"/>
  <c r="AA853" i="7" s="1"/>
  <c r="W853" i="7"/>
  <c r="U853" i="7"/>
  <c r="T853" i="7"/>
  <c r="S853" i="7"/>
  <c r="R853" i="7"/>
  <c r="Z852" i="7"/>
  <c r="Y852" i="7"/>
  <c r="AA852" i="7" s="1"/>
  <c r="W852" i="7"/>
  <c r="U852" i="7"/>
  <c r="T852" i="7"/>
  <c r="S852" i="7"/>
  <c r="R852" i="7"/>
  <c r="Z851" i="7"/>
  <c r="Y851" i="7"/>
  <c r="AA851" i="7" s="1"/>
  <c r="W851" i="7"/>
  <c r="U851" i="7"/>
  <c r="T851" i="7"/>
  <c r="S851" i="7"/>
  <c r="R851" i="7"/>
  <c r="Z850" i="7"/>
  <c r="Y850" i="7"/>
  <c r="AA850" i="7" s="1"/>
  <c r="W850" i="7"/>
  <c r="U850" i="7"/>
  <c r="T850" i="7"/>
  <c r="S850" i="7"/>
  <c r="R850" i="7"/>
  <c r="Z849" i="7"/>
  <c r="Y849" i="7"/>
  <c r="AA849" i="7" s="1"/>
  <c r="W849" i="7"/>
  <c r="U849" i="7"/>
  <c r="T849" i="7"/>
  <c r="S849" i="7"/>
  <c r="R849" i="7"/>
  <c r="Z848" i="7"/>
  <c r="Y848" i="7"/>
  <c r="AA848" i="7" s="1"/>
  <c r="W848" i="7"/>
  <c r="U848" i="7"/>
  <c r="T848" i="7"/>
  <c r="S848" i="7"/>
  <c r="R848" i="7"/>
  <c r="Z847" i="7"/>
  <c r="Y847" i="7"/>
  <c r="AA847" i="7" s="1"/>
  <c r="W847" i="7"/>
  <c r="U847" i="7"/>
  <c r="T847" i="7"/>
  <c r="S847" i="7"/>
  <c r="R847" i="7"/>
  <c r="Z846" i="7"/>
  <c r="Y846" i="7"/>
  <c r="AA846" i="7" s="1"/>
  <c r="W846" i="7"/>
  <c r="U846" i="7"/>
  <c r="T846" i="7"/>
  <c r="S846" i="7"/>
  <c r="R846" i="7"/>
  <c r="Z845" i="7"/>
  <c r="Y845" i="7"/>
  <c r="AA845" i="7" s="1"/>
  <c r="W845" i="7"/>
  <c r="U845" i="7"/>
  <c r="T845" i="7"/>
  <c r="S845" i="7"/>
  <c r="R845" i="7"/>
  <c r="Z844" i="7"/>
  <c r="Y844" i="7"/>
  <c r="AA844" i="7" s="1"/>
  <c r="W844" i="7"/>
  <c r="U844" i="7"/>
  <c r="T844" i="7"/>
  <c r="S844" i="7"/>
  <c r="R844" i="7"/>
  <c r="Z843" i="7"/>
  <c r="Y843" i="7"/>
  <c r="AA843" i="7" s="1"/>
  <c r="W843" i="7"/>
  <c r="U843" i="7"/>
  <c r="T843" i="7"/>
  <c r="S843" i="7"/>
  <c r="R843" i="7"/>
  <c r="Z842" i="7"/>
  <c r="Y842" i="7"/>
  <c r="AA842" i="7" s="1"/>
  <c r="W842" i="7"/>
  <c r="U842" i="7"/>
  <c r="T842" i="7"/>
  <c r="S842" i="7"/>
  <c r="R842" i="7"/>
  <c r="Z841" i="7"/>
  <c r="Y841" i="7"/>
  <c r="AA841" i="7" s="1"/>
  <c r="W841" i="7"/>
  <c r="U841" i="7"/>
  <c r="T841" i="7"/>
  <c r="S841" i="7"/>
  <c r="R841" i="7"/>
  <c r="Z840" i="7"/>
  <c r="Y840" i="7"/>
  <c r="AA840" i="7" s="1"/>
  <c r="W840" i="7"/>
  <c r="U840" i="7"/>
  <c r="T840" i="7"/>
  <c r="S840" i="7"/>
  <c r="R840" i="7"/>
  <c r="Z839" i="7"/>
  <c r="Y839" i="7"/>
  <c r="AA839" i="7" s="1"/>
  <c r="W839" i="7"/>
  <c r="U839" i="7"/>
  <c r="T839" i="7"/>
  <c r="S839" i="7"/>
  <c r="R839" i="7"/>
  <c r="Z838" i="7"/>
  <c r="Y838" i="7"/>
  <c r="AA838" i="7" s="1"/>
  <c r="W838" i="7"/>
  <c r="U838" i="7"/>
  <c r="T838" i="7"/>
  <c r="S838" i="7"/>
  <c r="R838" i="7"/>
  <c r="Z837" i="7"/>
  <c r="Y837" i="7"/>
  <c r="AA837" i="7" s="1"/>
  <c r="W837" i="7"/>
  <c r="U837" i="7"/>
  <c r="T837" i="7"/>
  <c r="S837" i="7"/>
  <c r="R837" i="7"/>
  <c r="Z836" i="7"/>
  <c r="Y836" i="7"/>
  <c r="AA836" i="7" s="1"/>
  <c r="W836" i="7"/>
  <c r="U836" i="7"/>
  <c r="T836" i="7"/>
  <c r="S836" i="7"/>
  <c r="R836" i="7"/>
  <c r="Z835" i="7"/>
  <c r="Y835" i="7"/>
  <c r="AA835" i="7" s="1"/>
  <c r="W835" i="7"/>
  <c r="U835" i="7"/>
  <c r="T835" i="7"/>
  <c r="S835" i="7"/>
  <c r="R835" i="7"/>
  <c r="Z834" i="7"/>
  <c r="Y834" i="7"/>
  <c r="AA834" i="7" s="1"/>
  <c r="W834" i="7"/>
  <c r="U834" i="7"/>
  <c r="T834" i="7"/>
  <c r="S834" i="7"/>
  <c r="R834" i="7"/>
  <c r="Z833" i="7"/>
  <c r="Y833" i="7"/>
  <c r="AA833" i="7" s="1"/>
  <c r="W833" i="7"/>
  <c r="U833" i="7"/>
  <c r="T833" i="7"/>
  <c r="S833" i="7"/>
  <c r="R833" i="7"/>
  <c r="Z832" i="7"/>
  <c r="Y832" i="7"/>
  <c r="AA832" i="7" s="1"/>
  <c r="W832" i="7"/>
  <c r="U832" i="7"/>
  <c r="T832" i="7"/>
  <c r="S832" i="7"/>
  <c r="R832" i="7"/>
  <c r="Z831" i="7"/>
  <c r="Y831" i="7"/>
  <c r="AA831" i="7" s="1"/>
  <c r="W831" i="7"/>
  <c r="U831" i="7"/>
  <c r="T831" i="7"/>
  <c r="S831" i="7"/>
  <c r="R831" i="7"/>
  <c r="Z830" i="7"/>
  <c r="Y830" i="7"/>
  <c r="AA830" i="7" s="1"/>
  <c r="W830" i="7"/>
  <c r="U830" i="7"/>
  <c r="T830" i="7"/>
  <c r="S830" i="7"/>
  <c r="R830" i="7"/>
  <c r="Z829" i="7"/>
  <c r="Y829" i="7"/>
  <c r="AA829" i="7" s="1"/>
  <c r="W829" i="7"/>
  <c r="U829" i="7"/>
  <c r="T829" i="7"/>
  <c r="S829" i="7"/>
  <c r="R829" i="7"/>
  <c r="Z828" i="7"/>
  <c r="Y828" i="7"/>
  <c r="AA828" i="7" s="1"/>
  <c r="W828" i="7"/>
  <c r="U828" i="7"/>
  <c r="T828" i="7"/>
  <c r="S828" i="7"/>
  <c r="R828" i="7"/>
  <c r="Z827" i="7"/>
  <c r="Y827" i="7"/>
  <c r="AA827" i="7" s="1"/>
  <c r="W827" i="7"/>
  <c r="U827" i="7"/>
  <c r="T827" i="7"/>
  <c r="S827" i="7"/>
  <c r="R827" i="7"/>
  <c r="Z826" i="7"/>
  <c r="Y826" i="7"/>
  <c r="AA826" i="7" s="1"/>
  <c r="W826" i="7"/>
  <c r="U826" i="7"/>
  <c r="T826" i="7"/>
  <c r="S826" i="7"/>
  <c r="R826" i="7"/>
  <c r="Z825" i="7"/>
  <c r="Y825" i="7"/>
  <c r="AA825" i="7" s="1"/>
  <c r="W825" i="7"/>
  <c r="U825" i="7"/>
  <c r="T825" i="7"/>
  <c r="S825" i="7"/>
  <c r="R825" i="7"/>
  <c r="Z824" i="7"/>
  <c r="Y824" i="7"/>
  <c r="AA824" i="7" s="1"/>
  <c r="W824" i="7"/>
  <c r="U824" i="7"/>
  <c r="T824" i="7"/>
  <c r="S824" i="7"/>
  <c r="R824" i="7"/>
  <c r="Z823" i="7"/>
  <c r="Y823" i="7"/>
  <c r="AA823" i="7" s="1"/>
  <c r="W823" i="7"/>
  <c r="U823" i="7"/>
  <c r="T823" i="7"/>
  <c r="S823" i="7"/>
  <c r="R823" i="7"/>
  <c r="Z822" i="7"/>
  <c r="Y822" i="7"/>
  <c r="AA822" i="7" s="1"/>
  <c r="W822" i="7"/>
  <c r="U822" i="7"/>
  <c r="T822" i="7"/>
  <c r="S822" i="7"/>
  <c r="R822" i="7"/>
  <c r="Z821" i="7"/>
  <c r="Y821" i="7"/>
  <c r="AA821" i="7" s="1"/>
  <c r="W821" i="7"/>
  <c r="U821" i="7"/>
  <c r="T821" i="7"/>
  <c r="S821" i="7"/>
  <c r="R821" i="7"/>
  <c r="Z820" i="7"/>
  <c r="Y820" i="7"/>
  <c r="AA820" i="7" s="1"/>
  <c r="W820" i="7"/>
  <c r="U820" i="7"/>
  <c r="T820" i="7"/>
  <c r="S820" i="7"/>
  <c r="R820" i="7"/>
  <c r="Z819" i="7"/>
  <c r="Y819" i="7"/>
  <c r="AA819" i="7" s="1"/>
  <c r="W819" i="7"/>
  <c r="U819" i="7"/>
  <c r="T819" i="7"/>
  <c r="S819" i="7"/>
  <c r="R819" i="7"/>
  <c r="Z818" i="7"/>
  <c r="Y818" i="7"/>
  <c r="AA818" i="7" s="1"/>
  <c r="W818" i="7"/>
  <c r="U818" i="7"/>
  <c r="T818" i="7"/>
  <c r="S818" i="7"/>
  <c r="R818" i="7"/>
  <c r="Z817" i="7"/>
  <c r="Y817" i="7"/>
  <c r="AA817" i="7" s="1"/>
  <c r="W817" i="7"/>
  <c r="U817" i="7"/>
  <c r="T817" i="7"/>
  <c r="S817" i="7"/>
  <c r="R817" i="7"/>
  <c r="Z816" i="7"/>
  <c r="Y816" i="7"/>
  <c r="AA816" i="7" s="1"/>
  <c r="W816" i="7"/>
  <c r="U816" i="7"/>
  <c r="T816" i="7"/>
  <c r="S816" i="7"/>
  <c r="R816" i="7"/>
  <c r="Z815" i="7"/>
  <c r="Y815" i="7"/>
  <c r="AA815" i="7" s="1"/>
  <c r="W815" i="7"/>
  <c r="U815" i="7"/>
  <c r="T815" i="7"/>
  <c r="S815" i="7"/>
  <c r="R815" i="7"/>
  <c r="Z814" i="7"/>
  <c r="Y814" i="7"/>
  <c r="AA814" i="7" s="1"/>
  <c r="W814" i="7"/>
  <c r="U814" i="7"/>
  <c r="T814" i="7"/>
  <c r="S814" i="7"/>
  <c r="R814" i="7"/>
  <c r="Z813" i="7"/>
  <c r="Y813" i="7"/>
  <c r="AA813" i="7" s="1"/>
  <c r="W813" i="7"/>
  <c r="U813" i="7"/>
  <c r="T813" i="7"/>
  <c r="S813" i="7"/>
  <c r="R813" i="7"/>
  <c r="Z812" i="7"/>
  <c r="Y812" i="7"/>
  <c r="AA812" i="7" s="1"/>
  <c r="W812" i="7"/>
  <c r="U812" i="7"/>
  <c r="T812" i="7"/>
  <c r="S812" i="7"/>
  <c r="R812" i="7"/>
  <c r="Z811" i="7"/>
  <c r="Y811" i="7"/>
  <c r="AA811" i="7" s="1"/>
  <c r="W811" i="7"/>
  <c r="U811" i="7"/>
  <c r="T811" i="7"/>
  <c r="S811" i="7"/>
  <c r="R811" i="7"/>
  <c r="Z810" i="7"/>
  <c r="Y810" i="7"/>
  <c r="AA810" i="7" s="1"/>
  <c r="W810" i="7"/>
  <c r="U810" i="7"/>
  <c r="T810" i="7"/>
  <c r="S810" i="7"/>
  <c r="R810" i="7"/>
  <c r="Z809" i="7"/>
  <c r="Y809" i="7"/>
  <c r="AA809" i="7" s="1"/>
  <c r="W809" i="7"/>
  <c r="U809" i="7"/>
  <c r="T809" i="7"/>
  <c r="S809" i="7"/>
  <c r="R809" i="7"/>
  <c r="Z808" i="7"/>
  <c r="Y808" i="7"/>
  <c r="AA808" i="7" s="1"/>
  <c r="W808" i="7"/>
  <c r="U808" i="7"/>
  <c r="T808" i="7"/>
  <c r="S808" i="7"/>
  <c r="R808" i="7"/>
  <c r="Z807" i="7"/>
  <c r="Y807" i="7"/>
  <c r="AA807" i="7" s="1"/>
  <c r="W807" i="7"/>
  <c r="U807" i="7"/>
  <c r="T807" i="7"/>
  <c r="S807" i="7"/>
  <c r="R807" i="7"/>
  <c r="Z806" i="7"/>
  <c r="Y806" i="7"/>
  <c r="AA806" i="7" s="1"/>
  <c r="W806" i="7"/>
  <c r="U806" i="7"/>
  <c r="T806" i="7"/>
  <c r="S806" i="7"/>
  <c r="R806" i="7"/>
  <c r="Z805" i="7"/>
  <c r="Y805" i="7"/>
  <c r="AA805" i="7" s="1"/>
  <c r="W805" i="7"/>
  <c r="U805" i="7"/>
  <c r="T805" i="7"/>
  <c r="S805" i="7"/>
  <c r="R805" i="7"/>
  <c r="Z804" i="7"/>
  <c r="Y804" i="7"/>
  <c r="AA804" i="7" s="1"/>
  <c r="W804" i="7"/>
  <c r="U804" i="7"/>
  <c r="T804" i="7"/>
  <c r="S804" i="7"/>
  <c r="R804" i="7"/>
  <c r="Z803" i="7"/>
  <c r="Y803" i="7"/>
  <c r="AA803" i="7" s="1"/>
  <c r="W803" i="7"/>
  <c r="U803" i="7"/>
  <c r="T803" i="7"/>
  <c r="S803" i="7"/>
  <c r="R803" i="7"/>
  <c r="Z802" i="7"/>
  <c r="Y802" i="7"/>
  <c r="AA802" i="7" s="1"/>
  <c r="W802" i="7"/>
  <c r="U802" i="7"/>
  <c r="T802" i="7"/>
  <c r="S802" i="7"/>
  <c r="R802" i="7"/>
  <c r="Z801" i="7"/>
  <c r="Y801" i="7"/>
  <c r="AA801" i="7" s="1"/>
  <c r="W801" i="7"/>
  <c r="U801" i="7"/>
  <c r="T801" i="7"/>
  <c r="S801" i="7"/>
  <c r="R801" i="7"/>
  <c r="Z800" i="7"/>
  <c r="Y800" i="7"/>
  <c r="AA800" i="7" s="1"/>
  <c r="W800" i="7"/>
  <c r="U800" i="7"/>
  <c r="T800" i="7"/>
  <c r="S800" i="7"/>
  <c r="R800" i="7"/>
  <c r="Z799" i="7"/>
  <c r="Y799" i="7"/>
  <c r="AA799" i="7" s="1"/>
  <c r="W799" i="7"/>
  <c r="U799" i="7"/>
  <c r="T799" i="7"/>
  <c r="S799" i="7"/>
  <c r="R799" i="7"/>
  <c r="Z798" i="7"/>
  <c r="Y798" i="7"/>
  <c r="AA798" i="7" s="1"/>
  <c r="W798" i="7"/>
  <c r="U798" i="7"/>
  <c r="T798" i="7"/>
  <c r="S798" i="7"/>
  <c r="R798" i="7"/>
  <c r="Z797" i="7"/>
  <c r="Y797" i="7"/>
  <c r="AA797" i="7" s="1"/>
  <c r="W797" i="7"/>
  <c r="U797" i="7"/>
  <c r="T797" i="7"/>
  <c r="S797" i="7"/>
  <c r="R797" i="7"/>
  <c r="Z796" i="7"/>
  <c r="Y796" i="7"/>
  <c r="AA796" i="7" s="1"/>
  <c r="W796" i="7"/>
  <c r="U796" i="7"/>
  <c r="T796" i="7"/>
  <c r="S796" i="7"/>
  <c r="R796" i="7"/>
  <c r="Z795" i="7"/>
  <c r="Y795" i="7"/>
  <c r="AA795" i="7" s="1"/>
  <c r="W795" i="7"/>
  <c r="U795" i="7"/>
  <c r="T795" i="7"/>
  <c r="S795" i="7"/>
  <c r="R795" i="7"/>
  <c r="Z794" i="7"/>
  <c r="Y794" i="7"/>
  <c r="AA794" i="7" s="1"/>
  <c r="W794" i="7"/>
  <c r="U794" i="7"/>
  <c r="T794" i="7"/>
  <c r="S794" i="7"/>
  <c r="R794" i="7"/>
  <c r="Z793" i="7"/>
  <c r="Y793" i="7"/>
  <c r="AA793" i="7" s="1"/>
  <c r="W793" i="7"/>
  <c r="U793" i="7"/>
  <c r="T793" i="7"/>
  <c r="S793" i="7"/>
  <c r="R793" i="7"/>
  <c r="Z792" i="7"/>
  <c r="Y792" i="7"/>
  <c r="AA792" i="7" s="1"/>
  <c r="W792" i="7"/>
  <c r="U792" i="7"/>
  <c r="T792" i="7"/>
  <c r="S792" i="7"/>
  <c r="R792" i="7"/>
  <c r="Z791" i="7"/>
  <c r="Y791" i="7"/>
  <c r="AA791" i="7" s="1"/>
  <c r="W791" i="7"/>
  <c r="U791" i="7"/>
  <c r="T791" i="7"/>
  <c r="S791" i="7"/>
  <c r="R791" i="7"/>
  <c r="Z790" i="7"/>
  <c r="Y790" i="7"/>
  <c r="AA790" i="7" s="1"/>
  <c r="W790" i="7"/>
  <c r="U790" i="7"/>
  <c r="T790" i="7"/>
  <c r="S790" i="7"/>
  <c r="R790" i="7"/>
  <c r="Z789" i="7"/>
  <c r="Y789" i="7"/>
  <c r="AA789" i="7" s="1"/>
  <c r="W789" i="7"/>
  <c r="U789" i="7"/>
  <c r="T789" i="7"/>
  <c r="S789" i="7"/>
  <c r="R789" i="7"/>
  <c r="Z788" i="7"/>
  <c r="Y788" i="7"/>
  <c r="AA788" i="7" s="1"/>
  <c r="W788" i="7"/>
  <c r="U788" i="7"/>
  <c r="T788" i="7"/>
  <c r="S788" i="7"/>
  <c r="R788" i="7"/>
  <c r="Z787" i="7"/>
  <c r="Y787" i="7"/>
  <c r="AA787" i="7" s="1"/>
  <c r="W787" i="7"/>
  <c r="U787" i="7"/>
  <c r="T787" i="7"/>
  <c r="S787" i="7"/>
  <c r="R787" i="7"/>
  <c r="Z786" i="7"/>
  <c r="Y786" i="7"/>
  <c r="AA786" i="7" s="1"/>
  <c r="W786" i="7"/>
  <c r="U786" i="7"/>
  <c r="T786" i="7"/>
  <c r="S786" i="7"/>
  <c r="R786" i="7"/>
  <c r="Z785" i="7"/>
  <c r="Y785" i="7"/>
  <c r="AA785" i="7" s="1"/>
  <c r="W785" i="7"/>
  <c r="U785" i="7"/>
  <c r="T785" i="7"/>
  <c r="S785" i="7"/>
  <c r="R785" i="7"/>
  <c r="Z784" i="7"/>
  <c r="Y784" i="7"/>
  <c r="AA784" i="7" s="1"/>
  <c r="W784" i="7"/>
  <c r="U784" i="7"/>
  <c r="T784" i="7"/>
  <c r="S784" i="7"/>
  <c r="R784" i="7"/>
  <c r="Z783" i="7"/>
  <c r="Y783" i="7"/>
  <c r="AA783" i="7" s="1"/>
  <c r="W783" i="7"/>
  <c r="U783" i="7"/>
  <c r="T783" i="7"/>
  <c r="S783" i="7"/>
  <c r="R783" i="7"/>
  <c r="Z782" i="7"/>
  <c r="Y782" i="7"/>
  <c r="AA782" i="7" s="1"/>
  <c r="W782" i="7"/>
  <c r="U782" i="7"/>
  <c r="T782" i="7"/>
  <c r="S782" i="7"/>
  <c r="R782" i="7"/>
  <c r="Z781" i="7"/>
  <c r="Y781" i="7"/>
  <c r="AA781" i="7" s="1"/>
  <c r="W781" i="7"/>
  <c r="U781" i="7"/>
  <c r="T781" i="7"/>
  <c r="S781" i="7"/>
  <c r="R781" i="7"/>
  <c r="Z780" i="7"/>
  <c r="Y780" i="7"/>
  <c r="AA780" i="7" s="1"/>
  <c r="W780" i="7"/>
  <c r="U780" i="7"/>
  <c r="T780" i="7"/>
  <c r="S780" i="7"/>
  <c r="R780" i="7"/>
  <c r="Z779" i="7"/>
  <c r="Y779" i="7"/>
  <c r="AA779" i="7" s="1"/>
  <c r="W779" i="7"/>
  <c r="U779" i="7"/>
  <c r="T779" i="7"/>
  <c r="S779" i="7"/>
  <c r="R779" i="7"/>
  <c r="Z778" i="7"/>
  <c r="Y778" i="7"/>
  <c r="AA778" i="7" s="1"/>
  <c r="W778" i="7"/>
  <c r="U778" i="7"/>
  <c r="T778" i="7"/>
  <c r="S778" i="7"/>
  <c r="R778" i="7"/>
  <c r="Z777" i="7"/>
  <c r="Y777" i="7"/>
  <c r="AA777" i="7" s="1"/>
  <c r="W777" i="7"/>
  <c r="U777" i="7"/>
  <c r="T777" i="7"/>
  <c r="S777" i="7"/>
  <c r="R777" i="7"/>
  <c r="Z776" i="7"/>
  <c r="Y776" i="7"/>
  <c r="AA776" i="7" s="1"/>
  <c r="W776" i="7"/>
  <c r="U776" i="7"/>
  <c r="T776" i="7"/>
  <c r="S776" i="7"/>
  <c r="R776" i="7"/>
  <c r="Z775" i="7"/>
  <c r="Y775" i="7"/>
  <c r="AA775" i="7" s="1"/>
  <c r="W775" i="7"/>
  <c r="U775" i="7"/>
  <c r="T775" i="7"/>
  <c r="S775" i="7"/>
  <c r="R775" i="7"/>
  <c r="Z774" i="7"/>
  <c r="Y774" i="7"/>
  <c r="AA774" i="7" s="1"/>
  <c r="W774" i="7"/>
  <c r="U774" i="7"/>
  <c r="T774" i="7"/>
  <c r="S774" i="7"/>
  <c r="R774" i="7"/>
  <c r="Z773" i="7"/>
  <c r="Y773" i="7"/>
  <c r="AA773" i="7" s="1"/>
  <c r="W773" i="7"/>
  <c r="U773" i="7"/>
  <c r="T773" i="7"/>
  <c r="S773" i="7"/>
  <c r="R773" i="7"/>
  <c r="Z772" i="7"/>
  <c r="Y772" i="7"/>
  <c r="AA772" i="7" s="1"/>
  <c r="W772" i="7"/>
  <c r="U772" i="7"/>
  <c r="T772" i="7"/>
  <c r="S772" i="7"/>
  <c r="R772" i="7"/>
  <c r="Z771" i="7"/>
  <c r="Y771" i="7"/>
  <c r="AA771" i="7" s="1"/>
  <c r="W771" i="7"/>
  <c r="U771" i="7"/>
  <c r="T771" i="7"/>
  <c r="S771" i="7"/>
  <c r="R771" i="7"/>
  <c r="Z770" i="7"/>
  <c r="Y770" i="7"/>
  <c r="AA770" i="7" s="1"/>
  <c r="W770" i="7"/>
  <c r="U770" i="7"/>
  <c r="T770" i="7"/>
  <c r="S770" i="7"/>
  <c r="R770" i="7"/>
  <c r="Z769" i="7"/>
  <c r="Y769" i="7"/>
  <c r="AA769" i="7" s="1"/>
  <c r="W769" i="7"/>
  <c r="U769" i="7"/>
  <c r="T769" i="7"/>
  <c r="S769" i="7"/>
  <c r="R769" i="7"/>
  <c r="Z768" i="7"/>
  <c r="Y768" i="7"/>
  <c r="AA768" i="7" s="1"/>
  <c r="W768" i="7"/>
  <c r="U768" i="7"/>
  <c r="T768" i="7"/>
  <c r="S768" i="7"/>
  <c r="R768" i="7"/>
  <c r="Z767" i="7"/>
  <c r="Y767" i="7"/>
  <c r="AA767" i="7" s="1"/>
  <c r="W767" i="7"/>
  <c r="U767" i="7"/>
  <c r="T767" i="7"/>
  <c r="S767" i="7"/>
  <c r="R767" i="7"/>
  <c r="Z766" i="7"/>
  <c r="Y766" i="7"/>
  <c r="AA766" i="7" s="1"/>
  <c r="W766" i="7"/>
  <c r="U766" i="7"/>
  <c r="T766" i="7"/>
  <c r="S766" i="7"/>
  <c r="R766" i="7"/>
  <c r="Z765" i="7"/>
  <c r="Y765" i="7"/>
  <c r="AA765" i="7" s="1"/>
  <c r="W765" i="7"/>
  <c r="U765" i="7"/>
  <c r="T765" i="7"/>
  <c r="S765" i="7"/>
  <c r="R765" i="7"/>
  <c r="Z764" i="7"/>
  <c r="Y764" i="7"/>
  <c r="AA764" i="7" s="1"/>
  <c r="W764" i="7"/>
  <c r="U764" i="7"/>
  <c r="T764" i="7"/>
  <c r="S764" i="7"/>
  <c r="R764" i="7"/>
  <c r="Z763" i="7"/>
  <c r="Y763" i="7"/>
  <c r="AA763" i="7" s="1"/>
  <c r="W763" i="7"/>
  <c r="U763" i="7"/>
  <c r="T763" i="7"/>
  <c r="S763" i="7"/>
  <c r="R763" i="7"/>
  <c r="Z762" i="7"/>
  <c r="Y762" i="7"/>
  <c r="AA762" i="7" s="1"/>
  <c r="W762" i="7"/>
  <c r="U762" i="7"/>
  <c r="T762" i="7"/>
  <c r="S762" i="7"/>
  <c r="R762" i="7"/>
  <c r="Z761" i="7"/>
  <c r="Y761" i="7"/>
  <c r="AA761" i="7" s="1"/>
  <c r="W761" i="7"/>
  <c r="U761" i="7"/>
  <c r="T761" i="7"/>
  <c r="S761" i="7"/>
  <c r="R761" i="7"/>
  <c r="Z760" i="7"/>
  <c r="Y760" i="7"/>
  <c r="AA760" i="7" s="1"/>
  <c r="W760" i="7"/>
  <c r="U760" i="7"/>
  <c r="T760" i="7"/>
  <c r="S760" i="7"/>
  <c r="R760" i="7"/>
  <c r="Z759" i="7"/>
  <c r="Y759" i="7"/>
  <c r="AA759" i="7" s="1"/>
  <c r="W759" i="7"/>
  <c r="U759" i="7"/>
  <c r="T759" i="7"/>
  <c r="S759" i="7"/>
  <c r="R759" i="7"/>
  <c r="Z758" i="7"/>
  <c r="Y758" i="7"/>
  <c r="AA758" i="7" s="1"/>
  <c r="W758" i="7"/>
  <c r="U758" i="7"/>
  <c r="T758" i="7"/>
  <c r="S758" i="7"/>
  <c r="R758" i="7"/>
  <c r="Z757" i="7"/>
  <c r="Y757" i="7"/>
  <c r="AA757" i="7" s="1"/>
  <c r="W757" i="7"/>
  <c r="U757" i="7"/>
  <c r="T757" i="7"/>
  <c r="S757" i="7"/>
  <c r="R757" i="7"/>
  <c r="Z756" i="7"/>
  <c r="Y756" i="7"/>
  <c r="AA756" i="7" s="1"/>
  <c r="W756" i="7"/>
  <c r="U756" i="7"/>
  <c r="T756" i="7"/>
  <c r="S756" i="7"/>
  <c r="R756" i="7"/>
  <c r="Z755" i="7"/>
  <c r="Y755" i="7"/>
  <c r="AA755" i="7" s="1"/>
  <c r="W755" i="7"/>
  <c r="U755" i="7"/>
  <c r="T755" i="7"/>
  <c r="S755" i="7"/>
  <c r="R755" i="7"/>
  <c r="Z754" i="7"/>
  <c r="Y754" i="7"/>
  <c r="AA754" i="7" s="1"/>
  <c r="W754" i="7"/>
  <c r="U754" i="7"/>
  <c r="T754" i="7"/>
  <c r="S754" i="7"/>
  <c r="R754" i="7"/>
  <c r="Z753" i="7"/>
  <c r="Y753" i="7"/>
  <c r="AA753" i="7" s="1"/>
  <c r="W753" i="7"/>
  <c r="U753" i="7"/>
  <c r="T753" i="7"/>
  <c r="S753" i="7"/>
  <c r="R753" i="7"/>
  <c r="Z752" i="7"/>
  <c r="Y752" i="7"/>
  <c r="AA752" i="7" s="1"/>
  <c r="W752" i="7"/>
  <c r="U752" i="7"/>
  <c r="T752" i="7"/>
  <c r="S752" i="7"/>
  <c r="R752" i="7"/>
  <c r="Z751" i="7"/>
  <c r="Y751" i="7"/>
  <c r="AA751" i="7" s="1"/>
  <c r="W751" i="7"/>
  <c r="U751" i="7"/>
  <c r="T751" i="7"/>
  <c r="S751" i="7"/>
  <c r="R751" i="7"/>
  <c r="Z750" i="7"/>
  <c r="Y750" i="7"/>
  <c r="AA750" i="7" s="1"/>
  <c r="W750" i="7"/>
  <c r="U750" i="7"/>
  <c r="T750" i="7"/>
  <c r="S750" i="7"/>
  <c r="R750" i="7"/>
  <c r="Z749" i="7"/>
  <c r="Y749" i="7"/>
  <c r="AA749" i="7" s="1"/>
  <c r="W749" i="7"/>
  <c r="U749" i="7"/>
  <c r="T749" i="7"/>
  <c r="S749" i="7"/>
  <c r="R749" i="7"/>
  <c r="Z748" i="7"/>
  <c r="Y748" i="7"/>
  <c r="AA748" i="7" s="1"/>
  <c r="W748" i="7"/>
  <c r="U748" i="7"/>
  <c r="T748" i="7"/>
  <c r="S748" i="7"/>
  <c r="R748" i="7"/>
  <c r="Z747" i="7"/>
  <c r="Y747" i="7"/>
  <c r="AA747" i="7" s="1"/>
  <c r="W747" i="7"/>
  <c r="U747" i="7"/>
  <c r="T747" i="7"/>
  <c r="S747" i="7"/>
  <c r="R747" i="7"/>
  <c r="Z746" i="7"/>
  <c r="Y746" i="7"/>
  <c r="AA746" i="7" s="1"/>
  <c r="W746" i="7"/>
  <c r="U746" i="7"/>
  <c r="T746" i="7"/>
  <c r="S746" i="7"/>
  <c r="R746" i="7"/>
  <c r="Z745" i="7"/>
  <c r="Y745" i="7"/>
  <c r="AA745" i="7" s="1"/>
  <c r="W745" i="7"/>
  <c r="U745" i="7"/>
  <c r="T745" i="7"/>
  <c r="S745" i="7"/>
  <c r="R745" i="7"/>
  <c r="Z744" i="7"/>
  <c r="Y744" i="7"/>
  <c r="AA744" i="7" s="1"/>
  <c r="W744" i="7"/>
  <c r="U744" i="7"/>
  <c r="T744" i="7"/>
  <c r="S744" i="7"/>
  <c r="R744" i="7"/>
  <c r="Z743" i="7"/>
  <c r="Y743" i="7"/>
  <c r="AA743" i="7" s="1"/>
  <c r="W743" i="7"/>
  <c r="U743" i="7"/>
  <c r="T743" i="7"/>
  <c r="S743" i="7"/>
  <c r="R743" i="7"/>
  <c r="Z742" i="7"/>
  <c r="Y742" i="7"/>
  <c r="AA742" i="7" s="1"/>
  <c r="W742" i="7"/>
  <c r="U742" i="7"/>
  <c r="T742" i="7"/>
  <c r="S742" i="7"/>
  <c r="R742" i="7"/>
  <c r="Z741" i="7"/>
  <c r="Y741" i="7"/>
  <c r="AA741" i="7" s="1"/>
  <c r="W741" i="7"/>
  <c r="U741" i="7"/>
  <c r="T741" i="7"/>
  <c r="S741" i="7"/>
  <c r="R741" i="7"/>
  <c r="Z740" i="7"/>
  <c r="Y740" i="7"/>
  <c r="AA740" i="7" s="1"/>
  <c r="W740" i="7"/>
  <c r="U740" i="7"/>
  <c r="T740" i="7"/>
  <c r="S740" i="7"/>
  <c r="R740" i="7"/>
  <c r="Z739" i="7"/>
  <c r="Y739" i="7"/>
  <c r="AA739" i="7" s="1"/>
  <c r="W739" i="7"/>
  <c r="U739" i="7"/>
  <c r="T739" i="7"/>
  <c r="S739" i="7"/>
  <c r="R739" i="7"/>
  <c r="Z738" i="7"/>
  <c r="Y738" i="7"/>
  <c r="AA738" i="7" s="1"/>
  <c r="W738" i="7"/>
  <c r="U738" i="7"/>
  <c r="T738" i="7"/>
  <c r="S738" i="7"/>
  <c r="R738" i="7"/>
  <c r="Z737" i="7"/>
  <c r="Y737" i="7"/>
  <c r="AA737" i="7" s="1"/>
  <c r="W737" i="7"/>
  <c r="U737" i="7"/>
  <c r="T737" i="7"/>
  <c r="S737" i="7"/>
  <c r="R737" i="7"/>
  <c r="Z736" i="7"/>
  <c r="Y736" i="7"/>
  <c r="AA736" i="7" s="1"/>
  <c r="W736" i="7"/>
  <c r="U736" i="7"/>
  <c r="T736" i="7"/>
  <c r="S736" i="7"/>
  <c r="R736" i="7"/>
  <c r="Z735" i="7"/>
  <c r="Y735" i="7"/>
  <c r="AA735" i="7" s="1"/>
  <c r="W735" i="7"/>
  <c r="U735" i="7"/>
  <c r="V735" i="7" s="1"/>
  <c r="T735" i="7"/>
  <c r="S735" i="7"/>
  <c r="R735" i="7"/>
  <c r="Z734" i="7"/>
  <c r="Y734" i="7"/>
  <c r="AA734" i="7" s="1"/>
  <c r="W734" i="7"/>
  <c r="U734" i="7"/>
  <c r="V734" i="7" s="1"/>
  <c r="T734" i="7"/>
  <c r="S734" i="7"/>
  <c r="R734" i="7"/>
  <c r="Z733" i="7"/>
  <c r="Y733" i="7"/>
  <c r="AA733" i="7" s="1"/>
  <c r="W733" i="7"/>
  <c r="U733" i="7"/>
  <c r="T733" i="7"/>
  <c r="S733" i="7"/>
  <c r="R733" i="7"/>
  <c r="Z732" i="7"/>
  <c r="Y732" i="7"/>
  <c r="AA732" i="7" s="1"/>
  <c r="W732" i="7"/>
  <c r="U732" i="7"/>
  <c r="T732" i="7"/>
  <c r="S732" i="7"/>
  <c r="R732" i="7"/>
  <c r="Z731" i="7"/>
  <c r="Y731" i="7"/>
  <c r="AA731" i="7" s="1"/>
  <c r="W731" i="7"/>
  <c r="U731" i="7"/>
  <c r="V731" i="7" s="1"/>
  <c r="T731" i="7"/>
  <c r="S731" i="7"/>
  <c r="R731" i="7"/>
  <c r="Z730" i="7"/>
  <c r="Y730" i="7"/>
  <c r="AA730" i="7" s="1"/>
  <c r="W730" i="7"/>
  <c r="U730" i="7"/>
  <c r="V730" i="7" s="1"/>
  <c r="T730" i="7"/>
  <c r="S730" i="7"/>
  <c r="R730" i="7"/>
  <c r="Z729" i="7"/>
  <c r="Y729" i="7"/>
  <c r="AA729" i="7" s="1"/>
  <c r="W729" i="7"/>
  <c r="U729" i="7"/>
  <c r="T729" i="7"/>
  <c r="S729" i="7"/>
  <c r="R729" i="7"/>
  <c r="Z728" i="7"/>
  <c r="Y728" i="7"/>
  <c r="AA728" i="7" s="1"/>
  <c r="W728" i="7"/>
  <c r="U728" i="7"/>
  <c r="T728" i="7"/>
  <c r="S728" i="7"/>
  <c r="R728" i="7"/>
  <c r="Z727" i="7"/>
  <c r="Y727" i="7"/>
  <c r="AA727" i="7" s="1"/>
  <c r="W727" i="7"/>
  <c r="U727" i="7"/>
  <c r="T727" i="7"/>
  <c r="S727" i="7"/>
  <c r="R727" i="7"/>
  <c r="Z726" i="7"/>
  <c r="Y726" i="7"/>
  <c r="AA726" i="7" s="1"/>
  <c r="W726" i="7"/>
  <c r="U726" i="7"/>
  <c r="T726" i="7"/>
  <c r="S726" i="7"/>
  <c r="R726" i="7"/>
  <c r="Z725" i="7"/>
  <c r="Y725" i="7"/>
  <c r="AA725" i="7" s="1"/>
  <c r="W725" i="7"/>
  <c r="U725" i="7"/>
  <c r="T725" i="7"/>
  <c r="S725" i="7"/>
  <c r="R725" i="7"/>
  <c r="Z724" i="7"/>
  <c r="Y724" i="7"/>
  <c r="AA724" i="7" s="1"/>
  <c r="W724" i="7"/>
  <c r="U724" i="7"/>
  <c r="T724" i="7"/>
  <c r="S724" i="7"/>
  <c r="R724" i="7"/>
  <c r="Z723" i="7"/>
  <c r="Y723" i="7"/>
  <c r="AA723" i="7" s="1"/>
  <c r="W723" i="7"/>
  <c r="U723" i="7"/>
  <c r="T723" i="7"/>
  <c r="S723" i="7"/>
  <c r="R723" i="7"/>
  <c r="Z722" i="7"/>
  <c r="Y722" i="7"/>
  <c r="AA722" i="7" s="1"/>
  <c r="W722" i="7"/>
  <c r="U722" i="7"/>
  <c r="T722" i="7"/>
  <c r="S722" i="7"/>
  <c r="R722" i="7"/>
  <c r="Z721" i="7"/>
  <c r="Y721" i="7"/>
  <c r="AA721" i="7" s="1"/>
  <c r="W721" i="7"/>
  <c r="U721" i="7"/>
  <c r="T721" i="7"/>
  <c r="S721" i="7"/>
  <c r="R721" i="7"/>
  <c r="Z720" i="7"/>
  <c r="Y720" i="7"/>
  <c r="AA720" i="7" s="1"/>
  <c r="W720" i="7"/>
  <c r="U720" i="7"/>
  <c r="T720" i="7"/>
  <c r="S720" i="7"/>
  <c r="R720" i="7"/>
  <c r="Z719" i="7"/>
  <c r="Y719" i="7"/>
  <c r="AA719" i="7" s="1"/>
  <c r="W719" i="7"/>
  <c r="U719" i="7"/>
  <c r="T719" i="7"/>
  <c r="S719" i="7"/>
  <c r="R719" i="7"/>
  <c r="Z718" i="7"/>
  <c r="Y718" i="7"/>
  <c r="AA718" i="7" s="1"/>
  <c r="W718" i="7"/>
  <c r="U718" i="7"/>
  <c r="T718" i="7"/>
  <c r="S718" i="7"/>
  <c r="R718" i="7"/>
  <c r="Z717" i="7"/>
  <c r="Y717" i="7"/>
  <c r="AA717" i="7" s="1"/>
  <c r="W717" i="7"/>
  <c r="U717" i="7"/>
  <c r="T717" i="7"/>
  <c r="S717" i="7"/>
  <c r="R717" i="7"/>
  <c r="Z716" i="7"/>
  <c r="Y716" i="7"/>
  <c r="AA716" i="7" s="1"/>
  <c r="W716" i="7"/>
  <c r="U716" i="7"/>
  <c r="T716" i="7"/>
  <c r="S716" i="7"/>
  <c r="R716" i="7"/>
  <c r="Z715" i="7"/>
  <c r="Y715" i="7"/>
  <c r="AA715" i="7" s="1"/>
  <c r="W715" i="7"/>
  <c r="U715" i="7"/>
  <c r="T715" i="7"/>
  <c r="S715" i="7"/>
  <c r="R715" i="7"/>
  <c r="Z714" i="7"/>
  <c r="Y714" i="7"/>
  <c r="AA714" i="7" s="1"/>
  <c r="W714" i="7"/>
  <c r="U714" i="7"/>
  <c r="T714" i="7"/>
  <c r="S714" i="7"/>
  <c r="R714" i="7"/>
  <c r="Z713" i="7"/>
  <c r="Y713" i="7"/>
  <c r="AA713" i="7" s="1"/>
  <c r="W713" i="7"/>
  <c r="U713" i="7"/>
  <c r="T713" i="7"/>
  <c r="S713" i="7"/>
  <c r="R713" i="7"/>
  <c r="Z712" i="7"/>
  <c r="Y712" i="7"/>
  <c r="AA712" i="7" s="1"/>
  <c r="W712" i="7"/>
  <c r="U712" i="7"/>
  <c r="T712" i="7"/>
  <c r="S712" i="7"/>
  <c r="R712" i="7"/>
  <c r="Z711" i="7"/>
  <c r="Y711" i="7"/>
  <c r="AA711" i="7" s="1"/>
  <c r="W711" i="7"/>
  <c r="U711" i="7"/>
  <c r="T711" i="7"/>
  <c r="S711" i="7"/>
  <c r="R711" i="7"/>
  <c r="Z710" i="7"/>
  <c r="Y710" i="7"/>
  <c r="AA710" i="7" s="1"/>
  <c r="W710" i="7"/>
  <c r="U710" i="7"/>
  <c r="T710" i="7"/>
  <c r="S710" i="7"/>
  <c r="R710" i="7"/>
  <c r="Z709" i="7"/>
  <c r="Y709" i="7"/>
  <c r="AA709" i="7" s="1"/>
  <c r="W709" i="7"/>
  <c r="U709" i="7"/>
  <c r="T709" i="7"/>
  <c r="S709" i="7"/>
  <c r="R709" i="7"/>
  <c r="Z708" i="7"/>
  <c r="Y708" i="7"/>
  <c r="AA708" i="7" s="1"/>
  <c r="W708" i="7"/>
  <c r="U708" i="7"/>
  <c r="T708" i="7"/>
  <c r="S708" i="7"/>
  <c r="R708" i="7"/>
  <c r="Z707" i="7"/>
  <c r="Y707" i="7"/>
  <c r="AA707" i="7" s="1"/>
  <c r="W707" i="7"/>
  <c r="U707" i="7"/>
  <c r="T707" i="7"/>
  <c r="S707" i="7"/>
  <c r="R707" i="7"/>
  <c r="Z706" i="7"/>
  <c r="Y706" i="7"/>
  <c r="AA706" i="7" s="1"/>
  <c r="W706" i="7"/>
  <c r="U706" i="7"/>
  <c r="T706" i="7"/>
  <c r="S706" i="7"/>
  <c r="R706" i="7"/>
  <c r="Z705" i="7"/>
  <c r="Y705" i="7"/>
  <c r="AA705" i="7" s="1"/>
  <c r="W705" i="7"/>
  <c r="U705" i="7"/>
  <c r="T705" i="7"/>
  <c r="S705" i="7"/>
  <c r="R705" i="7"/>
  <c r="Z704" i="7"/>
  <c r="Y704" i="7"/>
  <c r="AA704" i="7" s="1"/>
  <c r="W704" i="7"/>
  <c r="U704" i="7"/>
  <c r="T704" i="7"/>
  <c r="S704" i="7"/>
  <c r="R704" i="7"/>
  <c r="Z703" i="7"/>
  <c r="Y703" i="7"/>
  <c r="AA703" i="7" s="1"/>
  <c r="W703" i="7"/>
  <c r="U703" i="7"/>
  <c r="T703" i="7"/>
  <c r="S703" i="7"/>
  <c r="R703" i="7"/>
  <c r="Z702" i="7"/>
  <c r="Y702" i="7"/>
  <c r="AA702" i="7" s="1"/>
  <c r="W702" i="7"/>
  <c r="U702" i="7"/>
  <c r="T702" i="7"/>
  <c r="S702" i="7"/>
  <c r="R702" i="7"/>
  <c r="Z701" i="7"/>
  <c r="Y701" i="7"/>
  <c r="AA701" i="7" s="1"/>
  <c r="W701" i="7"/>
  <c r="U701" i="7"/>
  <c r="T701" i="7"/>
  <c r="S701" i="7"/>
  <c r="R701" i="7"/>
  <c r="Z700" i="7"/>
  <c r="Y700" i="7"/>
  <c r="AA700" i="7" s="1"/>
  <c r="W700" i="7"/>
  <c r="U700" i="7"/>
  <c r="T700" i="7"/>
  <c r="S700" i="7"/>
  <c r="R700" i="7"/>
  <c r="Z699" i="7"/>
  <c r="Y699" i="7"/>
  <c r="AA699" i="7" s="1"/>
  <c r="W699" i="7"/>
  <c r="U699" i="7"/>
  <c r="T699" i="7"/>
  <c r="S699" i="7"/>
  <c r="R699" i="7"/>
  <c r="Z698" i="7"/>
  <c r="Y698" i="7"/>
  <c r="AA698" i="7" s="1"/>
  <c r="W698" i="7"/>
  <c r="U698" i="7"/>
  <c r="T698" i="7"/>
  <c r="S698" i="7"/>
  <c r="R698" i="7"/>
  <c r="Z697" i="7"/>
  <c r="Y697" i="7"/>
  <c r="AA697" i="7" s="1"/>
  <c r="W697" i="7"/>
  <c r="U697" i="7"/>
  <c r="T697" i="7"/>
  <c r="S697" i="7"/>
  <c r="R697" i="7"/>
  <c r="Z696" i="7"/>
  <c r="Y696" i="7"/>
  <c r="AA696" i="7" s="1"/>
  <c r="W696" i="7"/>
  <c r="U696" i="7"/>
  <c r="T696" i="7"/>
  <c r="S696" i="7"/>
  <c r="R696" i="7"/>
  <c r="Z695" i="7"/>
  <c r="Y695" i="7"/>
  <c r="AA695" i="7" s="1"/>
  <c r="W695" i="7"/>
  <c r="U695" i="7"/>
  <c r="T695" i="7"/>
  <c r="S695" i="7"/>
  <c r="R695" i="7"/>
  <c r="Z694" i="7"/>
  <c r="Y694" i="7"/>
  <c r="AA694" i="7" s="1"/>
  <c r="W694" i="7"/>
  <c r="U694" i="7"/>
  <c r="T694" i="7"/>
  <c r="S694" i="7"/>
  <c r="R694" i="7"/>
  <c r="Z693" i="7"/>
  <c r="Y693" i="7"/>
  <c r="AA693" i="7" s="1"/>
  <c r="W693" i="7"/>
  <c r="U693" i="7"/>
  <c r="T693" i="7"/>
  <c r="S693" i="7"/>
  <c r="R693" i="7"/>
  <c r="Z692" i="7"/>
  <c r="Y692" i="7"/>
  <c r="AA692" i="7" s="1"/>
  <c r="W692" i="7"/>
  <c r="U692" i="7"/>
  <c r="T692" i="7"/>
  <c r="S692" i="7"/>
  <c r="R692" i="7"/>
  <c r="Z691" i="7"/>
  <c r="Y691" i="7"/>
  <c r="AA691" i="7" s="1"/>
  <c r="W691" i="7"/>
  <c r="U691" i="7"/>
  <c r="T691" i="7"/>
  <c r="S691" i="7"/>
  <c r="R691" i="7"/>
  <c r="Z690" i="7"/>
  <c r="Y690" i="7"/>
  <c r="AA690" i="7" s="1"/>
  <c r="W690" i="7"/>
  <c r="U690" i="7"/>
  <c r="T690" i="7"/>
  <c r="S690" i="7"/>
  <c r="R690" i="7"/>
  <c r="Z689" i="7"/>
  <c r="Y689" i="7"/>
  <c r="AA689" i="7" s="1"/>
  <c r="W689" i="7"/>
  <c r="U689" i="7"/>
  <c r="T689" i="7"/>
  <c r="S689" i="7"/>
  <c r="R689" i="7"/>
  <c r="Z688" i="7"/>
  <c r="Y688" i="7"/>
  <c r="AA688" i="7" s="1"/>
  <c r="W688" i="7"/>
  <c r="U688" i="7"/>
  <c r="T688" i="7"/>
  <c r="S688" i="7"/>
  <c r="R688" i="7"/>
  <c r="Z687" i="7"/>
  <c r="Y687" i="7"/>
  <c r="AA687" i="7" s="1"/>
  <c r="W687" i="7"/>
  <c r="U687" i="7"/>
  <c r="T687" i="7"/>
  <c r="S687" i="7"/>
  <c r="R687" i="7"/>
  <c r="Z686" i="7"/>
  <c r="Y686" i="7"/>
  <c r="AA686" i="7" s="1"/>
  <c r="W686" i="7"/>
  <c r="U686" i="7"/>
  <c r="T686" i="7"/>
  <c r="S686" i="7"/>
  <c r="R686" i="7"/>
  <c r="Z685" i="7"/>
  <c r="Y685" i="7"/>
  <c r="AA685" i="7" s="1"/>
  <c r="W685" i="7"/>
  <c r="U685" i="7"/>
  <c r="T685" i="7"/>
  <c r="S685" i="7"/>
  <c r="R685" i="7"/>
  <c r="Z684" i="7"/>
  <c r="Y684" i="7"/>
  <c r="AA684" i="7" s="1"/>
  <c r="W684" i="7"/>
  <c r="U684" i="7"/>
  <c r="T684" i="7"/>
  <c r="S684" i="7"/>
  <c r="R684" i="7"/>
  <c r="Z683" i="7"/>
  <c r="Y683" i="7"/>
  <c r="AA683" i="7" s="1"/>
  <c r="W683" i="7"/>
  <c r="U683" i="7"/>
  <c r="T683" i="7"/>
  <c r="S683" i="7"/>
  <c r="R683" i="7"/>
  <c r="Z682" i="7"/>
  <c r="Y682" i="7"/>
  <c r="AA682" i="7" s="1"/>
  <c r="W682" i="7"/>
  <c r="U682" i="7"/>
  <c r="T682" i="7"/>
  <c r="S682" i="7"/>
  <c r="R682" i="7"/>
  <c r="Z681" i="7"/>
  <c r="Y681" i="7"/>
  <c r="AA681" i="7" s="1"/>
  <c r="W681" i="7"/>
  <c r="U681" i="7"/>
  <c r="T681" i="7"/>
  <c r="S681" i="7"/>
  <c r="R681" i="7"/>
  <c r="Z680" i="7"/>
  <c r="Y680" i="7"/>
  <c r="AA680" i="7" s="1"/>
  <c r="W680" i="7"/>
  <c r="U680" i="7"/>
  <c r="T680" i="7"/>
  <c r="S680" i="7"/>
  <c r="R680" i="7"/>
  <c r="Z679" i="7"/>
  <c r="Y679" i="7"/>
  <c r="AA679" i="7" s="1"/>
  <c r="W679" i="7"/>
  <c r="U679" i="7"/>
  <c r="T679" i="7"/>
  <c r="S679" i="7"/>
  <c r="R679" i="7"/>
  <c r="Z678" i="7"/>
  <c r="Y678" i="7"/>
  <c r="AA678" i="7" s="1"/>
  <c r="W678" i="7"/>
  <c r="U678" i="7"/>
  <c r="T678" i="7"/>
  <c r="S678" i="7"/>
  <c r="R678" i="7"/>
  <c r="Z677" i="7"/>
  <c r="Y677" i="7"/>
  <c r="AA677" i="7" s="1"/>
  <c r="W677" i="7"/>
  <c r="U677" i="7"/>
  <c r="T677" i="7"/>
  <c r="S677" i="7"/>
  <c r="R677" i="7"/>
  <c r="Z676" i="7"/>
  <c r="Y676" i="7"/>
  <c r="AA676" i="7" s="1"/>
  <c r="W676" i="7"/>
  <c r="U676" i="7"/>
  <c r="T676" i="7"/>
  <c r="S676" i="7"/>
  <c r="R676" i="7"/>
  <c r="Z675" i="7"/>
  <c r="Y675" i="7"/>
  <c r="AA675" i="7" s="1"/>
  <c r="W675" i="7"/>
  <c r="U675" i="7"/>
  <c r="T675" i="7"/>
  <c r="S675" i="7"/>
  <c r="R675" i="7"/>
  <c r="Z674" i="7"/>
  <c r="Y674" i="7"/>
  <c r="AA674" i="7" s="1"/>
  <c r="W674" i="7"/>
  <c r="U674" i="7"/>
  <c r="T674" i="7"/>
  <c r="S674" i="7"/>
  <c r="R674" i="7"/>
  <c r="Z673" i="7"/>
  <c r="Y673" i="7"/>
  <c r="AA673" i="7" s="1"/>
  <c r="W673" i="7"/>
  <c r="U673" i="7"/>
  <c r="T673" i="7"/>
  <c r="S673" i="7"/>
  <c r="R673" i="7"/>
  <c r="Z672" i="7"/>
  <c r="Y672" i="7"/>
  <c r="AA672" i="7" s="1"/>
  <c r="W672" i="7"/>
  <c r="U672" i="7"/>
  <c r="T672" i="7"/>
  <c r="S672" i="7"/>
  <c r="R672" i="7"/>
  <c r="Z671" i="7"/>
  <c r="Y671" i="7"/>
  <c r="AA671" i="7" s="1"/>
  <c r="W671" i="7"/>
  <c r="U671" i="7"/>
  <c r="T671" i="7"/>
  <c r="S671" i="7"/>
  <c r="R671" i="7"/>
  <c r="Z670" i="7"/>
  <c r="Y670" i="7"/>
  <c r="AA670" i="7" s="1"/>
  <c r="W670" i="7"/>
  <c r="U670" i="7"/>
  <c r="T670" i="7"/>
  <c r="S670" i="7"/>
  <c r="R670" i="7"/>
  <c r="Z669" i="7"/>
  <c r="Y669" i="7"/>
  <c r="AA669" i="7" s="1"/>
  <c r="W669" i="7"/>
  <c r="U669" i="7"/>
  <c r="T669" i="7"/>
  <c r="S669" i="7"/>
  <c r="R669" i="7"/>
  <c r="Z668" i="7"/>
  <c r="Y668" i="7"/>
  <c r="AA668" i="7" s="1"/>
  <c r="W668" i="7"/>
  <c r="U668" i="7"/>
  <c r="T668" i="7"/>
  <c r="S668" i="7"/>
  <c r="R668" i="7"/>
  <c r="Z667" i="7"/>
  <c r="Y667" i="7"/>
  <c r="AA667" i="7" s="1"/>
  <c r="W667" i="7"/>
  <c r="U667" i="7"/>
  <c r="T667" i="7"/>
  <c r="S667" i="7"/>
  <c r="R667" i="7"/>
  <c r="Z666" i="7"/>
  <c r="Y666" i="7"/>
  <c r="AA666" i="7" s="1"/>
  <c r="W666" i="7"/>
  <c r="U666" i="7"/>
  <c r="T666" i="7"/>
  <c r="S666" i="7"/>
  <c r="R666" i="7"/>
  <c r="Z665" i="7"/>
  <c r="Y665" i="7"/>
  <c r="AA665" i="7" s="1"/>
  <c r="W665" i="7"/>
  <c r="U665" i="7"/>
  <c r="T665" i="7"/>
  <c r="S665" i="7"/>
  <c r="R665" i="7"/>
  <c r="Z664" i="7"/>
  <c r="Y664" i="7"/>
  <c r="AA664" i="7" s="1"/>
  <c r="W664" i="7"/>
  <c r="U664" i="7"/>
  <c r="T664" i="7"/>
  <c r="S664" i="7"/>
  <c r="R664" i="7"/>
  <c r="Z663" i="7"/>
  <c r="Y663" i="7"/>
  <c r="AA663" i="7" s="1"/>
  <c r="W663" i="7"/>
  <c r="U663" i="7"/>
  <c r="T663" i="7"/>
  <c r="S663" i="7"/>
  <c r="R663" i="7"/>
  <c r="Z662" i="7"/>
  <c r="Y662" i="7"/>
  <c r="AA662" i="7" s="1"/>
  <c r="W662" i="7"/>
  <c r="U662" i="7"/>
  <c r="T662" i="7"/>
  <c r="S662" i="7"/>
  <c r="R662" i="7"/>
  <c r="Z661" i="7"/>
  <c r="Y661" i="7"/>
  <c r="AA661" i="7" s="1"/>
  <c r="W661" i="7"/>
  <c r="U661" i="7"/>
  <c r="T661" i="7"/>
  <c r="S661" i="7"/>
  <c r="R661" i="7"/>
  <c r="Z660" i="7"/>
  <c r="Y660" i="7"/>
  <c r="AA660" i="7" s="1"/>
  <c r="W660" i="7"/>
  <c r="U660" i="7"/>
  <c r="T660" i="7"/>
  <c r="S660" i="7"/>
  <c r="R660" i="7"/>
  <c r="Z659" i="7"/>
  <c r="Y659" i="7"/>
  <c r="AA659" i="7" s="1"/>
  <c r="W659" i="7"/>
  <c r="U659" i="7"/>
  <c r="T659" i="7"/>
  <c r="S659" i="7"/>
  <c r="R659" i="7"/>
  <c r="Z658" i="7"/>
  <c r="Y658" i="7"/>
  <c r="AA658" i="7" s="1"/>
  <c r="W658" i="7"/>
  <c r="U658" i="7"/>
  <c r="T658" i="7"/>
  <c r="S658" i="7"/>
  <c r="R658" i="7"/>
  <c r="Z657" i="7"/>
  <c r="Y657" i="7"/>
  <c r="AA657" i="7" s="1"/>
  <c r="W657" i="7"/>
  <c r="U657" i="7"/>
  <c r="T657" i="7"/>
  <c r="S657" i="7"/>
  <c r="R657" i="7"/>
  <c r="Z656" i="7"/>
  <c r="Y656" i="7"/>
  <c r="AA656" i="7" s="1"/>
  <c r="W656" i="7"/>
  <c r="U656" i="7"/>
  <c r="T656" i="7"/>
  <c r="S656" i="7"/>
  <c r="R656" i="7"/>
  <c r="Z655" i="7"/>
  <c r="Y655" i="7"/>
  <c r="AA655" i="7" s="1"/>
  <c r="W655" i="7"/>
  <c r="U655" i="7"/>
  <c r="T655" i="7"/>
  <c r="S655" i="7"/>
  <c r="R655" i="7"/>
  <c r="Z654" i="7"/>
  <c r="Y654" i="7"/>
  <c r="AA654" i="7" s="1"/>
  <c r="W654" i="7"/>
  <c r="U654" i="7"/>
  <c r="T654" i="7"/>
  <c r="S654" i="7"/>
  <c r="R654" i="7"/>
  <c r="Z653" i="7"/>
  <c r="Y653" i="7"/>
  <c r="AA653" i="7" s="1"/>
  <c r="W653" i="7"/>
  <c r="U653" i="7"/>
  <c r="T653" i="7"/>
  <c r="S653" i="7"/>
  <c r="R653" i="7"/>
  <c r="Z652" i="7"/>
  <c r="Y652" i="7"/>
  <c r="AA652" i="7" s="1"/>
  <c r="W652" i="7"/>
  <c r="U652" i="7"/>
  <c r="T652" i="7"/>
  <c r="S652" i="7"/>
  <c r="R652" i="7"/>
  <c r="Z651" i="7"/>
  <c r="Y651" i="7"/>
  <c r="AA651" i="7" s="1"/>
  <c r="W651" i="7"/>
  <c r="U651" i="7"/>
  <c r="T651" i="7"/>
  <c r="S651" i="7"/>
  <c r="R651" i="7"/>
  <c r="Z650" i="7"/>
  <c r="Y650" i="7"/>
  <c r="AA650" i="7" s="1"/>
  <c r="W650" i="7"/>
  <c r="U650" i="7"/>
  <c r="T650" i="7"/>
  <c r="S650" i="7"/>
  <c r="R650" i="7"/>
  <c r="Z649" i="7"/>
  <c r="Y649" i="7"/>
  <c r="AA649" i="7" s="1"/>
  <c r="W649" i="7"/>
  <c r="U649" i="7"/>
  <c r="T649" i="7"/>
  <c r="S649" i="7"/>
  <c r="R649" i="7"/>
  <c r="Z648" i="7"/>
  <c r="Y648" i="7"/>
  <c r="AA648" i="7" s="1"/>
  <c r="W648" i="7"/>
  <c r="U648" i="7"/>
  <c r="T648" i="7"/>
  <c r="S648" i="7"/>
  <c r="R648" i="7"/>
  <c r="Z647" i="7"/>
  <c r="Y647" i="7"/>
  <c r="AA647" i="7" s="1"/>
  <c r="W647" i="7"/>
  <c r="U647" i="7"/>
  <c r="T647" i="7"/>
  <c r="S647" i="7"/>
  <c r="R647" i="7"/>
  <c r="Z646" i="7"/>
  <c r="Y646" i="7"/>
  <c r="AA646" i="7" s="1"/>
  <c r="W646" i="7"/>
  <c r="U646" i="7"/>
  <c r="T646" i="7"/>
  <c r="S646" i="7"/>
  <c r="R646" i="7"/>
  <c r="Z645" i="7"/>
  <c r="Y645" i="7"/>
  <c r="AA645" i="7" s="1"/>
  <c r="W645" i="7"/>
  <c r="U645" i="7"/>
  <c r="T645" i="7"/>
  <c r="S645" i="7"/>
  <c r="R645" i="7"/>
  <c r="Z644" i="7"/>
  <c r="Y644" i="7"/>
  <c r="AA644" i="7" s="1"/>
  <c r="W644" i="7"/>
  <c r="U644" i="7"/>
  <c r="T644" i="7"/>
  <c r="S644" i="7"/>
  <c r="R644" i="7"/>
  <c r="Z643" i="7"/>
  <c r="Y643" i="7"/>
  <c r="AA643" i="7" s="1"/>
  <c r="W643" i="7"/>
  <c r="U643" i="7"/>
  <c r="T643" i="7"/>
  <c r="S643" i="7"/>
  <c r="R643" i="7"/>
  <c r="Z642" i="7"/>
  <c r="Y642" i="7"/>
  <c r="AA642" i="7" s="1"/>
  <c r="W642" i="7"/>
  <c r="U642" i="7"/>
  <c r="T642" i="7"/>
  <c r="S642" i="7"/>
  <c r="R642" i="7"/>
  <c r="Z641" i="7"/>
  <c r="Y641" i="7"/>
  <c r="AA641" i="7" s="1"/>
  <c r="W641" i="7"/>
  <c r="U641" i="7"/>
  <c r="T641" i="7"/>
  <c r="S641" i="7"/>
  <c r="R641" i="7"/>
  <c r="Z640" i="7"/>
  <c r="Y640" i="7"/>
  <c r="AA640" i="7" s="1"/>
  <c r="W640" i="7"/>
  <c r="U640" i="7"/>
  <c r="T640" i="7"/>
  <c r="S640" i="7"/>
  <c r="R640" i="7"/>
  <c r="Z639" i="7"/>
  <c r="Y639" i="7"/>
  <c r="AA639" i="7" s="1"/>
  <c r="W639" i="7"/>
  <c r="U639" i="7"/>
  <c r="T639" i="7"/>
  <c r="S639" i="7"/>
  <c r="R639" i="7"/>
  <c r="Z638" i="7"/>
  <c r="Y638" i="7"/>
  <c r="AA638" i="7" s="1"/>
  <c r="W638" i="7"/>
  <c r="U638" i="7"/>
  <c r="T638" i="7"/>
  <c r="S638" i="7"/>
  <c r="R638" i="7"/>
  <c r="Z637" i="7"/>
  <c r="Y637" i="7"/>
  <c r="AA637" i="7" s="1"/>
  <c r="W637" i="7"/>
  <c r="U637" i="7"/>
  <c r="T637" i="7"/>
  <c r="S637" i="7"/>
  <c r="R637" i="7"/>
  <c r="Z636" i="7"/>
  <c r="Y636" i="7"/>
  <c r="AA636" i="7" s="1"/>
  <c r="W636" i="7"/>
  <c r="U636" i="7"/>
  <c r="T636" i="7"/>
  <c r="S636" i="7"/>
  <c r="R636" i="7"/>
  <c r="Z635" i="7"/>
  <c r="Y635" i="7"/>
  <c r="AA635" i="7" s="1"/>
  <c r="W635" i="7"/>
  <c r="U635" i="7"/>
  <c r="T635" i="7"/>
  <c r="S635" i="7"/>
  <c r="R635" i="7"/>
  <c r="Z634" i="7"/>
  <c r="Y634" i="7"/>
  <c r="AA634" i="7" s="1"/>
  <c r="W634" i="7"/>
  <c r="U634" i="7"/>
  <c r="T634" i="7"/>
  <c r="S634" i="7"/>
  <c r="R634" i="7"/>
  <c r="Z633" i="7"/>
  <c r="Y633" i="7"/>
  <c r="AA633" i="7" s="1"/>
  <c r="W633" i="7"/>
  <c r="U633" i="7"/>
  <c r="T633" i="7"/>
  <c r="S633" i="7"/>
  <c r="R633" i="7"/>
  <c r="Z632" i="7"/>
  <c r="Y632" i="7"/>
  <c r="AA632" i="7" s="1"/>
  <c r="W632" i="7"/>
  <c r="U632" i="7"/>
  <c r="T632" i="7"/>
  <c r="S632" i="7"/>
  <c r="R632" i="7"/>
  <c r="Z631" i="7"/>
  <c r="Y631" i="7"/>
  <c r="AA631" i="7" s="1"/>
  <c r="W631" i="7"/>
  <c r="U631" i="7"/>
  <c r="T631" i="7"/>
  <c r="S631" i="7"/>
  <c r="R631" i="7"/>
  <c r="Z630" i="7"/>
  <c r="Y630" i="7"/>
  <c r="AA630" i="7" s="1"/>
  <c r="W630" i="7"/>
  <c r="U630" i="7"/>
  <c r="T630" i="7"/>
  <c r="S630" i="7"/>
  <c r="R630" i="7"/>
  <c r="Z629" i="7"/>
  <c r="Y629" i="7"/>
  <c r="AA629" i="7" s="1"/>
  <c r="W629" i="7"/>
  <c r="U629" i="7"/>
  <c r="T629" i="7"/>
  <c r="S629" i="7"/>
  <c r="R629" i="7"/>
  <c r="Z628" i="7"/>
  <c r="Y628" i="7"/>
  <c r="AA628" i="7" s="1"/>
  <c r="W628" i="7"/>
  <c r="U628" i="7"/>
  <c r="T628" i="7"/>
  <c r="S628" i="7"/>
  <c r="R628" i="7"/>
  <c r="Z627" i="7"/>
  <c r="Y627" i="7"/>
  <c r="AA627" i="7" s="1"/>
  <c r="W627" i="7"/>
  <c r="U627" i="7"/>
  <c r="T627" i="7"/>
  <c r="S627" i="7"/>
  <c r="R627" i="7"/>
  <c r="Z626" i="7"/>
  <c r="Y626" i="7"/>
  <c r="AA626" i="7" s="1"/>
  <c r="W626" i="7"/>
  <c r="U626" i="7"/>
  <c r="T626" i="7"/>
  <c r="S626" i="7"/>
  <c r="R626" i="7"/>
  <c r="Z625" i="7"/>
  <c r="Y625" i="7"/>
  <c r="AA625" i="7" s="1"/>
  <c r="W625" i="7"/>
  <c r="U625" i="7"/>
  <c r="T625" i="7"/>
  <c r="S625" i="7"/>
  <c r="R625" i="7"/>
  <c r="Z624" i="7"/>
  <c r="Y624" i="7"/>
  <c r="AA624" i="7" s="1"/>
  <c r="W624" i="7"/>
  <c r="U624" i="7"/>
  <c r="T624" i="7"/>
  <c r="S624" i="7"/>
  <c r="R624" i="7"/>
  <c r="Z623" i="7"/>
  <c r="Y623" i="7"/>
  <c r="AA623" i="7" s="1"/>
  <c r="W623" i="7"/>
  <c r="U623" i="7"/>
  <c r="T623" i="7"/>
  <c r="S623" i="7"/>
  <c r="R623" i="7"/>
  <c r="Z622" i="7"/>
  <c r="Y622" i="7"/>
  <c r="AA622" i="7" s="1"/>
  <c r="W622" i="7"/>
  <c r="U622" i="7"/>
  <c r="T622" i="7"/>
  <c r="S622" i="7"/>
  <c r="R622" i="7"/>
  <c r="Z621" i="7"/>
  <c r="Y621" i="7"/>
  <c r="AA621" i="7" s="1"/>
  <c r="W621" i="7"/>
  <c r="U621" i="7"/>
  <c r="T621" i="7"/>
  <c r="S621" i="7"/>
  <c r="R621" i="7"/>
  <c r="Z620" i="7"/>
  <c r="Y620" i="7"/>
  <c r="AA620" i="7" s="1"/>
  <c r="W620" i="7"/>
  <c r="U620" i="7"/>
  <c r="T620" i="7"/>
  <c r="S620" i="7"/>
  <c r="R620" i="7"/>
  <c r="Z619" i="7"/>
  <c r="Y619" i="7"/>
  <c r="AA619" i="7" s="1"/>
  <c r="W619" i="7"/>
  <c r="U619" i="7"/>
  <c r="T619" i="7"/>
  <c r="S619" i="7"/>
  <c r="R619" i="7"/>
  <c r="Z618" i="7"/>
  <c r="Y618" i="7"/>
  <c r="AA618" i="7" s="1"/>
  <c r="W618" i="7"/>
  <c r="U618" i="7"/>
  <c r="T618" i="7"/>
  <c r="S618" i="7"/>
  <c r="R618" i="7"/>
  <c r="Z617" i="7"/>
  <c r="Y617" i="7"/>
  <c r="AA617" i="7" s="1"/>
  <c r="W617" i="7"/>
  <c r="U617" i="7"/>
  <c r="T617" i="7"/>
  <c r="S617" i="7"/>
  <c r="R617" i="7"/>
  <c r="Z616" i="7"/>
  <c r="Y616" i="7"/>
  <c r="AA616" i="7" s="1"/>
  <c r="W616" i="7"/>
  <c r="U616" i="7"/>
  <c r="T616" i="7"/>
  <c r="S616" i="7"/>
  <c r="R616" i="7"/>
  <c r="Z615" i="7"/>
  <c r="Y615" i="7"/>
  <c r="AA615" i="7" s="1"/>
  <c r="W615" i="7"/>
  <c r="U615" i="7"/>
  <c r="T615" i="7"/>
  <c r="S615" i="7"/>
  <c r="R615" i="7"/>
  <c r="Z614" i="7"/>
  <c r="Y614" i="7"/>
  <c r="AA614" i="7" s="1"/>
  <c r="W614" i="7"/>
  <c r="U614" i="7"/>
  <c r="T614" i="7"/>
  <c r="S614" i="7"/>
  <c r="R614" i="7"/>
  <c r="Z613" i="7"/>
  <c r="Y613" i="7"/>
  <c r="AA613" i="7" s="1"/>
  <c r="W613" i="7"/>
  <c r="U613" i="7"/>
  <c r="T613" i="7"/>
  <c r="S613" i="7"/>
  <c r="R613" i="7"/>
  <c r="Z612" i="7"/>
  <c r="Y612" i="7"/>
  <c r="AA612" i="7" s="1"/>
  <c r="W612" i="7"/>
  <c r="U612" i="7"/>
  <c r="T612" i="7"/>
  <c r="S612" i="7"/>
  <c r="R612" i="7"/>
  <c r="Z611" i="7"/>
  <c r="Y611" i="7"/>
  <c r="AA611" i="7" s="1"/>
  <c r="W611" i="7"/>
  <c r="U611" i="7"/>
  <c r="T611" i="7"/>
  <c r="S611" i="7"/>
  <c r="R611" i="7"/>
  <c r="Z610" i="7"/>
  <c r="Y610" i="7"/>
  <c r="AA610" i="7" s="1"/>
  <c r="W610" i="7"/>
  <c r="U610" i="7"/>
  <c r="T610" i="7"/>
  <c r="S610" i="7"/>
  <c r="R610" i="7"/>
  <c r="Z609" i="7"/>
  <c r="Y609" i="7"/>
  <c r="AA609" i="7" s="1"/>
  <c r="W609" i="7"/>
  <c r="U609" i="7"/>
  <c r="T609" i="7"/>
  <c r="S609" i="7"/>
  <c r="R609" i="7"/>
  <c r="Z608" i="7"/>
  <c r="Y608" i="7"/>
  <c r="AA608" i="7" s="1"/>
  <c r="W608" i="7"/>
  <c r="U608" i="7"/>
  <c r="T608" i="7"/>
  <c r="S608" i="7"/>
  <c r="R608" i="7"/>
  <c r="Z607" i="7"/>
  <c r="Y607" i="7"/>
  <c r="AA607" i="7" s="1"/>
  <c r="W607" i="7"/>
  <c r="U607" i="7"/>
  <c r="T607" i="7"/>
  <c r="S607" i="7"/>
  <c r="R607" i="7"/>
  <c r="Z606" i="7"/>
  <c r="Y606" i="7"/>
  <c r="AA606" i="7" s="1"/>
  <c r="W606" i="7"/>
  <c r="U606" i="7"/>
  <c r="T606" i="7"/>
  <c r="S606" i="7"/>
  <c r="R606" i="7"/>
  <c r="Z605" i="7"/>
  <c r="Y605" i="7"/>
  <c r="AA605" i="7" s="1"/>
  <c r="W605" i="7"/>
  <c r="U605" i="7"/>
  <c r="T605" i="7"/>
  <c r="S605" i="7"/>
  <c r="R605" i="7"/>
  <c r="Z604" i="7"/>
  <c r="Y604" i="7"/>
  <c r="AA604" i="7" s="1"/>
  <c r="W604" i="7"/>
  <c r="U604" i="7"/>
  <c r="T604" i="7"/>
  <c r="S604" i="7"/>
  <c r="R604" i="7"/>
  <c r="Z603" i="7"/>
  <c r="Y603" i="7"/>
  <c r="AA603" i="7" s="1"/>
  <c r="W603" i="7"/>
  <c r="U603" i="7"/>
  <c r="T603" i="7"/>
  <c r="S603" i="7"/>
  <c r="R603" i="7"/>
  <c r="Z602" i="7"/>
  <c r="Y602" i="7"/>
  <c r="AA602" i="7" s="1"/>
  <c r="W602" i="7"/>
  <c r="U602" i="7"/>
  <c r="T602" i="7"/>
  <c r="S602" i="7"/>
  <c r="R602" i="7"/>
  <c r="Z601" i="7"/>
  <c r="Y601" i="7"/>
  <c r="AA601" i="7" s="1"/>
  <c r="W601" i="7"/>
  <c r="U601" i="7"/>
  <c r="T601" i="7"/>
  <c r="S601" i="7"/>
  <c r="R601" i="7"/>
  <c r="Z600" i="7"/>
  <c r="Y600" i="7"/>
  <c r="AA600" i="7" s="1"/>
  <c r="W600" i="7"/>
  <c r="U600" i="7"/>
  <c r="T600" i="7"/>
  <c r="S600" i="7"/>
  <c r="R600" i="7"/>
  <c r="Z599" i="7"/>
  <c r="Y599" i="7"/>
  <c r="AA599" i="7" s="1"/>
  <c r="W599" i="7"/>
  <c r="U599" i="7"/>
  <c r="T599" i="7"/>
  <c r="S599" i="7"/>
  <c r="R599" i="7"/>
  <c r="Z598" i="7"/>
  <c r="Y598" i="7"/>
  <c r="AA598" i="7" s="1"/>
  <c r="W598" i="7"/>
  <c r="U598" i="7"/>
  <c r="T598" i="7"/>
  <c r="S598" i="7"/>
  <c r="R598" i="7"/>
  <c r="Z597" i="7"/>
  <c r="Y597" i="7"/>
  <c r="AA597" i="7" s="1"/>
  <c r="W597" i="7"/>
  <c r="U597" i="7"/>
  <c r="T597" i="7"/>
  <c r="S597" i="7"/>
  <c r="R597" i="7"/>
  <c r="Z596" i="7"/>
  <c r="Y596" i="7"/>
  <c r="AA596" i="7" s="1"/>
  <c r="W596" i="7"/>
  <c r="U596" i="7"/>
  <c r="T596" i="7"/>
  <c r="S596" i="7"/>
  <c r="R596" i="7"/>
  <c r="Z595" i="7"/>
  <c r="Y595" i="7"/>
  <c r="AA595" i="7" s="1"/>
  <c r="W595" i="7"/>
  <c r="U595" i="7"/>
  <c r="T595" i="7"/>
  <c r="S595" i="7"/>
  <c r="R595" i="7"/>
  <c r="Z594" i="7"/>
  <c r="Y594" i="7"/>
  <c r="AA594" i="7" s="1"/>
  <c r="W594" i="7"/>
  <c r="U594" i="7"/>
  <c r="T594" i="7"/>
  <c r="S594" i="7"/>
  <c r="R594" i="7"/>
  <c r="Z593" i="7"/>
  <c r="Y593" i="7"/>
  <c r="AA593" i="7" s="1"/>
  <c r="W593" i="7"/>
  <c r="U593" i="7"/>
  <c r="T593" i="7"/>
  <c r="S593" i="7"/>
  <c r="R593" i="7"/>
  <c r="Z592" i="7"/>
  <c r="Y592" i="7"/>
  <c r="AA592" i="7" s="1"/>
  <c r="W592" i="7"/>
  <c r="U592" i="7"/>
  <c r="T592" i="7"/>
  <c r="S592" i="7"/>
  <c r="R592" i="7"/>
  <c r="Z591" i="7"/>
  <c r="Y591" i="7"/>
  <c r="AA591" i="7" s="1"/>
  <c r="W591" i="7"/>
  <c r="U591" i="7"/>
  <c r="T591" i="7"/>
  <c r="S591" i="7"/>
  <c r="R591" i="7"/>
  <c r="Z590" i="7"/>
  <c r="Y590" i="7"/>
  <c r="AA590" i="7" s="1"/>
  <c r="W590" i="7"/>
  <c r="U590" i="7"/>
  <c r="T590" i="7"/>
  <c r="S590" i="7"/>
  <c r="R590" i="7"/>
  <c r="Z589" i="7"/>
  <c r="Y589" i="7"/>
  <c r="AA589" i="7" s="1"/>
  <c r="W589" i="7"/>
  <c r="U589" i="7"/>
  <c r="T589" i="7"/>
  <c r="S589" i="7"/>
  <c r="R589" i="7"/>
  <c r="Z588" i="7"/>
  <c r="Y588" i="7"/>
  <c r="AA588" i="7" s="1"/>
  <c r="W588" i="7"/>
  <c r="U588" i="7"/>
  <c r="T588" i="7"/>
  <c r="S588" i="7"/>
  <c r="R588" i="7"/>
  <c r="Z587" i="7"/>
  <c r="Y587" i="7"/>
  <c r="AA587" i="7" s="1"/>
  <c r="W587" i="7"/>
  <c r="U587" i="7"/>
  <c r="T587" i="7"/>
  <c r="S587" i="7"/>
  <c r="R587" i="7"/>
  <c r="Z586" i="7"/>
  <c r="Y586" i="7"/>
  <c r="AA586" i="7" s="1"/>
  <c r="W586" i="7"/>
  <c r="U586" i="7"/>
  <c r="T586" i="7"/>
  <c r="S586" i="7"/>
  <c r="R586" i="7"/>
  <c r="Z585" i="7"/>
  <c r="Y585" i="7"/>
  <c r="AA585" i="7" s="1"/>
  <c r="W585" i="7"/>
  <c r="U585" i="7"/>
  <c r="T585" i="7"/>
  <c r="S585" i="7"/>
  <c r="R585" i="7"/>
  <c r="Z584" i="7"/>
  <c r="Y584" i="7"/>
  <c r="AA584" i="7" s="1"/>
  <c r="W584" i="7"/>
  <c r="U584" i="7"/>
  <c r="T584" i="7"/>
  <c r="S584" i="7"/>
  <c r="R584" i="7"/>
  <c r="Z583" i="7"/>
  <c r="Y583" i="7"/>
  <c r="AA583" i="7" s="1"/>
  <c r="W583" i="7"/>
  <c r="U583" i="7"/>
  <c r="T583" i="7"/>
  <c r="S583" i="7"/>
  <c r="R583" i="7"/>
  <c r="Z582" i="7"/>
  <c r="Y582" i="7"/>
  <c r="AA582" i="7" s="1"/>
  <c r="W582" i="7"/>
  <c r="U582" i="7"/>
  <c r="T582" i="7"/>
  <c r="S582" i="7"/>
  <c r="R582" i="7"/>
  <c r="Z581" i="7"/>
  <c r="Y581" i="7"/>
  <c r="AA581" i="7" s="1"/>
  <c r="W581" i="7"/>
  <c r="U581" i="7"/>
  <c r="T581" i="7"/>
  <c r="S581" i="7"/>
  <c r="R581" i="7"/>
  <c r="Z580" i="7"/>
  <c r="Y580" i="7"/>
  <c r="AA580" i="7" s="1"/>
  <c r="W580" i="7"/>
  <c r="U580" i="7"/>
  <c r="T580" i="7"/>
  <c r="S580" i="7"/>
  <c r="R580" i="7"/>
  <c r="Z579" i="7"/>
  <c r="Y579" i="7"/>
  <c r="AA579" i="7" s="1"/>
  <c r="W579" i="7"/>
  <c r="U579" i="7"/>
  <c r="T579" i="7"/>
  <c r="S579" i="7"/>
  <c r="R579" i="7"/>
  <c r="Z578" i="7"/>
  <c r="Y578" i="7"/>
  <c r="AA578" i="7" s="1"/>
  <c r="W578" i="7"/>
  <c r="U578" i="7"/>
  <c r="T578" i="7"/>
  <c r="S578" i="7"/>
  <c r="R578" i="7"/>
  <c r="Z577" i="7"/>
  <c r="Y577" i="7"/>
  <c r="AA577" i="7" s="1"/>
  <c r="W577" i="7"/>
  <c r="U577" i="7"/>
  <c r="T577" i="7"/>
  <c r="S577" i="7"/>
  <c r="R577" i="7"/>
  <c r="Z576" i="7"/>
  <c r="Y576" i="7"/>
  <c r="AA576" i="7" s="1"/>
  <c r="W576" i="7"/>
  <c r="U576" i="7"/>
  <c r="T576" i="7"/>
  <c r="S576" i="7"/>
  <c r="R576" i="7"/>
  <c r="Z575" i="7"/>
  <c r="Y575" i="7"/>
  <c r="AA575" i="7" s="1"/>
  <c r="W575" i="7"/>
  <c r="U575" i="7"/>
  <c r="T575" i="7"/>
  <c r="S575" i="7"/>
  <c r="R575" i="7"/>
  <c r="Z574" i="7"/>
  <c r="Y574" i="7"/>
  <c r="AA574" i="7" s="1"/>
  <c r="W574" i="7"/>
  <c r="U574" i="7"/>
  <c r="T574" i="7"/>
  <c r="S574" i="7"/>
  <c r="R574" i="7"/>
  <c r="Z573" i="7"/>
  <c r="Y573" i="7"/>
  <c r="AA573" i="7" s="1"/>
  <c r="W573" i="7"/>
  <c r="U573" i="7"/>
  <c r="T573" i="7"/>
  <c r="S573" i="7"/>
  <c r="R573" i="7"/>
  <c r="Z572" i="7"/>
  <c r="Y572" i="7"/>
  <c r="AA572" i="7" s="1"/>
  <c r="W572" i="7"/>
  <c r="U572" i="7"/>
  <c r="T572" i="7"/>
  <c r="S572" i="7"/>
  <c r="R572" i="7"/>
  <c r="Z571" i="7"/>
  <c r="Y571" i="7"/>
  <c r="AA571" i="7" s="1"/>
  <c r="W571" i="7"/>
  <c r="U571" i="7"/>
  <c r="T571" i="7"/>
  <c r="S571" i="7"/>
  <c r="R571" i="7"/>
  <c r="Z570" i="7"/>
  <c r="Y570" i="7"/>
  <c r="AA570" i="7" s="1"/>
  <c r="W570" i="7"/>
  <c r="U570" i="7"/>
  <c r="T570" i="7"/>
  <c r="S570" i="7"/>
  <c r="R570" i="7"/>
  <c r="Z569" i="7"/>
  <c r="Y569" i="7"/>
  <c r="AA569" i="7" s="1"/>
  <c r="W569" i="7"/>
  <c r="U569" i="7"/>
  <c r="T569" i="7"/>
  <c r="S569" i="7"/>
  <c r="R569" i="7"/>
  <c r="Z568" i="7"/>
  <c r="Y568" i="7"/>
  <c r="AA568" i="7" s="1"/>
  <c r="W568" i="7"/>
  <c r="U568" i="7"/>
  <c r="T568" i="7"/>
  <c r="S568" i="7"/>
  <c r="R568" i="7"/>
  <c r="Z567" i="7"/>
  <c r="Y567" i="7"/>
  <c r="AA567" i="7" s="1"/>
  <c r="W567" i="7"/>
  <c r="U567" i="7"/>
  <c r="T567" i="7"/>
  <c r="S567" i="7"/>
  <c r="R567" i="7"/>
  <c r="Z566" i="7"/>
  <c r="Y566" i="7"/>
  <c r="AA566" i="7" s="1"/>
  <c r="W566" i="7"/>
  <c r="U566" i="7"/>
  <c r="T566" i="7"/>
  <c r="S566" i="7"/>
  <c r="R566" i="7"/>
  <c r="Z565" i="7"/>
  <c r="Y565" i="7"/>
  <c r="AA565" i="7" s="1"/>
  <c r="W565" i="7"/>
  <c r="U565" i="7"/>
  <c r="T565" i="7"/>
  <c r="S565" i="7"/>
  <c r="R565" i="7"/>
  <c r="Z564" i="7"/>
  <c r="Y564" i="7"/>
  <c r="AA564" i="7" s="1"/>
  <c r="W564" i="7"/>
  <c r="U564" i="7"/>
  <c r="T564" i="7"/>
  <c r="S564" i="7"/>
  <c r="R564" i="7"/>
  <c r="Z563" i="7"/>
  <c r="Y563" i="7"/>
  <c r="AA563" i="7" s="1"/>
  <c r="W563" i="7"/>
  <c r="U563" i="7"/>
  <c r="T563" i="7"/>
  <c r="S563" i="7"/>
  <c r="R563" i="7"/>
  <c r="Z562" i="7"/>
  <c r="Y562" i="7"/>
  <c r="AA562" i="7" s="1"/>
  <c r="W562" i="7"/>
  <c r="U562" i="7"/>
  <c r="T562" i="7"/>
  <c r="S562" i="7"/>
  <c r="R562" i="7"/>
  <c r="Z561" i="7"/>
  <c r="Y561" i="7"/>
  <c r="AA561" i="7" s="1"/>
  <c r="W561" i="7"/>
  <c r="U561" i="7"/>
  <c r="T561" i="7"/>
  <c r="S561" i="7"/>
  <c r="R561" i="7"/>
  <c r="Z560" i="7"/>
  <c r="Y560" i="7"/>
  <c r="AA560" i="7" s="1"/>
  <c r="W560" i="7"/>
  <c r="U560" i="7"/>
  <c r="T560" i="7"/>
  <c r="S560" i="7"/>
  <c r="R560" i="7"/>
  <c r="Z559" i="7"/>
  <c r="Y559" i="7"/>
  <c r="AA559" i="7" s="1"/>
  <c r="W559" i="7"/>
  <c r="U559" i="7"/>
  <c r="T559" i="7"/>
  <c r="S559" i="7"/>
  <c r="R559" i="7"/>
  <c r="Z558" i="7"/>
  <c r="Y558" i="7"/>
  <c r="AA558" i="7" s="1"/>
  <c r="W558" i="7"/>
  <c r="U558" i="7"/>
  <c r="T558" i="7"/>
  <c r="S558" i="7"/>
  <c r="R558" i="7"/>
  <c r="Z557" i="7"/>
  <c r="Y557" i="7"/>
  <c r="AA557" i="7" s="1"/>
  <c r="W557" i="7"/>
  <c r="U557" i="7"/>
  <c r="T557" i="7"/>
  <c r="S557" i="7"/>
  <c r="R557" i="7"/>
  <c r="Z556" i="7"/>
  <c r="Y556" i="7"/>
  <c r="AA556" i="7" s="1"/>
  <c r="W556" i="7"/>
  <c r="U556" i="7"/>
  <c r="T556" i="7"/>
  <c r="S556" i="7"/>
  <c r="R556" i="7"/>
  <c r="Z555" i="7"/>
  <c r="Y555" i="7"/>
  <c r="AA555" i="7" s="1"/>
  <c r="W555" i="7"/>
  <c r="U555" i="7"/>
  <c r="T555" i="7"/>
  <c r="S555" i="7"/>
  <c r="R555" i="7"/>
  <c r="Z554" i="7"/>
  <c r="Y554" i="7"/>
  <c r="AA554" i="7" s="1"/>
  <c r="W554" i="7"/>
  <c r="U554" i="7"/>
  <c r="T554" i="7"/>
  <c r="S554" i="7"/>
  <c r="R554" i="7"/>
  <c r="Z553" i="7"/>
  <c r="Y553" i="7"/>
  <c r="AA553" i="7" s="1"/>
  <c r="W553" i="7"/>
  <c r="U553" i="7"/>
  <c r="T553" i="7"/>
  <c r="S553" i="7"/>
  <c r="R553" i="7"/>
  <c r="Z552" i="7"/>
  <c r="Y552" i="7"/>
  <c r="AA552" i="7" s="1"/>
  <c r="W552" i="7"/>
  <c r="U552" i="7"/>
  <c r="V552" i="7" s="1"/>
  <c r="T552" i="7"/>
  <c r="S552" i="7"/>
  <c r="R552" i="7"/>
  <c r="Z551" i="7"/>
  <c r="Y551" i="7"/>
  <c r="AA551" i="7" s="1"/>
  <c r="W551" i="7"/>
  <c r="U551" i="7"/>
  <c r="T551" i="7"/>
  <c r="S551" i="7"/>
  <c r="R551" i="7"/>
  <c r="Z550" i="7"/>
  <c r="Y550" i="7"/>
  <c r="AA550" i="7" s="1"/>
  <c r="W550" i="7"/>
  <c r="U550" i="7"/>
  <c r="T550" i="7"/>
  <c r="S550" i="7"/>
  <c r="R550" i="7"/>
  <c r="Z549" i="7"/>
  <c r="Y549" i="7"/>
  <c r="AA549" i="7" s="1"/>
  <c r="W549" i="7"/>
  <c r="U549" i="7"/>
  <c r="T549" i="7"/>
  <c r="S549" i="7"/>
  <c r="R549" i="7"/>
  <c r="Z548" i="7"/>
  <c r="Y548" i="7"/>
  <c r="AA548" i="7" s="1"/>
  <c r="W548" i="7"/>
  <c r="U548" i="7"/>
  <c r="T548" i="7"/>
  <c r="S548" i="7"/>
  <c r="R548" i="7"/>
  <c r="Z547" i="7"/>
  <c r="Y547" i="7"/>
  <c r="AA547" i="7" s="1"/>
  <c r="W547" i="7"/>
  <c r="U547" i="7"/>
  <c r="T547" i="7"/>
  <c r="S547" i="7"/>
  <c r="R547" i="7"/>
  <c r="Z546" i="7"/>
  <c r="Y546" i="7"/>
  <c r="AA546" i="7" s="1"/>
  <c r="W546" i="7"/>
  <c r="U546" i="7"/>
  <c r="T546" i="7"/>
  <c r="S546" i="7"/>
  <c r="R546" i="7"/>
  <c r="Z545" i="7"/>
  <c r="Y545" i="7"/>
  <c r="W545" i="7"/>
  <c r="U545" i="7"/>
  <c r="T545" i="7"/>
  <c r="S545" i="7"/>
  <c r="R545" i="7"/>
  <c r="Z544" i="7"/>
  <c r="Y544" i="7"/>
  <c r="AA544" i="7" s="1"/>
  <c r="W544" i="7"/>
  <c r="U544" i="7"/>
  <c r="T544" i="7"/>
  <c r="S544" i="7"/>
  <c r="R544" i="7"/>
  <c r="Z543" i="7"/>
  <c r="Y543" i="7"/>
  <c r="AA543" i="7" s="1"/>
  <c r="W543" i="7"/>
  <c r="U543" i="7"/>
  <c r="T543" i="7"/>
  <c r="S543" i="7"/>
  <c r="R543" i="7"/>
  <c r="Z542" i="7"/>
  <c r="Y542" i="7"/>
  <c r="AA542" i="7" s="1"/>
  <c r="W542" i="7"/>
  <c r="U542" i="7"/>
  <c r="T542" i="7"/>
  <c r="S542" i="7"/>
  <c r="R542" i="7"/>
  <c r="Z541" i="7"/>
  <c r="Y541" i="7"/>
  <c r="AA541" i="7" s="1"/>
  <c r="W541" i="7"/>
  <c r="U541" i="7"/>
  <c r="T541" i="7"/>
  <c r="S541" i="7"/>
  <c r="R541" i="7"/>
  <c r="Z540" i="7"/>
  <c r="Y540" i="7"/>
  <c r="AA540" i="7" s="1"/>
  <c r="W540" i="7"/>
  <c r="U540" i="7"/>
  <c r="T540" i="7"/>
  <c r="S540" i="7"/>
  <c r="R540" i="7"/>
  <c r="Z539" i="7"/>
  <c r="Y539" i="7"/>
  <c r="AA539" i="7" s="1"/>
  <c r="W539" i="7"/>
  <c r="U539" i="7"/>
  <c r="T539" i="7"/>
  <c r="S539" i="7"/>
  <c r="R539" i="7"/>
  <c r="Z538" i="7"/>
  <c r="Y538" i="7"/>
  <c r="AA538" i="7" s="1"/>
  <c r="W538" i="7"/>
  <c r="U538" i="7"/>
  <c r="T538" i="7"/>
  <c r="S538" i="7"/>
  <c r="R538" i="7"/>
  <c r="Z537" i="7"/>
  <c r="Y537" i="7"/>
  <c r="AA537" i="7" s="1"/>
  <c r="W537" i="7"/>
  <c r="U537" i="7"/>
  <c r="T537" i="7"/>
  <c r="S537" i="7"/>
  <c r="R537" i="7"/>
  <c r="Z536" i="7"/>
  <c r="Y536" i="7"/>
  <c r="AA536" i="7" s="1"/>
  <c r="W536" i="7"/>
  <c r="U536" i="7"/>
  <c r="T536" i="7"/>
  <c r="S536" i="7"/>
  <c r="R536" i="7"/>
  <c r="Z535" i="7"/>
  <c r="Y535" i="7"/>
  <c r="AA535" i="7" s="1"/>
  <c r="W535" i="7"/>
  <c r="U535" i="7"/>
  <c r="T535" i="7"/>
  <c r="S535" i="7"/>
  <c r="R535" i="7"/>
  <c r="Z534" i="7"/>
  <c r="Y534" i="7"/>
  <c r="AA534" i="7" s="1"/>
  <c r="W534" i="7"/>
  <c r="U534" i="7"/>
  <c r="T534" i="7"/>
  <c r="S534" i="7"/>
  <c r="R534" i="7"/>
  <c r="Z533" i="7"/>
  <c r="Y533" i="7"/>
  <c r="AA533" i="7" s="1"/>
  <c r="W533" i="7"/>
  <c r="U533" i="7"/>
  <c r="T533" i="7"/>
  <c r="S533" i="7"/>
  <c r="R533" i="7"/>
  <c r="Z532" i="7"/>
  <c r="Y532" i="7"/>
  <c r="AA532" i="7" s="1"/>
  <c r="W532" i="7"/>
  <c r="U532" i="7"/>
  <c r="T532" i="7"/>
  <c r="S532" i="7"/>
  <c r="R532" i="7"/>
  <c r="Z531" i="7"/>
  <c r="Y531" i="7"/>
  <c r="AA531" i="7" s="1"/>
  <c r="W531" i="7"/>
  <c r="U531" i="7"/>
  <c r="T531" i="7"/>
  <c r="S531" i="7"/>
  <c r="R531" i="7"/>
  <c r="Z530" i="7"/>
  <c r="Y530" i="7"/>
  <c r="AA530" i="7" s="1"/>
  <c r="W530" i="7"/>
  <c r="U530" i="7"/>
  <c r="T530" i="7"/>
  <c r="S530" i="7"/>
  <c r="R530" i="7"/>
  <c r="Z529" i="7"/>
  <c r="Y529" i="7"/>
  <c r="AA529" i="7" s="1"/>
  <c r="W529" i="7"/>
  <c r="U529" i="7"/>
  <c r="T529" i="7"/>
  <c r="S529" i="7"/>
  <c r="R529" i="7"/>
  <c r="Z528" i="7"/>
  <c r="Y528" i="7"/>
  <c r="AA528" i="7" s="1"/>
  <c r="W528" i="7"/>
  <c r="U528" i="7"/>
  <c r="T528" i="7"/>
  <c r="S528" i="7"/>
  <c r="R528" i="7"/>
  <c r="Z527" i="7"/>
  <c r="Y527" i="7"/>
  <c r="AA527" i="7" s="1"/>
  <c r="W527" i="7"/>
  <c r="U527" i="7"/>
  <c r="T527" i="7"/>
  <c r="S527" i="7"/>
  <c r="R527" i="7"/>
  <c r="Z526" i="7"/>
  <c r="Y526" i="7"/>
  <c r="AA526" i="7" s="1"/>
  <c r="W526" i="7"/>
  <c r="U526" i="7"/>
  <c r="T526" i="7"/>
  <c r="S526" i="7"/>
  <c r="R526" i="7"/>
  <c r="Z525" i="7"/>
  <c r="Y525" i="7"/>
  <c r="AA525" i="7" s="1"/>
  <c r="W525" i="7"/>
  <c r="U525" i="7"/>
  <c r="T525" i="7"/>
  <c r="S525" i="7"/>
  <c r="R525" i="7"/>
  <c r="Z524" i="7"/>
  <c r="Y524" i="7"/>
  <c r="AA524" i="7" s="1"/>
  <c r="W524" i="7"/>
  <c r="U524" i="7"/>
  <c r="T524" i="7"/>
  <c r="S524" i="7"/>
  <c r="R524" i="7"/>
  <c r="Z523" i="7"/>
  <c r="Y523" i="7"/>
  <c r="AA523" i="7" s="1"/>
  <c r="W523" i="7"/>
  <c r="U523" i="7"/>
  <c r="T523" i="7"/>
  <c r="S523" i="7"/>
  <c r="R523" i="7"/>
  <c r="Z522" i="7"/>
  <c r="Y522" i="7"/>
  <c r="AA522" i="7" s="1"/>
  <c r="W522" i="7"/>
  <c r="U522" i="7"/>
  <c r="T522" i="7"/>
  <c r="S522" i="7"/>
  <c r="R522" i="7"/>
  <c r="Z521" i="7"/>
  <c r="Y521" i="7"/>
  <c r="AA521" i="7" s="1"/>
  <c r="W521" i="7"/>
  <c r="U521" i="7"/>
  <c r="T521" i="7"/>
  <c r="S521" i="7"/>
  <c r="R521" i="7"/>
  <c r="Z520" i="7"/>
  <c r="Y520" i="7"/>
  <c r="AA520" i="7" s="1"/>
  <c r="W520" i="7"/>
  <c r="U520" i="7"/>
  <c r="T520" i="7"/>
  <c r="S520" i="7"/>
  <c r="R520" i="7"/>
  <c r="Z519" i="7"/>
  <c r="Y519" i="7"/>
  <c r="AA519" i="7" s="1"/>
  <c r="W519" i="7"/>
  <c r="U519" i="7"/>
  <c r="T519" i="7"/>
  <c r="S519" i="7"/>
  <c r="R519" i="7"/>
  <c r="Z518" i="7"/>
  <c r="Y518" i="7"/>
  <c r="AA518" i="7" s="1"/>
  <c r="W518" i="7"/>
  <c r="U518" i="7"/>
  <c r="T518" i="7"/>
  <c r="S518" i="7"/>
  <c r="R518" i="7"/>
  <c r="Z517" i="7"/>
  <c r="Y517" i="7"/>
  <c r="AA517" i="7" s="1"/>
  <c r="W517" i="7"/>
  <c r="U517" i="7"/>
  <c r="T517" i="7"/>
  <c r="S517" i="7"/>
  <c r="R517" i="7"/>
  <c r="Z516" i="7"/>
  <c r="Y516" i="7"/>
  <c r="AA516" i="7" s="1"/>
  <c r="W516" i="7"/>
  <c r="U516" i="7"/>
  <c r="T516" i="7"/>
  <c r="S516" i="7"/>
  <c r="R516" i="7"/>
  <c r="Z515" i="7"/>
  <c r="Y515" i="7"/>
  <c r="AA515" i="7" s="1"/>
  <c r="W515" i="7"/>
  <c r="U515" i="7"/>
  <c r="T515" i="7"/>
  <c r="S515" i="7"/>
  <c r="R515" i="7"/>
  <c r="Z514" i="7"/>
  <c r="Y514" i="7"/>
  <c r="AA514" i="7" s="1"/>
  <c r="W514" i="7"/>
  <c r="U514" i="7"/>
  <c r="T514" i="7"/>
  <c r="S514" i="7"/>
  <c r="R514" i="7"/>
  <c r="Z513" i="7"/>
  <c r="Y513" i="7"/>
  <c r="AA513" i="7" s="1"/>
  <c r="W513" i="7"/>
  <c r="U513" i="7"/>
  <c r="T513" i="7"/>
  <c r="S513" i="7"/>
  <c r="R513" i="7"/>
  <c r="Z512" i="7"/>
  <c r="Y512" i="7"/>
  <c r="AA512" i="7" s="1"/>
  <c r="W512" i="7"/>
  <c r="U512" i="7"/>
  <c r="T512" i="7"/>
  <c r="S512" i="7"/>
  <c r="R512" i="7"/>
  <c r="Z511" i="7"/>
  <c r="Y511" i="7"/>
  <c r="AA511" i="7" s="1"/>
  <c r="W511" i="7"/>
  <c r="U511" i="7"/>
  <c r="T511" i="7"/>
  <c r="S511" i="7"/>
  <c r="R511" i="7"/>
  <c r="Z510" i="7"/>
  <c r="Y510" i="7"/>
  <c r="AA510" i="7" s="1"/>
  <c r="W510" i="7"/>
  <c r="U510" i="7"/>
  <c r="T510" i="7"/>
  <c r="S510" i="7"/>
  <c r="R510" i="7"/>
  <c r="Z509" i="7"/>
  <c r="Y509" i="7"/>
  <c r="AA509" i="7" s="1"/>
  <c r="W509" i="7"/>
  <c r="U509" i="7"/>
  <c r="T509" i="7"/>
  <c r="S509" i="7"/>
  <c r="R509" i="7"/>
  <c r="Z508" i="7"/>
  <c r="Y508" i="7"/>
  <c r="AA508" i="7" s="1"/>
  <c r="W508" i="7"/>
  <c r="U508" i="7"/>
  <c r="T508" i="7"/>
  <c r="S508" i="7"/>
  <c r="R508" i="7"/>
  <c r="Z507" i="7"/>
  <c r="Y507" i="7"/>
  <c r="AA507" i="7" s="1"/>
  <c r="W507" i="7"/>
  <c r="U507" i="7"/>
  <c r="T507" i="7"/>
  <c r="S507" i="7"/>
  <c r="R507" i="7"/>
  <c r="Z506" i="7"/>
  <c r="Y506" i="7"/>
  <c r="AA506" i="7" s="1"/>
  <c r="W506" i="7"/>
  <c r="U506" i="7"/>
  <c r="T506" i="7"/>
  <c r="S506" i="7"/>
  <c r="R506" i="7"/>
  <c r="Z505" i="7"/>
  <c r="Y505" i="7"/>
  <c r="AA505" i="7" s="1"/>
  <c r="W505" i="7"/>
  <c r="U505" i="7"/>
  <c r="T505" i="7"/>
  <c r="S505" i="7"/>
  <c r="R505" i="7"/>
  <c r="Z504" i="7"/>
  <c r="Y504" i="7"/>
  <c r="AA504" i="7" s="1"/>
  <c r="W504" i="7"/>
  <c r="U504" i="7"/>
  <c r="T504" i="7"/>
  <c r="S504" i="7"/>
  <c r="R504" i="7"/>
  <c r="Z503" i="7"/>
  <c r="Y503" i="7"/>
  <c r="AA503" i="7" s="1"/>
  <c r="W503" i="7"/>
  <c r="U503" i="7"/>
  <c r="T503" i="7"/>
  <c r="S503" i="7"/>
  <c r="R503" i="7"/>
  <c r="Z502" i="7"/>
  <c r="Y502" i="7"/>
  <c r="AA502" i="7" s="1"/>
  <c r="W502" i="7"/>
  <c r="U502" i="7"/>
  <c r="T502" i="7"/>
  <c r="S502" i="7"/>
  <c r="R502" i="7"/>
  <c r="Z501" i="7"/>
  <c r="Y501" i="7"/>
  <c r="AA501" i="7" s="1"/>
  <c r="W501" i="7"/>
  <c r="U501" i="7"/>
  <c r="T501" i="7"/>
  <c r="S501" i="7"/>
  <c r="R501" i="7"/>
  <c r="Z500" i="7"/>
  <c r="Y500" i="7"/>
  <c r="AA500" i="7" s="1"/>
  <c r="W500" i="7"/>
  <c r="U500" i="7"/>
  <c r="T500" i="7"/>
  <c r="S500" i="7"/>
  <c r="R500" i="7"/>
  <c r="Z499" i="7"/>
  <c r="Y499" i="7"/>
  <c r="AA499" i="7" s="1"/>
  <c r="W499" i="7"/>
  <c r="U499" i="7"/>
  <c r="T499" i="7"/>
  <c r="S499" i="7"/>
  <c r="R499" i="7"/>
  <c r="Z498" i="7"/>
  <c r="Y498" i="7"/>
  <c r="AA498" i="7" s="1"/>
  <c r="W498" i="7"/>
  <c r="U498" i="7"/>
  <c r="T498" i="7"/>
  <c r="S498" i="7"/>
  <c r="R498" i="7"/>
  <c r="Z497" i="7"/>
  <c r="Y497" i="7"/>
  <c r="AA497" i="7" s="1"/>
  <c r="W497" i="7"/>
  <c r="U497" i="7"/>
  <c r="T497" i="7"/>
  <c r="S497" i="7"/>
  <c r="R497" i="7"/>
  <c r="Z496" i="7"/>
  <c r="Y496" i="7"/>
  <c r="AA496" i="7" s="1"/>
  <c r="W496" i="7"/>
  <c r="U496" i="7"/>
  <c r="T496" i="7"/>
  <c r="S496" i="7"/>
  <c r="R496" i="7"/>
  <c r="Z495" i="7"/>
  <c r="Y495" i="7"/>
  <c r="AA495" i="7" s="1"/>
  <c r="W495" i="7"/>
  <c r="U495" i="7"/>
  <c r="T495" i="7"/>
  <c r="S495" i="7"/>
  <c r="R495" i="7"/>
  <c r="Z494" i="7"/>
  <c r="Y494" i="7"/>
  <c r="AA494" i="7" s="1"/>
  <c r="W494" i="7"/>
  <c r="U494" i="7"/>
  <c r="T494" i="7"/>
  <c r="S494" i="7"/>
  <c r="R494" i="7"/>
  <c r="Z493" i="7"/>
  <c r="Y493" i="7"/>
  <c r="AA493" i="7" s="1"/>
  <c r="W493" i="7"/>
  <c r="U493" i="7"/>
  <c r="T493" i="7"/>
  <c r="S493" i="7"/>
  <c r="R493" i="7"/>
  <c r="Z492" i="7"/>
  <c r="Y492" i="7"/>
  <c r="AA492" i="7" s="1"/>
  <c r="W492" i="7"/>
  <c r="U492" i="7"/>
  <c r="T492" i="7"/>
  <c r="S492" i="7"/>
  <c r="R492" i="7"/>
  <c r="Z491" i="7"/>
  <c r="Y491" i="7"/>
  <c r="AA491" i="7" s="1"/>
  <c r="W491" i="7"/>
  <c r="U491" i="7"/>
  <c r="T491" i="7"/>
  <c r="S491" i="7"/>
  <c r="R491" i="7"/>
  <c r="Z490" i="7"/>
  <c r="Y490" i="7"/>
  <c r="AA490" i="7" s="1"/>
  <c r="W490" i="7"/>
  <c r="U490" i="7"/>
  <c r="T490" i="7"/>
  <c r="S490" i="7"/>
  <c r="R490" i="7"/>
  <c r="Z489" i="7"/>
  <c r="Y489" i="7"/>
  <c r="AA489" i="7" s="1"/>
  <c r="W489" i="7"/>
  <c r="U489" i="7"/>
  <c r="T489" i="7"/>
  <c r="S489" i="7"/>
  <c r="R489" i="7"/>
  <c r="Z488" i="7"/>
  <c r="Y488" i="7"/>
  <c r="AA488" i="7" s="1"/>
  <c r="W488" i="7"/>
  <c r="U488" i="7"/>
  <c r="T488" i="7"/>
  <c r="S488" i="7"/>
  <c r="R488" i="7"/>
  <c r="Z487" i="7"/>
  <c r="Y487" i="7"/>
  <c r="AA487" i="7" s="1"/>
  <c r="W487" i="7"/>
  <c r="U487" i="7"/>
  <c r="T487" i="7"/>
  <c r="S487" i="7"/>
  <c r="R487" i="7"/>
  <c r="Z486" i="7"/>
  <c r="Y486" i="7"/>
  <c r="AA486" i="7" s="1"/>
  <c r="W486" i="7"/>
  <c r="U486" i="7"/>
  <c r="T486" i="7"/>
  <c r="S486" i="7"/>
  <c r="R486" i="7"/>
  <c r="Z485" i="7"/>
  <c r="Y485" i="7"/>
  <c r="AA485" i="7" s="1"/>
  <c r="W485" i="7"/>
  <c r="U485" i="7"/>
  <c r="T485" i="7"/>
  <c r="S485" i="7"/>
  <c r="R485" i="7"/>
  <c r="Z484" i="7"/>
  <c r="Y484" i="7"/>
  <c r="AA484" i="7" s="1"/>
  <c r="W484" i="7"/>
  <c r="U484" i="7"/>
  <c r="T484" i="7"/>
  <c r="S484" i="7"/>
  <c r="R484" i="7"/>
  <c r="Z483" i="7"/>
  <c r="Y483" i="7"/>
  <c r="AA483" i="7" s="1"/>
  <c r="W483" i="7"/>
  <c r="U483" i="7"/>
  <c r="T483" i="7"/>
  <c r="S483" i="7"/>
  <c r="R483" i="7"/>
  <c r="Z482" i="7"/>
  <c r="Y482" i="7"/>
  <c r="AA482" i="7" s="1"/>
  <c r="W482" i="7"/>
  <c r="U482" i="7"/>
  <c r="T482" i="7"/>
  <c r="S482" i="7"/>
  <c r="R482" i="7"/>
  <c r="Z481" i="7"/>
  <c r="Y481" i="7"/>
  <c r="AA481" i="7" s="1"/>
  <c r="W481" i="7"/>
  <c r="U481" i="7"/>
  <c r="T481" i="7"/>
  <c r="S481" i="7"/>
  <c r="R481" i="7"/>
  <c r="Z480" i="7"/>
  <c r="Y480" i="7"/>
  <c r="AA480" i="7" s="1"/>
  <c r="W480" i="7"/>
  <c r="U480" i="7"/>
  <c r="T480" i="7"/>
  <c r="S480" i="7"/>
  <c r="R480" i="7"/>
  <c r="Z479" i="7"/>
  <c r="Y479" i="7"/>
  <c r="AA479" i="7" s="1"/>
  <c r="W479" i="7"/>
  <c r="U479" i="7"/>
  <c r="T479" i="7"/>
  <c r="S479" i="7"/>
  <c r="R479" i="7"/>
  <c r="Z478" i="7"/>
  <c r="Y478" i="7"/>
  <c r="AA478" i="7" s="1"/>
  <c r="W478" i="7"/>
  <c r="U478" i="7"/>
  <c r="T478" i="7"/>
  <c r="S478" i="7"/>
  <c r="R478" i="7"/>
  <c r="Z477" i="7"/>
  <c r="Y477" i="7"/>
  <c r="AA477" i="7" s="1"/>
  <c r="W477" i="7"/>
  <c r="U477" i="7"/>
  <c r="T477" i="7"/>
  <c r="S477" i="7"/>
  <c r="R477" i="7"/>
  <c r="Z476" i="7"/>
  <c r="Y476" i="7"/>
  <c r="AA476" i="7" s="1"/>
  <c r="W476" i="7"/>
  <c r="U476" i="7"/>
  <c r="T476" i="7"/>
  <c r="S476" i="7"/>
  <c r="R476" i="7"/>
  <c r="Z475" i="7"/>
  <c r="Y475" i="7"/>
  <c r="AA475" i="7" s="1"/>
  <c r="W475" i="7"/>
  <c r="U475" i="7"/>
  <c r="T475" i="7"/>
  <c r="S475" i="7"/>
  <c r="R475" i="7"/>
  <c r="Z474" i="7"/>
  <c r="Y474" i="7"/>
  <c r="AA474" i="7" s="1"/>
  <c r="W474" i="7"/>
  <c r="U474" i="7"/>
  <c r="T474" i="7"/>
  <c r="S474" i="7"/>
  <c r="R474" i="7"/>
  <c r="Z473" i="7"/>
  <c r="Y473" i="7"/>
  <c r="AA473" i="7" s="1"/>
  <c r="W473" i="7"/>
  <c r="U473" i="7"/>
  <c r="T473" i="7"/>
  <c r="S473" i="7"/>
  <c r="R473" i="7"/>
  <c r="Z472" i="7"/>
  <c r="Y472" i="7"/>
  <c r="AA472" i="7" s="1"/>
  <c r="W472" i="7"/>
  <c r="U472" i="7"/>
  <c r="T472" i="7"/>
  <c r="S472" i="7"/>
  <c r="R472" i="7"/>
  <c r="Z471" i="7"/>
  <c r="Y471" i="7"/>
  <c r="AA471" i="7" s="1"/>
  <c r="W471" i="7"/>
  <c r="U471" i="7"/>
  <c r="T471" i="7"/>
  <c r="S471" i="7"/>
  <c r="R471" i="7"/>
  <c r="Z470" i="7"/>
  <c r="Y470" i="7"/>
  <c r="AA470" i="7" s="1"/>
  <c r="W470" i="7"/>
  <c r="U470" i="7"/>
  <c r="T470" i="7"/>
  <c r="S470" i="7"/>
  <c r="R470" i="7"/>
  <c r="Z469" i="7"/>
  <c r="Y469" i="7"/>
  <c r="AA469" i="7" s="1"/>
  <c r="W469" i="7"/>
  <c r="U469" i="7"/>
  <c r="T469" i="7"/>
  <c r="S469" i="7"/>
  <c r="R469" i="7"/>
  <c r="Z468" i="7"/>
  <c r="Y468" i="7"/>
  <c r="AA468" i="7" s="1"/>
  <c r="W468" i="7"/>
  <c r="U468" i="7"/>
  <c r="T468" i="7"/>
  <c r="S468" i="7"/>
  <c r="R468" i="7"/>
  <c r="Z467" i="7"/>
  <c r="Y467" i="7"/>
  <c r="AA467" i="7" s="1"/>
  <c r="W467" i="7"/>
  <c r="U467" i="7"/>
  <c r="T467" i="7"/>
  <c r="S467" i="7"/>
  <c r="R467" i="7"/>
  <c r="Z466" i="7"/>
  <c r="Y466" i="7"/>
  <c r="AA466" i="7" s="1"/>
  <c r="W466" i="7"/>
  <c r="U466" i="7"/>
  <c r="T466" i="7"/>
  <c r="S466" i="7"/>
  <c r="R466" i="7"/>
  <c r="Z465" i="7"/>
  <c r="Y465" i="7"/>
  <c r="AA465" i="7" s="1"/>
  <c r="W465" i="7"/>
  <c r="U465" i="7"/>
  <c r="T465" i="7"/>
  <c r="S465" i="7"/>
  <c r="R465" i="7"/>
  <c r="Z464" i="7"/>
  <c r="Y464" i="7"/>
  <c r="AA464" i="7" s="1"/>
  <c r="W464" i="7"/>
  <c r="U464" i="7"/>
  <c r="T464" i="7"/>
  <c r="S464" i="7"/>
  <c r="R464" i="7"/>
  <c r="Z463" i="7"/>
  <c r="Y463" i="7"/>
  <c r="AA463" i="7" s="1"/>
  <c r="W463" i="7"/>
  <c r="U463" i="7"/>
  <c r="T463" i="7"/>
  <c r="S463" i="7"/>
  <c r="R463" i="7"/>
  <c r="Z462" i="7"/>
  <c r="Y462" i="7"/>
  <c r="AA462" i="7" s="1"/>
  <c r="W462" i="7"/>
  <c r="U462" i="7"/>
  <c r="T462" i="7"/>
  <c r="S462" i="7"/>
  <c r="R462" i="7"/>
  <c r="Z461" i="7"/>
  <c r="Y461" i="7"/>
  <c r="AA461" i="7" s="1"/>
  <c r="W461" i="7"/>
  <c r="U461" i="7"/>
  <c r="T461" i="7"/>
  <c r="S461" i="7"/>
  <c r="R461" i="7"/>
  <c r="Z460" i="7"/>
  <c r="Y460" i="7"/>
  <c r="AA460" i="7" s="1"/>
  <c r="W460" i="7"/>
  <c r="U460" i="7"/>
  <c r="T460" i="7"/>
  <c r="S460" i="7"/>
  <c r="R460" i="7"/>
  <c r="Z459" i="7"/>
  <c r="Y459" i="7"/>
  <c r="AA459" i="7" s="1"/>
  <c r="W459" i="7"/>
  <c r="U459" i="7"/>
  <c r="T459" i="7"/>
  <c r="S459" i="7"/>
  <c r="R459" i="7"/>
  <c r="Z458" i="7"/>
  <c r="Y458" i="7"/>
  <c r="AA458" i="7" s="1"/>
  <c r="W458" i="7"/>
  <c r="U458" i="7"/>
  <c r="T458" i="7"/>
  <c r="S458" i="7"/>
  <c r="R458" i="7"/>
  <c r="Z457" i="7"/>
  <c r="Y457" i="7"/>
  <c r="AA457" i="7" s="1"/>
  <c r="W457" i="7"/>
  <c r="U457" i="7"/>
  <c r="T457" i="7"/>
  <c r="S457" i="7"/>
  <c r="R457" i="7"/>
  <c r="Z456" i="7"/>
  <c r="Y456" i="7"/>
  <c r="AA456" i="7" s="1"/>
  <c r="W456" i="7"/>
  <c r="U456" i="7"/>
  <c r="T456" i="7"/>
  <c r="S456" i="7"/>
  <c r="R456" i="7"/>
  <c r="Z455" i="7"/>
  <c r="Y455" i="7"/>
  <c r="AA455" i="7" s="1"/>
  <c r="W455" i="7"/>
  <c r="U455" i="7"/>
  <c r="T455" i="7"/>
  <c r="S455" i="7"/>
  <c r="R455" i="7"/>
  <c r="Z454" i="7"/>
  <c r="Y454" i="7"/>
  <c r="AA454" i="7" s="1"/>
  <c r="W454" i="7"/>
  <c r="U454" i="7"/>
  <c r="T454" i="7"/>
  <c r="S454" i="7"/>
  <c r="R454" i="7"/>
  <c r="Z453" i="7"/>
  <c r="Y453" i="7"/>
  <c r="AA453" i="7" s="1"/>
  <c r="W453" i="7"/>
  <c r="U453" i="7"/>
  <c r="T453" i="7"/>
  <c r="S453" i="7"/>
  <c r="R453" i="7"/>
  <c r="Z452" i="7"/>
  <c r="Y452" i="7"/>
  <c r="AA452" i="7" s="1"/>
  <c r="W452" i="7"/>
  <c r="U452" i="7"/>
  <c r="T452" i="7"/>
  <c r="S452" i="7"/>
  <c r="R452" i="7"/>
  <c r="Z451" i="7"/>
  <c r="Y451" i="7"/>
  <c r="AA451" i="7" s="1"/>
  <c r="W451" i="7"/>
  <c r="U451" i="7"/>
  <c r="T451" i="7"/>
  <c r="S451" i="7"/>
  <c r="R451" i="7"/>
  <c r="Z450" i="7"/>
  <c r="Y450" i="7"/>
  <c r="AA450" i="7" s="1"/>
  <c r="W450" i="7"/>
  <c r="U450" i="7"/>
  <c r="T450" i="7"/>
  <c r="S450" i="7"/>
  <c r="R450" i="7"/>
  <c r="Z449" i="7"/>
  <c r="Y449" i="7"/>
  <c r="AA449" i="7" s="1"/>
  <c r="W449" i="7"/>
  <c r="U449" i="7"/>
  <c r="T449" i="7"/>
  <c r="S449" i="7"/>
  <c r="R449" i="7"/>
  <c r="Z448" i="7"/>
  <c r="Y448" i="7"/>
  <c r="AA448" i="7" s="1"/>
  <c r="W448" i="7"/>
  <c r="U448" i="7"/>
  <c r="T448" i="7"/>
  <c r="S448" i="7"/>
  <c r="R448" i="7"/>
  <c r="Z447" i="7"/>
  <c r="Y447" i="7"/>
  <c r="AA447" i="7" s="1"/>
  <c r="W447" i="7"/>
  <c r="U447" i="7"/>
  <c r="T447" i="7"/>
  <c r="S447" i="7"/>
  <c r="R447" i="7"/>
  <c r="Z446" i="7"/>
  <c r="Y446" i="7"/>
  <c r="AA446" i="7" s="1"/>
  <c r="W446" i="7"/>
  <c r="U446" i="7"/>
  <c r="T446" i="7"/>
  <c r="S446" i="7"/>
  <c r="R446" i="7"/>
  <c r="Z445" i="7"/>
  <c r="Y445" i="7"/>
  <c r="AA445" i="7" s="1"/>
  <c r="W445" i="7"/>
  <c r="U445" i="7"/>
  <c r="T445" i="7"/>
  <c r="S445" i="7"/>
  <c r="R445" i="7"/>
  <c r="Z444" i="7"/>
  <c r="Y444" i="7"/>
  <c r="AA444" i="7" s="1"/>
  <c r="W444" i="7"/>
  <c r="U444" i="7"/>
  <c r="T444" i="7"/>
  <c r="S444" i="7"/>
  <c r="R444" i="7"/>
  <c r="Z443" i="7"/>
  <c r="Y443" i="7"/>
  <c r="AA443" i="7" s="1"/>
  <c r="W443" i="7"/>
  <c r="U443" i="7"/>
  <c r="T443" i="7"/>
  <c r="S443" i="7"/>
  <c r="R443" i="7"/>
  <c r="Z442" i="7"/>
  <c r="Y442" i="7"/>
  <c r="AA442" i="7" s="1"/>
  <c r="W442" i="7"/>
  <c r="U442" i="7"/>
  <c r="T442" i="7"/>
  <c r="S442" i="7"/>
  <c r="R442" i="7"/>
  <c r="Z441" i="7"/>
  <c r="Y441" i="7"/>
  <c r="AA441" i="7" s="1"/>
  <c r="W441" i="7"/>
  <c r="U441" i="7"/>
  <c r="T441" i="7"/>
  <c r="S441" i="7"/>
  <c r="R441" i="7"/>
  <c r="Z440" i="7"/>
  <c r="Y440" i="7"/>
  <c r="AA440" i="7" s="1"/>
  <c r="W440" i="7"/>
  <c r="U440" i="7"/>
  <c r="T440" i="7"/>
  <c r="S440" i="7"/>
  <c r="R440" i="7"/>
  <c r="Z439" i="7"/>
  <c r="Y439" i="7"/>
  <c r="AA439" i="7" s="1"/>
  <c r="W439" i="7"/>
  <c r="U439" i="7"/>
  <c r="T439" i="7"/>
  <c r="S439" i="7"/>
  <c r="R439" i="7"/>
  <c r="Z438" i="7"/>
  <c r="Y438" i="7"/>
  <c r="AA438" i="7" s="1"/>
  <c r="W438" i="7"/>
  <c r="U438" i="7"/>
  <c r="T438" i="7"/>
  <c r="S438" i="7"/>
  <c r="R438" i="7"/>
  <c r="Z437" i="7"/>
  <c r="Y437" i="7"/>
  <c r="AA437" i="7" s="1"/>
  <c r="W437" i="7"/>
  <c r="U437" i="7"/>
  <c r="T437" i="7"/>
  <c r="S437" i="7"/>
  <c r="R437" i="7"/>
  <c r="Z436" i="7"/>
  <c r="Y436" i="7"/>
  <c r="AA436" i="7" s="1"/>
  <c r="W436" i="7"/>
  <c r="U436" i="7"/>
  <c r="T436" i="7"/>
  <c r="S436" i="7"/>
  <c r="R436" i="7"/>
  <c r="Z435" i="7"/>
  <c r="Y435" i="7"/>
  <c r="AA435" i="7" s="1"/>
  <c r="W435" i="7"/>
  <c r="U435" i="7"/>
  <c r="T435" i="7"/>
  <c r="S435" i="7"/>
  <c r="R435" i="7"/>
  <c r="Z434" i="7"/>
  <c r="Y434" i="7"/>
  <c r="AA434" i="7" s="1"/>
  <c r="W434" i="7"/>
  <c r="U434" i="7"/>
  <c r="T434" i="7"/>
  <c r="S434" i="7"/>
  <c r="R434" i="7"/>
  <c r="Z433" i="7"/>
  <c r="Y433" i="7"/>
  <c r="AA433" i="7" s="1"/>
  <c r="W433" i="7"/>
  <c r="U433" i="7"/>
  <c r="T433" i="7"/>
  <c r="S433" i="7"/>
  <c r="R433" i="7"/>
  <c r="Z432" i="7"/>
  <c r="Y432" i="7"/>
  <c r="AA432" i="7" s="1"/>
  <c r="W432" i="7"/>
  <c r="U432" i="7"/>
  <c r="T432" i="7"/>
  <c r="S432" i="7"/>
  <c r="R432" i="7"/>
  <c r="Z431" i="7"/>
  <c r="Y431" i="7"/>
  <c r="AA431" i="7" s="1"/>
  <c r="W431" i="7"/>
  <c r="U431" i="7"/>
  <c r="T431" i="7"/>
  <c r="S431" i="7"/>
  <c r="R431" i="7"/>
  <c r="Z430" i="7"/>
  <c r="Y430" i="7"/>
  <c r="AA430" i="7" s="1"/>
  <c r="W430" i="7"/>
  <c r="U430" i="7"/>
  <c r="T430" i="7"/>
  <c r="S430" i="7"/>
  <c r="R430" i="7"/>
  <c r="Z429" i="7"/>
  <c r="Y429" i="7"/>
  <c r="AA429" i="7" s="1"/>
  <c r="W429" i="7"/>
  <c r="U429" i="7"/>
  <c r="T429" i="7"/>
  <c r="S429" i="7"/>
  <c r="R429" i="7"/>
  <c r="Z428" i="7"/>
  <c r="Y428" i="7"/>
  <c r="AA428" i="7" s="1"/>
  <c r="W428" i="7"/>
  <c r="U428" i="7"/>
  <c r="T428" i="7"/>
  <c r="S428" i="7"/>
  <c r="R428" i="7"/>
  <c r="Z427" i="7"/>
  <c r="Y427" i="7"/>
  <c r="AA427" i="7" s="1"/>
  <c r="W427" i="7"/>
  <c r="U427" i="7"/>
  <c r="T427" i="7"/>
  <c r="S427" i="7"/>
  <c r="R427" i="7"/>
  <c r="Z426" i="7"/>
  <c r="Y426" i="7"/>
  <c r="AA426" i="7" s="1"/>
  <c r="W426" i="7"/>
  <c r="U426" i="7"/>
  <c r="T426" i="7"/>
  <c r="S426" i="7"/>
  <c r="R426" i="7"/>
  <c r="Z425" i="7"/>
  <c r="Y425" i="7"/>
  <c r="AA425" i="7" s="1"/>
  <c r="W425" i="7"/>
  <c r="U425" i="7"/>
  <c r="T425" i="7"/>
  <c r="S425" i="7"/>
  <c r="R425" i="7"/>
  <c r="Z424" i="7"/>
  <c r="Y424" i="7"/>
  <c r="AA424" i="7" s="1"/>
  <c r="W424" i="7"/>
  <c r="U424" i="7"/>
  <c r="T424" i="7"/>
  <c r="S424" i="7"/>
  <c r="R424" i="7"/>
  <c r="Z423" i="7"/>
  <c r="Y423" i="7"/>
  <c r="AA423" i="7" s="1"/>
  <c r="W423" i="7"/>
  <c r="U423" i="7"/>
  <c r="T423" i="7"/>
  <c r="S423" i="7"/>
  <c r="R423" i="7"/>
  <c r="Z422" i="7"/>
  <c r="Y422" i="7"/>
  <c r="AA422" i="7" s="1"/>
  <c r="W422" i="7"/>
  <c r="U422" i="7"/>
  <c r="T422" i="7"/>
  <c r="S422" i="7"/>
  <c r="R422" i="7"/>
  <c r="Z421" i="7"/>
  <c r="Y421" i="7"/>
  <c r="AA421" i="7" s="1"/>
  <c r="W421" i="7"/>
  <c r="U421" i="7"/>
  <c r="T421" i="7"/>
  <c r="S421" i="7"/>
  <c r="R421" i="7"/>
  <c r="Z420" i="7"/>
  <c r="Y420" i="7"/>
  <c r="AA420" i="7" s="1"/>
  <c r="W420" i="7"/>
  <c r="U420" i="7"/>
  <c r="T420" i="7"/>
  <c r="S420" i="7"/>
  <c r="R420" i="7"/>
  <c r="Z419" i="7"/>
  <c r="Y419" i="7"/>
  <c r="AA419" i="7" s="1"/>
  <c r="W419" i="7"/>
  <c r="U419" i="7"/>
  <c r="T419" i="7"/>
  <c r="S419" i="7"/>
  <c r="R419" i="7"/>
  <c r="Z418" i="7"/>
  <c r="Y418" i="7"/>
  <c r="AA418" i="7" s="1"/>
  <c r="W418" i="7"/>
  <c r="U418" i="7"/>
  <c r="T418" i="7"/>
  <c r="S418" i="7"/>
  <c r="R418" i="7"/>
  <c r="Z417" i="7"/>
  <c r="Y417" i="7"/>
  <c r="AA417" i="7" s="1"/>
  <c r="W417" i="7"/>
  <c r="U417" i="7"/>
  <c r="T417" i="7"/>
  <c r="S417" i="7"/>
  <c r="R417" i="7"/>
  <c r="Z416" i="7"/>
  <c r="Y416" i="7"/>
  <c r="AA416" i="7" s="1"/>
  <c r="W416" i="7"/>
  <c r="U416" i="7"/>
  <c r="T416" i="7"/>
  <c r="S416" i="7"/>
  <c r="R416" i="7"/>
  <c r="Z415" i="7"/>
  <c r="Y415" i="7"/>
  <c r="AA415" i="7" s="1"/>
  <c r="W415" i="7"/>
  <c r="U415" i="7"/>
  <c r="T415" i="7"/>
  <c r="S415" i="7"/>
  <c r="R415" i="7"/>
  <c r="Z414" i="7"/>
  <c r="Y414" i="7"/>
  <c r="AA414" i="7" s="1"/>
  <c r="W414" i="7"/>
  <c r="U414" i="7"/>
  <c r="T414" i="7"/>
  <c r="S414" i="7"/>
  <c r="R414" i="7"/>
  <c r="Z413" i="7"/>
  <c r="Y413" i="7"/>
  <c r="AA413" i="7" s="1"/>
  <c r="W413" i="7"/>
  <c r="U413" i="7"/>
  <c r="T413" i="7"/>
  <c r="S413" i="7"/>
  <c r="R413" i="7"/>
  <c r="Z412" i="7"/>
  <c r="Y412" i="7"/>
  <c r="AA412" i="7" s="1"/>
  <c r="W412" i="7"/>
  <c r="U412" i="7"/>
  <c r="T412" i="7"/>
  <c r="S412" i="7"/>
  <c r="R412" i="7"/>
  <c r="Z411" i="7"/>
  <c r="Y411" i="7"/>
  <c r="AA411" i="7" s="1"/>
  <c r="W411" i="7"/>
  <c r="U411" i="7"/>
  <c r="T411" i="7"/>
  <c r="S411" i="7"/>
  <c r="R411" i="7"/>
  <c r="Z410" i="7"/>
  <c r="Y410" i="7"/>
  <c r="AA410" i="7" s="1"/>
  <c r="W410" i="7"/>
  <c r="U410" i="7"/>
  <c r="T410" i="7"/>
  <c r="S410" i="7"/>
  <c r="R410" i="7"/>
  <c r="Z409" i="7"/>
  <c r="Y409" i="7"/>
  <c r="AA409" i="7" s="1"/>
  <c r="W409" i="7"/>
  <c r="U409" i="7"/>
  <c r="T409" i="7"/>
  <c r="S409" i="7"/>
  <c r="R409" i="7"/>
  <c r="Z408" i="7"/>
  <c r="Y408" i="7"/>
  <c r="AA408" i="7" s="1"/>
  <c r="W408" i="7"/>
  <c r="U408" i="7"/>
  <c r="T408" i="7"/>
  <c r="S408" i="7"/>
  <c r="R408" i="7"/>
  <c r="Z407" i="7"/>
  <c r="Y407" i="7"/>
  <c r="AA407" i="7" s="1"/>
  <c r="W407" i="7"/>
  <c r="U407" i="7"/>
  <c r="T407" i="7"/>
  <c r="S407" i="7"/>
  <c r="R407" i="7"/>
  <c r="Z406" i="7"/>
  <c r="Y406" i="7"/>
  <c r="AA406" i="7" s="1"/>
  <c r="W406" i="7"/>
  <c r="U406" i="7"/>
  <c r="T406" i="7"/>
  <c r="S406" i="7"/>
  <c r="R406" i="7"/>
  <c r="Z405" i="7"/>
  <c r="Y405" i="7"/>
  <c r="AA405" i="7" s="1"/>
  <c r="W405" i="7"/>
  <c r="U405" i="7"/>
  <c r="T405" i="7"/>
  <c r="S405" i="7"/>
  <c r="R405" i="7"/>
  <c r="Z404" i="7"/>
  <c r="Y404" i="7"/>
  <c r="AA404" i="7" s="1"/>
  <c r="W404" i="7"/>
  <c r="U404" i="7"/>
  <c r="T404" i="7"/>
  <c r="S404" i="7"/>
  <c r="R404" i="7"/>
  <c r="Z403" i="7"/>
  <c r="Y403" i="7"/>
  <c r="AA403" i="7" s="1"/>
  <c r="W403" i="7"/>
  <c r="U403" i="7"/>
  <c r="T403" i="7"/>
  <c r="S403" i="7"/>
  <c r="R403" i="7"/>
  <c r="Z402" i="7"/>
  <c r="Y402" i="7"/>
  <c r="AA402" i="7" s="1"/>
  <c r="W402" i="7"/>
  <c r="U402" i="7"/>
  <c r="T402" i="7"/>
  <c r="S402" i="7"/>
  <c r="R402" i="7"/>
  <c r="Z401" i="7"/>
  <c r="Y401" i="7"/>
  <c r="AA401" i="7" s="1"/>
  <c r="W401" i="7"/>
  <c r="U401" i="7"/>
  <c r="T401" i="7"/>
  <c r="S401" i="7"/>
  <c r="R401" i="7"/>
  <c r="Z400" i="7"/>
  <c r="Y400" i="7"/>
  <c r="AA400" i="7" s="1"/>
  <c r="W400" i="7"/>
  <c r="U400" i="7"/>
  <c r="T400" i="7"/>
  <c r="S400" i="7"/>
  <c r="R400" i="7"/>
  <c r="Z399" i="7"/>
  <c r="Y399" i="7"/>
  <c r="AA399" i="7" s="1"/>
  <c r="W399" i="7"/>
  <c r="U399" i="7"/>
  <c r="T399" i="7"/>
  <c r="S399" i="7"/>
  <c r="R399" i="7"/>
  <c r="Z398" i="7"/>
  <c r="Y398" i="7"/>
  <c r="AA398" i="7" s="1"/>
  <c r="W398" i="7"/>
  <c r="U398" i="7"/>
  <c r="T398" i="7"/>
  <c r="S398" i="7"/>
  <c r="R398" i="7"/>
  <c r="Z397" i="7"/>
  <c r="Y397" i="7"/>
  <c r="AA397" i="7" s="1"/>
  <c r="W397" i="7"/>
  <c r="U397" i="7"/>
  <c r="T397" i="7"/>
  <c r="S397" i="7"/>
  <c r="R397" i="7"/>
  <c r="Z396" i="7"/>
  <c r="Y396" i="7"/>
  <c r="AA396" i="7" s="1"/>
  <c r="W396" i="7"/>
  <c r="U396" i="7"/>
  <c r="T396" i="7"/>
  <c r="S396" i="7"/>
  <c r="R396" i="7"/>
  <c r="Z395" i="7"/>
  <c r="Y395" i="7"/>
  <c r="AA395" i="7" s="1"/>
  <c r="W395" i="7"/>
  <c r="U395" i="7"/>
  <c r="T395" i="7"/>
  <c r="S395" i="7"/>
  <c r="R395" i="7"/>
  <c r="Z394" i="7"/>
  <c r="Y394" i="7"/>
  <c r="AA394" i="7" s="1"/>
  <c r="W394" i="7"/>
  <c r="U394" i="7"/>
  <c r="T394" i="7"/>
  <c r="S394" i="7"/>
  <c r="R394" i="7"/>
  <c r="Z393" i="7"/>
  <c r="Y393" i="7"/>
  <c r="AA393" i="7" s="1"/>
  <c r="W393" i="7"/>
  <c r="U393" i="7"/>
  <c r="T393" i="7"/>
  <c r="S393" i="7"/>
  <c r="R393" i="7"/>
  <c r="Z392" i="7"/>
  <c r="Y392" i="7"/>
  <c r="AA392" i="7" s="1"/>
  <c r="W392" i="7"/>
  <c r="U392" i="7"/>
  <c r="T392" i="7"/>
  <c r="S392" i="7"/>
  <c r="R392" i="7"/>
  <c r="Z391" i="7"/>
  <c r="Y391" i="7"/>
  <c r="AA391" i="7" s="1"/>
  <c r="W391" i="7"/>
  <c r="U391" i="7"/>
  <c r="T391" i="7"/>
  <c r="S391" i="7"/>
  <c r="R391" i="7"/>
  <c r="Z390" i="7"/>
  <c r="Y390" i="7"/>
  <c r="AA390" i="7" s="1"/>
  <c r="W390" i="7"/>
  <c r="U390" i="7"/>
  <c r="T390" i="7"/>
  <c r="S390" i="7"/>
  <c r="R390" i="7"/>
  <c r="Z389" i="7"/>
  <c r="Y389" i="7"/>
  <c r="AA389" i="7" s="1"/>
  <c r="W389" i="7"/>
  <c r="U389" i="7"/>
  <c r="T389" i="7"/>
  <c r="S389" i="7"/>
  <c r="R389" i="7"/>
  <c r="Z388" i="7"/>
  <c r="Y388" i="7"/>
  <c r="AA388" i="7" s="1"/>
  <c r="W388" i="7"/>
  <c r="U388" i="7"/>
  <c r="T388" i="7"/>
  <c r="S388" i="7"/>
  <c r="R388" i="7"/>
  <c r="Z387" i="7"/>
  <c r="Y387" i="7"/>
  <c r="AA387" i="7" s="1"/>
  <c r="W387" i="7"/>
  <c r="U387" i="7"/>
  <c r="T387" i="7"/>
  <c r="S387" i="7"/>
  <c r="R387" i="7"/>
  <c r="Z386" i="7"/>
  <c r="Y386" i="7"/>
  <c r="AA386" i="7" s="1"/>
  <c r="W386" i="7"/>
  <c r="U386" i="7"/>
  <c r="T386" i="7"/>
  <c r="S386" i="7"/>
  <c r="R386" i="7"/>
  <c r="Z385" i="7"/>
  <c r="Y385" i="7"/>
  <c r="AA385" i="7" s="1"/>
  <c r="W385" i="7"/>
  <c r="U385" i="7"/>
  <c r="T385" i="7"/>
  <c r="S385" i="7"/>
  <c r="R385" i="7"/>
  <c r="Z384" i="7"/>
  <c r="Y384" i="7"/>
  <c r="AA384" i="7" s="1"/>
  <c r="W384" i="7"/>
  <c r="U384" i="7"/>
  <c r="T384" i="7"/>
  <c r="S384" i="7"/>
  <c r="R384" i="7"/>
  <c r="Z383" i="7"/>
  <c r="Y383" i="7"/>
  <c r="AA383" i="7" s="1"/>
  <c r="W383" i="7"/>
  <c r="U383" i="7"/>
  <c r="T383" i="7"/>
  <c r="S383" i="7"/>
  <c r="R383" i="7"/>
  <c r="Z382" i="7"/>
  <c r="Y382" i="7"/>
  <c r="AA382" i="7" s="1"/>
  <c r="W382" i="7"/>
  <c r="U382" i="7"/>
  <c r="T382" i="7"/>
  <c r="S382" i="7"/>
  <c r="R382" i="7"/>
  <c r="Z381" i="7"/>
  <c r="Y381" i="7"/>
  <c r="AA381" i="7" s="1"/>
  <c r="W381" i="7"/>
  <c r="U381" i="7"/>
  <c r="T381" i="7"/>
  <c r="S381" i="7"/>
  <c r="R381" i="7"/>
  <c r="Z380" i="7"/>
  <c r="Y380" i="7"/>
  <c r="AA380" i="7" s="1"/>
  <c r="W380" i="7"/>
  <c r="U380" i="7"/>
  <c r="T380" i="7"/>
  <c r="S380" i="7"/>
  <c r="R380" i="7"/>
  <c r="Z379" i="7"/>
  <c r="Y379" i="7"/>
  <c r="AA379" i="7" s="1"/>
  <c r="W379" i="7"/>
  <c r="U379" i="7"/>
  <c r="T379" i="7"/>
  <c r="S379" i="7"/>
  <c r="R379" i="7"/>
  <c r="Z378" i="7"/>
  <c r="Y378" i="7"/>
  <c r="AA378" i="7" s="1"/>
  <c r="W378" i="7"/>
  <c r="U378" i="7"/>
  <c r="T378" i="7"/>
  <c r="S378" i="7"/>
  <c r="R378" i="7"/>
  <c r="Z377" i="7"/>
  <c r="Y377" i="7"/>
  <c r="AA377" i="7" s="1"/>
  <c r="W377" i="7"/>
  <c r="U377" i="7"/>
  <c r="T377" i="7"/>
  <c r="S377" i="7"/>
  <c r="R377" i="7"/>
  <c r="Z376" i="7"/>
  <c r="Y376" i="7"/>
  <c r="AA376" i="7" s="1"/>
  <c r="W376" i="7"/>
  <c r="U376" i="7"/>
  <c r="T376" i="7"/>
  <c r="S376" i="7"/>
  <c r="R376" i="7"/>
  <c r="Z375" i="7"/>
  <c r="Y375" i="7"/>
  <c r="AA375" i="7" s="1"/>
  <c r="W375" i="7"/>
  <c r="U375" i="7"/>
  <c r="T375" i="7"/>
  <c r="S375" i="7"/>
  <c r="R375" i="7"/>
  <c r="Z374" i="7"/>
  <c r="Y374" i="7"/>
  <c r="AA374" i="7" s="1"/>
  <c r="W374" i="7"/>
  <c r="U374" i="7"/>
  <c r="T374" i="7"/>
  <c r="S374" i="7"/>
  <c r="R374" i="7"/>
  <c r="Z373" i="7"/>
  <c r="Y373" i="7"/>
  <c r="AA373" i="7" s="1"/>
  <c r="W373" i="7"/>
  <c r="U373" i="7"/>
  <c r="T373" i="7"/>
  <c r="S373" i="7"/>
  <c r="R373" i="7"/>
  <c r="Z372" i="7"/>
  <c r="Y372" i="7"/>
  <c r="AA372" i="7" s="1"/>
  <c r="W372" i="7"/>
  <c r="U372" i="7"/>
  <c r="T372" i="7"/>
  <c r="S372" i="7"/>
  <c r="R372" i="7"/>
  <c r="Z371" i="7"/>
  <c r="Y371" i="7"/>
  <c r="AA371" i="7" s="1"/>
  <c r="W371" i="7"/>
  <c r="U371" i="7"/>
  <c r="T371" i="7"/>
  <c r="S371" i="7"/>
  <c r="R371" i="7"/>
  <c r="Z370" i="7"/>
  <c r="Y370" i="7"/>
  <c r="AA370" i="7" s="1"/>
  <c r="W370" i="7"/>
  <c r="U370" i="7"/>
  <c r="T370" i="7"/>
  <c r="S370" i="7"/>
  <c r="R370" i="7"/>
  <c r="Z369" i="7"/>
  <c r="Y369" i="7"/>
  <c r="AA369" i="7" s="1"/>
  <c r="W369" i="7"/>
  <c r="U369" i="7"/>
  <c r="T369" i="7"/>
  <c r="S369" i="7"/>
  <c r="R369" i="7"/>
  <c r="Z368" i="7"/>
  <c r="Y368" i="7"/>
  <c r="AA368" i="7" s="1"/>
  <c r="W368" i="7"/>
  <c r="U368" i="7"/>
  <c r="T368" i="7"/>
  <c r="S368" i="7"/>
  <c r="R368" i="7"/>
  <c r="Z367" i="7"/>
  <c r="Y367" i="7"/>
  <c r="AA367" i="7" s="1"/>
  <c r="W367" i="7"/>
  <c r="U367" i="7"/>
  <c r="T367" i="7"/>
  <c r="S367" i="7"/>
  <c r="R367" i="7"/>
  <c r="Z366" i="7"/>
  <c r="Y366" i="7"/>
  <c r="AA366" i="7" s="1"/>
  <c r="W366" i="7"/>
  <c r="U366" i="7"/>
  <c r="T366" i="7"/>
  <c r="S366" i="7"/>
  <c r="R366" i="7"/>
  <c r="Z365" i="7"/>
  <c r="Y365" i="7"/>
  <c r="AA365" i="7" s="1"/>
  <c r="W365" i="7"/>
  <c r="U365" i="7"/>
  <c r="T365" i="7"/>
  <c r="S365" i="7"/>
  <c r="R365" i="7"/>
  <c r="Z364" i="7"/>
  <c r="Y364" i="7"/>
  <c r="AA364" i="7" s="1"/>
  <c r="W364" i="7"/>
  <c r="U364" i="7"/>
  <c r="T364" i="7"/>
  <c r="S364" i="7"/>
  <c r="R364" i="7"/>
  <c r="Z363" i="7"/>
  <c r="Y363" i="7"/>
  <c r="AA363" i="7" s="1"/>
  <c r="W363" i="7"/>
  <c r="U363" i="7"/>
  <c r="T363" i="7"/>
  <c r="S363" i="7"/>
  <c r="R363" i="7"/>
  <c r="Z362" i="7"/>
  <c r="Y362" i="7"/>
  <c r="AA362" i="7" s="1"/>
  <c r="W362" i="7"/>
  <c r="AB362" i="7" s="1"/>
  <c r="AC362" i="7" s="1"/>
  <c r="U362" i="7"/>
  <c r="T362" i="7"/>
  <c r="S362" i="7"/>
  <c r="R362" i="7"/>
  <c r="Z361" i="7"/>
  <c r="Y361" i="7"/>
  <c r="AA361" i="7" s="1"/>
  <c r="W361" i="7"/>
  <c r="U361" i="7"/>
  <c r="T361" i="7"/>
  <c r="S361" i="7"/>
  <c r="R361" i="7"/>
  <c r="Z360" i="7"/>
  <c r="Y360" i="7"/>
  <c r="AA360" i="7" s="1"/>
  <c r="W360" i="7"/>
  <c r="U360" i="7"/>
  <c r="T360" i="7"/>
  <c r="S360" i="7"/>
  <c r="R360" i="7"/>
  <c r="Z359" i="7"/>
  <c r="Y359" i="7"/>
  <c r="AA359" i="7" s="1"/>
  <c r="W359" i="7"/>
  <c r="U359" i="7"/>
  <c r="T359" i="7"/>
  <c r="S359" i="7"/>
  <c r="R359" i="7"/>
  <c r="Z358" i="7"/>
  <c r="Y358" i="7"/>
  <c r="AA358" i="7" s="1"/>
  <c r="W358" i="7"/>
  <c r="U358" i="7"/>
  <c r="T358" i="7"/>
  <c r="S358" i="7"/>
  <c r="R358" i="7"/>
  <c r="Z357" i="7"/>
  <c r="Y357" i="7"/>
  <c r="AA357" i="7" s="1"/>
  <c r="W357" i="7"/>
  <c r="U357" i="7"/>
  <c r="T357" i="7"/>
  <c r="S357" i="7"/>
  <c r="R357" i="7"/>
  <c r="Z356" i="7"/>
  <c r="Y356" i="7"/>
  <c r="AA356" i="7" s="1"/>
  <c r="W356" i="7"/>
  <c r="U356" i="7"/>
  <c r="T356" i="7"/>
  <c r="S356" i="7"/>
  <c r="R356" i="7"/>
  <c r="Z355" i="7"/>
  <c r="Y355" i="7"/>
  <c r="AA355" i="7" s="1"/>
  <c r="W355" i="7"/>
  <c r="U355" i="7"/>
  <c r="T355" i="7"/>
  <c r="S355" i="7"/>
  <c r="R355" i="7"/>
  <c r="Z354" i="7"/>
  <c r="Y354" i="7"/>
  <c r="AA354" i="7" s="1"/>
  <c r="W354" i="7"/>
  <c r="U354" i="7"/>
  <c r="T354" i="7"/>
  <c r="S354" i="7"/>
  <c r="R354" i="7"/>
  <c r="Z353" i="7"/>
  <c r="Y353" i="7"/>
  <c r="AA353" i="7" s="1"/>
  <c r="W353" i="7"/>
  <c r="U353" i="7"/>
  <c r="T353" i="7"/>
  <c r="S353" i="7"/>
  <c r="R353" i="7"/>
  <c r="Z352" i="7"/>
  <c r="Y352" i="7"/>
  <c r="AA352" i="7" s="1"/>
  <c r="W352" i="7"/>
  <c r="U352" i="7"/>
  <c r="T352" i="7"/>
  <c r="S352" i="7"/>
  <c r="R352" i="7"/>
  <c r="Z351" i="7"/>
  <c r="Y351" i="7"/>
  <c r="AA351" i="7" s="1"/>
  <c r="W351" i="7"/>
  <c r="U351" i="7"/>
  <c r="T351" i="7"/>
  <c r="S351" i="7"/>
  <c r="R351" i="7"/>
  <c r="Z350" i="7"/>
  <c r="Y350" i="7"/>
  <c r="AA350" i="7" s="1"/>
  <c r="W350" i="7"/>
  <c r="U350" i="7"/>
  <c r="T350" i="7"/>
  <c r="S350" i="7"/>
  <c r="R350" i="7"/>
  <c r="Z349" i="7"/>
  <c r="Y349" i="7"/>
  <c r="AA349" i="7" s="1"/>
  <c r="W349" i="7"/>
  <c r="U349" i="7"/>
  <c r="T349" i="7"/>
  <c r="S349" i="7"/>
  <c r="R349" i="7"/>
  <c r="Z348" i="7"/>
  <c r="Y348" i="7"/>
  <c r="AA348" i="7" s="1"/>
  <c r="W348" i="7"/>
  <c r="U348" i="7"/>
  <c r="T348" i="7"/>
  <c r="S348" i="7"/>
  <c r="R348" i="7"/>
  <c r="Z347" i="7"/>
  <c r="Y347" i="7"/>
  <c r="AA347" i="7" s="1"/>
  <c r="W347" i="7"/>
  <c r="U347" i="7"/>
  <c r="T347" i="7"/>
  <c r="S347" i="7"/>
  <c r="R347" i="7"/>
  <c r="Z346" i="7"/>
  <c r="Y346" i="7"/>
  <c r="AA346" i="7" s="1"/>
  <c r="W346" i="7"/>
  <c r="U346" i="7"/>
  <c r="T346" i="7"/>
  <c r="S346" i="7"/>
  <c r="R346" i="7"/>
  <c r="Z345" i="7"/>
  <c r="Y345" i="7"/>
  <c r="AA345" i="7" s="1"/>
  <c r="W345" i="7"/>
  <c r="U345" i="7"/>
  <c r="T345" i="7"/>
  <c r="S345" i="7"/>
  <c r="R345" i="7"/>
  <c r="Z344" i="7"/>
  <c r="Y344" i="7"/>
  <c r="AA344" i="7" s="1"/>
  <c r="W344" i="7"/>
  <c r="U344" i="7"/>
  <c r="T344" i="7"/>
  <c r="S344" i="7"/>
  <c r="R344" i="7"/>
  <c r="Z343" i="7"/>
  <c r="Y343" i="7"/>
  <c r="AA343" i="7" s="1"/>
  <c r="W343" i="7"/>
  <c r="U343" i="7"/>
  <c r="T343" i="7"/>
  <c r="S343" i="7"/>
  <c r="R343" i="7"/>
  <c r="Z342" i="7"/>
  <c r="Y342" i="7"/>
  <c r="AA342" i="7" s="1"/>
  <c r="W342" i="7"/>
  <c r="U342" i="7"/>
  <c r="T342" i="7"/>
  <c r="S342" i="7"/>
  <c r="R342" i="7"/>
  <c r="Z341" i="7"/>
  <c r="Y341" i="7"/>
  <c r="AA341" i="7" s="1"/>
  <c r="W341" i="7"/>
  <c r="U341" i="7"/>
  <c r="T341" i="7"/>
  <c r="S341" i="7"/>
  <c r="R341" i="7"/>
  <c r="Z340" i="7"/>
  <c r="Y340" i="7"/>
  <c r="AA340" i="7" s="1"/>
  <c r="W340" i="7"/>
  <c r="U340" i="7"/>
  <c r="T340" i="7"/>
  <c r="S340" i="7"/>
  <c r="R340" i="7"/>
  <c r="Z339" i="7"/>
  <c r="Y339" i="7"/>
  <c r="AA339" i="7" s="1"/>
  <c r="W339" i="7"/>
  <c r="U339" i="7"/>
  <c r="T339" i="7"/>
  <c r="S339" i="7"/>
  <c r="R339" i="7"/>
  <c r="Z338" i="7"/>
  <c r="Y338" i="7"/>
  <c r="AA338" i="7" s="1"/>
  <c r="W338" i="7"/>
  <c r="U338" i="7"/>
  <c r="T338" i="7"/>
  <c r="S338" i="7"/>
  <c r="R338" i="7"/>
  <c r="Z337" i="7"/>
  <c r="Y337" i="7"/>
  <c r="AA337" i="7" s="1"/>
  <c r="W337" i="7"/>
  <c r="U337" i="7"/>
  <c r="T337" i="7"/>
  <c r="S337" i="7"/>
  <c r="R337" i="7"/>
  <c r="Z336" i="7"/>
  <c r="Y336" i="7"/>
  <c r="AA336" i="7" s="1"/>
  <c r="W336" i="7"/>
  <c r="U336" i="7"/>
  <c r="T336" i="7"/>
  <c r="S336" i="7"/>
  <c r="R336" i="7"/>
  <c r="Z335" i="7"/>
  <c r="Y335" i="7"/>
  <c r="AA335" i="7" s="1"/>
  <c r="W335" i="7"/>
  <c r="U335" i="7"/>
  <c r="T335" i="7"/>
  <c r="S335" i="7"/>
  <c r="R335" i="7"/>
  <c r="Z334" i="7"/>
  <c r="Y334" i="7"/>
  <c r="AA334" i="7" s="1"/>
  <c r="W334" i="7"/>
  <c r="U334" i="7"/>
  <c r="T334" i="7"/>
  <c r="S334" i="7"/>
  <c r="R334" i="7"/>
  <c r="Z333" i="7"/>
  <c r="Y333" i="7"/>
  <c r="AA333" i="7" s="1"/>
  <c r="W333" i="7"/>
  <c r="U333" i="7"/>
  <c r="T333" i="7"/>
  <c r="S333" i="7"/>
  <c r="R333" i="7"/>
  <c r="Z332" i="7"/>
  <c r="Y332" i="7"/>
  <c r="AA332" i="7" s="1"/>
  <c r="W332" i="7"/>
  <c r="U332" i="7"/>
  <c r="T332" i="7"/>
  <c r="S332" i="7"/>
  <c r="R332" i="7"/>
  <c r="Z331" i="7"/>
  <c r="Y331" i="7"/>
  <c r="AA331" i="7" s="1"/>
  <c r="W331" i="7"/>
  <c r="U331" i="7"/>
  <c r="T331" i="7"/>
  <c r="S331" i="7"/>
  <c r="R331" i="7"/>
  <c r="Z330" i="7"/>
  <c r="Y330" i="7"/>
  <c r="AA330" i="7" s="1"/>
  <c r="W330" i="7"/>
  <c r="U330" i="7"/>
  <c r="T330" i="7"/>
  <c r="S330" i="7"/>
  <c r="R330" i="7"/>
  <c r="Z329" i="7"/>
  <c r="Y329" i="7"/>
  <c r="AA329" i="7" s="1"/>
  <c r="W329" i="7"/>
  <c r="U329" i="7"/>
  <c r="T329" i="7"/>
  <c r="S329" i="7"/>
  <c r="R329" i="7"/>
  <c r="Z328" i="7"/>
  <c r="Y328" i="7"/>
  <c r="AA328" i="7" s="1"/>
  <c r="W328" i="7"/>
  <c r="U328" i="7"/>
  <c r="T328" i="7"/>
  <c r="S328" i="7"/>
  <c r="R328" i="7"/>
  <c r="Z327" i="7"/>
  <c r="Y327" i="7"/>
  <c r="AA327" i="7" s="1"/>
  <c r="W327" i="7"/>
  <c r="U327" i="7"/>
  <c r="T327" i="7"/>
  <c r="S327" i="7"/>
  <c r="R327" i="7"/>
  <c r="Z326" i="7"/>
  <c r="Y326" i="7"/>
  <c r="AA326" i="7" s="1"/>
  <c r="W326" i="7"/>
  <c r="U326" i="7"/>
  <c r="T326" i="7"/>
  <c r="S326" i="7"/>
  <c r="R326" i="7"/>
  <c r="Z325" i="7"/>
  <c r="Y325" i="7"/>
  <c r="AA325" i="7" s="1"/>
  <c r="W325" i="7"/>
  <c r="U325" i="7"/>
  <c r="T325" i="7"/>
  <c r="S325" i="7"/>
  <c r="R325" i="7"/>
  <c r="Z324" i="7"/>
  <c r="Y324" i="7"/>
  <c r="AA324" i="7" s="1"/>
  <c r="W324" i="7"/>
  <c r="U324" i="7"/>
  <c r="T324" i="7"/>
  <c r="S324" i="7"/>
  <c r="R324" i="7"/>
  <c r="Z323" i="7"/>
  <c r="Y323" i="7"/>
  <c r="AA323" i="7" s="1"/>
  <c r="W323" i="7"/>
  <c r="U323" i="7"/>
  <c r="T323" i="7"/>
  <c r="S323" i="7"/>
  <c r="R323" i="7"/>
  <c r="Z322" i="7"/>
  <c r="Y322" i="7"/>
  <c r="AA322" i="7" s="1"/>
  <c r="W322" i="7"/>
  <c r="U322" i="7"/>
  <c r="T322" i="7"/>
  <c r="S322" i="7"/>
  <c r="R322" i="7"/>
  <c r="Z321" i="7"/>
  <c r="Y321" i="7"/>
  <c r="AA321" i="7" s="1"/>
  <c r="W321" i="7"/>
  <c r="U321" i="7"/>
  <c r="T321" i="7"/>
  <c r="S321" i="7"/>
  <c r="R321" i="7"/>
  <c r="Z320" i="7"/>
  <c r="Y320" i="7"/>
  <c r="AA320" i="7" s="1"/>
  <c r="W320" i="7"/>
  <c r="U320" i="7"/>
  <c r="T320" i="7"/>
  <c r="S320" i="7"/>
  <c r="R320" i="7"/>
  <c r="Z319" i="7"/>
  <c r="Y319" i="7"/>
  <c r="AA319" i="7" s="1"/>
  <c r="W319" i="7"/>
  <c r="U319" i="7"/>
  <c r="T319" i="7"/>
  <c r="S319" i="7"/>
  <c r="R319" i="7"/>
  <c r="Z318" i="7"/>
  <c r="Y318" i="7"/>
  <c r="AA318" i="7" s="1"/>
  <c r="W318" i="7"/>
  <c r="U318" i="7"/>
  <c r="T318" i="7"/>
  <c r="S318" i="7"/>
  <c r="R318" i="7"/>
  <c r="Z317" i="7"/>
  <c r="Y317" i="7"/>
  <c r="AA317" i="7" s="1"/>
  <c r="W317" i="7"/>
  <c r="U317" i="7"/>
  <c r="T317" i="7"/>
  <c r="S317" i="7"/>
  <c r="R317" i="7"/>
  <c r="Z316" i="7"/>
  <c r="Y316" i="7"/>
  <c r="AA316" i="7" s="1"/>
  <c r="W316" i="7"/>
  <c r="U316" i="7"/>
  <c r="T316" i="7"/>
  <c r="S316" i="7"/>
  <c r="R316" i="7"/>
  <c r="Z315" i="7"/>
  <c r="Y315" i="7"/>
  <c r="AA315" i="7" s="1"/>
  <c r="W315" i="7"/>
  <c r="U315" i="7"/>
  <c r="T315" i="7"/>
  <c r="S315" i="7"/>
  <c r="R315" i="7"/>
  <c r="Z314" i="7"/>
  <c r="Y314" i="7"/>
  <c r="AA314" i="7" s="1"/>
  <c r="W314" i="7"/>
  <c r="U314" i="7"/>
  <c r="T314" i="7"/>
  <c r="S314" i="7"/>
  <c r="R314" i="7"/>
  <c r="Z313" i="7"/>
  <c r="Y313" i="7"/>
  <c r="AA313" i="7" s="1"/>
  <c r="W313" i="7"/>
  <c r="U313" i="7"/>
  <c r="T313" i="7"/>
  <c r="S313" i="7"/>
  <c r="R313" i="7"/>
  <c r="Z312" i="7"/>
  <c r="Y312" i="7"/>
  <c r="AA312" i="7" s="1"/>
  <c r="W312" i="7"/>
  <c r="U312" i="7"/>
  <c r="T312" i="7"/>
  <c r="S312" i="7"/>
  <c r="R312" i="7"/>
  <c r="Z311" i="7"/>
  <c r="Y311" i="7"/>
  <c r="AA311" i="7" s="1"/>
  <c r="W311" i="7"/>
  <c r="U311" i="7"/>
  <c r="T311" i="7"/>
  <c r="S311" i="7"/>
  <c r="R311" i="7"/>
  <c r="Z310" i="7"/>
  <c r="Y310" i="7"/>
  <c r="AA310" i="7" s="1"/>
  <c r="W310" i="7"/>
  <c r="U310" i="7"/>
  <c r="T310" i="7"/>
  <c r="S310" i="7"/>
  <c r="R310" i="7"/>
  <c r="Z309" i="7"/>
  <c r="Y309" i="7"/>
  <c r="AA309" i="7" s="1"/>
  <c r="W309" i="7"/>
  <c r="U309" i="7"/>
  <c r="T309" i="7"/>
  <c r="S309" i="7"/>
  <c r="R309" i="7"/>
  <c r="Z308" i="7"/>
  <c r="Y308" i="7"/>
  <c r="AA308" i="7" s="1"/>
  <c r="W308" i="7"/>
  <c r="U308" i="7"/>
  <c r="T308" i="7"/>
  <c r="S308" i="7"/>
  <c r="R308" i="7"/>
  <c r="Z307" i="7"/>
  <c r="Y307" i="7"/>
  <c r="AA307" i="7" s="1"/>
  <c r="W307" i="7"/>
  <c r="U307" i="7"/>
  <c r="T307" i="7"/>
  <c r="S307" i="7"/>
  <c r="R307" i="7"/>
  <c r="Z306" i="7"/>
  <c r="Y306" i="7"/>
  <c r="AA306" i="7" s="1"/>
  <c r="W306" i="7"/>
  <c r="U306" i="7"/>
  <c r="T306" i="7"/>
  <c r="S306" i="7"/>
  <c r="R306" i="7"/>
  <c r="Z305" i="7"/>
  <c r="Y305" i="7"/>
  <c r="AA305" i="7" s="1"/>
  <c r="W305" i="7"/>
  <c r="U305" i="7"/>
  <c r="T305" i="7"/>
  <c r="S305" i="7"/>
  <c r="R305" i="7"/>
  <c r="Z304" i="7"/>
  <c r="Y304" i="7"/>
  <c r="AA304" i="7" s="1"/>
  <c r="W304" i="7"/>
  <c r="U304" i="7"/>
  <c r="T304" i="7"/>
  <c r="S304" i="7"/>
  <c r="R304" i="7"/>
  <c r="Z303" i="7"/>
  <c r="Y303" i="7"/>
  <c r="AA303" i="7" s="1"/>
  <c r="W303" i="7"/>
  <c r="U303" i="7"/>
  <c r="T303" i="7"/>
  <c r="S303" i="7"/>
  <c r="R303" i="7"/>
  <c r="Z302" i="7"/>
  <c r="Y302" i="7"/>
  <c r="AA302" i="7" s="1"/>
  <c r="W302" i="7"/>
  <c r="U302" i="7"/>
  <c r="T302" i="7"/>
  <c r="S302" i="7"/>
  <c r="R302" i="7"/>
  <c r="Z301" i="7"/>
  <c r="Y301" i="7"/>
  <c r="AA301" i="7" s="1"/>
  <c r="W301" i="7"/>
  <c r="U301" i="7"/>
  <c r="T301" i="7"/>
  <c r="S301" i="7"/>
  <c r="R301" i="7"/>
  <c r="Z300" i="7"/>
  <c r="Y300" i="7"/>
  <c r="AA300" i="7" s="1"/>
  <c r="W300" i="7"/>
  <c r="U300" i="7"/>
  <c r="T300" i="7"/>
  <c r="S300" i="7"/>
  <c r="R300" i="7"/>
  <c r="Z299" i="7"/>
  <c r="Y299" i="7"/>
  <c r="AA299" i="7" s="1"/>
  <c r="W299" i="7"/>
  <c r="U299" i="7"/>
  <c r="T299" i="7"/>
  <c r="S299" i="7"/>
  <c r="R299" i="7"/>
  <c r="Z298" i="7"/>
  <c r="Y298" i="7"/>
  <c r="AA298" i="7" s="1"/>
  <c r="W298" i="7"/>
  <c r="U298" i="7"/>
  <c r="T298" i="7"/>
  <c r="S298" i="7"/>
  <c r="R298" i="7"/>
  <c r="Z297" i="7"/>
  <c r="Y297" i="7"/>
  <c r="AA297" i="7" s="1"/>
  <c r="W297" i="7"/>
  <c r="U297" i="7"/>
  <c r="T297" i="7"/>
  <c r="S297" i="7"/>
  <c r="R297" i="7"/>
  <c r="Z296" i="7"/>
  <c r="Y296" i="7"/>
  <c r="AA296" i="7" s="1"/>
  <c r="W296" i="7"/>
  <c r="U296" i="7"/>
  <c r="T296" i="7"/>
  <c r="S296" i="7"/>
  <c r="R296" i="7"/>
  <c r="Z295" i="7"/>
  <c r="Y295" i="7"/>
  <c r="AA295" i="7" s="1"/>
  <c r="W295" i="7"/>
  <c r="U295" i="7"/>
  <c r="T295" i="7"/>
  <c r="S295" i="7"/>
  <c r="R295" i="7"/>
  <c r="Z294" i="7"/>
  <c r="Y294" i="7"/>
  <c r="AA294" i="7" s="1"/>
  <c r="W294" i="7"/>
  <c r="U294" i="7"/>
  <c r="T294" i="7"/>
  <c r="S294" i="7"/>
  <c r="R294" i="7"/>
  <c r="Z293" i="7"/>
  <c r="Y293" i="7"/>
  <c r="AA293" i="7" s="1"/>
  <c r="W293" i="7"/>
  <c r="U293" i="7"/>
  <c r="T293" i="7"/>
  <c r="S293" i="7"/>
  <c r="R293" i="7"/>
  <c r="Z292" i="7"/>
  <c r="Y292" i="7"/>
  <c r="AA292" i="7" s="1"/>
  <c r="W292" i="7"/>
  <c r="U292" i="7"/>
  <c r="T292" i="7"/>
  <c r="S292" i="7"/>
  <c r="R292" i="7"/>
  <c r="Z291" i="7"/>
  <c r="Y291" i="7"/>
  <c r="AA291" i="7" s="1"/>
  <c r="W291" i="7"/>
  <c r="U291" i="7"/>
  <c r="T291" i="7"/>
  <c r="S291" i="7"/>
  <c r="R291" i="7"/>
  <c r="Z290" i="7"/>
  <c r="Y290" i="7"/>
  <c r="AA290" i="7" s="1"/>
  <c r="W290" i="7"/>
  <c r="U290" i="7"/>
  <c r="T290" i="7"/>
  <c r="S290" i="7"/>
  <c r="R290" i="7"/>
  <c r="Z289" i="7"/>
  <c r="Y289" i="7"/>
  <c r="AA289" i="7" s="1"/>
  <c r="W289" i="7"/>
  <c r="U289" i="7"/>
  <c r="T289" i="7"/>
  <c r="S289" i="7"/>
  <c r="R289" i="7"/>
  <c r="Z288" i="7"/>
  <c r="Y288" i="7"/>
  <c r="AA288" i="7" s="1"/>
  <c r="W288" i="7"/>
  <c r="U288" i="7"/>
  <c r="T288" i="7"/>
  <c r="S288" i="7"/>
  <c r="R288" i="7"/>
  <c r="Z287" i="7"/>
  <c r="Y287" i="7"/>
  <c r="AA287" i="7" s="1"/>
  <c r="W287" i="7"/>
  <c r="U287" i="7"/>
  <c r="T287" i="7"/>
  <c r="S287" i="7"/>
  <c r="R287" i="7"/>
  <c r="Z286" i="7"/>
  <c r="Y286" i="7"/>
  <c r="AA286" i="7" s="1"/>
  <c r="W286" i="7"/>
  <c r="U286" i="7"/>
  <c r="T286" i="7"/>
  <c r="S286" i="7"/>
  <c r="R286" i="7"/>
  <c r="Z285" i="7"/>
  <c r="Y285" i="7"/>
  <c r="AA285" i="7" s="1"/>
  <c r="W285" i="7"/>
  <c r="U285" i="7"/>
  <c r="T285" i="7"/>
  <c r="S285" i="7"/>
  <c r="R285" i="7"/>
  <c r="Z284" i="7"/>
  <c r="Y284" i="7"/>
  <c r="AA284" i="7" s="1"/>
  <c r="W284" i="7"/>
  <c r="U284" i="7"/>
  <c r="T284" i="7"/>
  <c r="S284" i="7"/>
  <c r="R284" i="7"/>
  <c r="Z283" i="7"/>
  <c r="Y283" i="7"/>
  <c r="AA283" i="7" s="1"/>
  <c r="W283" i="7"/>
  <c r="U283" i="7"/>
  <c r="T283" i="7"/>
  <c r="S283" i="7"/>
  <c r="R283" i="7"/>
  <c r="Z282" i="7"/>
  <c r="Y282" i="7"/>
  <c r="AA282" i="7" s="1"/>
  <c r="W282" i="7"/>
  <c r="U282" i="7"/>
  <c r="T282" i="7"/>
  <c r="S282" i="7"/>
  <c r="R282" i="7"/>
  <c r="Z281" i="7"/>
  <c r="Y281" i="7"/>
  <c r="AA281" i="7" s="1"/>
  <c r="W281" i="7"/>
  <c r="U281" i="7"/>
  <c r="T281" i="7"/>
  <c r="S281" i="7"/>
  <c r="R281" i="7"/>
  <c r="Z280" i="7"/>
  <c r="Y280" i="7"/>
  <c r="AA280" i="7" s="1"/>
  <c r="W280" i="7"/>
  <c r="U280" i="7"/>
  <c r="T280" i="7"/>
  <c r="S280" i="7"/>
  <c r="R280" i="7"/>
  <c r="Z279" i="7"/>
  <c r="Y279" i="7"/>
  <c r="AA279" i="7" s="1"/>
  <c r="W279" i="7"/>
  <c r="U279" i="7"/>
  <c r="T279" i="7"/>
  <c r="S279" i="7"/>
  <c r="R279" i="7"/>
  <c r="Z278" i="7"/>
  <c r="Y278" i="7"/>
  <c r="AA278" i="7" s="1"/>
  <c r="W278" i="7"/>
  <c r="U278" i="7"/>
  <c r="T278" i="7"/>
  <c r="S278" i="7"/>
  <c r="R278" i="7"/>
  <c r="Z277" i="7"/>
  <c r="Y277" i="7"/>
  <c r="AA277" i="7" s="1"/>
  <c r="W277" i="7"/>
  <c r="U277" i="7"/>
  <c r="T277" i="7"/>
  <c r="S277" i="7"/>
  <c r="R277" i="7"/>
  <c r="Z276" i="7"/>
  <c r="Y276" i="7"/>
  <c r="AA276" i="7" s="1"/>
  <c r="W276" i="7"/>
  <c r="U276" i="7"/>
  <c r="T276" i="7"/>
  <c r="S276" i="7"/>
  <c r="R276" i="7"/>
  <c r="Z275" i="7"/>
  <c r="Y275" i="7"/>
  <c r="AA275" i="7" s="1"/>
  <c r="W275" i="7"/>
  <c r="U275" i="7"/>
  <c r="T275" i="7"/>
  <c r="S275" i="7"/>
  <c r="R275" i="7"/>
  <c r="Z274" i="7"/>
  <c r="Y274" i="7"/>
  <c r="AA274" i="7" s="1"/>
  <c r="W274" i="7"/>
  <c r="U274" i="7"/>
  <c r="T274" i="7"/>
  <c r="S274" i="7"/>
  <c r="R274" i="7"/>
  <c r="Z273" i="7"/>
  <c r="Y273" i="7"/>
  <c r="AA273" i="7" s="1"/>
  <c r="W273" i="7"/>
  <c r="U273" i="7"/>
  <c r="T273" i="7"/>
  <c r="S273" i="7"/>
  <c r="R273" i="7"/>
  <c r="Z272" i="7"/>
  <c r="Y272" i="7"/>
  <c r="AA272" i="7" s="1"/>
  <c r="W272" i="7"/>
  <c r="U272" i="7"/>
  <c r="T272" i="7"/>
  <c r="S272" i="7"/>
  <c r="R272" i="7"/>
  <c r="Z271" i="7"/>
  <c r="Y271" i="7"/>
  <c r="AA271" i="7" s="1"/>
  <c r="W271" i="7"/>
  <c r="U271" i="7"/>
  <c r="T271" i="7"/>
  <c r="S271" i="7"/>
  <c r="R271" i="7"/>
  <c r="Z270" i="7"/>
  <c r="Y270" i="7"/>
  <c r="AA270" i="7" s="1"/>
  <c r="W270" i="7"/>
  <c r="U270" i="7"/>
  <c r="T270" i="7"/>
  <c r="S270" i="7"/>
  <c r="R270" i="7"/>
  <c r="Z269" i="7"/>
  <c r="Y269" i="7"/>
  <c r="AA269" i="7" s="1"/>
  <c r="W269" i="7"/>
  <c r="U269" i="7"/>
  <c r="T269" i="7"/>
  <c r="S269" i="7"/>
  <c r="R269" i="7"/>
  <c r="Z268" i="7"/>
  <c r="Y268" i="7"/>
  <c r="AA268" i="7" s="1"/>
  <c r="W268" i="7"/>
  <c r="U268" i="7"/>
  <c r="T268" i="7"/>
  <c r="S268" i="7"/>
  <c r="R268" i="7"/>
  <c r="Z267" i="7"/>
  <c r="Y267" i="7"/>
  <c r="AA267" i="7" s="1"/>
  <c r="W267" i="7"/>
  <c r="U267" i="7"/>
  <c r="T267" i="7"/>
  <c r="S267" i="7"/>
  <c r="R267" i="7"/>
  <c r="Z266" i="7"/>
  <c r="Y266" i="7"/>
  <c r="AA266" i="7" s="1"/>
  <c r="W266" i="7"/>
  <c r="U266" i="7"/>
  <c r="T266" i="7"/>
  <c r="S266" i="7"/>
  <c r="R266" i="7"/>
  <c r="Z265" i="7"/>
  <c r="Y265" i="7"/>
  <c r="AA265" i="7" s="1"/>
  <c r="W265" i="7"/>
  <c r="U265" i="7"/>
  <c r="T265" i="7"/>
  <c r="S265" i="7"/>
  <c r="R265" i="7"/>
  <c r="Z264" i="7"/>
  <c r="Y264" i="7"/>
  <c r="AA264" i="7" s="1"/>
  <c r="W264" i="7"/>
  <c r="U264" i="7"/>
  <c r="T264" i="7"/>
  <c r="S264" i="7"/>
  <c r="R264" i="7"/>
  <c r="Z263" i="7"/>
  <c r="Y263" i="7"/>
  <c r="AA263" i="7" s="1"/>
  <c r="W263" i="7"/>
  <c r="U263" i="7"/>
  <c r="T263" i="7"/>
  <c r="S263" i="7"/>
  <c r="R263" i="7"/>
  <c r="Z262" i="7"/>
  <c r="Y262" i="7"/>
  <c r="AA262" i="7" s="1"/>
  <c r="W262" i="7"/>
  <c r="U262" i="7"/>
  <c r="T262" i="7"/>
  <c r="S262" i="7"/>
  <c r="R262" i="7"/>
  <c r="Z261" i="7"/>
  <c r="Y261" i="7"/>
  <c r="AA261" i="7" s="1"/>
  <c r="W261" i="7"/>
  <c r="U261" i="7"/>
  <c r="T261" i="7"/>
  <c r="S261" i="7"/>
  <c r="R261" i="7"/>
  <c r="Z260" i="7"/>
  <c r="Y260" i="7"/>
  <c r="AA260" i="7" s="1"/>
  <c r="W260" i="7"/>
  <c r="U260" i="7"/>
  <c r="T260" i="7"/>
  <c r="S260" i="7"/>
  <c r="R260" i="7"/>
  <c r="Z259" i="7"/>
  <c r="Y259" i="7"/>
  <c r="AA259" i="7" s="1"/>
  <c r="W259" i="7"/>
  <c r="U259" i="7"/>
  <c r="T259" i="7"/>
  <c r="S259" i="7"/>
  <c r="R259" i="7"/>
  <c r="Z258" i="7"/>
  <c r="Y258" i="7"/>
  <c r="AA258" i="7" s="1"/>
  <c r="W258" i="7"/>
  <c r="U258" i="7"/>
  <c r="T258" i="7"/>
  <c r="S258" i="7"/>
  <c r="R258" i="7"/>
  <c r="Z257" i="7"/>
  <c r="Y257" i="7"/>
  <c r="AA257" i="7" s="1"/>
  <c r="W257" i="7"/>
  <c r="U257" i="7"/>
  <c r="T257" i="7"/>
  <c r="S257" i="7"/>
  <c r="R257" i="7"/>
  <c r="Z256" i="7"/>
  <c r="Y256" i="7"/>
  <c r="AA256" i="7" s="1"/>
  <c r="W256" i="7"/>
  <c r="U256" i="7"/>
  <c r="T256" i="7"/>
  <c r="S256" i="7"/>
  <c r="R256" i="7"/>
  <c r="Z255" i="7"/>
  <c r="Y255" i="7"/>
  <c r="AA255" i="7" s="1"/>
  <c r="W255" i="7"/>
  <c r="U255" i="7"/>
  <c r="T255" i="7"/>
  <c r="S255" i="7"/>
  <c r="R255" i="7"/>
  <c r="Z254" i="7"/>
  <c r="Y254" i="7"/>
  <c r="AA254" i="7" s="1"/>
  <c r="W254" i="7"/>
  <c r="U254" i="7"/>
  <c r="T254" i="7"/>
  <c r="S254" i="7"/>
  <c r="R254" i="7"/>
  <c r="Z253" i="7"/>
  <c r="Y253" i="7"/>
  <c r="AA253" i="7" s="1"/>
  <c r="W253" i="7"/>
  <c r="U253" i="7"/>
  <c r="T253" i="7"/>
  <c r="S253" i="7"/>
  <c r="R253" i="7"/>
  <c r="Z252" i="7"/>
  <c r="Y252" i="7"/>
  <c r="AA252" i="7" s="1"/>
  <c r="W252" i="7"/>
  <c r="U252" i="7"/>
  <c r="T252" i="7"/>
  <c r="S252" i="7"/>
  <c r="R252" i="7"/>
  <c r="Z251" i="7"/>
  <c r="Y251" i="7"/>
  <c r="AA251" i="7" s="1"/>
  <c r="W251" i="7"/>
  <c r="U251" i="7"/>
  <c r="T251" i="7"/>
  <c r="S251" i="7"/>
  <c r="R251" i="7"/>
  <c r="Z250" i="7"/>
  <c r="Y250" i="7"/>
  <c r="AA250" i="7" s="1"/>
  <c r="W250" i="7"/>
  <c r="U250" i="7"/>
  <c r="T250" i="7"/>
  <c r="S250" i="7"/>
  <c r="R250" i="7"/>
  <c r="Z249" i="7"/>
  <c r="Y249" i="7"/>
  <c r="AA249" i="7" s="1"/>
  <c r="W249" i="7"/>
  <c r="U249" i="7"/>
  <c r="T249" i="7"/>
  <c r="S249" i="7"/>
  <c r="R249" i="7"/>
  <c r="Z248" i="7"/>
  <c r="Y248" i="7"/>
  <c r="AA248" i="7" s="1"/>
  <c r="W248" i="7"/>
  <c r="U248" i="7"/>
  <c r="T248" i="7"/>
  <c r="S248" i="7"/>
  <c r="R248" i="7"/>
  <c r="Z247" i="7"/>
  <c r="Y247" i="7"/>
  <c r="AA247" i="7" s="1"/>
  <c r="W247" i="7"/>
  <c r="U247" i="7"/>
  <c r="T247" i="7"/>
  <c r="S247" i="7"/>
  <c r="R247" i="7"/>
  <c r="Z246" i="7"/>
  <c r="Y246" i="7"/>
  <c r="AA246" i="7" s="1"/>
  <c r="W246" i="7"/>
  <c r="U246" i="7"/>
  <c r="T246" i="7"/>
  <c r="S246" i="7"/>
  <c r="R246" i="7"/>
  <c r="Z245" i="7"/>
  <c r="Y245" i="7"/>
  <c r="AA245" i="7" s="1"/>
  <c r="W245" i="7"/>
  <c r="U245" i="7"/>
  <c r="T245" i="7"/>
  <c r="S245" i="7"/>
  <c r="R245" i="7"/>
  <c r="Z244" i="7"/>
  <c r="Y244" i="7"/>
  <c r="AA244" i="7" s="1"/>
  <c r="W244" i="7"/>
  <c r="U244" i="7"/>
  <c r="T244" i="7"/>
  <c r="S244" i="7"/>
  <c r="R244" i="7"/>
  <c r="Z243" i="7"/>
  <c r="Y243" i="7"/>
  <c r="AA243" i="7" s="1"/>
  <c r="W243" i="7"/>
  <c r="U243" i="7"/>
  <c r="T243" i="7"/>
  <c r="S243" i="7"/>
  <c r="R243" i="7"/>
  <c r="Z242" i="7"/>
  <c r="Y242" i="7"/>
  <c r="AA242" i="7" s="1"/>
  <c r="W242" i="7"/>
  <c r="U242" i="7"/>
  <c r="T242" i="7"/>
  <c r="S242" i="7"/>
  <c r="R242" i="7"/>
  <c r="Z241" i="7"/>
  <c r="Y241" i="7"/>
  <c r="AA241" i="7" s="1"/>
  <c r="W241" i="7"/>
  <c r="U241" i="7"/>
  <c r="T241" i="7"/>
  <c r="S241" i="7"/>
  <c r="R241" i="7"/>
  <c r="Z240" i="7"/>
  <c r="Y240" i="7"/>
  <c r="AA240" i="7" s="1"/>
  <c r="W240" i="7"/>
  <c r="U240" i="7"/>
  <c r="T240" i="7"/>
  <c r="S240" i="7"/>
  <c r="R240" i="7"/>
  <c r="Z239" i="7"/>
  <c r="Y239" i="7"/>
  <c r="AA239" i="7" s="1"/>
  <c r="W239" i="7"/>
  <c r="U239" i="7"/>
  <c r="T239" i="7"/>
  <c r="S239" i="7"/>
  <c r="R239" i="7"/>
  <c r="Z238" i="7"/>
  <c r="Y238" i="7"/>
  <c r="AA238" i="7" s="1"/>
  <c r="W238" i="7"/>
  <c r="U238" i="7"/>
  <c r="T238" i="7"/>
  <c r="S238" i="7"/>
  <c r="R238" i="7"/>
  <c r="Z237" i="7"/>
  <c r="Y237" i="7"/>
  <c r="AA237" i="7" s="1"/>
  <c r="W237" i="7"/>
  <c r="U237" i="7"/>
  <c r="T237" i="7"/>
  <c r="S237" i="7"/>
  <c r="R237" i="7"/>
  <c r="Z236" i="7"/>
  <c r="Y236" i="7"/>
  <c r="AA236" i="7" s="1"/>
  <c r="W236" i="7"/>
  <c r="U236" i="7"/>
  <c r="T236" i="7"/>
  <c r="S236" i="7"/>
  <c r="R236" i="7"/>
  <c r="Z235" i="7"/>
  <c r="Y235" i="7"/>
  <c r="AA235" i="7" s="1"/>
  <c r="W235" i="7"/>
  <c r="U235" i="7"/>
  <c r="T235" i="7"/>
  <c r="S235" i="7"/>
  <c r="R235" i="7"/>
  <c r="Z234" i="7"/>
  <c r="Y234" i="7"/>
  <c r="AA234" i="7" s="1"/>
  <c r="W234" i="7"/>
  <c r="U234" i="7"/>
  <c r="T234" i="7"/>
  <c r="S234" i="7"/>
  <c r="R234" i="7"/>
  <c r="Z233" i="7"/>
  <c r="Y233" i="7"/>
  <c r="AA233" i="7" s="1"/>
  <c r="W233" i="7"/>
  <c r="U233" i="7"/>
  <c r="T233" i="7"/>
  <c r="S233" i="7"/>
  <c r="R233" i="7"/>
  <c r="Z232" i="7"/>
  <c r="Y232" i="7"/>
  <c r="AA232" i="7" s="1"/>
  <c r="W232" i="7"/>
  <c r="U232" i="7"/>
  <c r="T232" i="7"/>
  <c r="S232" i="7"/>
  <c r="R232" i="7"/>
  <c r="Z231" i="7"/>
  <c r="Y231" i="7"/>
  <c r="AA231" i="7" s="1"/>
  <c r="W231" i="7"/>
  <c r="U231" i="7"/>
  <c r="T231" i="7"/>
  <c r="S231" i="7"/>
  <c r="R231" i="7"/>
  <c r="Z230" i="7"/>
  <c r="Y230" i="7"/>
  <c r="AA230" i="7" s="1"/>
  <c r="W230" i="7"/>
  <c r="U230" i="7"/>
  <c r="T230" i="7"/>
  <c r="S230" i="7"/>
  <c r="R230" i="7"/>
  <c r="Z229" i="7"/>
  <c r="Y229" i="7"/>
  <c r="AA229" i="7" s="1"/>
  <c r="W229" i="7"/>
  <c r="U229" i="7"/>
  <c r="T229" i="7"/>
  <c r="S229" i="7"/>
  <c r="R229" i="7"/>
  <c r="Z228" i="7"/>
  <c r="Y228" i="7"/>
  <c r="AA228" i="7" s="1"/>
  <c r="W228" i="7"/>
  <c r="U228" i="7"/>
  <c r="T228" i="7"/>
  <c r="S228" i="7"/>
  <c r="R228" i="7"/>
  <c r="Z227" i="7"/>
  <c r="Y227" i="7"/>
  <c r="AA227" i="7" s="1"/>
  <c r="W227" i="7"/>
  <c r="U227" i="7"/>
  <c r="T227" i="7"/>
  <c r="S227" i="7"/>
  <c r="R227" i="7"/>
  <c r="Z226" i="7"/>
  <c r="Y226" i="7"/>
  <c r="AA226" i="7" s="1"/>
  <c r="W226" i="7"/>
  <c r="U226" i="7"/>
  <c r="T226" i="7"/>
  <c r="S226" i="7"/>
  <c r="R226" i="7"/>
  <c r="Z225" i="7"/>
  <c r="Y225" i="7"/>
  <c r="AA225" i="7" s="1"/>
  <c r="W225" i="7"/>
  <c r="U225" i="7"/>
  <c r="T225" i="7"/>
  <c r="S225" i="7"/>
  <c r="R225" i="7"/>
  <c r="Z224" i="7"/>
  <c r="Y224" i="7"/>
  <c r="AA224" i="7" s="1"/>
  <c r="W224" i="7"/>
  <c r="U224" i="7"/>
  <c r="T224" i="7"/>
  <c r="S224" i="7"/>
  <c r="R224" i="7"/>
  <c r="Z223" i="7"/>
  <c r="Y223" i="7"/>
  <c r="AA223" i="7" s="1"/>
  <c r="W223" i="7"/>
  <c r="U223" i="7"/>
  <c r="T223" i="7"/>
  <c r="S223" i="7"/>
  <c r="R223" i="7"/>
  <c r="Z222" i="7"/>
  <c r="Y222" i="7"/>
  <c r="AA222" i="7" s="1"/>
  <c r="W222" i="7"/>
  <c r="U222" i="7"/>
  <c r="T222" i="7"/>
  <c r="S222" i="7"/>
  <c r="R222" i="7"/>
  <c r="Z221" i="7"/>
  <c r="Y221" i="7"/>
  <c r="AA221" i="7" s="1"/>
  <c r="W221" i="7"/>
  <c r="U221" i="7"/>
  <c r="T221" i="7"/>
  <c r="S221" i="7"/>
  <c r="R221" i="7"/>
  <c r="Z220" i="7"/>
  <c r="Y220" i="7"/>
  <c r="AA220" i="7" s="1"/>
  <c r="W220" i="7"/>
  <c r="U220" i="7"/>
  <c r="T220" i="7"/>
  <c r="S220" i="7"/>
  <c r="R220" i="7"/>
  <c r="Z219" i="7"/>
  <c r="Y219" i="7"/>
  <c r="AA219" i="7" s="1"/>
  <c r="W219" i="7"/>
  <c r="U219" i="7"/>
  <c r="T219" i="7"/>
  <c r="S219" i="7"/>
  <c r="R219" i="7"/>
  <c r="Z218" i="7"/>
  <c r="Y218" i="7"/>
  <c r="AA218" i="7" s="1"/>
  <c r="W218" i="7"/>
  <c r="U218" i="7"/>
  <c r="T218" i="7"/>
  <c r="S218" i="7"/>
  <c r="R218" i="7"/>
  <c r="Z217" i="7"/>
  <c r="Y217" i="7"/>
  <c r="AA217" i="7" s="1"/>
  <c r="W217" i="7"/>
  <c r="U217" i="7"/>
  <c r="T217" i="7"/>
  <c r="S217" i="7"/>
  <c r="R217" i="7"/>
  <c r="Z216" i="7"/>
  <c r="Y216" i="7"/>
  <c r="AA216" i="7" s="1"/>
  <c r="W216" i="7"/>
  <c r="U216" i="7"/>
  <c r="T216" i="7"/>
  <c r="S216" i="7"/>
  <c r="R216" i="7"/>
  <c r="Z215" i="7"/>
  <c r="Y215" i="7"/>
  <c r="AA215" i="7" s="1"/>
  <c r="W215" i="7"/>
  <c r="U215" i="7"/>
  <c r="T215" i="7"/>
  <c r="S215" i="7"/>
  <c r="R215" i="7"/>
  <c r="Z214" i="7"/>
  <c r="Y214" i="7"/>
  <c r="AA214" i="7" s="1"/>
  <c r="W214" i="7"/>
  <c r="U214" i="7"/>
  <c r="T214" i="7"/>
  <c r="S214" i="7"/>
  <c r="R214" i="7"/>
  <c r="Z213" i="7"/>
  <c r="Y213" i="7"/>
  <c r="AA213" i="7" s="1"/>
  <c r="W213" i="7"/>
  <c r="U213" i="7"/>
  <c r="T213" i="7"/>
  <c r="S213" i="7"/>
  <c r="R213" i="7"/>
  <c r="Z212" i="7"/>
  <c r="Y212" i="7"/>
  <c r="AA212" i="7" s="1"/>
  <c r="W212" i="7"/>
  <c r="U212" i="7"/>
  <c r="T212" i="7"/>
  <c r="S212" i="7"/>
  <c r="R212" i="7"/>
  <c r="Z211" i="7"/>
  <c r="Y211" i="7"/>
  <c r="AA211" i="7" s="1"/>
  <c r="W211" i="7"/>
  <c r="U211" i="7"/>
  <c r="T211" i="7"/>
  <c r="S211" i="7"/>
  <c r="R211" i="7"/>
  <c r="Z210" i="7"/>
  <c r="Y210" i="7"/>
  <c r="AA210" i="7" s="1"/>
  <c r="W210" i="7"/>
  <c r="U210" i="7"/>
  <c r="T210" i="7"/>
  <c r="S210" i="7"/>
  <c r="R210" i="7"/>
  <c r="Z209" i="7"/>
  <c r="Y209" i="7"/>
  <c r="AA209" i="7" s="1"/>
  <c r="W209" i="7"/>
  <c r="U209" i="7"/>
  <c r="T209" i="7"/>
  <c r="S209" i="7"/>
  <c r="R209" i="7"/>
  <c r="Z208" i="7"/>
  <c r="Y208" i="7"/>
  <c r="AA208" i="7" s="1"/>
  <c r="W208" i="7"/>
  <c r="U208" i="7"/>
  <c r="T208" i="7"/>
  <c r="S208" i="7"/>
  <c r="R208" i="7"/>
  <c r="Z207" i="7"/>
  <c r="Y207" i="7"/>
  <c r="AA207" i="7" s="1"/>
  <c r="W207" i="7"/>
  <c r="U207" i="7"/>
  <c r="T207" i="7"/>
  <c r="S207" i="7"/>
  <c r="R207" i="7"/>
  <c r="Z206" i="7"/>
  <c r="Y206" i="7"/>
  <c r="AA206" i="7" s="1"/>
  <c r="W206" i="7"/>
  <c r="U206" i="7"/>
  <c r="T206" i="7"/>
  <c r="S206" i="7"/>
  <c r="R206" i="7"/>
  <c r="Z205" i="7"/>
  <c r="Y205" i="7"/>
  <c r="AA205" i="7" s="1"/>
  <c r="W205" i="7"/>
  <c r="U205" i="7"/>
  <c r="T205" i="7"/>
  <c r="S205" i="7"/>
  <c r="R205" i="7"/>
  <c r="Z204" i="7"/>
  <c r="Y204" i="7"/>
  <c r="AA204" i="7" s="1"/>
  <c r="W204" i="7"/>
  <c r="U204" i="7"/>
  <c r="T204" i="7"/>
  <c r="S204" i="7"/>
  <c r="R204" i="7"/>
  <c r="Z203" i="7"/>
  <c r="Y203" i="7"/>
  <c r="AA203" i="7" s="1"/>
  <c r="W203" i="7"/>
  <c r="U203" i="7"/>
  <c r="T203" i="7"/>
  <c r="S203" i="7"/>
  <c r="R203" i="7"/>
  <c r="Z202" i="7"/>
  <c r="Y202" i="7"/>
  <c r="AA202" i="7" s="1"/>
  <c r="W202" i="7"/>
  <c r="U202" i="7"/>
  <c r="T202" i="7"/>
  <c r="S202" i="7"/>
  <c r="R202" i="7"/>
  <c r="Z201" i="7"/>
  <c r="Y201" i="7"/>
  <c r="AA201" i="7" s="1"/>
  <c r="W201" i="7"/>
  <c r="U201" i="7"/>
  <c r="T201" i="7"/>
  <c r="S201" i="7"/>
  <c r="R201" i="7"/>
  <c r="Z200" i="7"/>
  <c r="Y200" i="7"/>
  <c r="AA200" i="7" s="1"/>
  <c r="W200" i="7"/>
  <c r="U200" i="7"/>
  <c r="T200" i="7"/>
  <c r="S200" i="7"/>
  <c r="R200" i="7"/>
  <c r="Z199" i="7"/>
  <c r="Y199" i="7"/>
  <c r="AA199" i="7" s="1"/>
  <c r="W199" i="7"/>
  <c r="U199" i="7"/>
  <c r="T199" i="7"/>
  <c r="S199" i="7"/>
  <c r="R199" i="7"/>
  <c r="Z198" i="7"/>
  <c r="Y198" i="7"/>
  <c r="AA198" i="7" s="1"/>
  <c r="W198" i="7"/>
  <c r="U198" i="7"/>
  <c r="T198" i="7"/>
  <c r="S198" i="7"/>
  <c r="R198" i="7"/>
  <c r="Z197" i="7"/>
  <c r="Y197" i="7"/>
  <c r="AA197" i="7" s="1"/>
  <c r="W197" i="7"/>
  <c r="U197" i="7"/>
  <c r="T197" i="7"/>
  <c r="S197" i="7"/>
  <c r="R197" i="7"/>
  <c r="Z196" i="7"/>
  <c r="Y196" i="7"/>
  <c r="AA196" i="7" s="1"/>
  <c r="W196" i="7"/>
  <c r="U196" i="7"/>
  <c r="T196" i="7"/>
  <c r="S196" i="7"/>
  <c r="R196" i="7"/>
  <c r="Z195" i="7"/>
  <c r="Y195" i="7"/>
  <c r="AA195" i="7" s="1"/>
  <c r="W195" i="7"/>
  <c r="U195" i="7"/>
  <c r="T195" i="7"/>
  <c r="S195" i="7"/>
  <c r="R195" i="7"/>
  <c r="Z194" i="7"/>
  <c r="Y194" i="7"/>
  <c r="AA194" i="7" s="1"/>
  <c r="W194" i="7"/>
  <c r="U194" i="7"/>
  <c r="T194" i="7"/>
  <c r="S194" i="7"/>
  <c r="R194" i="7"/>
  <c r="Z193" i="7"/>
  <c r="Y193" i="7"/>
  <c r="AA193" i="7" s="1"/>
  <c r="W193" i="7"/>
  <c r="U193" i="7"/>
  <c r="T193" i="7"/>
  <c r="S193" i="7"/>
  <c r="R193" i="7"/>
  <c r="Z192" i="7"/>
  <c r="Y192" i="7"/>
  <c r="AA192" i="7" s="1"/>
  <c r="W192" i="7"/>
  <c r="U192" i="7"/>
  <c r="T192" i="7"/>
  <c r="S192" i="7"/>
  <c r="R192" i="7"/>
  <c r="Z191" i="7"/>
  <c r="Y191" i="7"/>
  <c r="AA191" i="7" s="1"/>
  <c r="W191" i="7"/>
  <c r="U191" i="7"/>
  <c r="T191" i="7"/>
  <c r="S191" i="7"/>
  <c r="R191" i="7"/>
  <c r="Z190" i="7"/>
  <c r="Y190" i="7"/>
  <c r="AA190" i="7" s="1"/>
  <c r="W190" i="7"/>
  <c r="U190" i="7"/>
  <c r="T190" i="7"/>
  <c r="S190" i="7"/>
  <c r="R190" i="7"/>
  <c r="Z189" i="7"/>
  <c r="Y189" i="7"/>
  <c r="AA189" i="7" s="1"/>
  <c r="W189" i="7"/>
  <c r="U189" i="7"/>
  <c r="T189" i="7"/>
  <c r="S189" i="7"/>
  <c r="R189" i="7"/>
  <c r="Z188" i="7"/>
  <c r="Y188" i="7"/>
  <c r="AA188" i="7" s="1"/>
  <c r="W188" i="7"/>
  <c r="U188" i="7"/>
  <c r="T188" i="7"/>
  <c r="S188" i="7"/>
  <c r="R188" i="7"/>
  <c r="Z187" i="7"/>
  <c r="Y187" i="7"/>
  <c r="AA187" i="7" s="1"/>
  <c r="W187" i="7"/>
  <c r="U187" i="7"/>
  <c r="T187" i="7"/>
  <c r="S187" i="7"/>
  <c r="R187" i="7"/>
  <c r="Z186" i="7"/>
  <c r="Y186" i="7"/>
  <c r="AA186" i="7" s="1"/>
  <c r="W186" i="7"/>
  <c r="U186" i="7"/>
  <c r="T186" i="7"/>
  <c r="S186" i="7"/>
  <c r="R186" i="7"/>
  <c r="Z185" i="7"/>
  <c r="Y185" i="7"/>
  <c r="AA185" i="7" s="1"/>
  <c r="W185" i="7"/>
  <c r="U185" i="7"/>
  <c r="T185" i="7"/>
  <c r="S185" i="7"/>
  <c r="R185" i="7"/>
  <c r="Z184" i="7"/>
  <c r="Y184" i="7"/>
  <c r="AA184" i="7" s="1"/>
  <c r="W184" i="7"/>
  <c r="U184" i="7"/>
  <c r="T184" i="7"/>
  <c r="S184" i="7"/>
  <c r="R184" i="7"/>
  <c r="Z183" i="7"/>
  <c r="Y183" i="7"/>
  <c r="AA183" i="7" s="1"/>
  <c r="W183" i="7"/>
  <c r="U183" i="7"/>
  <c r="T183" i="7"/>
  <c r="S183" i="7"/>
  <c r="R183" i="7"/>
  <c r="Z182" i="7"/>
  <c r="Y182" i="7"/>
  <c r="AA182" i="7" s="1"/>
  <c r="W182" i="7"/>
  <c r="U182" i="7"/>
  <c r="T182" i="7"/>
  <c r="S182" i="7"/>
  <c r="R182" i="7"/>
  <c r="Z181" i="7"/>
  <c r="Y181" i="7"/>
  <c r="AA181" i="7" s="1"/>
  <c r="W181" i="7"/>
  <c r="U181" i="7"/>
  <c r="T181" i="7"/>
  <c r="S181" i="7"/>
  <c r="R181" i="7"/>
  <c r="Z180" i="7"/>
  <c r="Y180" i="7"/>
  <c r="AA180" i="7" s="1"/>
  <c r="W180" i="7"/>
  <c r="U180" i="7"/>
  <c r="T180" i="7"/>
  <c r="S180" i="7"/>
  <c r="R180" i="7"/>
  <c r="Z179" i="7"/>
  <c r="Y179" i="7"/>
  <c r="AA179" i="7" s="1"/>
  <c r="W179" i="7"/>
  <c r="U179" i="7"/>
  <c r="T179" i="7"/>
  <c r="S179" i="7"/>
  <c r="R179" i="7"/>
  <c r="Z178" i="7"/>
  <c r="Y178" i="7"/>
  <c r="AA178" i="7" s="1"/>
  <c r="W178" i="7"/>
  <c r="U178" i="7"/>
  <c r="T178" i="7"/>
  <c r="S178" i="7"/>
  <c r="R178" i="7"/>
  <c r="Z177" i="7"/>
  <c r="Y177" i="7"/>
  <c r="AA177" i="7" s="1"/>
  <c r="W177" i="7"/>
  <c r="U177" i="7"/>
  <c r="T177" i="7"/>
  <c r="S177" i="7"/>
  <c r="R177" i="7"/>
  <c r="Z176" i="7"/>
  <c r="Y176" i="7"/>
  <c r="AA176" i="7" s="1"/>
  <c r="W176" i="7"/>
  <c r="U176" i="7"/>
  <c r="T176" i="7"/>
  <c r="S176" i="7"/>
  <c r="R176" i="7"/>
  <c r="Z175" i="7"/>
  <c r="Y175" i="7"/>
  <c r="AA175" i="7" s="1"/>
  <c r="W175" i="7"/>
  <c r="U175" i="7"/>
  <c r="T175" i="7"/>
  <c r="S175" i="7"/>
  <c r="R175" i="7"/>
  <c r="Z174" i="7"/>
  <c r="Y174" i="7"/>
  <c r="AA174" i="7" s="1"/>
  <c r="W174" i="7"/>
  <c r="U174" i="7"/>
  <c r="T174" i="7"/>
  <c r="S174" i="7"/>
  <c r="R174" i="7"/>
  <c r="Z173" i="7"/>
  <c r="Y173" i="7"/>
  <c r="AA173" i="7" s="1"/>
  <c r="W173" i="7"/>
  <c r="U173" i="7"/>
  <c r="T173" i="7"/>
  <c r="S173" i="7"/>
  <c r="R173" i="7"/>
  <c r="Z172" i="7"/>
  <c r="Y172" i="7"/>
  <c r="AA172" i="7" s="1"/>
  <c r="W172" i="7"/>
  <c r="U172" i="7"/>
  <c r="T172" i="7"/>
  <c r="S172" i="7"/>
  <c r="R172" i="7"/>
  <c r="Z171" i="7"/>
  <c r="Y171" i="7"/>
  <c r="AA171" i="7" s="1"/>
  <c r="W171" i="7"/>
  <c r="U171" i="7"/>
  <c r="T171" i="7"/>
  <c r="S171" i="7"/>
  <c r="R171" i="7"/>
  <c r="Z170" i="7"/>
  <c r="Y170" i="7"/>
  <c r="AA170" i="7" s="1"/>
  <c r="W170" i="7"/>
  <c r="U170" i="7"/>
  <c r="T170" i="7"/>
  <c r="S170" i="7"/>
  <c r="R170" i="7"/>
  <c r="Z169" i="7"/>
  <c r="Y169" i="7"/>
  <c r="AA169" i="7" s="1"/>
  <c r="W169" i="7"/>
  <c r="U169" i="7"/>
  <c r="T169" i="7"/>
  <c r="S169" i="7"/>
  <c r="R169" i="7"/>
  <c r="Z168" i="7"/>
  <c r="Y168" i="7"/>
  <c r="AA168" i="7" s="1"/>
  <c r="W168" i="7"/>
  <c r="U168" i="7"/>
  <c r="T168" i="7"/>
  <c r="S168" i="7"/>
  <c r="R168" i="7"/>
  <c r="Z167" i="7"/>
  <c r="Y167" i="7"/>
  <c r="AA167" i="7" s="1"/>
  <c r="W167" i="7"/>
  <c r="U167" i="7"/>
  <c r="T167" i="7"/>
  <c r="S167" i="7"/>
  <c r="R167" i="7"/>
  <c r="Z166" i="7"/>
  <c r="Y166" i="7"/>
  <c r="AA166" i="7" s="1"/>
  <c r="W166" i="7"/>
  <c r="U166" i="7"/>
  <c r="T166" i="7"/>
  <c r="S166" i="7"/>
  <c r="R166" i="7"/>
  <c r="Z165" i="7"/>
  <c r="Y165" i="7"/>
  <c r="AA165" i="7" s="1"/>
  <c r="W165" i="7"/>
  <c r="U165" i="7"/>
  <c r="T165" i="7"/>
  <c r="S165" i="7"/>
  <c r="R165" i="7"/>
  <c r="Z164" i="7"/>
  <c r="Y164" i="7"/>
  <c r="AA164" i="7" s="1"/>
  <c r="W164" i="7"/>
  <c r="U164" i="7"/>
  <c r="T164" i="7"/>
  <c r="S164" i="7"/>
  <c r="R164" i="7"/>
  <c r="Z163" i="7"/>
  <c r="Y163" i="7"/>
  <c r="AA163" i="7" s="1"/>
  <c r="W163" i="7"/>
  <c r="U163" i="7"/>
  <c r="T163" i="7"/>
  <c r="S163" i="7"/>
  <c r="R163" i="7"/>
  <c r="Z162" i="7"/>
  <c r="Y162" i="7"/>
  <c r="AA162" i="7" s="1"/>
  <c r="W162" i="7"/>
  <c r="U162" i="7"/>
  <c r="T162" i="7"/>
  <c r="S162" i="7"/>
  <c r="R162" i="7"/>
  <c r="Z161" i="7"/>
  <c r="Y161" i="7"/>
  <c r="AA161" i="7" s="1"/>
  <c r="W161" i="7"/>
  <c r="U161" i="7"/>
  <c r="T161" i="7"/>
  <c r="S161" i="7"/>
  <c r="R161" i="7"/>
  <c r="Z160" i="7"/>
  <c r="Y160" i="7"/>
  <c r="AA160" i="7" s="1"/>
  <c r="W160" i="7"/>
  <c r="U160" i="7"/>
  <c r="T160" i="7"/>
  <c r="S160" i="7"/>
  <c r="R160" i="7"/>
  <c r="Z159" i="7"/>
  <c r="Y159" i="7"/>
  <c r="AA159" i="7" s="1"/>
  <c r="W159" i="7"/>
  <c r="U159" i="7"/>
  <c r="T159" i="7"/>
  <c r="S159" i="7"/>
  <c r="R159" i="7"/>
  <c r="Z158" i="7"/>
  <c r="Y158" i="7"/>
  <c r="AA158" i="7" s="1"/>
  <c r="W158" i="7"/>
  <c r="U158" i="7"/>
  <c r="T158" i="7"/>
  <c r="S158" i="7"/>
  <c r="R158" i="7"/>
  <c r="Z157" i="7"/>
  <c r="Y157" i="7"/>
  <c r="AA157" i="7" s="1"/>
  <c r="W157" i="7"/>
  <c r="U157" i="7"/>
  <c r="T157" i="7"/>
  <c r="S157" i="7"/>
  <c r="R157" i="7"/>
  <c r="Z156" i="7"/>
  <c r="Y156" i="7"/>
  <c r="AA156" i="7" s="1"/>
  <c r="W156" i="7"/>
  <c r="U156" i="7"/>
  <c r="T156" i="7"/>
  <c r="S156" i="7"/>
  <c r="R156" i="7"/>
  <c r="Z155" i="7"/>
  <c r="Y155" i="7"/>
  <c r="AA155" i="7" s="1"/>
  <c r="W155" i="7"/>
  <c r="U155" i="7"/>
  <c r="T155" i="7"/>
  <c r="S155" i="7"/>
  <c r="R155" i="7"/>
  <c r="Z154" i="7"/>
  <c r="Y154" i="7"/>
  <c r="AA154" i="7" s="1"/>
  <c r="W154" i="7"/>
  <c r="U154" i="7"/>
  <c r="T154" i="7"/>
  <c r="S154" i="7"/>
  <c r="R154" i="7"/>
  <c r="Z153" i="7"/>
  <c r="Y153" i="7"/>
  <c r="AA153" i="7" s="1"/>
  <c r="W153" i="7"/>
  <c r="U153" i="7"/>
  <c r="T153" i="7"/>
  <c r="S153" i="7"/>
  <c r="R153" i="7"/>
  <c r="Z152" i="7"/>
  <c r="Y152" i="7"/>
  <c r="AA152" i="7" s="1"/>
  <c r="W152" i="7"/>
  <c r="U152" i="7"/>
  <c r="T152" i="7"/>
  <c r="S152" i="7"/>
  <c r="R152" i="7"/>
  <c r="Z151" i="7"/>
  <c r="Y151" i="7"/>
  <c r="AA151" i="7" s="1"/>
  <c r="W151" i="7"/>
  <c r="U151" i="7"/>
  <c r="T151" i="7"/>
  <c r="S151" i="7"/>
  <c r="R151" i="7"/>
  <c r="Z150" i="7"/>
  <c r="Y150" i="7"/>
  <c r="AA150" i="7" s="1"/>
  <c r="W150" i="7"/>
  <c r="U150" i="7"/>
  <c r="T150" i="7"/>
  <c r="S150" i="7"/>
  <c r="R150" i="7"/>
  <c r="Z149" i="7"/>
  <c r="Y149" i="7"/>
  <c r="AA149" i="7" s="1"/>
  <c r="W149" i="7"/>
  <c r="U149" i="7"/>
  <c r="T149" i="7"/>
  <c r="S149" i="7"/>
  <c r="R149" i="7"/>
  <c r="Z148" i="7"/>
  <c r="Y148" i="7"/>
  <c r="AA148" i="7" s="1"/>
  <c r="W148" i="7"/>
  <c r="U148" i="7"/>
  <c r="T148" i="7"/>
  <c r="S148" i="7"/>
  <c r="R148" i="7"/>
  <c r="Z147" i="7"/>
  <c r="Y147" i="7"/>
  <c r="AA147" i="7" s="1"/>
  <c r="W147" i="7"/>
  <c r="U147" i="7"/>
  <c r="T147" i="7"/>
  <c r="S147" i="7"/>
  <c r="R147" i="7"/>
  <c r="Z146" i="7"/>
  <c r="Y146" i="7"/>
  <c r="AA146" i="7" s="1"/>
  <c r="W146" i="7"/>
  <c r="U146" i="7"/>
  <c r="T146" i="7"/>
  <c r="S146" i="7"/>
  <c r="R146" i="7"/>
  <c r="Z145" i="7"/>
  <c r="Y145" i="7"/>
  <c r="AA145" i="7" s="1"/>
  <c r="W145" i="7"/>
  <c r="U145" i="7"/>
  <c r="T145" i="7"/>
  <c r="S145" i="7"/>
  <c r="R145" i="7"/>
  <c r="Z144" i="7"/>
  <c r="Y144" i="7"/>
  <c r="AA144" i="7" s="1"/>
  <c r="W144" i="7"/>
  <c r="U144" i="7"/>
  <c r="T144" i="7"/>
  <c r="S144" i="7"/>
  <c r="R144" i="7"/>
  <c r="Z143" i="7"/>
  <c r="Y143" i="7"/>
  <c r="AA143" i="7" s="1"/>
  <c r="W143" i="7"/>
  <c r="U143" i="7"/>
  <c r="T143" i="7"/>
  <c r="S143" i="7"/>
  <c r="R143" i="7"/>
  <c r="Z142" i="7"/>
  <c r="Y142" i="7"/>
  <c r="AA142" i="7" s="1"/>
  <c r="W142" i="7"/>
  <c r="U142" i="7"/>
  <c r="T142" i="7"/>
  <c r="S142" i="7"/>
  <c r="R142" i="7"/>
  <c r="Z141" i="7"/>
  <c r="Y141" i="7"/>
  <c r="AA141" i="7" s="1"/>
  <c r="W141" i="7"/>
  <c r="U141" i="7"/>
  <c r="T141" i="7"/>
  <c r="S141" i="7"/>
  <c r="R141" i="7"/>
  <c r="Z140" i="7"/>
  <c r="Y140" i="7"/>
  <c r="AA140" i="7" s="1"/>
  <c r="W140" i="7"/>
  <c r="U140" i="7"/>
  <c r="T140" i="7"/>
  <c r="S140" i="7"/>
  <c r="R140" i="7"/>
  <c r="Z139" i="7"/>
  <c r="Y139" i="7"/>
  <c r="AA139" i="7" s="1"/>
  <c r="W139" i="7"/>
  <c r="U139" i="7"/>
  <c r="T139" i="7"/>
  <c r="S139" i="7"/>
  <c r="R139" i="7"/>
  <c r="Z138" i="7"/>
  <c r="Y138" i="7"/>
  <c r="AA138" i="7" s="1"/>
  <c r="W138" i="7"/>
  <c r="U138" i="7"/>
  <c r="T138" i="7"/>
  <c r="S138" i="7"/>
  <c r="R138" i="7"/>
  <c r="Z137" i="7"/>
  <c r="Y137" i="7"/>
  <c r="AA137" i="7" s="1"/>
  <c r="W137" i="7"/>
  <c r="U137" i="7"/>
  <c r="T137" i="7"/>
  <c r="S137" i="7"/>
  <c r="R137" i="7"/>
  <c r="Z136" i="7"/>
  <c r="Y136" i="7"/>
  <c r="AA136" i="7" s="1"/>
  <c r="W136" i="7"/>
  <c r="U136" i="7"/>
  <c r="T136" i="7"/>
  <c r="S136" i="7"/>
  <c r="R136" i="7"/>
  <c r="Z135" i="7"/>
  <c r="Y135" i="7"/>
  <c r="AA135" i="7" s="1"/>
  <c r="W135" i="7"/>
  <c r="U135" i="7"/>
  <c r="T135" i="7"/>
  <c r="S135" i="7"/>
  <c r="R135" i="7"/>
  <c r="Z134" i="7"/>
  <c r="Y134" i="7"/>
  <c r="AA134" i="7" s="1"/>
  <c r="W134" i="7"/>
  <c r="U134" i="7"/>
  <c r="T134" i="7"/>
  <c r="S134" i="7"/>
  <c r="R134" i="7"/>
  <c r="Z133" i="7"/>
  <c r="Y133" i="7"/>
  <c r="AA133" i="7" s="1"/>
  <c r="W133" i="7"/>
  <c r="U133" i="7"/>
  <c r="T133" i="7"/>
  <c r="S133" i="7"/>
  <c r="R133" i="7"/>
  <c r="Z132" i="7"/>
  <c r="Y132" i="7"/>
  <c r="AA132" i="7" s="1"/>
  <c r="W132" i="7"/>
  <c r="U132" i="7"/>
  <c r="T132" i="7"/>
  <c r="S132" i="7"/>
  <c r="R132" i="7"/>
  <c r="Z131" i="7"/>
  <c r="Y131" i="7"/>
  <c r="AA131" i="7" s="1"/>
  <c r="W131" i="7"/>
  <c r="U131" i="7"/>
  <c r="T131" i="7"/>
  <c r="S131" i="7"/>
  <c r="R131" i="7"/>
  <c r="Z130" i="7"/>
  <c r="Y130" i="7"/>
  <c r="AA130" i="7" s="1"/>
  <c r="W130" i="7"/>
  <c r="U130" i="7"/>
  <c r="T130" i="7"/>
  <c r="S130" i="7"/>
  <c r="R130" i="7"/>
  <c r="Z129" i="7"/>
  <c r="Y129" i="7"/>
  <c r="AA129" i="7" s="1"/>
  <c r="W129" i="7"/>
  <c r="U129" i="7"/>
  <c r="T129" i="7"/>
  <c r="S129" i="7"/>
  <c r="R129" i="7"/>
  <c r="Z128" i="7"/>
  <c r="Y128" i="7"/>
  <c r="AA128" i="7" s="1"/>
  <c r="W128" i="7"/>
  <c r="U128" i="7"/>
  <c r="T128" i="7"/>
  <c r="S128" i="7"/>
  <c r="R128" i="7"/>
  <c r="Z127" i="7"/>
  <c r="Y127" i="7"/>
  <c r="AA127" i="7" s="1"/>
  <c r="W127" i="7"/>
  <c r="U127" i="7"/>
  <c r="T127" i="7"/>
  <c r="S127" i="7"/>
  <c r="R127" i="7"/>
  <c r="Z126" i="7"/>
  <c r="Y126" i="7"/>
  <c r="AA126" i="7" s="1"/>
  <c r="W126" i="7"/>
  <c r="U126" i="7"/>
  <c r="T126" i="7"/>
  <c r="S126" i="7"/>
  <c r="R126" i="7"/>
  <c r="Z125" i="7"/>
  <c r="Y125" i="7"/>
  <c r="AA125" i="7" s="1"/>
  <c r="W125" i="7"/>
  <c r="U125" i="7"/>
  <c r="T125" i="7"/>
  <c r="S125" i="7"/>
  <c r="R125" i="7"/>
  <c r="Z124" i="7"/>
  <c r="Y124" i="7"/>
  <c r="AA124" i="7" s="1"/>
  <c r="W124" i="7"/>
  <c r="U124" i="7"/>
  <c r="T124" i="7"/>
  <c r="S124" i="7"/>
  <c r="R124" i="7"/>
  <c r="Z123" i="7"/>
  <c r="Y123" i="7"/>
  <c r="AA123" i="7" s="1"/>
  <c r="W123" i="7"/>
  <c r="U123" i="7"/>
  <c r="T123" i="7"/>
  <c r="S123" i="7"/>
  <c r="R123" i="7"/>
  <c r="Z122" i="7"/>
  <c r="Y122" i="7"/>
  <c r="AA122" i="7" s="1"/>
  <c r="W122" i="7"/>
  <c r="U122" i="7"/>
  <c r="T122" i="7"/>
  <c r="S122" i="7"/>
  <c r="R122" i="7"/>
  <c r="Z121" i="7"/>
  <c r="Y121" i="7"/>
  <c r="AA121" i="7" s="1"/>
  <c r="W121" i="7"/>
  <c r="U121" i="7"/>
  <c r="T121" i="7"/>
  <c r="S121" i="7"/>
  <c r="R121" i="7"/>
  <c r="Z120" i="7"/>
  <c r="Y120" i="7"/>
  <c r="AA120" i="7" s="1"/>
  <c r="W120" i="7"/>
  <c r="U120" i="7"/>
  <c r="T120" i="7"/>
  <c r="S120" i="7"/>
  <c r="R120" i="7"/>
  <c r="Z119" i="7"/>
  <c r="Y119" i="7"/>
  <c r="AA119" i="7" s="1"/>
  <c r="W119" i="7"/>
  <c r="U119" i="7"/>
  <c r="T119" i="7"/>
  <c r="S119" i="7"/>
  <c r="R119" i="7"/>
  <c r="Z118" i="7"/>
  <c r="Y118" i="7"/>
  <c r="AA118" i="7" s="1"/>
  <c r="W118" i="7"/>
  <c r="U118" i="7"/>
  <c r="T118" i="7"/>
  <c r="S118" i="7"/>
  <c r="R118" i="7"/>
  <c r="Z117" i="7"/>
  <c r="Y117" i="7"/>
  <c r="AA117" i="7" s="1"/>
  <c r="W117" i="7"/>
  <c r="U117" i="7"/>
  <c r="T117" i="7"/>
  <c r="S117" i="7"/>
  <c r="R117" i="7"/>
  <c r="Z116" i="7"/>
  <c r="Y116" i="7"/>
  <c r="AA116" i="7" s="1"/>
  <c r="W116" i="7"/>
  <c r="U116" i="7"/>
  <c r="T116" i="7"/>
  <c r="S116" i="7"/>
  <c r="R116" i="7"/>
  <c r="Z115" i="7"/>
  <c r="Y115" i="7"/>
  <c r="AA115" i="7" s="1"/>
  <c r="W115" i="7"/>
  <c r="U115" i="7"/>
  <c r="T115" i="7"/>
  <c r="S115" i="7"/>
  <c r="R115" i="7"/>
  <c r="Z114" i="7"/>
  <c r="Y114" i="7"/>
  <c r="AA114" i="7" s="1"/>
  <c r="W114" i="7"/>
  <c r="U114" i="7"/>
  <c r="T114" i="7"/>
  <c r="S114" i="7"/>
  <c r="R114" i="7"/>
  <c r="Z113" i="7"/>
  <c r="Y113" i="7"/>
  <c r="AA113" i="7" s="1"/>
  <c r="W113" i="7"/>
  <c r="U113" i="7"/>
  <c r="T113" i="7"/>
  <c r="S113" i="7"/>
  <c r="R113" i="7"/>
  <c r="Z112" i="7"/>
  <c r="Y112" i="7"/>
  <c r="AA112" i="7" s="1"/>
  <c r="W112" i="7"/>
  <c r="U112" i="7"/>
  <c r="T112" i="7"/>
  <c r="S112" i="7"/>
  <c r="R112" i="7"/>
  <c r="Z111" i="7"/>
  <c r="Y111" i="7"/>
  <c r="AA111" i="7" s="1"/>
  <c r="W111" i="7"/>
  <c r="U111" i="7"/>
  <c r="T111" i="7"/>
  <c r="S111" i="7"/>
  <c r="R111" i="7"/>
  <c r="Z110" i="7"/>
  <c r="Y110" i="7"/>
  <c r="AA110" i="7" s="1"/>
  <c r="W110" i="7"/>
  <c r="U110" i="7"/>
  <c r="T110" i="7"/>
  <c r="S110" i="7"/>
  <c r="R110" i="7"/>
  <c r="Z109" i="7"/>
  <c r="Y109" i="7"/>
  <c r="AA109" i="7" s="1"/>
  <c r="W109" i="7"/>
  <c r="U109" i="7"/>
  <c r="T109" i="7"/>
  <c r="S109" i="7"/>
  <c r="R109" i="7"/>
  <c r="Z108" i="7"/>
  <c r="Y108" i="7"/>
  <c r="AA108" i="7" s="1"/>
  <c r="W108" i="7"/>
  <c r="U108" i="7"/>
  <c r="T108" i="7"/>
  <c r="S108" i="7"/>
  <c r="R108" i="7"/>
  <c r="Z107" i="7"/>
  <c r="Y107" i="7"/>
  <c r="AA107" i="7" s="1"/>
  <c r="W107" i="7"/>
  <c r="U107" i="7"/>
  <c r="T107" i="7"/>
  <c r="S107" i="7"/>
  <c r="R107" i="7"/>
  <c r="Z106" i="7"/>
  <c r="Y106" i="7"/>
  <c r="AA106" i="7" s="1"/>
  <c r="W106" i="7"/>
  <c r="U106" i="7"/>
  <c r="T106" i="7"/>
  <c r="S106" i="7"/>
  <c r="R106" i="7"/>
  <c r="Z105" i="7"/>
  <c r="Y105" i="7"/>
  <c r="AA105" i="7" s="1"/>
  <c r="W105" i="7"/>
  <c r="U105" i="7"/>
  <c r="T105" i="7"/>
  <c r="S105" i="7"/>
  <c r="R105" i="7"/>
  <c r="Z104" i="7"/>
  <c r="Y104" i="7"/>
  <c r="AA104" i="7" s="1"/>
  <c r="W104" i="7"/>
  <c r="U104" i="7"/>
  <c r="T104" i="7"/>
  <c r="S104" i="7"/>
  <c r="R104" i="7"/>
  <c r="Z103" i="7"/>
  <c r="Y103" i="7"/>
  <c r="AA103" i="7" s="1"/>
  <c r="W103" i="7"/>
  <c r="U103" i="7"/>
  <c r="T103" i="7"/>
  <c r="S103" i="7"/>
  <c r="R103" i="7"/>
  <c r="Z102" i="7"/>
  <c r="Y102" i="7"/>
  <c r="AA102" i="7" s="1"/>
  <c r="W102" i="7"/>
  <c r="U102" i="7"/>
  <c r="T102" i="7"/>
  <c r="S102" i="7"/>
  <c r="R102" i="7"/>
  <c r="Z101" i="7"/>
  <c r="Y101" i="7"/>
  <c r="AA101" i="7" s="1"/>
  <c r="W101" i="7"/>
  <c r="U101" i="7"/>
  <c r="T101" i="7"/>
  <c r="S101" i="7"/>
  <c r="R101" i="7"/>
  <c r="Z100" i="7"/>
  <c r="Y100" i="7"/>
  <c r="AA100" i="7" s="1"/>
  <c r="W100" i="7"/>
  <c r="U100" i="7"/>
  <c r="T100" i="7"/>
  <c r="S100" i="7"/>
  <c r="R100" i="7"/>
  <c r="Z99" i="7"/>
  <c r="Y99" i="7"/>
  <c r="AA99" i="7" s="1"/>
  <c r="W99" i="7"/>
  <c r="U99" i="7"/>
  <c r="T99" i="7"/>
  <c r="S99" i="7"/>
  <c r="R99" i="7"/>
  <c r="Z98" i="7"/>
  <c r="Y98" i="7"/>
  <c r="AA98" i="7" s="1"/>
  <c r="W98" i="7"/>
  <c r="U98" i="7"/>
  <c r="T98" i="7"/>
  <c r="S98" i="7"/>
  <c r="R98" i="7"/>
  <c r="Z97" i="7"/>
  <c r="Y97" i="7"/>
  <c r="AA97" i="7" s="1"/>
  <c r="W97" i="7"/>
  <c r="U97" i="7"/>
  <c r="T97" i="7"/>
  <c r="S97" i="7"/>
  <c r="R97" i="7"/>
  <c r="Z96" i="7"/>
  <c r="Y96" i="7"/>
  <c r="AA96" i="7" s="1"/>
  <c r="W96" i="7"/>
  <c r="U96" i="7"/>
  <c r="T96" i="7"/>
  <c r="S96" i="7"/>
  <c r="R96" i="7"/>
  <c r="Z95" i="7"/>
  <c r="Y95" i="7"/>
  <c r="AA95" i="7" s="1"/>
  <c r="W95" i="7"/>
  <c r="U95" i="7"/>
  <c r="T95" i="7"/>
  <c r="S95" i="7"/>
  <c r="R95" i="7"/>
  <c r="Z94" i="7"/>
  <c r="Y94" i="7"/>
  <c r="AA94" i="7" s="1"/>
  <c r="W94" i="7"/>
  <c r="U94" i="7"/>
  <c r="T94" i="7"/>
  <c r="S94" i="7"/>
  <c r="R94" i="7"/>
  <c r="Z93" i="7"/>
  <c r="Y93" i="7"/>
  <c r="AA93" i="7" s="1"/>
  <c r="W93" i="7"/>
  <c r="U93" i="7"/>
  <c r="T93" i="7"/>
  <c r="S93" i="7"/>
  <c r="R93" i="7"/>
  <c r="Z92" i="7"/>
  <c r="Y92" i="7"/>
  <c r="AA92" i="7" s="1"/>
  <c r="W92" i="7"/>
  <c r="U92" i="7"/>
  <c r="T92" i="7"/>
  <c r="S92" i="7"/>
  <c r="R92" i="7"/>
  <c r="Z91" i="7"/>
  <c r="Y91" i="7"/>
  <c r="AA91" i="7" s="1"/>
  <c r="W91" i="7"/>
  <c r="U91" i="7"/>
  <c r="T91" i="7"/>
  <c r="S91" i="7"/>
  <c r="R91" i="7"/>
  <c r="Z90" i="7"/>
  <c r="Y90" i="7"/>
  <c r="AA90" i="7" s="1"/>
  <c r="W90" i="7"/>
  <c r="U90" i="7"/>
  <c r="T90" i="7"/>
  <c r="S90" i="7"/>
  <c r="R90" i="7"/>
  <c r="Z89" i="7"/>
  <c r="Y89" i="7"/>
  <c r="AA89" i="7" s="1"/>
  <c r="W89" i="7"/>
  <c r="U89" i="7"/>
  <c r="T89" i="7"/>
  <c r="S89" i="7"/>
  <c r="R89" i="7"/>
  <c r="Z88" i="7"/>
  <c r="Y88" i="7"/>
  <c r="AA88" i="7" s="1"/>
  <c r="W88" i="7"/>
  <c r="U88" i="7"/>
  <c r="T88" i="7"/>
  <c r="S88" i="7"/>
  <c r="R88" i="7"/>
  <c r="Z87" i="7"/>
  <c r="Y87" i="7"/>
  <c r="AA87" i="7" s="1"/>
  <c r="W87" i="7"/>
  <c r="U87" i="7"/>
  <c r="T87" i="7"/>
  <c r="S87" i="7"/>
  <c r="R87" i="7"/>
  <c r="Z86" i="7"/>
  <c r="Y86" i="7"/>
  <c r="AA86" i="7" s="1"/>
  <c r="W86" i="7"/>
  <c r="U86" i="7"/>
  <c r="T86" i="7"/>
  <c r="S86" i="7"/>
  <c r="R86" i="7"/>
  <c r="Z85" i="7"/>
  <c r="Y85" i="7"/>
  <c r="AA85" i="7" s="1"/>
  <c r="W85" i="7"/>
  <c r="U85" i="7"/>
  <c r="T85" i="7"/>
  <c r="S85" i="7"/>
  <c r="R85" i="7"/>
  <c r="Z84" i="7"/>
  <c r="Y84" i="7"/>
  <c r="AA84" i="7" s="1"/>
  <c r="W84" i="7"/>
  <c r="U84" i="7"/>
  <c r="T84" i="7"/>
  <c r="S84" i="7"/>
  <c r="R84" i="7"/>
  <c r="Z83" i="7"/>
  <c r="Y83" i="7"/>
  <c r="AA83" i="7" s="1"/>
  <c r="W83" i="7"/>
  <c r="U83" i="7"/>
  <c r="T83" i="7"/>
  <c r="S83" i="7"/>
  <c r="R83" i="7"/>
  <c r="Z82" i="7"/>
  <c r="Y82" i="7"/>
  <c r="AA82" i="7" s="1"/>
  <c r="W82" i="7"/>
  <c r="U82" i="7"/>
  <c r="T82" i="7"/>
  <c r="S82" i="7"/>
  <c r="R82" i="7"/>
  <c r="Z81" i="7"/>
  <c r="Y81" i="7"/>
  <c r="AA81" i="7" s="1"/>
  <c r="W81" i="7"/>
  <c r="U81" i="7"/>
  <c r="T81" i="7"/>
  <c r="S81" i="7"/>
  <c r="R81" i="7"/>
  <c r="Z80" i="7"/>
  <c r="Y80" i="7"/>
  <c r="AA80" i="7" s="1"/>
  <c r="W80" i="7"/>
  <c r="U80" i="7"/>
  <c r="T80" i="7"/>
  <c r="S80" i="7"/>
  <c r="R80" i="7"/>
  <c r="Z79" i="7"/>
  <c r="Y79" i="7"/>
  <c r="AA79" i="7" s="1"/>
  <c r="W79" i="7"/>
  <c r="U79" i="7"/>
  <c r="T79" i="7"/>
  <c r="S79" i="7"/>
  <c r="R79" i="7"/>
  <c r="Z78" i="7"/>
  <c r="Y78" i="7"/>
  <c r="AA78" i="7" s="1"/>
  <c r="W78" i="7"/>
  <c r="U78" i="7"/>
  <c r="T78" i="7"/>
  <c r="S78" i="7"/>
  <c r="R78" i="7"/>
  <c r="Z77" i="7"/>
  <c r="Y77" i="7"/>
  <c r="AA77" i="7" s="1"/>
  <c r="W77" i="7"/>
  <c r="U77" i="7"/>
  <c r="T77" i="7"/>
  <c r="S77" i="7"/>
  <c r="R77" i="7"/>
  <c r="Z76" i="7"/>
  <c r="Y76" i="7"/>
  <c r="AA76" i="7" s="1"/>
  <c r="W76" i="7"/>
  <c r="U76" i="7"/>
  <c r="T76" i="7"/>
  <c r="S76" i="7"/>
  <c r="R76" i="7"/>
  <c r="Z75" i="7"/>
  <c r="Y75" i="7"/>
  <c r="AA75" i="7" s="1"/>
  <c r="W75" i="7"/>
  <c r="U75" i="7"/>
  <c r="T75" i="7"/>
  <c r="S75" i="7"/>
  <c r="R75" i="7"/>
  <c r="Z74" i="7"/>
  <c r="Y74" i="7"/>
  <c r="AA74" i="7" s="1"/>
  <c r="W74" i="7"/>
  <c r="U74" i="7"/>
  <c r="T74" i="7"/>
  <c r="S74" i="7"/>
  <c r="R74" i="7"/>
  <c r="Z73" i="7"/>
  <c r="Y73" i="7"/>
  <c r="AA73" i="7" s="1"/>
  <c r="W73" i="7"/>
  <c r="U73" i="7"/>
  <c r="T73" i="7"/>
  <c r="S73" i="7"/>
  <c r="R73" i="7"/>
  <c r="Z72" i="7"/>
  <c r="Y72" i="7"/>
  <c r="AA72" i="7" s="1"/>
  <c r="W72" i="7"/>
  <c r="U72" i="7"/>
  <c r="T72" i="7"/>
  <c r="S72" i="7"/>
  <c r="R72" i="7"/>
  <c r="Z71" i="7"/>
  <c r="Y71" i="7"/>
  <c r="AA71" i="7" s="1"/>
  <c r="W71" i="7"/>
  <c r="U71" i="7"/>
  <c r="T71" i="7"/>
  <c r="S71" i="7"/>
  <c r="R71" i="7"/>
  <c r="Z70" i="7"/>
  <c r="Y70" i="7"/>
  <c r="AA70" i="7" s="1"/>
  <c r="W70" i="7"/>
  <c r="U70" i="7"/>
  <c r="T70" i="7"/>
  <c r="S70" i="7"/>
  <c r="R70" i="7"/>
  <c r="Z69" i="7"/>
  <c r="Y69" i="7"/>
  <c r="AA69" i="7" s="1"/>
  <c r="W69" i="7"/>
  <c r="U69" i="7"/>
  <c r="T69" i="7"/>
  <c r="S69" i="7"/>
  <c r="R69" i="7"/>
  <c r="Z68" i="7"/>
  <c r="Y68" i="7"/>
  <c r="AA68" i="7" s="1"/>
  <c r="W68" i="7"/>
  <c r="U68" i="7"/>
  <c r="T68" i="7"/>
  <c r="S68" i="7"/>
  <c r="R68" i="7"/>
  <c r="Z67" i="7"/>
  <c r="Y67" i="7"/>
  <c r="AA67" i="7" s="1"/>
  <c r="W67" i="7"/>
  <c r="U67" i="7"/>
  <c r="T67" i="7"/>
  <c r="S67" i="7"/>
  <c r="R67" i="7"/>
  <c r="Z66" i="7"/>
  <c r="Y66" i="7"/>
  <c r="AA66" i="7" s="1"/>
  <c r="W66" i="7"/>
  <c r="U66" i="7"/>
  <c r="T66" i="7"/>
  <c r="S66" i="7"/>
  <c r="R66" i="7"/>
  <c r="Z65" i="7"/>
  <c r="Y65" i="7"/>
  <c r="AA65" i="7" s="1"/>
  <c r="W65" i="7"/>
  <c r="U65" i="7"/>
  <c r="T65" i="7"/>
  <c r="S65" i="7"/>
  <c r="R65" i="7"/>
  <c r="Z64" i="7"/>
  <c r="Y64" i="7"/>
  <c r="AA64" i="7" s="1"/>
  <c r="W64" i="7"/>
  <c r="U64" i="7"/>
  <c r="T64" i="7"/>
  <c r="S64" i="7"/>
  <c r="R64" i="7"/>
  <c r="Z63" i="7"/>
  <c r="Y63" i="7"/>
  <c r="AA63" i="7" s="1"/>
  <c r="W63" i="7"/>
  <c r="U63" i="7"/>
  <c r="T63" i="7"/>
  <c r="S63" i="7"/>
  <c r="R63" i="7"/>
  <c r="Z62" i="7"/>
  <c r="Y62" i="7"/>
  <c r="AA62" i="7" s="1"/>
  <c r="W62" i="7"/>
  <c r="U62" i="7"/>
  <c r="T62" i="7"/>
  <c r="S62" i="7"/>
  <c r="R62" i="7"/>
  <c r="Z61" i="7"/>
  <c r="Y61" i="7"/>
  <c r="AA61" i="7" s="1"/>
  <c r="W61" i="7"/>
  <c r="U61" i="7"/>
  <c r="T61" i="7"/>
  <c r="S61" i="7"/>
  <c r="R61" i="7"/>
  <c r="Z60" i="7"/>
  <c r="Y60" i="7"/>
  <c r="AA60" i="7" s="1"/>
  <c r="W60" i="7"/>
  <c r="U60" i="7"/>
  <c r="T60" i="7"/>
  <c r="S60" i="7"/>
  <c r="R60" i="7"/>
  <c r="Z59" i="7"/>
  <c r="Y59" i="7"/>
  <c r="AA59" i="7" s="1"/>
  <c r="W59" i="7"/>
  <c r="U59" i="7"/>
  <c r="T59" i="7"/>
  <c r="S59" i="7"/>
  <c r="R59" i="7"/>
  <c r="Z58" i="7"/>
  <c r="Y58" i="7"/>
  <c r="AA58" i="7" s="1"/>
  <c r="W58" i="7"/>
  <c r="U58" i="7"/>
  <c r="T58" i="7"/>
  <c r="S58" i="7"/>
  <c r="R58" i="7"/>
  <c r="Z57" i="7"/>
  <c r="Y57" i="7"/>
  <c r="AA57" i="7" s="1"/>
  <c r="W57" i="7"/>
  <c r="U57" i="7"/>
  <c r="T57" i="7"/>
  <c r="S57" i="7"/>
  <c r="R57" i="7"/>
  <c r="Z56" i="7"/>
  <c r="Y56" i="7"/>
  <c r="AA56" i="7" s="1"/>
  <c r="W56" i="7"/>
  <c r="U56" i="7"/>
  <c r="T56" i="7"/>
  <c r="S56" i="7"/>
  <c r="R56" i="7"/>
  <c r="Z55" i="7"/>
  <c r="Y55" i="7"/>
  <c r="AA55" i="7" s="1"/>
  <c r="W55" i="7"/>
  <c r="U55" i="7"/>
  <c r="T55" i="7"/>
  <c r="S55" i="7"/>
  <c r="R55" i="7"/>
  <c r="Z54" i="7"/>
  <c r="Y54" i="7"/>
  <c r="AA54" i="7" s="1"/>
  <c r="W54" i="7"/>
  <c r="U54" i="7"/>
  <c r="T54" i="7"/>
  <c r="S54" i="7"/>
  <c r="R54" i="7"/>
  <c r="Z53" i="7"/>
  <c r="Y53" i="7"/>
  <c r="AA53" i="7" s="1"/>
  <c r="W53" i="7"/>
  <c r="U53" i="7"/>
  <c r="T53" i="7"/>
  <c r="S53" i="7"/>
  <c r="R53" i="7"/>
  <c r="Z52" i="7"/>
  <c r="Y52" i="7"/>
  <c r="AA52" i="7" s="1"/>
  <c r="W52" i="7"/>
  <c r="U52" i="7"/>
  <c r="T52" i="7"/>
  <c r="S52" i="7"/>
  <c r="R52" i="7"/>
  <c r="Z51" i="7"/>
  <c r="Y51" i="7"/>
  <c r="AA51" i="7" s="1"/>
  <c r="W51" i="7"/>
  <c r="U51" i="7"/>
  <c r="T51" i="7"/>
  <c r="S51" i="7"/>
  <c r="R51" i="7"/>
  <c r="Z50" i="7"/>
  <c r="Y50" i="7"/>
  <c r="AA50" i="7" s="1"/>
  <c r="W50" i="7"/>
  <c r="U50" i="7"/>
  <c r="T50" i="7"/>
  <c r="S50" i="7"/>
  <c r="R50" i="7"/>
  <c r="Z49" i="7"/>
  <c r="Y49" i="7"/>
  <c r="AA49" i="7" s="1"/>
  <c r="W49" i="7"/>
  <c r="U49" i="7"/>
  <c r="T49" i="7"/>
  <c r="S49" i="7"/>
  <c r="R49" i="7"/>
  <c r="Z48" i="7"/>
  <c r="Y48" i="7"/>
  <c r="AA48" i="7" s="1"/>
  <c r="W48" i="7"/>
  <c r="U48" i="7"/>
  <c r="T48" i="7"/>
  <c r="S48" i="7"/>
  <c r="R48" i="7"/>
  <c r="Z47" i="7"/>
  <c r="Y47" i="7"/>
  <c r="AA47" i="7" s="1"/>
  <c r="W47" i="7"/>
  <c r="U47" i="7"/>
  <c r="T47" i="7"/>
  <c r="S47" i="7"/>
  <c r="R47" i="7"/>
  <c r="Z46" i="7"/>
  <c r="Y46" i="7"/>
  <c r="AA46" i="7" s="1"/>
  <c r="W46" i="7"/>
  <c r="U46" i="7"/>
  <c r="T46" i="7"/>
  <c r="S46" i="7"/>
  <c r="R46" i="7"/>
  <c r="Z45" i="7"/>
  <c r="Y45" i="7"/>
  <c r="AA45" i="7" s="1"/>
  <c r="W45" i="7"/>
  <c r="U45" i="7"/>
  <c r="T45" i="7"/>
  <c r="S45" i="7"/>
  <c r="R45" i="7"/>
  <c r="Z44" i="7"/>
  <c r="Y44" i="7"/>
  <c r="AA44" i="7" s="1"/>
  <c r="W44" i="7"/>
  <c r="U44" i="7"/>
  <c r="T44" i="7"/>
  <c r="S44" i="7"/>
  <c r="R44" i="7"/>
  <c r="Z43" i="7"/>
  <c r="Y43" i="7"/>
  <c r="AA43" i="7" s="1"/>
  <c r="W43" i="7"/>
  <c r="U43" i="7"/>
  <c r="T43" i="7"/>
  <c r="S43" i="7"/>
  <c r="R43" i="7"/>
  <c r="Z42" i="7"/>
  <c r="Y42" i="7"/>
  <c r="AA42" i="7" s="1"/>
  <c r="W42" i="7"/>
  <c r="U42" i="7"/>
  <c r="T42" i="7"/>
  <c r="S42" i="7"/>
  <c r="R42" i="7"/>
  <c r="Z41" i="7"/>
  <c r="Y41" i="7"/>
  <c r="AA41" i="7" s="1"/>
  <c r="W41" i="7"/>
  <c r="U41" i="7"/>
  <c r="T41" i="7"/>
  <c r="S41" i="7"/>
  <c r="R41" i="7"/>
  <c r="Z40" i="7"/>
  <c r="Y40" i="7"/>
  <c r="AA40" i="7" s="1"/>
  <c r="W40" i="7"/>
  <c r="U40" i="7"/>
  <c r="T40" i="7"/>
  <c r="S40" i="7"/>
  <c r="R40" i="7"/>
  <c r="Z39" i="7"/>
  <c r="Y39" i="7"/>
  <c r="AA39" i="7" s="1"/>
  <c r="W39" i="7"/>
  <c r="U39" i="7"/>
  <c r="T39" i="7"/>
  <c r="S39" i="7"/>
  <c r="R39" i="7"/>
  <c r="Z38" i="7"/>
  <c r="Y38" i="7"/>
  <c r="AA38" i="7" s="1"/>
  <c r="W38" i="7"/>
  <c r="U38" i="7"/>
  <c r="T38" i="7"/>
  <c r="S38" i="7"/>
  <c r="R38" i="7"/>
  <c r="Z37" i="7"/>
  <c r="Y37" i="7"/>
  <c r="AA37" i="7" s="1"/>
  <c r="W37" i="7"/>
  <c r="U37" i="7"/>
  <c r="T37" i="7"/>
  <c r="S37" i="7"/>
  <c r="R37" i="7"/>
  <c r="Z36" i="7"/>
  <c r="Y36" i="7"/>
  <c r="AA36" i="7" s="1"/>
  <c r="W36" i="7"/>
  <c r="U36" i="7"/>
  <c r="T36" i="7"/>
  <c r="S36" i="7"/>
  <c r="R36" i="7"/>
  <c r="Z35" i="7"/>
  <c r="Y35" i="7"/>
  <c r="AA35" i="7" s="1"/>
  <c r="W35" i="7"/>
  <c r="U35" i="7"/>
  <c r="T35" i="7"/>
  <c r="S35" i="7"/>
  <c r="R35" i="7"/>
  <c r="Z34" i="7"/>
  <c r="Y34" i="7"/>
  <c r="AA34" i="7" s="1"/>
  <c r="W34" i="7"/>
  <c r="U34" i="7"/>
  <c r="T34" i="7"/>
  <c r="S34" i="7"/>
  <c r="R34" i="7"/>
  <c r="Z33" i="7"/>
  <c r="Y33" i="7"/>
  <c r="AA33" i="7" s="1"/>
  <c r="W33" i="7"/>
  <c r="U33" i="7"/>
  <c r="T33" i="7"/>
  <c r="S33" i="7"/>
  <c r="R33" i="7"/>
  <c r="Z32" i="7"/>
  <c r="Y32" i="7"/>
  <c r="AA32" i="7" s="1"/>
  <c r="W32" i="7"/>
  <c r="U32" i="7"/>
  <c r="T32" i="7"/>
  <c r="S32" i="7"/>
  <c r="R32" i="7"/>
  <c r="Z31" i="7"/>
  <c r="Y31" i="7"/>
  <c r="AA31" i="7" s="1"/>
  <c r="W31" i="7"/>
  <c r="U31" i="7"/>
  <c r="T31" i="7"/>
  <c r="S31" i="7"/>
  <c r="R31" i="7"/>
  <c r="Z30" i="7"/>
  <c r="Y30" i="7"/>
  <c r="AA30" i="7" s="1"/>
  <c r="W30" i="7"/>
  <c r="U30" i="7"/>
  <c r="T30" i="7"/>
  <c r="S30" i="7"/>
  <c r="R30" i="7"/>
  <c r="Z29" i="7"/>
  <c r="Y29" i="7"/>
  <c r="AA29" i="7" s="1"/>
  <c r="W29" i="7"/>
  <c r="U29" i="7"/>
  <c r="T29" i="7"/>
  <c r="S29" i="7"/>
  <c r="R29" i="7"/>
  <c r="Z28" i="7"/>
  <c r="Y28" i="7"/>
  <c r="AA28" i="7" s="1"/>
  <c r="W28" i="7"/>
  <c r="U28" i="7"/>
  <c r="T28" i="7"/>
  <c r="S28" i="7"/>
  <c r="R28" i="7"/>
  <c r="Z27" i="7"/>
  <c r="Y27" i="7"/>
  <c r="AA27" i="7" s="1"/>
  <c r="W27" i="7"/>
  <c r="U27" i="7"/>
  <c r="T27" i="7"/>
  <c r="S27" i="7"/>
  <c r="R27" i="7"/>
  <c r="Z26" i="7"/>
  <c r="Y26" i="7"/>
  <c r="AA26" i="7" s="1"/>
  <c r="W26" i="7"/>
  <c r="U26" i="7"/>
  <c r="T26" i="7"/>
  <c r="S26" i="7"/>
  <c r="R26" i="7"/>
  <c r="Z25" i="7"/>
  <c r="Y25" i="7"/>
  <c r="AA25" i="7" s="1"/>
  <c r="W25" i="7"/>
  <c r="U25" i="7"/>
  <c r="T25" i="7"/>
  <c r="S25" i="7"/>
  <c r="R25" i="7"/>
  <c r="Z24" i="7"/>
  <c r="Y24" i="7"/>
  <c r="AA24" i="7" s="1"/>
  <c r="W24" i="7"/>
  <c r="U24" i="7"/>
  <c r="T24" i="7"/>
  <c r="S24" i="7"/>
  <c r="R24" i="7"/>
  <c r="Z23" i="7"/>
  <c r="Y23" i="7"/>
  <c r="AA23" i="7" s="1"/>
  <c r="W23" i="7"/>
  <c r="U23" i="7"/>
  <c r="V23" i="7" s="1"/>
  <c r="T23" i="7"/>
  <c r="S23" i="7"/>
  <c r="R23" i="7"/>
  <c r="Z22" i="7"/>
  <c r="Y22" i="7"/>
  <c r="AA22" i="7" s="1"/>
  <c r="W22" i="7"/>
  <c r="U22" i="7"/>
  <c r="T22" i="7"/>
  <c r="S22" i="7"/>
  <c r="R22" i="7"/>
  <c r="Z21" i="7"/>
  <c r="Y21" i="7"/>
  <c r="AA21" i="7" s="1"/>
  <c r="W21" i="7"/>
  <c r="U21" i="7"/>
  <c r="T21" i="7"/>
  <c r="S21" i="7"/>
  <c r="R21" i="7"/>
  <c r="Z20" i="7"/>
  <c r="Y20" i="7"/>
  <c r="AA20" i="7" s="1"/>
  <c r="W20" i="7"/>
  <c r="U20" i="7"/>
  <c r="V20" i="7" s="1"/>
  <c r="T20" i="7"/>
  <c r="S20" i="7"/>
  <c r="R20" i="7"/>
  <c r="Z19" i="7"/>
  <c r="Y19" i="7"/>
  <c r="AA19" i="7" s="1"/>
  <c r="W19" i="7"/>
  <c r="U19" i="7"/>
  <c r="T19" i="7"/>
  <c r="S19" i="7"/>
  <c r="R19" i="7"/>
  <c r="Z18" i="7"/>
  <c r="Y18" i="7"/>
  <c r="AA18" i="7" s="1"/>
  <c r="W18" i="7"/>
  <c r="U18" i="7"/>
  <c r="T18" i="7"/>
  <c r="S18" i="7"/>
  <c r="R18" i="7"/>
  <c r="Z17" i="7"/>
  <c r="Y17" i="7"/>
  <c r="AA17" i="7" s="1"/>
  <c r="W17" i="7"/>
  <c r="U17" i="7"/>
  <c r="T17" i="7"/>
  <c r="S17" i="7"/>
  <c r="R17" i="7"/>
  <c r="Z16" i="7"/>
  <c r="Y16" i="7"/>
  <c r="AA16" i="7" s="1"/>
  <c r="W16" i="7"/>
  <c r="U16" i="7"/>
  <c r="T16" i="7"/>
  <c r="S16" i="7"/>
  <c r="R16" i="7"/>
  <c r="Z15" i="7"/>
  <c r="Y15" i="7"/>
  <c r="W15" i="7"/>
  <c r="U15" i="7"/>
  <c r="T15" i="7"/>
  <c r="S15" i="7"/>
  <c r="R15" i="7"/>
  <c r="Z14" i="7"/>
  <c r="Y14" i="7"/>
  <c r="AA14" i="7" s="1"/>
  <c r="W14" i="7"/>
  <c r="U14" i="7"/>
  <c r="T14" i="7"/>
  <c r="S14" i="7"/>
  <c r="R14" i="7"/>
  <c r="Z13" i="7"/>
  <c r="Y13" i="7"/>
  <c r="AA13" i="7" s="1"/>
  <c r="W13" i="7"/>
  <c r="U13" i="7"/>
  <c r="T13" i="7"/>
  <c r="S13" i="7"/>
  <c r="R13" i="7"/>
  <c r="Z12" i="7"/>
  <c r="Y12" i="7"/>
  <c r="AA12" i="7" s="1"/>
  <c r="W12" i="7"/>
  <c r="U12" i="7"/>
  <c r="T12" i="7"/>
  <c r="S12" i="7"/>
  <c r="R12" i="7"/>
  <c r="Z11" i="7"/>
  <c r="Y11" i="7"/>
  <c r="AA11" i="7" s="1"/>
  <c r="W11" i="7"/>
  <c r="U11" i="7"/>
  <c r="T11" i="7"/>
  <c r="S11" i="7"/>
  <c r="R11" i="7"/>
  <c r="Z10" i="7"/>
  <c r="Y10" i="7"/>
  <c r="AA10" i="7" s="1"/>
  <c r="W10" i="7"/>
  <c r="U10" i="7"/>
  <c r="T10" i="7"/>
  <c r="S10" i="7"/>
  <c r="R10" i="7"/>
  <c r="Z9" i="7"/>
  <c r="Y9" i="7"/>
  <c r="AA9" i="7" s="1"/>
  <c r="W9" i="7"/>
  <c r="U9" i="7"/>
  <c r="T9" i="7"/>
  <c r="S9" i="7"/>
  <c r="R9" i="7"/>
  <c r="Z8" i="7"/>
  <c r="Y8" i="7"/>
  <c r="AA8" i="7" s="1"/>
  <c r="W8" i="7"/>
  <c r="U8" i="7"/>
  <c r="T8" i="7"/>
  <c r="S8" i="7"/>
  <c r="R8" i="7"/>
  <c r="Z7" i="7"/>
  <c r="Y7" i="7"/>
  <c r="AA7" i="7" s="1"/>
  <c r="W7" i="7"/>
  <c r="U7" i="7"/>
  <c r="T7" i="7"/>
  <c r="S7" i="7"/>
  <c r="R7" i="7"/>
  <c r="Z6" i="7"/>
  <c r="Y6" i="7"/>
  <c r="AA6" i="7" s="1"/>
  <c r="W6" i="7"/>
  <c r="U6" i="7"/>
  <c r="T6" i="7"/>
  <c r="S6" i="7"/>
  <c r="R6" i="7"/>
  <c r="Z5" i="7"/>
  <c r="Y5" i="7"/>
  <c r="AA5" i="7" s="1"/>
  <c r="W5" i="7"/>
  <c r="U5" i="7"/>
  <c r="T5" i="7"/>
  <c r="S5" i="7"/>
  <c r="R5" i="7"/>
  <c r="C6" i="6"/>
  <c r="D23" i="5"/>
  <c r="D24" i="5" s="1"/>
  <c r="C23" i="5"/>
  <c r="C24" i="5" s="1"/>
  <c r="D18" i="5"/>
  <c r="D19" i="5" s="1"/>
  <c r="C18" i="5"/>
  <c r="C19" i="5" s="1"/>
  <c r="C11" i="5"/>
  <c r="C10" i="5"/>
  <c r="C9" i="5"/>
  <c r="W154" i="4"/>
  <c r="P154" i="4"/>
  <c r="O154" i="4"/>
  <c r="I154" i="4"/>
  <c r="G154" i="4"/>
  <c r="F154" i="4"/>
  <c r="H154" i="4" s="1"/>
  <c r="E154" i="4"/>
  <c r="C154" i="4"/>
  <c r="B154" i="4"/>
  <c r="W153" i="4"/>
  <c r="P153" i="4"/>
  <c r="O153" i="4"/>
  <c r="I153" i="4"/>
  <c r="G153" i="4"/>
  <c r="F153" i="4"/>
  <c r="H153" i="4" s="1"/>
  <c r="E153" i="4"/>
  <c r="C153" i="4"/>
  <c r="B153" i="4"/>
  <c r="W152" i="4"/>
  <c r="P152" i="4"/>
  <c r="O152" i="4"/>
  <c r="I152" i="4"/>
  <c r="G152" i="4"/>
  <c r="F152" i="4"/>
  <c r="H152" i="4" s="1"/>
  <c r="E152" i="4"/>
  <c r="C152" i="4"/>
  <c r="S152" i="4" s="1"/>
  <c r="B152" i="4"/>
  <c r="W151" i="4"/>
  <c r="P151" i="4"/>
  <c r="O151" i="4"/>
  <c r="I151" i="4"/>
  <c r="G151" i="4"/>
  <c r="F151" i="4"/>
  <c r="H151" i="4" s="1"/>
  <c r="E151" i="4"/>
  <c r="C151" i="4"/>
  <c r="B151" i="4"/>
  <c r="W150" i="4"/>
  <c r="P150" i="4"/>
  <c r="O150" i="4"/>
  <c r="I150" i="4"/>
  <c r="G150" i="4"/>
  <c r="F150" i="4"/>
  <c r="H150" i="4" s="1"/>
  <c r="E150" i="4"/>
  <c r="C150" i="4"/>
  <c r="B150" i="4"/>
  <c r="W149" i="4"/>
  <c r="P149" i="4"/>
  <c r="O149" i="4"/>
  <c r="I149" i="4"/>
  <c r="G149" i="4"/>
  <c r="F149" i="4"/>
  <c r="H149" i="4" s="1"/>
  <c r="E149" i="4"/>
  <c r="C149" i="4"/>
  <c r="B149" i="4"/>
  <c r="W148" i="4"/>
  <c r="P148" i="4"/>
  <c r="O148" i="4"/>
  <c r="I148" i="4"/>
  <c r="G148" i="4"/>
  <c r="F148" i="4"/>
  <c r="H148" i="4" s="1"/>
  <c r="E148" i="4"/>
  <c r="C148" i="4"/>
  <c r="B148" i="4"/>
  <c r="W147" i="4"/>
  <c r="P147" i="4"/>
  <c r="O147" i="4"/>
  <c r="I147" i="4"/>
  <c r="G147" i="4"/>
  <c r="F147" i="4"/>
  <c r="H147" i="4" s="1"/>
  <c r="E147" i="4"/>
  <c r="C147" i="4"/>
  <c r="B147" i="4"/>
  <c r="W146" i="4"/>
  <c r="P146" i="4"/>
  <c r="O146" i="4"/>
  <c r="I146" i="4"/>
  <c r="G146" i="4"/>
  <c r="F146" i="4"/>
  <c r="H146" i="4" s="1"/>
  <c r="E146" i="4"/>
  <c r="C146" i="4"/>
  <c r="B146" i="4"/>
  <c r="W145" i="4"/>
  <c r="P145" i="4"/>
  <c r="O145" i="4"/>
  <c r="I145" i="4"/>
  <c r="G145" i="4"/>
  <c r="F145" i="4"/>
  <c r="H145" i="4" s="1"/>
  <c r="E145" i="4"/>
  <c r="C145" i="4"/>
  <c r="B145" i="4"/>
  <c r="W144" i="4"/>
  <c r="P144" i="4"/>
  <c r="O144" i="4"/>
  <c r="I144" i="4"/>
  <c r="G144" i="4"/>
  <c r="F144" i="4"/>
  <c r="H144" i="4" s="1"/>
  <c r="E144" i="4"/>
  <c r="C144" i="4"/>
  <c r="B144" i="4"/>
  <c r="W143" i="4"/>
  <c r="P143" i="4"/>
  <c r="O143" i="4"/>
  <c r="I143" i="4"/>
  <c r="G143" i="4"/>
  <c r="F143" i="4"/>
  <c r="H143" i="4" s="1"/>
  <c r="E143" i="4"/>
  <c r="C143" i="4"/>
  <c r="B143" i="4"/>
  <c r="W142" i="4"/>
  <c r="P142" i="4"/>
  <c r="O142" i="4"/>
  <c r="I142" i="4"/>
  <c r="G142" i="4"/>
  <c r="F142" i="4"/>
  <c r="H142" i="4" s="1"/>
  <c r="E142" i="4"/>
  <c r="C142" i="4"/>
  <c r="B142" i="4"/>
  <c r="W141" i="4"/>
  <c r="P141" i="4"/>
  <c r="O141" i="4"/>
  <c r="I141" i="4"/>
  <c r="G141" i="4"/>
  <c r="F141" i="4"/>
  <c r="H141" i="4" s="1"/>
  <c r="E141" i="4"/>
  <c r="C141" i="4"/>
  <c r="B141" i="4"/>
  <c r="W140" i="4"/>
  <c r="P140" i="4"/>
  <c r="O140" i="4"/>
  <c r="I140" i="4"/>
  <c r="G140" i="4"/>
  <c r="F140" i="4"/>
  <c r="H140" i="4" s="1"/>
  <c r="E140" i="4"/>
  <c r="C140" i="4"/>
  <c r="B140" i="4"/>
  <c r="W139" i="4"/>
  <c r="P139" i="4"/>
  <c r="O139" i="4"/>
  <c r="I139" i="4"/>
  <c r="G139" i="4"/>
  <c r="F139" i="4"/>
  <c r="H139" i="4" s="1"/>
  <c r="E139" i="4"/>
  <c r="C139" i="4"/>
  <c r="B139" i="4"/>
  <c r="W138" i="4"/>
  <c r="P138" i="4"/>
  <c r="O138" i="4"/>
  <c r="I138" i="4"/>
  <c r="G138" i="4"/>
  <c r="F138" i="4"/>
  <c r="H138" i="4" s="1"/>
  <c r="E138" i="4"/>
  <c r="C138" i="4"/>
  <c r="B138" i="4"/>
  <c r="W137" i="4"/>
  <c r="P137" i="4"/>
  <c r="O137" i="4"/>
  <c r="I137" i="4"/>
  <c r="G137" i="4"/>
  <c r="F137" i="4"/>
  <c r="H137" i="4" s="1"/>
  <c r="E137" i="4"/>
  <c r="C137" i="4"/>
  <c r="B137" i="4"/>
  <c r="W136" i="4"/>
  <c r="P136" i="4"/>
  <c r="O136" i="4"/>
  <c r="I136" i="4"/>
  <c r="G136" i="4"/>
  <c r="F136" i="4"/>
  <c r="H136" i="4" s="1"/>
  <c r="E136" i="4"/>
  <c r="C136" i="4"/>
  <c r="B136" i="4"/>
  <c r="W135" i="4"/>
  <c r="P135" i="4"/>
  <c r="O135" i="4"/>
  <c r="I135" i="4"/>
  <c r="G135" i="4"/>
  <c r="F135" i="4"/>
  <c r="H135" i="4" s="1"/>
  <c r="E135" i="4"/>
  <c r="C135" i="4"/>
  <c r="B135" i="4"/>
  <c r="W134" i="4"/>
  <c r="P134" i="4"/>
  <c r="O134" i="4"/>
  <c r="I134" i="4"/>
  <c r="G134" i="4"/>
  <c r="F134" i="4"/>
  <c r="H134" i="4" s="1"/>
  <c r="E134" i="4"/>
  <c r="C134" i="4"/>
  <c r="B134" i="4"/>
  <c r="W133" i="4"/>
  <c r="P133" i="4"/>
  <c r="O133" i="4"/>
  <c r="I133" i="4"/>
  <c r="G133" i="4"/>
  <c r="F133" i="4"/>
  <c r="H133" i="4" s="1"/>
  <c r="E133" i="4"/>
  <c r="C133" i="4"/>
  <c r="B133" i="4"/>
  <c r="W132" i="4"/>
  <c r="P132" i="4"/>
  <c r="O132" i="4"/>
  <c r="I132" i="4"/>
  <c r="G132" i="4"/>
  <c r="F132" i="4"/>
  <c r="H132" i="4" s="1"/>
  <c r="E132" i="4"/>
  <c r="C132" i="4"/>
  <c r="B132" i="4"/>
  <c r="W131" i="4"/>
  <c r="P131" i="4"/>
  <c r="O131" i="4"/>
  <c r="I131" i="4"/>
  <c r="G131" i="4"/>
  <c r="F131" i="4"/>
  <c r="H131" i="4" s="1"/>
  <c r="E131" i="4"/>
  <c r="C131" i="4"/>
  <c r="B131" i="4"/>
  <c r="W130" i="4"/>
  <c r="P130" i="4"/>
  <c r="O130" i="4"/>
  <c r="I130" i="4"/>
  <c r="G130" i="4"/>
  <c r="F130" i="4"/>
  <c r="H130" i="4" s="1"/>
  <c r="E130" i="4"/>
  <c r="C130" i="4"/>
  <c r="B130" i="4"/>
  <c r="W129" i="4"/>
  <c r="P129" i="4"/>
  <c r="O129" i="4"/>
  <c r="I129" i="4"/>
  <c r="G129" i="4"/>
  <c r="F129" i="4"/>
  <c r="H129" i="4" s="1"/>
  <c r="E129" i="4"/>
  <c r="C129" i="4"/>
  <c r="B129" i="4"/>
  <c r="W128" i="4"/>
  <c r="P128" i="4"/>
  <c r="O128" i="4"/>
  <c r="I128" i="4"/>
  <c r="G128" i="4"/>
  <c r="F128" i="4"/>
  <c r="H128" i="4" s="1"/>
  <c r="E128" i="4"/>
  <c r="C128" i="4"/>
  <c r="B128" i="4"/>
  <c r="W127" i="4"/>
  <c r="P127" i="4"/>
  <c r="O127" i="4"/>
  <c r="I127" i="4"/>
  <c r="G127" i="4"/>
  <c r="F127" i="4"/>
  <c r="H127" i="4" s="1"/>
  <c r="E127" i="4"/>
  <c r="C127" i="4"/>
  <c r="B127" i="4"/>
  <c r="W126" i="4"/>
  <c r="P126" i="4"/>
  <c r="O126" i="4"/>
  <c r="I126" i="4"/>
  <c r="G126" i="4"/>
  <c r="F126" i="4"/>
  <c r="H126" i="4" s="1"/>
  <c r="E126" i="4"/>
  <c r="C126" i="4"/>
  <c r="B126" i="4"/>
  <c r="W125" i="4"/>
  <c r="P125" i="4"/>
  <c r="O125" i="4"/>
  <c r="I125" i="4"/>
  <c r="G125" i="4"/>
  <c r="F125" i="4"/>
  <c r="H125" i="4" s="1"/>
  <c r="E125" i="4"/>
  <c r="C125" i="4"/>
  <c r="B125" i="4"/>
  <c r="W124" i="4"/>
  <c r="P124" i="4"/>
  <c r="O124" i="4"/>
  <c r="I124" i="4"/>
  <c r="G124" i="4"/>
  <c r="F124" i="4"/>
  <c r="H124" i="4" s="1"/>
  <c r="E124" i="4"/>
  <c r="C124" i="4"/>
  <c r="B124" i="4"/>
  <c r="W123" i="4"/>
  <c r="P123" i="4"/>
  <c r="O123" i="4"/>
  <c r="I123" i="4"/>
  <c r="G123" i="4"/>
  <c r="F123" i="4"/>
  <c r="H123" i="4" s="1"/>
  <c r="E123" i="4"/>
  <c r="C123" i="4"/>
  <c r="B123" i="4"/>
  <c r="W122" i="4"/>
  <c r="P122" i="4"/>
  <c r="O122" i="4"/>
  <c r="I122" i="4"/>
  <c r="G122" i="4"/>
  <c r="F122" i="4"/>
  <c r="H122" i="4" s="1"/>
  <c r="E122" i="4"/>
  <c r="C122" i="4"/>
  <c r="B122" i="4"/>
  <c r="W121" i="4"/>
  <c r="P121" i="4"/>
  <c r="O121" i="4"/>
  <c r="I121" i="4"/>
  <c r="G121" i="4"/>
  <c r="F121" i="4"/>
  <c r="H121" i="4" s="1"/>
  <c r="E121" i="4"/>
  <c r="C121" i="4"/>
  <c r="B121" i="4"/>
  <c r="W120" i="4"/>
  <c r="P120" i="4"/>
  <c r="O120" i="4"/>
  <c r="I120" i="4"/>
  <c r="G120" i="4"/>
  <c r="F120" i="4"/>
  <c r="H120" i="4" s="1"/>
  <c r="E120" i="4"/>
  <c r="C120" i="4"/>
  <c r="B120" i="4"/>
  <c r="W119" i="4"/>
  <c r="P119" i="4"/>
  <c r="O119" i="4"/>
  <c r="I119" i="4"/>
  <c r="G119" i="4"/>
  <c r="F119" i="4"/>
  <c r="H119" i="4" s="1"/>
  <c r="E119" i="4"/>
  <c r="C119" i="4"/>
  <c r="B119" i="4"/>
  <c r="W118" i="4"/>
  <c r="P118" i="4"/>
  <c r="O118" i="4"/>
  <c r="I118" i="4"/>
  <c r="G118" i="4"/>
  <c r="F118" i="4"/>
  <c r="H118" i="4" s="1"/>
  <c r="E118" i="4"/>
  <c r="C118" i="4"/>
  <c r="B118" i="4"/>
  <c r="W117" i="4"/>
  <c r="P117" i="4"/>
  <c r="O117" i="4"/>
  <c r="I117" i="4"/>
  <c r="G117" i="4"/>
  <c r="F117" i="4"/>
  <c r="H117" i="4" s="1"/>
  <c r="E117" i="4"/>
  <c r="C117" i="4"/>
  <c r="B117" i="4"/>
  <c r="W116" i="4"/>
  <c r="P116" i="4"/>
  <c r="O116" i="4"/>
  <c r="I116" i="4"/>
  <c r="G116" i="4"/>
  <c r="F116" i="4"/>
  <c r="H116" i="4" s="1"/>
  <c r="E116" i="4"/>
  <c r="C116" i="4"/>
  <c r="B116" i="4"/>
  <c r="W115" i="4"/>
  <c r="P115" i="4"/>
  <c r="O115" i="4"/>
  <c r="I115" i="4"/>
  <c r="G115" i="4"/>
  <c r="F115" i="4"/>
  <c r="H115" i="4" s="1"/>
  <c r="E115" i="4"/>
  <c r="C115" i="4"/>
  <c r="B115" i="4"/>
  <c r="W114" i="4"/>
  <c r="P114" i="4"/>
  <c r="O114" i="4"/>
  <c r="I114" i="4"/>
  <c r="G114" i="4"/>
  <c r="F114" i="4"/>
  <c r="H114" i="4" s="1"/>
  <c r="E114" i="4"/>
  <c r="C114" i="4"/>
  <c r="B114" i="4"/>
  <c r="W113" i="4"/>
  <c r="P113" i="4"/>
  <c r="O113" i="4"/>
  <c r="I113" i="4"/>
  <c r="G113" i="4"/>
  <c r="F113" i="4"/>
  <c r="H113" i="4" s="1"/>
  <c r="E113" i="4"/>
  <c r="C113" i="4"/>
  <c r="B113" i="4"/>
  <c r="W112" i="4"/>
  <c r="P112" i="4"/>
  <c r="O112" i="4"/>
  <c r="I112" i="4"/>
  <c r="G112" i="4"/>
  <c r="F112" i="4"/>
  <c r="H112" i="4" s="1"/>
  <c r="E112" i="4"/>
  <c r="C112" i="4"/>
  <c r="B112" i="4"/>
  <c r="W111" i="4"/>
  <c r="P111" i="4"/>
  <c r="O111" i="4"/>
  <c r="I111" i="4"/>
  <c r="G111" i="4"/>
  <c r="F111" i="4"/>
  <c r="H111" i="4" s="1"/>
  <c r="E111" i="4"/>
  <c r="C111" i="4"/>
  <c r="B111" i="4"/>
  <c r="W110" i="4"/>
  <c r="P110" i="4"/>
  <c r="O110" i="4"/>
  <c r="I110" i="4"/>
  <c r="G110" i="4"/>
  <c r="F110" i="4"/>
  <c r="H110" i="4" s="1"/>
  <c r="E110" i="4"/>
  <c r="C110" i="4"/>
  <c r="B110" i="4"/>
  <c r="W109" i="4"/>
  <c r="P109" i="4"/>
  <c r="O109" i="4"/>
  <c r="I109" i="4"/>
  <c r="G109" i="4"/>
  <c r="F109" i="4"/>
  <c r="H109" i="4" s="1"/>
  <c r="E109" i="4"/>
  <c r="C109" i="4"/>
  <c r="B109" i="4"/>
  <c r="W108" i="4"/>
  <c r="P108" i="4"/>
  <c r="O108" i="4"/>
  <c r="I108" i="4"/>
  <c r="G108" i="4"/>
  <c r="F108" i="4"/>
  <c r="E108" i="4"/>
  <c r="C108" i="4"/>
  <c r="B108" i="4"/>
  <c r="W107" i="4"/>
  <c r="P107" i="4"/>
  <c r="O107" i="4"/>
  <c r="I107" i="4"/>
  <c r="G107" i="4"/>
  <c r="F107" i="4"/>
  <c r="H107" i="4" s="1"/>
  <c r="E107" i="4"/>
  <c r="C107" i="4"/>
  <c r="B107" i="4"/>
  <c r="W106" i="4"/>
  <c r="P106" i="4"/>
  <c r="O106" i="4"/>
  <c r="I106" i="4"/>
  <c r="G106" i="4"/>
  <c r="F106" i="4"/>
  <c r="H106" i="4" s="1"/>
  <c r="E106" i="4"/>
  <c r="C106" i="4"/>
  <c r="B106" i="4"/>
  <c r="W105" i="4"/>
  <c r="P105" i="4"/>
  <c r="O105" i="4"/>
  <c r="I105" i="4"/>
  <c r="G105" i="4"/>
  <c r="F105" i="4"/>
  <c r="H105" i="4" s="1"/>
  <c r="E105" i="4"/>
  <c r="C105" i="4"/>
  <c r="B105" i="4"/>
  <c r="W104" i="4"/>
  <c r="P104" i="4"/>
  <c r="O104" i="4"/>
  <c r="I104" i="4"/>
  <c r="G104" i="4"/>
  <c r="F104" i="4"/>
  <c r="H104" i="4" s="1"/>
  <c r="E104" i="4"/>
  <c r="C104" i="4"/>
  <c r="B104" i="4"/>
  <c r="W103" i="4"/>
  <c r="P103" i="4"/>
  <c r="O103" i="4"/>
  <c r="I103" i="4"/>
  <c r="G103" i="4"/>
  <c r="F103" i="4"/>
  <c r="H103" i="4" s="1"/>
  <c r="E103" i="4"/>
  <c r="C103" i="4"/>
  <c r="B103" i="4"/>
  <c r="W102" i="4"/>
  <c r="P102" i="4"/>
  <c r="O102" i="4"/>
  <c r="I102" i="4"/>
  <c r="G102" i="4"/>
  <c r="F102" i="4"/>
  <c r="H102" i="4" s="1"/>
  <c r="E102" i="4"/>
  <c r="C102" i="4"/>
  <c r="B102" i="4"/>
  <c r="W101" i="4"/>
  <c r="P101" i="4"/>
  <c r="O101" i="4"/>
  <c r="I101" i="4"/>
  <c r="G101" i="4"/>
  <c r="F101" i="4"/>
  <c r="H101" i="4" s="1"/>
  <c r="E101" i="4"/>
  <c r="C101" i="4"/>
  <c r="B101" i="4"/>
  <c r="W100" i="4"/>
  <c r="P100" i="4"/>
  <c r="O100" i="4"/>
  <c r="I100" i="4"/>
  <c r="G100" i="4"/>
  <c r="F100" i="4"/>
  <c r="H100" i="4" s="1"/>
  <c r="E100" i="4"/>
  <c r="C100" i="4"/>
  <c r="B100" i="4"/>
  <c r="W99" i="4"/>
  <c r="P99" i="4"/>
  <c r="O99" i="4"/>
  <c r="I99" i="4"/>
  <c r="G99" i="4"/>
  <c r="F99" i="4"/>
  <c r="H99" i="4" s="1"/>
  <c r="E99" i="4"/>
  <c r="C99" i="4"/>
  <c r="B99" i="4"/>
  <c r="W98" i="4"/>
  <c r="P98" i="4"/>
  <c r="O98" i="4"/>
  <c r="I98" i="4"/>
  <c r="G98" i="4"/>
  <c r="F98" i="4"/>
  <c r="H98" i="4" s="1"/>
  <c r="E98" i="4"/>
  <c r="C98" i="4"/>
  <c r="B98" i="4"/>
  <c r="W97" i="4"/>
  <c r="P97" i="4"/>
  <c r="O97" i="4"/>
  <c r="I97" i="4"/>
  <c r="G97" i="4"/>
  <c r="F97" i="4"/>
  <c r="H97" i="4" s="1"/>
  <c r="E97" i="4"/>
  <c r="C97" i="4"/>
  <c r="B97" i="4"/>
  <c r="W96" i="4"/>
  <c r="P96" i="4"/>
  <c r="O96" i="4"/>
  <c r="I96" i="4"/>
  <c r="G96" i="4"/>
  <c r="F96" i="4"/>
  <c r="H96" i="4" s="1"/>
  <c r="E96" i="4"/>
  <c r="C96" i="4"/>
  <c r="B96" i="4"/>
  <c r="W95" i="4"/>
  <c r="P95" i="4"/>
  <c r="O95" i="4"/>
  <c r="I95" i="4"/>
  <c r="G95" i="4"/>
  <c r="F95" i="4"/>
  <c r="H95" i="4" s="1"/>
  <c r="E95" i="4"/>
  <c r="C95" i="4"/>
  <c r="B95" i="4"/>
  <c r="W94" i="4"/>
  <c r="P94" i="4"/>
  <c r="O94" i="4"/>
  <c r="I94" i="4"/>
  <c r="G94" i="4"/>
  <c r="F94" i="4"/>
  <c r="H94" i="4" s="1"/>
  <c r="E94" i="4"/>
  <c r="C94" i="4"/>
  <c r="B94" i="4"/>
  <c r="W93" i="4"/>
  <c r="P93" i="4"/>
  <c r="O93" i="4"/>
  <c r="I93" i="4"/>
  <c r="G93" i="4"/>
  <c r="F93" i="4"/>
  <c r="H93" i="4" s="1"/>
  <c r="E93" i="4"/>
  <c r="C93" i="4"/>
  <c r="B93" i="4"/>
  <c r="W92" i="4"/>
  <c r="P92" i="4"/>
  <c r="O92" i="4"/>
  <c r="I92" i="4"/>
  <c r="G92" i="4"/>
  <c r="F92" i="4"/>
  <c r="H92" i="4" s="1"/>
  <c r="E92" i="4"/>
  <c r="C92" i="4"/>
  <c r="B92" i="4"/>
  <c r="W91" i="4"/>
  <c r="P91" i="4"/>
  <c r="O91" i="4"/>
  <c r="I91" i="4"/>
  <c r="G91" i="4"/>
  <c r="F91" i="4"/>
  <c r="H91" i="4" s="1"/>
  <c r="E91" i="4"/>
  <c r="C91" i="4"/>
  <c r="B91" i="4"/>
  <c r="W90" i="4"/>
  <c r="P90" i="4"/>
  <c r="O90" i="4"/>
  <c r="I90" i="4"/>
  <c r="G90" i="4"/>
  <c r="F90" i="4"/>
  <c r="H90" i="4" s="1"/>
  <c r="E90" i="4"/>
  <c r="C90" i="4"/>
  <c r="B90" i="4"/>
  <c r="W89" i="4"/>
  <c r="P89" i="4"/>
  <c r="O89" i="4"/>
  <c r="I89" i="4"/>
  <c r="G89" i="4"/>
  <c r="F89" i="4"/>
  <c r="H89" i="4" s="1"/>
  <c r="E89" i="4"/>
  <c r="C89" i="4"/>
  <c r="B89" i="4"/>
  <c r="W88" i="4"/>
  <c r="P88" i="4"/>
  <c r="O88" i="4"/>
  <c r="I88" i="4"/>
  <c r="G88" i="4"/>
  <c r="F88" i="4"/>
  <c r="H88" i="4" s="1"/>
  <c r="E88" i="4"/>
  <c r="C88" i="4"/>
  <c r="B88" i="4"/>
  <c r="W87" i="4"/>
  <c r="P87" i="4"/>
  <c r="O87" i="4"/>
  <c r="I87" i="4"/>
  <c r="G87" i="4"/>
  <c r="F87" i="4"/>
  <c r="H87" i="4" s="1"/>
  <c r="E87" i="4"/>
  <c r="C87" i="4"/>
  <c r="B87" i="4"/>
  <c r="W86" i="4"/>
  <c r="P86" i="4"/>
  <c r="O86" i="4"/>
  <c r="I86" i="4"/>
  <c r="G86" i="4"/>
  <c r="F86" i="4"/>
  <c r="H86" i="4" s="1"/>
  <c r="E86" i="4"/>
  <c r="C86" i="4"/>
  <c r="B86" i="4"/>
  <c r="W85" i="4"/>
  <c r="P85" i="4"/>
  <c r="O85" i="4"/>
  <c r="I85" i="4"/>
  <c r="G85" i="4"/>
  <c r="F85" i="4"/>
  <c r="H85" i="4" s="1"/>
  <c r="E85" i="4"/>
  <c r="C85" i="4"/>
  <c r="B85" i="4"/>
  <c r="W84" i="4"/>
  <c r="P84" i="4"/>
  <c r="O84" i="4"/>
  <c r="I84" i="4"/>
  <c r="G84" i="4"/>
  <c r="F84" i="4"/>
  <c r="H84" i="4" s="1"/>
  <c r="E84" i="4"/>
  <c r="C84" i="4"/>
  <c r="B84" i="4"/>
  <c r="W83" i="4"/>
  <c r="P83" i="4"/>
  <c r="O83" i="4"/>
  <c r="I83" i="4"/>
  <c r="G83" i="4"/>
  <c r="F83" i="4"/>
  <c r="H83" i="4" s="1"/>
  <c r="E83" i="4"/>
  <c r="C83" i="4"/>
  <c r="B83" i="4"/>
  <c r="W82" i="4"/>
  <c r="P82" i="4"/>
  <c r="O82" i="4"/>
  <c r="I82" i="4"/>
  <c r="G82" i="4"/>
  <c r="F82" i="4"/>
  <c r="H82" i="4" s="1"/>
  <c r="E82" i="4"/>
  <c r="C82" i="4"/>
  <c r="B82" i="4"/>
  <c r="W81" i="4"/>
  <c r="P81" i="4"/>
  <c r="O81" i="4"/>
  <c r="I81" i="4"/>
  <c r="G81" i="4"/>
  <c r="F81" i="4"/>
  <c r="H81" i="4" s="1"/>
  <c r="E81" i="4"/>
  <c r="C81" i="4"/>
  <c r="B81" i="4"/>
  <c r="W80" i="4"/>
  <c r="P80" i="4"/>
  <c r="O80" i="4"/>
  <c r="I80" i="4"/>
  <c r="G80" i="4"/>
  <c r="F80" i="4"/>
  <c r="H80" i="4" s="1"/>
  <c r="E80" i="4"/>
  <c r="C80" i="4"/>
  <c r="B80" i="4"/>
  <c r="W79" i="4"/>
  <c r="P79" i="4"/>
  <c r="O79" i="4"/>
  <c r="I79" i="4"/>
  <c r="G79" i="4"/>
  <c r="F79" i="4"/>
  <c r="H79" i="4" s="1"/>
  <c r="E79" i="4"/>
  <c r="C79" i="4"/>
  <c r="B79" i="4"/>
  <c r="W78" i="4"/>
  <c r="P78" i="4"/>
  <c r="O78" i="4"/>
  <c r="I78" i="4"/>
  <c r="G78" i="4"/>
  <c r="F78" i="4"/>
  <c r="H78" i="4" s="1"/>
  <c r="E78" i="4"/>
  <c r="C78" i="4"/>
  <c r="B78" i="4"/>
  <c r="W77" i="4"/>
  <c r="P77" i="4"/>
  <c r="O77" i="4"/>
  <c r="I77" i="4"/>
  <c r="G77" i="4"/>
  <c r="F77" i="4"/>
  <c r="H77" i="4" s="1"/>
  <c r="E77" i="4"/>
  <c r="C77" i="4"/>
  <c r="B77" i="4"/>
  <c r="W76" i="4"/>
  <c r="P76" i="4"/>
  <c r="O76" i="4"/>
  <c r="I76" i="4"/>
  <c r="G76" i="4"/>
  <c r="F76" i="4"/>
  <c r="H76" i="4" s="1"/>
  <c r="E76" i="4"/>
  <c r="C76" i="4"/>
  <c r="B76" i="4"/>
  <c r="W75" i="4"/>
  <c r="P75" i="4"/>
  <c r="O75" i="4"/>
  <c r="I75" i="4"/>
  <c r="G75" i="4"/>
  <c r="F75" i="4"/>
  <c r="H75" i="4" s="1"/>
  <c r="E75" i="4"/>
  <c r="C75" i="4"/>
  <c r="B75" i="4"/>
  <c r="W74" i="4"/>
  <c r="P74" i="4"/>
  <c r="O74" i="4"/>
  <c r="I74" i="4"/>
  <c r="G74" i="4"/>
  <c r="F74" i="4"/>
  <c r="H74" i="4" s="1"/>
  <c r="E74" i="4"/>
  <c r="C74" i="4"/>
  <c r="B74" i="4"/>
  <c r="W73" i="4"/>
  <c r="P73" i="4"/>
  <c r="O73" i="4"/>
  <c r="I73" i="4"/>
  <c r="G73" i="4"/>
  <c r="F73" i="4"/>
  <c r="H73" i="4" s="1"/>
  <c r="E73" i="4"/>
  <c r="C73" i="4"/>
  <c r="B73" i="4"/>
  <c r="W72" i="4"/>
  <c r="P72" i="4"/>
  <c r="O72" i="4"/>
  <c r="I72" i="4"/>
  <c r="G72" i="4"/>
  <c r="F72" i="4"/>
  <c r="H72" i="4" s="1"/>
  <c r="E72" i="4"/>
  <c r="C72" i="4"/>
  <c r="B72" i="4"/>
  <c r="W71" i="4"/>
  <c r="P71" i="4"/>
  <c r="O71" i="4"/>
  <c r="I71" i="4"/>
  <c r="G71" i="4"/>
  <c r="F71" i="4"/>
  <c r="H71" i="4" s="1"/>
  <c r="E71" i="4"/>
  <c r="C71" i="4"/>
  <c r="B71" i="4"/>
  <c r="W70" i="4"/>
  <c r="P70" i="4"/>
  <c r="O70" i="4"/>
  <c r="I70" i="4"/>
  <c r="G70" i="4"/>
  <c r="F70" i="4"/>
  <c r="H70" i="4" s="1"/>
  <c r="E70" i="4"/>
  <c r="C70" i="4"/>
  <c r="B70" i="4"/>
  <c r="W69" i="4"/>
  <c r="P69" i="4"/>
  <c r="O69" i="4"/>
  <c r="I69" i="4"/>
  <c r="G69" i="4"/>
  <c r="F69" i="4"/>
  <c r="H69" i="4" s="1"/>
  <c r="E69" i="4"/>
  <c r="C69" i="4"/>
  <c r="B69" i="4"/>
  <c r="W68" i="4"/>
  <c r="P68" i="4"/>
  <c r="O68" i="4"/>
  <c r="I68" i="4"/>
  <c r="G68" i="4"/>
  <c r="F68" i="4"/>
  <c r="H68" i="4" s="1"/>
  <c r="E68" i="4"/>
  <c r="C68" i="4"/>
  <c r="B68" i="4"/>
  <c r="W67" i="4"/>
  <c r="P67" i="4"/>
  <c r="O67" i="4"/>
  <c r="I67" i="4"/>
  <c r="G67" i="4"/>
  <c r="F67" i="4"/>
  <c r="H67" i="4" s="1"/>
  <c r="E67" i="4"/>
  <c r="C67" i="4"/>
  <c r="B67" i="4"/>
  <c r="W66" i="4"/>
  <c r="P66" i="4"/>
  <c r="O66" i="4"/>
  <c r="I66" i="4"/>
  <c r="G66" i="4"/>
  <c r="F66" i="4"/>
  <c r="H66" i="4" s="1"/>
  <c r="E66" i="4"/>
  <c r="C66" i="4"/>
  <c r="B66" i="4"/>
  <c r="W65" i="4"/>
  <c r="P65" i="4"/>
  <c r="O65" i="4"/>
  <c r="I65" i="4"/>
  <c r="G65" i="4"/>
  <c r="F65" i="4"/>
  <c r="H65" i="4" s="1"/>
  <c r="E65" i="4"/>
  <c r="C65" i="4"/>
  <c r="B65" i="4"/>
  <c r="W64" i="4"/>
  <c r="P64" i="4"/>
  <c r="O64" i="4"/>
  <c r="I64" i="4"/>
  <c r="G64" i="4"/>
  <c r="F64" i="4"/>
  <c r="H64" i="4" s="1"/>
  <c r="E64" i="4"/>
  <c r="C64" i="4"/>
  <c r="B64" i="4"/>
  <c r="W63" i="4"/>
  <c r="P63" i="4"/>
  <c r="O63" i="4"/>
  <c r="I63" i="4"/>
  <c r="G63" i="4"/>
  <c r="F63" i="4"/>
  <c r="H63" i="4" s="1"/>
  <c r="E63" i="4"/>
  <c r="C63" i="4"/>
  <c r="B63" i="4"/>
  <c r="W62" i="4"/>
  <c r="P62" i="4"/>
  <c r="O62" i="4"/>
  <c r="I62" i="4"/>
  <c r="G62" i="4"/>
  <c r="F62" i="4"/>
  <c r="H62" i="4" s="1"/>
  <c r="E62" i="4"/>
  <c r="C62" i="4"/>
  <c r="B62" i="4"/>
  <c r="W61" i="4"/>
  <c r="P61" i="4"/>
  <c r="O61" i="4"/>
  <c r="I61" i="4"/>
  <c r="G61" i="4"/>
  <c r="F61" i="4"/>
  <c r="H61" i="4" s="1"/>
  <c r="E61" i="4"/>
  <c r="C61" i="4"/>
  <c r="B61" i="4"/>
  <c r="W60" i="4"/>
  <c r="P60" i="4"/>
  <c r="O60" i="4"/>
  <c r="I60" i="4"/>
  <c r="G60" i="4"/>
  <c r="F60" i="4"/>
  <c r="H60" i="4" s="1"/>
  <c r="E60" i="4"/>
  <c r="C60" i="4"/>
  <c r="B60" i="4"/>
  <c r="W59" i="4"/>
  <c r="P59" i="4"/>
  <c r="O59" i="4"/>
  <c r="I59" i="4"/>
  <c r="G59" i="4"/>
  <c r="F59" i="4"/>
  <c r="H59" i="4" s="1"/>
  <c r="E59" i="4"/>
  <c r="C59" i="4"/>
  <c r="B59" i="4"/>
  <c r="W58" i="4"/>
  <c r="P58" i="4"/>
  <c r="O58" i="4"/>
  <c r="I58" i="4"/>
  <c r="G58" i="4"/>
  <c r="F58" i="4"/>
  <c r="H58" i="4" s="1"/>
  <c r="E58" i="4"/>
  <c r="C58" i="4"/>
  <c r="B58" i="4"/>
  <c r="W57" i="4"/>
  <c r="P57" i="4"/>
  <c r="O57" i="4"/>
  <c r="I57" i="4"/>
  <c r="G57" i="4"/>
  <c r="F57" i="4"/>
  <c r="H57" i="4" s="1"/>
  <c r="E57" i="4"/>
  <c r="C57" i="4"/>
  <c r="B57" i="4"/>
  <c r="W56" i="4"/>
  <c r="P56" i="4"/>
  <c r="O56" i="4"/>
  <c r="I56" i="4"/>
  <c r="G56" i="4"/>
  <c r="F56" i="4"/>
  <c r="H56" i="4" s="1"/>
  <c r="E56" i="4"/>
  <c r="C56" i="4"/>
  <c r="B56" i="4"/>
  <c r="W55" i="4"/>
  <c r="P55" i="4"/>
  <c r="O55" i="4"/>
  <c r="I55" i="4"/>
  <c r="G55" i="4"/>
  <c r="F55" i="4"/>
  <c r="H55" i="4" s="1"/>
  <c r="E55" i="4"/>
  <c r="C55" i="4"/>
  <c r="B55" i="4"/>
  <c r="W54" i="4"/>
  <c r="P54" i="4"/>
  <c r="O54" i="4"/>
  <c r="I54" i="4"/>
  <c r="G54" i="4"/>
  <c r="F54" i="4"/>
  <c r="H54" i="4" s="1"/>
  <c r="E54" i="4"/>
  <c r="C54" i="4"/>
  <c r="B54" i="4"/>
  <c r="W53" i="4"/>
  <c r="P53" i="4"/>
  <c r="O53" i="4"/>
  <c r="I53" i="4"/>
  <c r="G53" i="4"/>
  <c r="F53" i="4"/>
  <c r="H53" i="4" s="1"/>
  <c r="E53" i="4"/>
  <c r="C53" i="4"/>
  <c r="B53" i="4"/>
  <c r="W52" i="4"/>
  <c r="P52" i="4"/>
  <c r="O52" i="4"/>
  <c r="I52" i="4"/>
  <c r="G52" i="4"/>
  <c r="F52" i="4"/>
  <c r="H52" i="4" s="1"/>
  <c r="E52" i="4"/>
  <c r="C52" i="4"/>
  <c r="B52" i="4"/>
  <c r="W51" i="4"/>
  <c r="P51" i="4"/>
  <c r="O51" i="4"/>
  <c r="I51" i="4"/>
  <c r="G51" i="4"/>
  <c r="F51" i="4"/>
  <c r="H51" i="4" s="1"/>
  <c r="E51" i="4"/>
  <c r="C51" i="4"/>
  <c r="B51" i="4"/>
  <c r="W50" i="4"/>
  <c r="P50" i="4"/>
  <c r="O50" i="4"/>
  <c r="I50" i="4"/>
  <c r="G50" i="4"/>
  <c r="F50" i="4"/>
  <c r="H50" i="4" s="1"/>
  <c r="E50" i="4"/>
  <c r="C50" i="4"/>
  <c r="B50" i="4"/>
  <c r="W49" i="4"/>
  <c r="P49" i="4"/>
  <c r="O49" i="4"/>
  <c r="I49" i="4"/>
  <c r="G49" i="4"/>
  <c r="F49" i="4"/>
  <c r="H49" i="4" s="1"/>
  <c r="E49" i="4"/>
  <c r="C49" i="4"/>
  <c r="B49" i="4"/>
  <c r="W48" i="4"/>
  <c r="P48" i="4"/>
  <c r="O48" i="4"/>
  <c r="I48" i="4"/>
  <c r="G48" i="4"/>
  <c r="F48" i="4"/>
  <c r="H48" i="4" s="1"/>
  <c r="E48" i="4"/>
  <c r="C48" i="4"/>
  <c r="B48" i="4"/>
  <c r="W47" i="4"/>
  <c r="P47" i="4"/>
  <c r="O47" i="4"/>
  <c r="I47" i="4"/>
  <c r="G47" i="4"/>
  <c r="F47" i="4"/>
  <c r="H47" i="4" s="1"/>
  <c r="E47" i="4"/>
  <c r="C47" i="4"/>
  <c r="B47" i="4"/>
  <c r="W46" i="4"/>
  <c r="P46" i="4"/>
  <c r="O46" i="4"/>
  <c r="I46" i="4"/>
  <c r="G46" i="4"/>
  <c r="F46" i="4"/>
  <c r="H46" i="4" s="1"/>
  <c r="E46" i="4"/>
  <c r="C46" i="4"/>
  <c r="B46" i="4"/>
  <c r="W45" i="4"/>
  <c r="P45" i="4"/>
  <c r="O45" i="4"/>
  <c r="I45" i="4"/>
  <c r="G45" i="4"/>
  <c r="F45" i="4"/>
  <c r="H45" i="4" s="1"/>
  <c r="E45" i="4"/>
  <c r="C45" i="4"/>
  <c r="B45" i="4"/>
  <c r="W44" i="4"/>
  <c r="P44" i="4"/>
  <c r="O44" i="4"/>
  <c r="I44" i="4"/>
  <c r="G44" i="4"/>
  <c r="F44" i="4"/>
  <c r="H44" i="4" s="1"/>
  <c r="E44" i="4"/>
  <c r="C44" i="4"/>
  <c r="B44" i="4"/>
  <c r="W43" i="4"/>
  <c r="P43" i="4"/>
  <c r="O43" i="4"/>
  <c r="I43" i="4"/>
  <c r="G43" i="4"/>
  <c r="F43" i="4"/>
  <c r="H43" i="4" s="1"/>
  <c r="E43" i="4"/>
  <c r="C43" i="4"/>
  <c r="B43" i="4"/>
  <c r="W42" i="4"/>
  <c r="P42" i="4"/>
  <c r="O42" i="4"/>
  <c r="I42" i="4"/>
  <c r="G42" i="4"/>
  <c r="F42" i="4"/>
  <c r="H42" i="4" s="1"/>
  <c r="E42" i="4"/>
  <c r="C42" i="4"/>
  <c r="B42" i="4"/>
  <c r="W41" i="4"/>
  <c r="P41" i="4"/>
  <c r="O41" i="4"/>
  <c r="I41" i="4"/>
  <c r="G41" i="4"/>
  <c r="F41" i="4"/>
  <c r="H41" i="4" s="1"/>
  <c r="E41" i="4"/>
  <c r="C41" i="4"/>
  <c r="B41" i="4"/>
  <c r="W40" i="4"/>
  <c r="P40" i="4"/>
  <c r="O40" i="4"/>
  <c r="I40" i="4"/>
  <c r="G40" i="4"/>
  <c r="F40" i="4"/>
  <c r="H40" i="4" s="1"/>
  <c r="E40" i="4"/>
  <c r="C40" i="4"/>
  <c r="B40" i="4"/>
  <c r="W39" i="4"/>
  <c r="P39" i="4"/>
  <c r="O39" i="4"/>
  <c r="I39" i="4"/>
  <c r="G39" i="4"/>
  <c r="F39" i="4"/>
  <c r="H39" i="4" s="1"/>
  <c r="E39" i="4"/>
  <c r="C39" i="4"/>
  <c r="B39" i="4"/>
  <c r="W38" i="4"/>
  <c r="P38" i="4"/>
  <c r="O38" i="4"/>
  <c r="I38" i="4"/>
  <c r="G38" i="4"/>
  <c r="F38" i="4"/>
  <c r="H38" i="4" s="1"/>
  <c r="E38" i="4"/>
  <c r="C38" i="4"/>
  <c r="B38" i="4"/>
  <c r="W37" i="4"/>
  <c r="P37" i="4"/>
  <c r="O37" i="4"/>
  <c r="I37" i="4"/>
  <c r="G37" i="4"/>
  <c r="F37" i="4"/>
  <c r="H37" i="4" s="1"/>
  <c r="E37" i="4"/>
  <c r="C37" i="4"/>
  <c r="B37" i="4"/>
  <c r="W36" i="4"/>
  <c r="P36" i="4"/>
  <c r="O36" i="4"/>
  <c r="I36" i="4"/>
  <c r="G36" i="4"/>
  <c r="F36" i="4"/>
  <c r="H36" i="4" s="1"/>
  <c r="E36" i="4"/>
  <c r="C36" i="4"/>
  <c r="B36" i="4"/>
  <c r="W35" i="4"/>
  <c r="P35" i="4"/>
  <c r="O35" i="4"/>
  <c r="I35" i="4"/>
  <c r="G35" i="4"/>
  <c r="F35" i="4"/>
  <c r="H35" i="4" s="1"/>
  <c r="E35" i="4"/>
  <c r="C35" i="4"/>
  <c r="B35" i="4"/>
  <c r="W34" i="4"/>
  <c r="P34" i="4"/>
  <c r="O34" i="4"/>
  <c r="I34" i="4"/>
  <c r="G34" i="4"/>
  <c r="F34" i="4"/>
  <c r="H34" i="4" s="1"/>
  <c r="E34" i="4"/>
  <c r="C34" i="4"/>
  <c r="B34" i="4"/>
  <c r="W33" i="4"/>
  <c r="P33" i="4"/>
  <c r="O33" i="4"/>
  <c r="I33" i="4"/>
  <c r="G33" i="4"/>
  <c r="F33" i="4"/>
  <c r="H33" i="4" s="1"/>
  <c r="E33" i="4"/>
  <c r="C33" i="4"/>
  <c r="B33" i="4"/>
  <c r="W32" i="4"/>
  <c r="P32" i="4"/>
  <c r="O32" i="4"/>
  <c r="I32" i="4"/>
  <c r="G32" i="4"/>
  <c r="F32" i="4"/>
  <c r="H32" i="4" s="1"/>
  <c r="E32" i="4"/>
  <c r="C32" i="4"/>
  <c r="B32" i="4"/>
  <c r="W31" i="4"/>
  <c r="P31" i="4"/>
  <c r="O31" i="4"/>
  <c r="I31" i="4"/>
  <c r="G31" i="4"/>
  <c r="F31" i="4"/>
  <c r="H31" i="4" s="1"/>
  <c r="E31" i="4"/>
  <c r="C31" i="4"/>
  <c r="B31" i="4"/>
  <c r="W30" i="4"/>
  <c r="P30" i="4"/>
  <c r="O30" i="4"/>
  <c r="I30" i="4"/>
  <c r="G30" i="4"/>
  <c r="F30" i="4"/>
  <c r="H30" i="4" s="1"/>
  <c r="E30" i="4"/>
  <c r="C30" i="4"/>
  <c r="B30" i="4"/>
  <c r="W29" i="4"/>
  <c r="P29" i="4"/>
  <c r="O29" i="4"/>
  <c r="I29" i="4"/>
  <c r="G29" i="4"/>
  <c r="F29" i="4"/>
  <c r="H29" i="4" s="1"/>
  <c r="E29" i="4"/>
  <c r="C29" i="4"/>
  <c r="B29" i="4"/>
  <c r="W28" i="4"/>
  <c r="P28" i="4"/>
  <c r="O28" i="4"/>
  <c r="I28" i="4"/>
  <c r="G28" i="4"/>
  <c r="F28" i="4"/>
  <c r="H28" i="4" s="1"/>
  <c r="E28" i="4"/>
  <c r="C28" i="4"/>
  <c r="B28" i="4"/>
  <c r="W27" i="4"/>
  <c r="P27" i="4"/>
  <c r="O27" i="4"/>
  <c r="I27" i="4"/>
  <c r="G27" i="4"/>
  <c r="F27" i="4"/>
  <c r="H27" i="4" s="1"/>
  <c r="E27" i="4"/>
  <c r="C27" i="4"/>
  <c r="B27" i="4"/>
  <c r="W26" i="4"/>
  <c r="P26" i="4"/>
  <c r="O26" i="4"/>
  <c r="I26" i="4"/>
  <c r="G26" i="4"/>
  <c r="F26" i="4"/>
  <c r="H26" i="4" s="1"/>
  <c r="E26" i="4"/>
  <c r="C26" i="4"/>
  <c r="B26" i="4"/>
  <c r="W25" i="4"/>
  <c r="P25" i="4"/>
  <c r="O25" i="4"/>
  <c r="I25" i="4"/>
  <c r="G25" i="4"/>
  <c r="F25" i="4"/>
  <c r="H25" i="4" s="1"/>
  <c r="E25" i="4"/>
  <c r="C25" i="4"/>
  <c r="B25" i="4"/>
  <c r="W24" i="4"/>
  <c r="P24" i="4"/>
  <c r="O24" i="4"/>
  <c r="I24" i="4"/>
  <c r="G24" i="4"/>
  <c r="F24" i="4"/>
  <c r="H24" i="4" s="1"/>
  <c r="E24" i="4"/>
  <c r="C24" i="4"/>
  <c r="B24" i="4"/>
  <c r="W23" i="4"/>
  <c r="P23" i="4"/>
  <c r="O23" i="4"/>
  <c r="I23" i="4"/>
  <c r="G23" i="4"/>
  <c r="F23" i="4"/>
  <c r="H23" i="4" s="1"/>
  <c r="E23" i="4"/>
  <c r="C23" i="4"/>
  <c r="B23" i="4"/>
  <c r="W22" i="4"/>
  <c r="P22" i="4"/>
  <c r="O22" i="4"/>
  <c r="I22" i="4"/>
  <c r="G22" i="4"/>
  <c r="F22" i="4"/>
  <c r="H22" i="4" s="1"/>
  <c r="E22" i="4"/>
  <c r="C22" i="4"/>
  <c r="B22" i="4"/>
  <c r="W21" i="4"/>
  <c r="P21" i="4"/>
  <c r="O21" i="4"/>
  <c r="I21" i="4"/>
  <c r="G21" i="4"/>
  <c r="F21" i="4"/>
  <c r="H21" i="4" s="1"/>
  <c r="E21" i="4"/>
  <c r="C21" i="4"/>
  <c r="B21" i="4"/>
  <c r="W20" i="4"/>
  <c r="P20" i="4"/>
  <c r="O20" i="4"/>
  <c r="I20" i="4"/>
  <c r="G20" i="4"/>
  <c r="F20" i="4"/>
  <c r="H20" i="4" s="1"/>
  <c r="E20" i="4"/>
  <c r="C20" i="4"/>
  <c r="B20" i="4"/>
  <c r="W19" i="4"/>
  <c r="P19" i="4"/>
  <c r="O19" i="4"/>
  <c r="I19" i="4"/>
  <c r="G19" i="4"/>
  <c r="F19" i="4"/>
  <c r="H19" i="4" s="1"/>
  <c r="E19" i="4"/>
  <c r="C19" i="4"/>
  <c r="B19" i="4"/>
  <c r="W18" i="4"/>
  <c r="P18" i="4"/>
  <c r="O18" i="4"/>
  <c r="I18" i="4"/>
  <c r="G18" i="4"/>
  <c r="F18" i="4"/>
  <c r="H18" i="4" s="1"/>
  <c r="E18" i="4"/>
  <c r="C18" i="4"/>
  <c r="B18" i="4"/>
  <c r="W17" i="4"/>
  <c r="P17" i="4"/>
  <c r="O17" i="4"/>
  <c r="I17" i="4"/>
  <c r="G17" i="4"/>
  <c r="F17" i="4"/>
  <c r="H17" i="4" s="1"/>
  <c r="E17" i="4"/>
  <c r="C17" i="4"/>
  <c r="B17" i="4"/>
  <c r="W16" i="4"/>
  <c r="P16" i="4"/>
  <c r="O16" i="4"/>
  <c r="I16" i="4"/>
  <c r="G16" i="4"/>
  <c r="F16" i="4"/>
  <c r="H16" i="4" s="1"/>
  <c r="E16" i="4"/>
  <c r="C16" i="4"/>
  <c r="B16" i="4"/>
  <c r="W15" i="4"/>
  <c r="P15" i="4"/>
  <c r="O15" i="4"/>
  <c r="I15" i="4"/>
  <c r="G15" i="4"/>
  <c r="F15" i="4"/>
  <c r="H15" i="4" s="1"/>
  <c r="E15" i="4"/>
  <c r="C15" i="4"/>
  <c r="B15" i="4"/>
  <c r="W14" i="4"/>
  <c r="P14" i="4"/>
  <c r="O14" i="4"/>
  <c r="I14" i="4"/>
  <c r="G14" i="4"/>
  <c r="F14" i="4"/>
  <c r="H14" i="4" s="1"/>
  <c r="E14" i="4"/>
  <c r="C14" i="4"/>
  <c r="B14" i="4"/>
  <c r="W13" i="4"/>
  <c r="P13" i="4"/>
  <c r="O13" i="4"/>
  <c r="I13" i="4"/>
  <c r="G13" i="4"/>
  <c r="F13" i="4"/>
  <c r="H13" i="4" s="1"/>
  <c r="E13" i="4"/>
  <c r="C13" i="4"/>
  <c r="B13" i="4"/>
  <c r="W12" i="4"/>
  <c r="P12" i="4"/>
  <c r="O12" i="4"/>
  <c r="I12" i="4"/>
  <c r="G12" i="4"/>
  <c r="F12" i="4"/>
  <c r="H12" i="4" s="1"/>
  <c r="E12" i="4"/>
  <c r="C12" i="4"/>
  <c r="B12" i="4"/>
  <c r="W11" i="4"/>
  <c r="P11" i="4"/>
  <c r="O11" i="4"/>
  <c r="I11" i="4"/>
  <c r="G11" i="4"/>
  <c r="F11" i="4"/>
  <c r="H11" i="4" s="1"/>
  <c r="E11" i="4"/>
  <c r="C11" i="4"/>
  <c r="B11" i="4"/>
  <c r="W10" i="4"/>
  <c r="P10" i="4"/>
  <c r="O10" i="4"/>
  <c r="I10" i="4"/>
  <c r="G10" i="4"/>
  <c r="F10" i="4"/>
  <c r="H10" i="4" s="1"/>
  <c r="E10" i="4"/>
  <c r="C10" i="4"/>
  <c r="B10" i="4"/>
  <c r="W9" i="4"/>
  <c r="P9" i="4"/>
  <c r="O9" i="4"/>
  <c r="I9" i="4"/>
  <c r="G9" i="4"/>
  <c r="F9" i="4"/>
  <c r="H9" i="4" s="1"/>
  <c r="E9" i="4"/>
  <c r="C9" i="4"/>
  <c r="B9" i="4"/>
  <c r="W8" i="4"/>
  <c r="P8" i="4"/>
  <c r="O8" i="4"/>
  <c r="I8" i="4"/>
  <c r="G8" i="4"/>
  <c r="F8" i="4"/>
  <c r="H8" i="4" s="1"/>
  <c r="E8" i="4"/>
  <c r="C8" i="4"/>
  <c r="B8" i="4"/>
  <c r="W7" i="4"/>
  <c r="P7" i="4"/>
  <c r="O7" i="4"/>
  <c r="I7" i="4"/>
  <c r="G7" i="4"/>
  <c r="F7" i="4"/>
  <c r="H7" i="4" s="1"/>
  <c r="E7" i="4"/>
  <c r="C7" i="4"/>
  <c r="B7" i="4"/>
  <c r="W6" i="4"/>
  <c r="P6" i="4"/>
  <c r="O6" i="4"/>
  <c r="I6" i="4"/>
  <c r="G6" i="4"/>
  <c r="F6" i="4"/>
  <c r="H6" i="4" s="1"/>
  <c r="E6" i="4"/>
  <c r="C6" i="4"/>
  <c r="B6" i="4"/>
  <c r="W5" i="4"/>
  <c r="P5" i="4"/>
  <c r="O5" i="4"/>
  <c r="I5" i="4"/>
  <c r="G5" i="4"/>
  <c r="F5" i="4"/>
  <c r="H5" i="4" s="1"/>
  <c r="E5" i="4"/>
  <c r="C5" i="4"/>
  <c r="B5" i="4"/>
  <c r="V1965" i="7" l="1"/>
  <c r="V1964" i="7"/>
  <c r="V1963" i="7"/>
  <c r="V1962" i="7"/>
  <c r="V1961" i="7"/>
  <c r="V1960" i="7"/>
  <c r="AA1959" i="7"/>
  <c r="V1959" i="7"/>
  <c r="V1958" i="7"/>
  <c r="V1957" i="7"/>
  <c r="V1955" i="7"/>
  <c r="V1953" i="7"/>
  <c r="V1951" i="7"/>
  <c r="V1950" i="7"/>
  <c r="V1944" i="7"/>
  <c r="V1943" i="7"/>
  <c r="V1939" i="7"/>
  <c r="V1938" i="7"/>
  <c r="V1917" i="7"/>
  <c r="V1915" i="7"/>
  <c r="V1901" i="7"/>
  <c r="V1817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1" i="7"/>
  <c r="V1790" i="7"/>
  <c r="V1789" i="7"/>
  <c r="V1788" i="7"/>
  <c r="V1787" i="7"/>
  <c r="V1786" i="7"/>
  <c r="V1785" i="7"/>
  <c r="V1784" i="7"/>
  <c r="V1783" i="7"/>
  <c r="V1782" i="7"/>
  <c r="V1781" i="7"/>
  <c r="V1780" i="7"/>
  <c r="V1779" i="7"/>
  <c r="V1778" i="7"/>
  <c r="V1777" i="7"/>
  <c r="V1776" i="7"/>
  <c r="V1775" i="7"/>
  <c r="V1774" i="7"/>
  <c r="V1773" i="7"/>
  <c r="V1772" i="7"/>
  <c r="V1771" i="7"/>
  <c r="V1770" i="7"/>
  <c r="V1769" i="7"/>
  <c r="V1768" i="7"/>
  <c r="V1767" i="7"/>
  <c r="V1766" i="7"/>
  <c r="V1765" i="7"/>
  <c r="V1764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7" i="7"/>
  <c r="V1746" i="7"/>
  <c r="V1745" i="7"/>
  <c r="V1744" i="7"/>
  <c r="V1743" i="7"/>
  <c r="V1742" i="7"/>
  <c r="V1741" i="7"/>
  <c r="V1740" i="7"/>
  <c r="V1739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22" i="7"/>
  <c r="V1721" i="7"/>
  <c r="V1720" i="7"/>
  <c r="V1719" i="7"/>
  <c r="V1718" i="7"/>
  <c r="V1717" i="7"/>
  <c r="V1716" i="7"/>
  <c r="V1715" i="7"/>
  <c r="V1714" i="7"/>
  <c r="V1713" i="7"/>
  <c r="V1712" i="7"/>
  <c r="V1711" i="7"/>
  <c r="V1710" i="7"/>
  <c r="V1709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H53" i="8" s="1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893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313" i="7"/>
  <c r="V1311" i="7"/>
  <c r="V1308" i="7"/>
  <c r="V1306" i="7"/>
  <c r="V1304" i="7"/>
  <c r="V1302" i="7"/>
  <c r="V1300" i="7"/>
  <c r="V1298" i="7"/>
  <c r="V1295" i="7"/>
  <c r="V1293" i="7"/>
  <c r="V1291" i="7"/>
  <c r="V1288" i="7"/>
  <c r="V1287" i="7"/>
  <c r="V1285" i="7"/>
  <c r="V1282" i="7"/>
  <c r="V1280" i="7"/>
  <c r="V1278" i="7"/>
  <c r="V1276" i="7"/>
  <c r="V1274" i="7"/>
  <c r="V1271" i="7"/>
  <c r="V1269" i="7"/>
  <c r="V1936" i="7"/>
  <c r="V1932" i="7"/>
  <c r="AA1922" i="7"/>
  <c r="V1920" i="7"/>
  <c r="V1914" i="7"/>
  <c r="V1900" i="7"/>
  <c r="V1894" i="7"/>
  <c r="V1892" i="7"/>
  <c r="V1837" i="7"/>
  <c r="V1819" i="7"/>
  <c r="V1811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2" i="7"/>
  <c r="V1310" i="7"/>
  <c r="V1309" i="7"/>
  <c r="V1307" i="7"/>
  <c r="V1305" i="7"/>
  <c r="V1303" i="7"/>
  <c r="V1301" i="7"/>
  <c r="V1299" i="7"/>
  <c r="V1297" i="7"/>
  <c r="V1294" i="7"/>
  <c r="V1292" i="7"/>
  <c r="V1290" i="7"/>
  <c r="V1289" i="7"/>
  <c r="V1286" i="7"/>
  <c r="V1284" i="7"/>
  <c r="V1283" i="7"/>
  <c r="V1281" i="7"/>
  <c r="V1279" i="7"/>
  <c r="V1277" i="7"/>
  <c r="V1275" i="7"/>
  <c r="V1273" i="7"/>
  <c r="V1272" i="7"/>
  <c r="V1270" i="7"/>
  <c r="V1268" i="7"/>
  <c r="V1903" i="7"/>
  <c r="V1867" i="7"/>
  <c r="V1866" i="7"/>
  <c r="AA1267" i="7"/>
  <c r="I36" i="8" s="1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3" i="7"/>
  <c r="V1092" i="7"/>
  <c r="V1091" i="7"/>
  <c r="V1090" i="7"/>
  <c r="V1089" i="7"/>
  <c r="V950" i="7"/>
  <c r="V948" i="7"/>
  <c r="V946" i="7"/>
  <c r="V944" i="7"/>
  <c r="V940" i="7"/>
  <c r="V938" i="7"/>
  <c r="V937" i="7"/>
  <c r="V935" i="7"/>
  <c r="V933" i="7"/>
  <c r="V932" i="7"/>
  <c r="V930" i="7"/>
  <c r="V928" i="7"/>
  <c r="V924" i="7"/>
  <c r="V923" i="7"/>
  <c r="V921" i="7"/>
  <c r="V920" i="7"/>
  <c r="V917" i="7"/>
  <c r="V915" i="7"/>
  <c r="V913" i="7"/>
  <c r="V910" i="7"/>
  <c r="H108" i="4"/>
  <c r="J108" i="4" s="1"/>
  <c r="L108" i="4" s="1"/>
  <c r="V1886" i="7"/>
  <c r="V1875" i="7"/>
  <c r="V1851" i="7"/>
  <c r="V1833" i="7"/>
  <c r="V1805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49" i="7"/>
  <c r="V947" i="7"/>
  <c r="V945" i="7"/>
  <c r="V943" i="7"/>
  <c r="V941" i="7"/>
  <c r="V939" i="7"/>
  <c r="V936" i="7"/>
  <c r="V934" i="7"/>
  <c r="V931" i="7"/>
  <c r="V929" i="7"/>
  <c r="V927" i="7"/>
  <c r="V925" i="7"/>
  <c r="V922" i="7"/>
  <c r="V919" i="7"/>
  <c r="V918" i="7"/>
  <c r="V916" i="7"/>
  <c r="V914" i="7"/>
  <c r="V912" i="7"/>
  <c r="V911" i="7"/>
  <c r="V732" i="7"/>
  <c r="V22" i="7"/>
  <c r="V19" i="7"/>
  <c r="V1910" i="7"/>
  <c r="V1858" i="7"/>
  <c r="V1847" i="7"/>
  <c r="V1815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3" i="7"/>
  <c r="V21" i="7"/>
  <c r="H17" i="8" s="1"/>
  <c r="V17" i="7"/>
  <c r="V16" i="7"/>
  <c r="V729" i="7"/>
  <c r="AB728" i="7"/>
  <c r="AC728" i="7" s="1"/>
  <c r="AF728" i="7" s="1"/>
  <c r="AG728" i="7" s="1"/>
  <c r="X728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1934" i="7"/>
  <c r="V1890" i="7"/>
  <c r="V1881" i="7"/>
  <c r="V1878" i="7"/>
  <c r="V551" i="7"/>
  <c r="V550" i="7"/>
  <c r="V549" i="7"/>
  <c r="V548" i="7"/>
  <c r="V547" i="7"/>
  <c r="V546" i="7"/>
  <c r="X545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H18" i="8" s="1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H34" i="8" s="1"/>
  <c r="V410" i="7"/>
  <c r="V409" i="7"/>
  <c r="V408" i="7"/>
  <c r="V407" i="7"/>
  <c r="H35" i="8" s="1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18" i="7"/>
  <c r="V1850" i="7"/>
  <c r="V372" i="7"/>
  <c r="V371" i="7"/>
  <c r="V370" i="7"/>
  <c r="V369" i="7"/>
  <c r="V368" i="7"/>
  <c r="V367" i="7"/>
  <c r="V366" i="7"/>
  <c r="V365" i="7"/>
  <c r="V364" i="7"/>
  <c r="V363" i="7"/>
  <c r="X362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25" i="7"/>
  <c r="V24" i="7"/>
  <c r="I37" i="8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I21" i="8"/>
  <c r="V1956" i="7"/>
  <c r="V1954" i="7"/>
  <c r="V1952" i="7"/>
  <c r="V1949" i="7"/>
  <c r="V1947" i="7"/>
  <c r="V1946" i="7"/>
  <c r="V1945" i="7"/>
  <c r="V1942" i="7"/>
  <c r="V1941" i="7"/>
  <c r="V1929" i="7"/>
  <c r="AA1900" i="7"/>
  <c r="I38" i="8" s="1"/>
  <c r="V1873" i="7"/>
  <c r="V1834" i="7"/>
  <c r="V1829" i="7"/>
  <c r="V1821" i="7"/>
  <c r="V1816" i="7"/>
  <c r="AA15" i="7"/>
  <c r="V15" i="7"/>
  <c r="V14" i="7"/>
  <c r="V13" i="7"/>
  <c r="V12" i="7"/>
  <c r="V11" i="7"/>
  <c r="V10" i="7"/>
  <c r="I28" i="8"/>
  <c r="V9" i="7"/>
  <c r="V8" i="7"/>
  <c r="V7" i="7"/>
  <c r="I27" i="8"/>
  <c r="V6" i="7"/>
  <c r="V5" i="7"/>
  <c r="V1828" i="7"/>
  <c r="AE1460" i="7"/>
  <c r="AD1460" i="7"/>
  <c r="AE1277" i="7"/>
  <c r="AD1277" i="7"/>
  <c r="AE1094" i="7"/>
  <c r="AD1094" i="7"/>
  <c r="AE911" i="7"/>
  <c r="AD911" i="7"/>
  <c r="AE728" i="7"/>
  <c r="AD728" i="7"/>
  <c r="AE545" i="7"/>
  <c r="AD545" i="7"/>
  <c r="AE362" i="7"/>
  <c r="AF362" i="7" s="1"/>
  <c r="AG362" i="7" s="1"/>
  <c r="AD362" i="7"/>
  <c r="AH362" i="7" s="1"/>
  <c r="AE179" i="7"/>
  <c r="AD179" i="7"/>
  <c r="N34" i="9"/>
  <c r="M34" i="9"/>
  <c r="J34" i="9"/>
  <c r="N33" i="9"/>
  <c r="M33" i="9"/>
  <c r="J33" i="9"/>
  <c r="N32" i="9"/>
  <c r="M32" i="9"/>
  <c r="J32" i="9"/>
  <c r="J31" i="9"/>
  <c r="N31" i="9"/>
  <c r="M31" i="9"/>
  <c r="N30" i="9"/>
  <c r="J30" i="9"/>
  <c r="M30" i="9"/>
  <c r="M29" i="9"/>
  <c r="J29" i="9"/>
  <c r="N29" i="9"/>
  <c r="N28" i="9"/>
  <c r="M28" i="9"/>
  <c r="J28" i="9"/>
  <c r="J27" i="9"/>
  <c r="M27" i="9"/>
  <c r="N27" i="9"/>
  <c r="J26" i="9"/>
  <c r="M26" i="9"/>
  <c r="N26" i="9"/>
  <c r="N25" i="9"/>
  <c r="M25" i="9"/>
  <c r="J25" i="9"/>
  <c r="N24" i="9"/>
  <c r="M24" i="9"/>
  <c r="J24" i="9"/>
  <c r="N23" i="9"/>
  <c r="M23" i="9"/>
  <c r="J23" i="9"/>
  <c r="M22" i="9"/>
  <c r="J22" i="9"/>
  <c r="N22" i="9"/>
  <c r="M21" i="9"/>
  <c r="N21" i="9"/>
  <c r="J21" i="9"/>
  <c r="M20" i="9"/>
  <c r="N20" i="9"/>
  <c r="J20" i="9"/>
  <c r="N19" i="9"/>
  <c r="M19" i="9"/>
  <c r="J19" i="9"/>
  <c r="M18" i="9"/>
  <c r="N18" i="9"/>
  <c r="J18" i="9"/>
  <c r="N17" i="9"/>
  <c r="M17" i="9"/>
  <c r="J17" i="9"/>
  <c r="J16" i="9"/>
  <c r="M16" i="9"/>
  <c r="N16" i="9"/>
  <c r="N15" i="9"/>
  <c r="M15" i="9"/>
  <c r="J15" i="9"/>
  <c r="M14" i="9"/>
  <c r="J14" i="9"/>
  <c r="N14" i="9"/>
  <c r="M13" i="9"/>
  <c r="N13" i="9"/>
  <c r="J13" i="9"/>
  <c r="J12" i="9"/>
  <c r="M12" i="9"/>
  <c r="N12" i="9"/>
  <c r="M11" i="9"/>
  <c r="N11" i="9"/>
  <c r="J11" i="9"/>
  <c r="J10" i="9"/>
  <c r="N10" i="9"/>
  <c r="M10" i="9"/>
  <c r="J9" i="9"/>
  <c r="N9" i="9"/>
  <c r="M9" i="9"/>
  <c r="J8" i="9"/>
  <c r="M8" i="9"/>
  <c r="N8" i="9"/>
  <c r="N7" i="9"/>
  <c r="M7" i="9"/>
  <c r="J7" i="9"/>
  <c r="J6" i="9"/>
  <c r="M6" i="9"/>
  <c r="N6" i="9"/>
  <c r="N5" i="9"/>
  <c r="M5" i="9"/>
  <c r="J5" i="9"/>
  <c r="X1965" i="7"/>
  <c r="AB1965" i="7"/>
  <c r="AC1965" i="7" s="1"/>
  <c r="AD1965" i="7"/>
  <c r="AH1965" i="7" s="1"/>
  <c r="AE1965" i="7"/>
  <c r="AB1964" i="7"/>
  <c r="AC1964" i="7"/>
  <c r="X1964" i="7"/>
  <c r="AE1964" i="7"/>
  <c r="AD1964" i="7"/>
  <c r="AH1964" i="7" s="1"/>
  <c r="AB1963" i="7"/>
  <c r="X1963" i="7"/>
  <c r="AC1963" i="7"/>
  <c r="AE1963" i="7"/>
  <c r="AD1963" i="7"/>
  <c r="AH1963" i="7" s="1"/>
  <c r="X1962" i="7"/>
  <c r="AB1962" i="7"/>
  <c r="AC1962" i="7"/>
  <c r="AD1962" i="7"/>
  <c r="AH1962" i="7" s="1"/>
  <c r="AE1962" i="7"/>
  <c r="AB1961" i="7"/>
  <c r="X1961" i="7"/>
  <c r="AC1961" i="7"/>
  <c r="AE1961" i="7"/>
  <c r="AD1961" i="7"/>
  <c r="AH1961" i="7" s="1"/>
  <c r="X1960" i="7"/>
  <c r="AB1960" i="7"/>
  <c r="AC1960" i="7" s="1"/>
  <c r="AD1960" i="7"/>
  <c r="AH1960" i="7" s="1"/>
  <c r="AE1960" i="7"/>
  <c r="AB1959" i="7"/>
  <c r="AC1959" i="7"/>
  <c r="X1959" i="7"/>
  <c r="AD1959" i="7"/>
  <c r="AH1959" i="7" s="1"/>
  <c r="AE1959" i="7"/>
  <c r="AB1958" i="7"/>
  <c r="X1958" i="7"/>
  <c r="AC1958" i="7"/>
  <c r="AE1958" i="7"/>
  <c r="AD1958" i="7"/>
  <c r="AH1958" i="7" s="1"/>
  <c r="AB1957" i="7"/>
  <c r="AC1957" i="7" s="1"/>
  <c r="X1957" i="7"/>
  <c r="AD1957" i="7"/>
  <c r="AH1957" i="7" s="1"/>
  <c r="AE1957" i="7"/>
  <c r="X1956" i="7"/>
  <c r="AB1956" i="7"/>
  <c r="AC1956" i="7"/>
  <c r="AE1956" i="7"/>
  <c r="AD1956" i="7"/>
  <c r="AH1956" i="7" s="1"/>
  <c r="AB1955" i="7"/>
  <c r="X1955" i="7"/>
  <c r="AC1955" i="7"/>
  <c r="AD1955" i="7"/>
  <c r="AH1955" i="7" s="1"/>
  <c r="AE1955" i="7"/>
  <c r="X1954" i="7"/>
  <c r="AB1954" i="7"/>
  <c r="AC1954" i="7"/>
  <c r="AD1954" i="7"/>
  <c r="AH1954" i="7" s="1"/>
  <c r="AE1954" i="7"/>
  <c r="X1953" i="7"/>
  <c r="AB1953" i="7"/>
  <c r="AC1953" i="7"/>
  <c r="AD1953" i="7"/>
  <c r="AH1953" i="7" s="1"/>
  <c r="AE1953" i="7"/>
  <c r="AB1952" i="7"/>
  <c r="AC1952" i="7" s="1"/>
  <c r="X1952" i="7"/>
  <c r="AE1952" i="7"/>
  <c r="AD1952" i="7"/>
  <c r="AH1952" i="7" s="1"/>
  <c r="X1951" i="7"/>
  <c r="AB1951" i="7"/>
  <c r="AC1951" i="7" s="1"/>
  <c r="AE1951" i="7"/>
  <c r="AD1951" i="7"/>
  <c r="AH1951" i="7" s="1"/>
  <c r="X1950" i="7"/>
  <c r="AB1950" i="7"/>
  <c r="AC1950" i="7" s="1"/>
  <c r="AD1950" i="7"/>
  <c r="AH1950" i="7" s="1"/>
  <c r="AE1950" i="7"/>
  <c r="AB1949" i="7"/>
  <c r="AC1949" i="7" s="1"/>
  <c r="X1949" i="7"/>
  <c r="AE1949" i="7"/>
  <c r="AD1949" i="7"/>
  <c r="AH1949" i="7" s="1"/>
  <c r="X1948" i="7"/>
  <c r="AB1948" i="7"/>
  <c r="AC1948" i="7" s="1"/>
  <c r="AE1948" i="7"/>
  <c r="AD1948" i="7"/>
  <c r="AH1948" i="7" s="1"/>
  <c r="AB1947" i="7"/>
  <c r="AC1947" i="7" s="1"/>
  <c r="X1947" i="7"/>
  <c r="AE1947" i="7"/>
  <c r="AD1947" i="7"/>
  <c r="AH1947" i="7" s="1"/>
  <c r="AB1946" i="7"/>
  <c r="AC1946" i="7" s="1"/>
  <c r="X1946" i="7"/>
  <c r="AE1946" i="7"/>
  <c r="AD1946" i="7"/>
  <c r="AH1946" i="7" s="1"/>
  <c r="AB1945" i="7"/>
  <c r="AC1945" i="7" s="1"/>
  <c r="X1945" i="7"/>
  <c r="AD1945" i="7"/>
  <c r="AH1945" i="7" s="1"/>
  <c r="AE1945" i="7"/>
  <c r="AB1944" i="7"/>
  <c r="AC1944" i="7" s="1"/>
  <c r="X1944" i="7"/>
  <c r="AD1944" i="7"/>
  <c r="AH1944" i="7" s="1"/>
  <c r="AE1944" i="7"/>
  <c r="X1943" i="7"/>
  <c r="AB1943" i="7"/>
  <c r="AC1943" i="7"/>
  <c r="AE1943" i="7"/>
  <c r="AD1943" i="7"/>
  <c r="AH1943" i="7" s="1"/>
  <c r="AB1942" i="7"/>
  <c r="X1942" i="7"/>
  <c r="AC1942" i="7"/>
  <c r="G14" i="9"/>
  <c r="AD1942" i="7"/>
  <c r="AH1942" i="7" s="1"/>
  <c r="AE1942" i="7"/>
  <c r="X1941" i="7"/>
  <c r="AB1941" i="7"/>
  <c r="AC1941" i="7" s="1"/>
  <c r="AD1941" i="7"/>
  <c r="AH1941" i="7" s="1"/>
  <c r="AE1941" i="7"/>
  <c r="X1940" i="7"/>
  <c r="AB1940" i="7"/>
  <c r="AC1940" i="7"/>
  <c r="AE1940" i="7"/>
  <c r="AD1940" i="7"/>
  <c r="AH1940" i="7" s="1"/>
  <c r="AB1939" i="7"/>
  <c r="AC1939" i="7" s="1"/>
  <c r="X1939" i="7"/>
  <c r="AD1939" i="7"/>
  <c r="AH1939" i="7" s="1"/>
  <c r="AE1939" i="7"/>
  <c r="AB1938" i="7"/>
  <c r="AC1938" i="7" s="1"/>
  <c r="X1938" i="7"/>
  <c r="AD1938" i="7"/>
  <c r="AH1938" i="7" s="1"/>
  <c r="AE1938" i="7"/>
  <c r="AB1937" i="7"/>
  <c r="AC1937" i="7" s="1"/>
  <c r="X1937" i="7"/>
  <c r="AD1937" i="7"/>
  <c r="AH1937" i="7" s="1"/>
  <c r="AE1937" i="7"/>
  <c r="X1936" i="7"/>
  <c r="AB1936" i="7"/>
  <c r="AC1936" i="7" s="1"/>
  <c r="AD1936" i="7"/>
  <c r="AH1936" i="7" s="1"/>
  <c r="AE1936" i="7"/>
  <c r="X1935" i="7"/>
  <c r="AB1935" i="7"/>
  <c r="AC1935" i="7" s="1"/>
  <c r="AE1935" i="7"/>
  <c r="AD1935" i="7"/>
  <c r="AH1935" i="7" s="1"/>
  <c r="X1934" i="7"/>
  <c r="G12" i="9"/>
  <c r="AB1934" i="7"/>
  <c r="AC1934" i="7" s="1"/>
  <c r="AE1934" i="7"/>
  <c r="AD1934" i="7"/>
  <c r="AH1934" i="7" s="1"/>
  <c r="AB1933" i="7"/>
  <c r="AC1933" i="7" s="1"/>
  <c r="X1933" i="7"/>
  <c r="AE1933" i="7"/>
  <c r="AD1933" i="7"/>
  <c r="AH1933" i="7" s="1"/>
  <c r="AB1932" i="7"/>
  <c r="AC1932" i="7" s="1"/>
  <c r="X1932" i="7"/>
  <c r="AD1932" i="7"/>
  <c r="AH1932" i="7" s="1"/>
  <c r="AE1932" i="7"/>
  <c r="X1931" i="7"/>
  <c r="AB1931" i="7"/>
  <c r="AC1931" i="7" s="1"/>
  <c r="AE1931" i="7"/>
  <c r="AD1931" i="7"/>
  <c r="AH1931" i="7" s="1"/>
  <c r="X1930" i="7"/>
  <c r="AB1930" i="7"/>
  <c r="AC1930" i="7" s="1"/>
  <c r="AE1930" i="7"/>
  <c r="AD1930" i="7"/>
  <c r="AH1930" i="7" s="1"/>
  <c r="X1929" i="7"/>
  <c r="AB1929" i="7"/>
  <c r="AC1929" i="7" s="1"/>
  <c r="AD1929" i="7"/>
  <c r="AH1929" i="7" s="1"/>
  <c r="AE1929" i="7"/>
  <c r="AB1928" i="7"/>
  <c r="AC1928" i="7" s="1"/>
  <c r="X1928" i="7"/>
  <c r="AD1928" i="7"/>
  <c r="AH1928" i="7" s="1"/>
  <c r="AE1928" i="7"/>
  <c r="AB1927" i="7"/>
  <c r="AC1927" i="7" s="1"/>
  <c r="X1927" i="7"/>
  <c r="G15" i="9"/>
  <c r="AE1927" i="7"/>
  <c r="AD1927" i="7"/>
  <c r="AH1927" i="7" s="1"/>
  <c r="AB1926" i="7"/>
  <c r="AC1926" i="7" s="1"/>
  <c r="X1926" i="7"/>
  <c r="AD1926" i="7"/>
  <c r="AH1926" i="7" s="1"/>
  <c r="AE1926" i="7"/>
  <c r="AB1925" i="7"/>
  <c r="AC1925" i="7"/>
  <c r="X1925" i="7"/>
  <c r="AE1925" i="7"/>
  <c r="AD1925" i="7"/>
  <c r="AH1925" i="7" s="1"/>
  <c r="X1924" i="7"/>
  <c r="AB1924" i="7"/>
  <c r="AC1924" i="7" s="1"/>
  <c r="AD1924" i="7"/>
  <c r="AH1924" i="7" s="1"/>
  <c r="AE1924" i="7"/>
  <c r="AB1923" i="7"/>
  <c r="AC1923" i="7"/>
  <c r="X1923" i="7"/>
  <c r="AD1923" i="7"/>
  <c r="AH1923" i="7" s="1"/>
  <c r="AE1923" i="7"/>
  <c r="AB1922" i="7"/>
  <c r="X1922" i="7"/>
  <c r="AC1922" i="7"/>
  <c r="AE1922" i="7"/>
  <c r="AD1922" i="7"/>
  <c r="AH1922" i="7" s="1"/>
  <c r="AB1921" i="7"/>
  <c r="X1921" i="7"/>
  <c r="AC1921" i="7"/>
  <c r="AE1921" i="7"/>
  <c r="AD1921" i="7"/>
  <c r="AH1921" i="7" s="1"/>
  <c r="X1920" i="7"/>
  <c r="AB1920" i="7"/>
  <c r="AC1920" i="7" s="1"/>
  <c r="AE1920" i="7"/>
  <c r="AD1920" i="7"/>
  <c r="AH1920" i="7" s="1"/>
  <c r="X1919" i="7"/>
  <c r="AB1919" i="7"/>
  <c r="AC1919" i="7" s="1"/>
  <c r="AE1919" i="7"/>
  <c r="AD1919" i="7"/>
  <c r="AH1919" i="7" s="1"/>
  <c r="AB1918" i="7"/>
  <c r="AC1918" i="7" s="1"/>
  <c r="X1918" i="7"/>
  <c r="AE1918" i="7"/>
  <c r="AD1918" i="7"/>
  <c r="AH1918" i="7" s="1"/>
  <c r="AB1917" i="7"/>
  <c r="AC1917" i="7" s="1"/>
  <c r="X1917" i="7"/>
  <c r="AE1917" i="7"/>
  <c r="AD1917" i="7"/>
  <c r="AH1917" i="7" s="1"/>
  <c r="G30" i="9"/>
  <c r="X1916" i="7"/>
  <c r="AB1916" i="7"/>
  <c r="AC1916" i="7" s="1"/>
  <c r="AD1916" i="7"/>
  <c r="AH1916" i="7" s="1"/>
  <c r="AE1916" i="7"/>
  <c r="AB1915" i="7"/>
  <c r="AC1915" i="7" s="1"/>
  <c r="X1915" i="7"/>
  <c r="AE1915" i="7"/>
  <c r="AD1915" i="7"/>
  <c r="AH1915" i="7" s="1"/>
  <c r="AB1914" i="7"/>
  <c r="AC1914" i="7" s="1"/>
  <c r="X1914" i="7"/>
  <c r="AD1914" i="7"/>
  <c r="AH1914" i="7" s="1"/>
  <c r="AE1914" i="7"/>
  <c r="X1913" i="7"/>
  <c r="AB1913" i="7"/>
  <c r="AC1913" i="7" s="1"/>
  <c r="AE1913" i="7"/>
  <c r="AD1913" i="7"/>
  <c r="AH1913" i="7" s="1"/>
  <c r="AB1912" i="7"/>
  <c r="AC1912" i="7" s="1"/>
  <c r="X1912" i="7"/>
  <c r="AE1912" i="7"/>
  <c r="AD1912" i="7"/>
  <c r="AH1912" i="7" s="1"/>
  <c r="X1911" i="7"/>
  <c r="AB1911" i="7"/>
  <c r="AC1911" i="7" s="1"/>
  <c r="AD1911" i="7"/>
  <c r="AH1911" i="7" s="1"/>
  <c r="AE1911" i="7"/>
  <c r="AB1910" i="7"/>
  <c r="X1910" i="7"/>
  <c r="AC1910" i="7"/>
  <c r="AD1910" i="7"/>
  <c r="AH1910" i="7" s="1"/>
  <c r="AE1910" i="7"/>
  <c r="AB1909" i="7"/>
  <c r="AC1909" i="7" s="1"/>
  <c r="X1909" i="7"/>
  <c r="AE1909" i="7"/>
  <c r="AD1909" i="7"/>
  <c r="AH1909" i="7" s="1"/>
  <c r="AB1908" i="7"/>
  <c r="AC1908" i="7" s="1"/>
  <c r="X1908" i="7"/>
  <c r="AD1908" i="7"/>
  <c r="AH1908" i="7" s="1"/>
  <c r="AE1908" i="7"/>
  <c r="AB1907" i="7"/>
  <c r="AC1907" i="7" s="1"/>
  <c r="X1907" i="7"/>
  <c r="AE1907" i="7"/>
  <c r="AD1907" i="7"/>
  <c r="AH1907" i="7" s="1"/>
  <c r="AB1906" i="7"/>
  <c r="AC1906" i="7" s="1"/>
  <c r="X1906" i="7"/>
  <c r="AE1906" i="7"/>
  <c r="AD1906" i="7"/>
  <c r="AH1906" i="7" s="1"/>
  <c r="X1905" i="7"/>
  <c r="AB1905" i="7"/>
  <c r="AC1905" i="7" s="1"/>
  <c r="AD1905" i="7"/>
  <c r="AH1905" i="7" s="1"/>
  <c r="AE1905" i="7"/>
  <c r="AB1904" i="7"/>
  <c r="AC1904" i="7" s="1"/>
  <c r="X1904" i="7"/>
  <c r="AE1904" i="7"/>
  <c r="AD1904" i="7"/>
  <c r="AH1904" i="7" s="1"/>
  <c r="AB1903" i="7"/>
  <c r="AC1903" i="7" s="1"/>
  <c r="X1903" i="7"/>
  <c r="AE1903" i="7"/>
  <c r="AD1903" i="7"/>
  <c r="AH1903" i="7" s="1"/>
  <c r="AB1902" i="7"/>
  <c r="X1902" i="7"/>
  <c r="AC1902" i="7"/>
  <c r="G17" i="9"/>
  <c r="AD1902" i="7"/>
  <c r="AH1902" i="7" s="1"/>
  <c r="AE1902" i="7"/>
  <c r="AB1901" i="7"/>
  <c r="AC1901" i="7" s="1"/>
  <c r="X1901" i="7"/>
  <c r="AE1901" i="7"/>
  <c r="AD1901" i="7"/>
  <c r="AH1901" i="7" s="1"/>
  <c r="AB1900" i="7"/>
  <c r="AC1900" i="7" s="1"/>
  <c r="X1900" i="7"/>
  <c r="AE1900" i="7"/>
  <c r="AD1900" i="7"/>
  <c r="AH1900" i="7" s="1"/>
  <c r="AB1899" i="7"/>
  <c r="AC1899" i="7" s="1"/>
  <c r="X1899" i="7"/>
  <c r="AD1899" i="7"/>
  <c r="AH1899" i="7" s="1"/>
  <c r="AE1899" i="7"/>
  <c r="AB1898" i="7"/>
  <c r="AC1898" i="7" s="1"/>
  <c r="X1898" i="7"/>
  <c r="AE1898" i="7"/>
  <c r="AD1898" i="7"/>
  <c r="AH1898" i="7" s="1"/>
  <c r="AB1897" i="7"/>
  <c r="X1897" i="7"/>
  <c r="AC1897" i="7"/>
  <c r="AE1897" i="7"/>
  <c r="AD1897" i="7"/>
  <c r="AH1897" i="7" s="1"/>
  <c r="X1896" i="7"/>
  <c r="AB1896" i="7"/>
  <c r="AC1896" i="7" s="1"/>
  <c r="AE1896" i="7"/>
  <c r="AD1896" i="7"/>
  <c r="AH1896" i="7" s="1"/>
  <c r="AB1895" i="7"/>
  <c r="X1895" i="7"/>
  <c r="AC1895" i="7"/>
  <c r="AD1895" i="7"/>
  <c r="AH1895" i="7" s="1"/>
  <c r="AE1895" i="7"/>
  <c r="AB1894" i="7"/>
  <c r="AC1894" i="7" s="1"/>
  <c r="X1894" i="7"/>
  <c r="AE1894" i="7"/>
  <c r="AD1894" i="7"/>
  <c r="AH1894" i="7" s="1"/>
  <c r="X1893" i="7"/>
  <c r="AB1893" i="7"/>
  <c r="AC1893" i="7" s="1"/>
  <c r="AE1893" i="7"/>
  <c r="AD1893" i="7"/>
  <c r="AH1893" i="7" s="1"/>
  <c r="X1892" i="7"/>
  <c r="AB1892" i="7"/>
  <c r="AC1892" i="7" s="1"/>
  <c r="AE1892" i="7"/>
  <c r="AD1892" i="7"/>
  <c r="AH1892" i="7" s="1"/>
  <c r="AB1891" i="7"/>
  <c r="AC1891" i="7" s="1"/>
  <c r="X1891" i="7"/>
  <c r="AD1891" i="7"/>
  <c r="AH1891" i="7" s="1"/>
  <c r="AE1891" i="7"/>
  <c r="X1890" i="7"/>
  <c r="AB1890" i="7"/>
  <c r="AC1890" i="7" s="1"/>
  <c r="AE1890" i="7"/>
  <c r="AD1890" i="7"/>
  <c r="AH1890" i="7" s="1"/>
  <c r="X1889" i="7"/>
  <c r="AB1889" i="7"/>
  <c r="AC1889" i="7" s="1"/>
  <c r="AD1889" i="7"/>
  <c r="AH1889" i="7" s="1"/>
  <c r="AE1889" i="7"/>
  <c r="AB1888" i="7"/>
  <c r="AC1888" i="7" s="1"/>
  <c r="X1888" i="7"/>
  <c r="AD1888" i="7"/>
  <c r="AH1888" i="7" s="1"/>
  <c r="AE1888" i="7"/>
  <c r="G11" i="9"/>
  <c r="X1887" i="7"/>
  <c r="AB1887" i="7"/>
  <c r="AC1887" i="7" s="1"/>
  <c r="AD1887" i="7"/>
  <c r="AH1887" i="7" s="1"/>
  <c r="AE1887" i="7"/>
  <c r="X1886" i="7"/>
  <c r="AB1886" i="7"/>
  <c r="AC1886" i="7"/>
  <c r="AD1886" i="7"/>
  <c r="AH1886" i="7" s="1"/>
  <c r="AE1886" i="7"/>
  <c r="AB1885" i="7"/>
  <c r="AC1885" i="7"/>
  <c r="X1885" i="7"/>
  <c r="AE1885" i="7"/>
  <c r="AD1885" i="7"/>
  <c r="AH1885" i="7" s="1"/>
  <c r="X1884" i="7"/>
  <c r="AB1884" i="7"/>
  <c r="AC1884" i="7" s="1"/>
  <c r="AE1884" i="7"/>
  <c r="AD1884" i="7"/>
  <c r="AH1884" i="7" s="1"/>
  <c r="AB1883" i="7"/>
  <c r="AC1883" i="7"/>
  <c r="X1883" i="7"/>
  <c r="AE1883" i="7"/>
  <c r="AD1883" i="7"/>
  <c r="AH1883" i="7" s="1"/>
  <c r="X1882" i="7"/>
  <c r="AB1882" i="7"/>
  <c r="AC1882" i="7" s="1"/>
  <c r="AD1882" i="7"/>
  <c r="AH1882" i="7" s="1"/>
  <c r="AE1882" i="7"/>
  <c r="AB1881" i="7"/>
  <c r="AC1881" i="7" s="1"/>
  <c r="X1881" i="7"/>
  <c r="AE1881" i="7"/>
  <c r="AD1881" i="7"/>
  <c r="AH1881" i="7" s="1"/>
  <c r="AB1880" i="7"/>
  <c r="AC1880" i="7" s="1"/>
  <c r="X1880" i="7"/>
  <c r="AD1880" i="7"/>
  <c r="AH1880" i="7" s="1"/>
  <c r="AE1880" i="7"/>
  <c r="X1879" i="7"/>
  <c r="AB1879" i="7"/>
  <c r="AC1879" i="7" s="1"/>
  <c r="AD1879" i="7"/>
  <c r="AH1879" i="7" s="1"/>
  <c r="AE1879" i="7"/>
  <c r="AB1878" i="7"/>
  <c r="AC1878" i="7" s="1"/>
  <c r="X1878" i="7"/>
  <c r="AD1878" i="7"/>
  <c r="AH1878" i="7" s="1"/>
  <c r="AE1878" i="7"/>
  <c r="AB1877" i="7"/>
  <c r="X1877" i="7"/>
  <c r="AC1877" i="7"/>
  <c r="G28" i="9"/>
  <c r="AE1877" i="7"/>
  <c r="AD1877" i="7"/>
  <c r="AH1877" i="7" s="1"/>
  <c r="AB1876" i="7"/>
  <c r="AC1876" i="7"/>
  <c r="X1876" i="7"/>
  <c r="AE1876" i="7"/>
  <c r="AD1876" i="7"/>
  <c r="AH1876" i="7" s="1"/>
  <c r="B21" i="8"/>
  <c r="X1875" i="7"/>
  <c r="AB1875" i="7"/>
  <c r="AC1875" i="7" s="1"/>
  <c r="AE1875" i="7"/>
  <c r="AD1875" i="7"/>
  <c r="AH1875" i="7" s="1"/>
  <c r="X1874" i="7"/>
  <c r="AB1874" i="7"/>
  <c r="AC1874" i="7"/>
  <c r="AE1874" i="7"/>
  <c r="AD1874" i="7"/>
  <c r="AH1874" i="7" s="1"/>
  <c r="X1873" i="7"/>
  <c r="AB1873" i="7"/>
  <c r="AC1873" i="7" s="1"/>
  <c r="AD1873" i="7"/>
  <c r="AH1873" i="7" s="1"/>
  <c r="AE1873" i="7"/>
  <c r="X1872" i="7"/>
  <c r="AB1872" i="7"/>
  <c r="AC1872" i="7" s="1"/>
  <c r="AD1872" i="7"/>
  <c r="AH1872" i="7" s="1"/>
  <c r="AE1872" i="7"/>
  <c r="AB1871" i="7"/>
  <c r="AC1871" i="7" s="1"/>
  <c r="X1871" i="7"/>
  <c r="AE1871" i="7"/>
  <c r="AD1871" i="7"/>
  <c r="AH1871" i="7" s="1"/>
  <c r="X1870" i="7"/>
  <c r="AB1870" i="7"/>
  <c r="AC1870" i="7" s="1"/>
  <c r="AE1870" i="7"/>
  <c r="AD1870" i="7"/>
  <c r="AH1870" i="7" s="1"/>
  <c r="X1869" i="7"/>
  <c r="AB1869" i="7"/>
  <c r="AC1869" i="7" s="1"/>
  <c r="AD1869" i="7"/>
  <c r="AH1869" i="7" s="1"/>
  <c r="AE1869" i="7"/>
  <c r="X1868" i="7"/>
  <c r="AB1868" i="7"/>
  <c r="AC1868" i="7" s="1"/>
  <c r="AE1868" i="7"/>
  <c r="AD1868" i="7"/>
  <c r="AH1868" i="7" s="1"/>
  <c r="AB1867" i="7"/>
  <c r="AC1867" i="7" s="1"/>
  <c r="X1867" i="7"/>
  <c r="AE1867" i="7"/>
  <c r="AD1867" i="7"/>
  <c r="AH1867" i="7" s="1"/>
  <c r="X1866" i="7"/>
  <c r="AB1866" i="7"/>
  <c r="AC1866" i="7" s="1"/>
  <c r="AD1866" i="7"/>
  <c r="AH1866" i="7" s="1"/>
  <c r="AE1866" i="7"/>
  <c r="AB1865" i="7"/>
  <c r="AC1865" i="7" s="1"/>
  <c r="X1865" i="7"/>
  <c r="AD1865" i="7"/>
  <c r="AH1865" i="7" s="1"/>
  <c r="AE1865" i="7"/>
  <c r="X1864" i="7"/>
  <c r="AB1864" i="7"/>
  <c r="AC1864" i="7" s="1"/>
  <c r="AD1864" i="7"/>
  <c r="AH1864" i="7" s="1"/>
  <c r="AE1864" i="7"/>
  <c r="X1863" i="7"/>
  <c r="AB1863" i="7"/>
  <c r="AC1863" i="7" s="1"/>
  <c r="G10" i="9"/>
  <c r="AD1863" i="7"/>
  <c r="AH1863" i="7" s="1"/>
  <c r="AE1863" i="7"/>
  <c r="X1862" i="7"/>
  <c r="AB1862" i="7"/>
  <c r="AC1862" i="7" s="1"/>
  <c r="AE1862" i="7"/>
  <c r="AD1862" i="7"/>
  <c r="AH1862" i="7" s="1"/>
  <c r="X1861" i="7"/>
  <c r="AB1861" i="7"/>
  <c r="AC1861" i="7" s="1"/>
  <c r="AD1861" i="7"/>
  <c r="AH1861" i="7" s="1"/>
  <c r="AE1861" i="7"/>
  <c r="X1860" i="7"/>
  <c r="AB1860" i="7"/>
  <c r="AC1860" i="7" s="1"/>
  <c r="AD1860" i="7"/>
  <c r="AH1860" i="7" s="1"/>
  <c r="AE1860" i="7"/>
  <c r="X1859" i="7"/>
  <c r="AB1859" i="7"/>
  <c r="AC1859" i="7" s="1"/>
  <c r="AE1859" i="7"/>
  <c r="AD1859" i="7"/>
  <c r="AH1859" i="7" s="1"/>
  <c r="AB1858" i="7"/>
  <c r="AC1858" i="7" s="1"/>
  <c r="X1858" i="7"/>
  <c r="AE1858" i="7"/>
  <c r="AD1858" i="7"/>
  <c r="AH1858" i="7" s="1"/>
  <c r="X1857" i="7"/>
  <c r="AB1857" i="7"/>
  <c r="AC1857" i="7" s="1"/>
  <c r="AE1857" i="7"/>
  <c r="AD1857" i="7"/>
  <c r="AH1857" i="7" s="1"/>
  <c r="AB1856" i="7"/>
  <c r="AC1856" i="7" s="1"/>
  <c r="X1856" i="7"/>
  <c r="AD1856" i="7"/>
  <c r="AH1856" i="7" s="1"/>
  <c r="AE1856" i="7"/>
  <c r="X1855" i="7"/>
  <c r="AB1855" i="7"/>
  <c r="AC1855" i="7" s="1"/>
  <c r="AD1855" i="7"/>
  <c r="AH1855" i="7" s="1"/>
  <c r="AE1855" i="7"/>
  <c r="AB1854" i="7"/>
  <c r="AC1854" i="7" s="1"/>
  <c r="X1854" i="7"/>
  <c r="AE1854" i="7"/>
  <c r="AD1854" i="7"/>
  <c r="AH1854" i="7" s="1"/>
  <c r="X1853" i="7"/>
  <c r="AB1853" i="7"/>
  <c r="AC1853" i="7" s="1"/>
  <c r="AE1853" i="7"/>
  <c r="AD1853" i="7"/>
  <c r="AH1853" i="7" s="1"/>
  <c r="G20" i="9"/>
  <c r="AB1852" i="7"/>
  <c r="AC1852" i="7" s="1"/>
  <c r="X1852" i="7"/>
  <c r="AD1852" i="7"/>
  <c r="AH1852" i="7" s="1"/>
  <c r="AE1852" i="7"/>
  <c r="X1851" i="7"/>
  <c r="AB1851" i="7"/>
  <c r="AC1851" i="7" s="1"/>
  <c r="AD1851" i="7"/>
  <c r="AH1851" i="7" s="1"/>
  <c r="AE1851" i="7"/>
  <c r="X1850" i="7"/>
  <c r="AB1850" i="7"/>
  <c r="AC1850" i="7" s="1"/>
  <c r="AE1850" i="7"/>
  <c r="AD1850" i="7"/>
  <c r="AH1850" i="7" s="1"/>
  <c r="X1849" i="7"/>
  <c r="AB1849" i="7"/>
  <c r="AC1849" i="7" s="1"/>
  <c r="AE1849" i="7"/>
  <c r="AD1849" i="7"/>
  <c r="AH1849" i="7" s="1"/>
  <c r="AB1848" i="7"/>
  <c r="AC1848" i="7" s="1"/>
  <c r="X1848" i="7"/>
  <c r="AE1848" i="7"/>
  <c r="AD1848" i="7"/>
  <c r="AH1848" i="7" s="1"/>
  <c r="AB1847" i="7"/>
  <c r="AC1847" i="7" s="1"/>
  <c r="X1847" i="7"/>
  <c r="AE1847" i="7"/>
  <c r="AD1847" i="7"/>
  <c r="AH1847" i="7" s="1"/>
  <c r="G8" i="9"/>
  <c r="AB1846" i="7"/>
  <c r="AC1846" i="7" s="1"/>
  <c r="X1846" i="7"/>
  <c r="B19" i="8"/>
  <c r="AD1846" i="7"/>
  <c r="AH1846" i="7" s="1"/>
  <c r="AE1846" i="7"/>
  <c r="X1845" i="7"/>
  <c r="AB1845" i="7"/>
  <c r="AC1845" i="7" s="1"/>
  <c r="AD1845" i="7"/>
  <c r="AH1845" i="7" s="1"/>
  <c r="AE1845" i="7"/>
  <c r="AB1844" i="7"/>
  <c r="AC1844" i="7" s="1"/>
  <c r="X1844" i="7"/>
  <c r="AE1844" i="7"/>
  <c r="AD1844" i="7"/>
  <c r="AH1844" i="7" s="1"/>
  <c r="X1843" i="7"/>
  <c r="AB1843" i="7"/>
  <c r="AC1843" i="7" s="1"/>
  <c r="AD1843" i="7"/>
  <c r="AH1843" i="7" s="1"/>
  <c r="AE1843" i="7"/>
  <c r="G29" i="9"/>
  <c r="AB1842" i="7"/>
  <c r="AC1842" i="7" s="1"/>
  <c r="X1842" i="7"/>
  <c r="AE1842" i="7"/>
  <c r="AD1842" i="7"/>
  <c r="AH1842" i="7" s="1"/>
  <c r="G22" i="9"/>
  <c r="X1841" i="7"/>
  <c r="AB1841" i="7"/>
  <c r="AC1841" i="7"/>
  <c r="AE1841" i="7"/>
  <c r="AD1841" i="7"/>
  <c r="AH1841" i="7" s="1"/>
  <c r="AB1840" i="7"/>
  <c r="AC1840" i="7"/>
  <c r="X1840" i="7"/>
  <c r="AE1840" i="7"/>
  <c r="AD1840" i="7"/>
  <c r="AH1840" i="7" s="1"/>
  <c r="X1839" i="7"/>
  <c r="AB1839" i="7"/>
  <c r="AC1839" i="7"/>
  <c r="AD1839" i="7"/>
  <c r="AH1839" i="7" s="1"/>
  <c r="AE1839" i="7"/>
  <c r="X1838" i="7"/>
  <c r="AB1838" i="7"/>
  <c r="AC1838" i="7" s="1"/>
  <c r="AD1838" i="7"/>
  <c r="AH1838" i="7" s="1"/>
  <c r="AE1838" i="7"/>
  <c r="G9" i="9"/>
  <c r="X1837" i="7"/>
  <c r="AB1837" i="7"/>
  <c r="B38" i="8"/>
  <c r="AC1837" i="7"/>
  <c r="AD1837" i="7"/>
  <c r="AH1837" i="7" s="1"/>
  <c r="AE1837" i="7"/>
  <c r="X1836" i="7"/>
  <c r="G26" i="9"/>
  <c r="AB1836" i="7"/>
  <c r="AC1836" i="7"/>
  <c r="AD1836" i="7"/>
  <c r="AH1836" i="7" s="1"/>
  <c r="AE1836" i="7"/>
  <c r="AB1835" i="7"/>
  <c r="X1835" i="7"/>
  <c r="AC1835" i="7"/>
  <c r="B34" i="8"/>
  <c r="AE1835" i="7"/>
  <c r="AD1835" i="7"/>
  <c r="AH1835" i="7" s="1"/>
  <c r="AB1834" i="7"/>
  <c r="AC1834" i="7" s="1"/>
  <c r="X1834" i="7"/>
  <c r="AD1834" i="7"/>
  <c r="AH1834" i="7" s="1"/>
  <c r="AE1834" i="7"/>
  <c r="G24" i="9"/>
  <c r="AB1833" i="7"/>
  <c r="AC1833" i="7" s="1"/>
  <c r="X1833" i="7"/>
  <c r="AE1833" i="7"/>
  <c r="AD1833" i="7"/>
  <c r="AH1833" i="7" s="1"/>
  <c r="B18" i="8"/>
  <c r="AB1832" i="7"/>
  <c r="AC1832" i="7" s="1"/>
  <c r="B33" i="8"/>
  <c r="X1832" i="7"/>
  <c r="G7" i="9"/>
  <c r="AE1832" i="7"/>
  <c r="AD1832" i="7"/>
  <c r="AH1832" i="7" s="1"/>
  <c r="G21" i="9"/>
  <c r="X1831" i="7"/>
  <c r="AB1831" i="7"/>
  <c r="AC1831" i="7" s="1"/>
  <c r="AE1831" i="7"/>
  <c r="AD1831" i="7"/>
  <c r="AH1831" i="7" s="1"/>
  <c r="B37" i="8"/>
  <c r="AB1830" i="7"/>
  <c r="AC1830" i="7"/>
  <c r="G6" i="9"/>
  <c r="X1830" i="7"/>
  <c r="AD1830" i="7"/>
  <c r="AH1830" i="7" s="1"/>
  <c r="AE1830" i="7"/>
  <c r="B17" i="8"/>
  <c r="G5" i="9"/>
  <c r="X1829" i="7"/>
  <c r="AB1829" i="7"/>
  <c r="AC1829" i="7"/>
  <c r="AE1829" i="7"/>
  <c r="AD1829" i="7"/>
  <c r="AH1829" i="7" s="1"/>
  <c r="G27" i="9"/>
  <c r="AB1828" i="7"/>
  <c r="X1828" i="7"/>
  <c r="AC1828" i="7"/>
  <c r="AD1828" i="7"/>
  <c r="AH1828" i="7" s="1"/>
  <c r="AE1828" i="7"/>
  <c r="AB1827" i="7"/>
  <c r="G23" i="9"/>
  <c r="AC1827" i="7"/>
  <c r="X1827" i="7"/>
  <c r="AE1827" i="7"/>
  <c r="AD1827" i="7"/>
  <c r="AH1827" i="7" s="1"/>
  <c r="X1826" i="7"/>
  <c r="AB1826" i="7"/>
  <c r="AC1826" i="7" s="1"/>
  <c r="F5" i="8"/>
  <c r="B35" i="8"/>
  <c r="B20" i="8"/>
  <c r="G13" i="9"/>
  <c r="B54" i="8"/>
  <c r="B6" i="8"/>
  <c r="C6" i="8" s="1"/>
  <c r="C9" i="8"/>
  <c r="AD1826" i="7"/>
  <c r="AH1826" i="7" s="1"/>
  <c r="B26" i="8"/>
  <c r="B28" i="8"/>
  <c r="AE1826" i="7"/>
  <c r="B27" i="8"/>
  <c r="AB1825" i="7"/>
  <c r="AC1825" i="7" s="1"/>
  <c r="X1825" i="7"/>
  <c r="AE1825" i="7"/>
  <c r="AD1825" i="7"/>
  <c r="AB1824" i="7"/>
  <c r="AC1824" i="7" s="1"/>
  <c r="AF1824" i="7" s="1"/>
  <c r="AG1824" i="7" s="1"/>
  <c r="X1824" i="7"/>
  <c r="AE1824" i="7"/>
  <c r="AD1824" i="7"/>
  <c r="AH1824" i="7" s="1"/>
  <c r="X1823" i="7"/>
  <c r="AB1823" i="7"/>
  <c r="AC1823" i="7" s="1"/>
  <c r="AE1823" i="7"/>
  <c r="AD1823" i="7"/>
  <c r="AH1823" i="7" s="1"/>
  <c r="AB1822" i="7"/>
  <c r="AC1822" i="7" s="1"/>
  <c r="X1822" i="7"/>
  <c r="AE1822" i="7"/>
  <c r="AD1822" i="7"/>
  <c r="AH1822" i="7" s="1"/>
  <c r="AB1821" i="7"/>
  <c r="AC1821" i="7" s="1"/>
  <c r="X1821" i="7"/>
  <c r="AE1821" i="7"/>
  <c r="AD1821" i="7"/>
  <c r="AH1821" i="7" s="1"/>
  <c r="AB1820" i="7"/>
  <c r="X1820" i="7"/>
  <c r="AC1820" i="7"/>
  <c r="AE1820" i="7"/>
  <c r="AD1820" i="7"/>
  <c r="AH1820" i="7" s="1"/>
  <c r="AB1819" i="7"/>
  <c r="AC1819" i="7" s="1"/>
  <c r="X1819" i="7"/>
  <c r="AE1819" i="7"/>
  <c r="AD1819" i="7"/>
  <c r="AH1819" i="7" s="1"/>
  <c r="AB1818" i="7"/>
  <c r="X1818" i="7"/>
  <c r="AC1818" i="7"/>
  <c r="AD1818" i="7"/>
  <c r="AH1818" i="7" s="1"/>
  <c r="AE1818" i="7"/>
  <c r="X1817" i="7"/>
  <c r="AB1817" i="7"/>
  <c r="AC1817" i="7" s="1"/>
  <c r="AE1817" i="7"/>
  <c r="AD1817" i="7"/>
  <c r="AH1817" i="7" s="1"/>
  <c r="AB1816" i="7"/>
  <c r="AC1816" i="7" s="1"/>
  <c r="X1816" i="7"/>
  <c r="AE1816" i="7"/>
  <c r="AD1816" i="7"/>
  <c r="AH1816" i="7" s="1"/>
  <c r="AB1815" i="7"/>
  <c r="AC1815" i="7" s="1"/>
  <c r="X1815" i="7"/>
  <c r="AE1815" i="7"/>
  <c r="AD1815" i="7"/>
  <c r="AH1815" i="7" s="1"/>
  <c r="X1814" i="7"/>
  <c r="AB1814" i="7"/>
  <c r="AC1814" i="7" s="1"/>
  <c r="AE1814" i="7"/>
  <c r="AD1814" i="7"/>
  <c r="AH1814" i="7" s="1"/>
  <c r="X1813" i="7"/>
  <c r="AB1813" i="7"/>
  <c r="AC1813" i="7" s="1"/>
  <c r="AE1813" i="7"/>
  <c r="AD1813" i="7"/>
  <c r="AH1813" i="7" s="1"/>
  <c r="AB1812" i="7"/>
  <c r="AC1812" i="7" s="1"/>
  <c r="X1812" i="7"/>
  <c r="AE1812" i="7"/>
  <c r="AD1812" i="7"/>
  <c r="AH1812" i="7" s="1"/>
  <c r="AB1811" i="7"/>
  <c r="AC1811" i="7" s="1"/>
  <c r="X1811" i="7"/>
  <c r="AE1811" i="7"/>
  <c r="AD1811" i="7"/>
  <c r="AH1811" i="7" s="1"/>
  <c r="AB1810" i="7"/>
  <c r="X1810" i="7"/>
  <c r="AC1810" i="7"/>
  <c r="AD1810" i="7"/>
  <c r="AH1810" i="7" s="1"/>
  <c r="AE1810" i="7"/>
  <c r="X1809" i="7"/>
  <c r="AB1809" i="7"/>
  <c r="AC1809" i="7" s="1"/>
  <c r="AD1809" i="7"/>
  <c r="AH1809" i="7" s="1"/>
  <c r="AE1809" i="7"/>
  <c r="AB1808" i="7"/>
  <c r="AC1808" i="7" s="1"/>
  <c r="X1808" i="7"/>
  <c r="AD1808" i="7"/>
  <c r="AH1808" i="7" s="1"/>
  <c r="AE1808" i="7"/>
  <c r="AB1807" i="7"/>
  <c r="AC1807" i="7" s="1"/>
  <c r="X1807" i="7"/>
  <c r="AE1807" i="7"/>
  <c r="AD1807" i="7"/>
  <c r="AH1807" i="7" s="1"/>
  <c r="AB1806" i="7"/>
  <c r="AC1806" i="7" s="1"/>
  <c r="X1806" i="7"/>
  <c r="AE1806" i="7"/>
  <c r="AD1806" i="7"/>
  <c r="AH1806" i="7" s="1"/>
  <c r="AB1805" i="7"/>
  <c r="X1805" i="7"/>
  <c r="AC1805" i="7"/>
  <c r="AE1805" i="7"/>
  <c r="AD1805" i="7"/>
  <c r="AH1805" i="7" s="1"/>
  <c r="AB1804" i="7"/>
  <c r="X1804" i="7"/>
  <c r="AC1804" i="7"/>
  <c r="AE1804" i="7"/>
  <c r="AD1804" i="7"/>
  <c r="AH1804" i="7" s="1"/>
  <c r="AB1803" i="7"/>
  <c r="X1803" i="7"/>
  <c r="AC1803" i="7"/>
  <c r="AE1803" i="7"/>
  <c r="AD1803" i="7"/>
  <c r="AH1803" i="7" s="1"/>
  <c r="AB1802" i="7"/>
  <c r="X1802" i="7"/>
  <c r="AC1802" i="7"/>
  <c r="AE1802" i="7"/>
  <c r="AD1802" i="7"/>
  <c r="AH1802" i="7" s="1"/>
  <c r="AB1801" i="7"/>
  <c r="X1801" i="7"/>
  <c r="AC1801" i="7"/>
  <c r="AE1801" i="7"/>
  <c r="AD1801" i="7"/>
  <c r="AH1801" i="7" s="1"/>
  <c r="AB1800" i="7"/>
  <c r="X1800" i="7"/>
  <c r="AC1800" i="7"/>
  <c r="AE1800" i="7"/>
  <c r="AD1800" i="7"/>
  <c r="AH1800" i="7" s="1"/>
  <c r="AB1799" i="7"/>
  <c r="X1799" i="7"/>
  <c r="AC1799" i="7"/>
  <c r="AE1799" i="7"/>
  <c r="AD1799" i="7"/>
  <c r="AH1799" i="7" s="1"/>
  <c r="AB1798" i="7"/>
  <c r="X1798" i="7"/>
  <c r="AC1798" i="7"/>
  <c r="AE1798" i="7"/>
  <c r="AD1798" i="7"/>
  <c r="AH1798" i="7" s="1"/>
  <c r="AB1797" i="7"/>
  <c r="AC1797" i="7" s="1"/>
  <c r="X1797" i="7"/>
  <c r="AE1797" i="7"/>
  <c r="AD1797" i="7"/>
  <c r="AH1797" i="7" s="1"/>
  <c r="AB1796" i="7"/>
  <c r="AC1796" i="7" s="1"/>
  <c r="X1796" i="7"/>
  <c r="AE1796" i="7"/>
  <c r="AD1796" i="7"/>
  <c r="AH1796" i="7" s="1"/>
  <c r="X1795" i="7"/>
  <c r="AB1795" i="7"/>
  <c r="AC1795" i="7" s="1"/>
  <c r="AE1795" i="7"/>
  <c r="AD1795" i="7"/>
  <c r="AH1795" i="7" s="1"/>
  <c r="AB1794" i="7"/>
  <c r="AC1794" i="7" s="1"/>
  <c r="X1794" i="7"/>
  <c r="AE1794" i="7"/>
  <c r="AD1794" i="7"/>
  <c r="AH1794" i="7" s="1"/>
  <c r="X1793" i="7"/>
  <c r="AB1793" i="7"/>
  <c r="AC1793" i="7" s="1"/>
  <c r="AE1793" i="7"/>
  <c r="AD1793" i="7"/>
  <c r="AH1793" i="7" s="1"/>
  <c r="AB1792" i="7"/>
  <c r="X1792" i="7"/>
  <c r="AC1792" i="7"/>
  <c r="AE1792" i="7"/>
  <c r="AD1792" i="7"/>
  <c r="AH1792" i="7" s="1"/>
  <c r="AB1791" i="7"/>
  <c r="X1791" i="7"/>
  <c r="AC1791" i="7"/>
  <c r="AE1791" i="7"/>
  <c r="AD1791" i="7"/>
  <c r="AH1791" i="7" s="1"/>
  <c r="AB1790" i="7"/>
  <c r="AC1790" i="7" s="1"/>
  <c r="X1790" i="7"/>
  <c r="AE1790" i="7"/>
  <c r="AD1790" i="7"/>
  <c r="AH1790" i="7" s="1"/>
  <c r="AB1789" i="7"/>
  <c r="AC1789" i="7" s="1"/>
  <c r="X1789" i="7"/>
  <c r="AE1789" i="7"/>
  <c r="AD1789" i="7"/>
  <c r="AH1789" i="7" s="1"/>
  <c r="X1788" i="7"/>
  <c r="AB1788" i="7"/>
  <c r="AC1788" i="7" s="1"/>
  <c r="AE1788" i="7"/>
  <c r="AD1788" i="7"/>
  <c r="AH1788" i="7" s="1"/>
  <c r="AB1787" i="7"/>
  <c r="AC1787" i="7" s="1"/>
  <c r="X1787" i="7"/>
  <c r="AE1787" i="7"/>
  <c r="AD1787" i="7"/>
  <c r="AH1787" i="7" s="1"/>
  <c r="AB1786" i="7"/>
  <c r="AC1786" i="7" s="1"/>
  <c r="X1786" i="7"/>
  <c r="AD1786" i="7"/>
  <c r="AH1786" i="7" s="1"/>
  <c r="AE1786" i="7"/>
  <c r="AB1785" i="7"/>
  <c r="AC1785" i="7" s="1"/>
  <c r="X1785" i="7"/>
  <c r="AE1785" i="7"/>
  <c r="AD1785" i="7"/>
  <c r="AH1785" i="7" s="1"/>
  <c r="AB1784" i="7"/>
  <c r="AC1784" i="7" s="1"/>
  <c r="X1784" i="7"/>
  <c r="AD1784" i="7"/>
  <c r="AH1784" i="7" s="1"/>
  <c r="AE1784" i="7"/>
  <c r="AB1783" i="7"/>
  <c r="AC1783" i="7" s="1"/>
  <c r="X1783" i="7"/>
  <c r="AD1783" i="7"/>
  <c r="AH1783" i="7" s="1"/>
  <c r="AE1783" i="7"/>
  <c r="AB1782" i="7"/>
  <c r="AC1782" i="7" s="1"/>
  <c r="X1782" i="7"/>
  <c r="AD1782" i="7"/>
  <c r="AH1782" i="7" s="1"/>
  <c r="AE1782" i="7"/>
  <c r="AB1781" i="7"/>
  <c r="AC1781" i="7" s="1"/>
  <c r="X1781" i="7"/>
  <c r="AD1781" i="7"/>
  <c r="AH1781" i="7" s="1"/>
  <c r="AE1781" i="7"/>
  <c r="AB1780" i="7"/>
  <c r="AC1780" i="7" s="1"/>
  <c r="X1780" i="7"/>
  <c r="AE1780" i="7"/>
  <c r="AD1780" i="7"/>
  <c r="AH1780" i="7" s="1"/>
  <c r="AB1779" i="7"/>
  <c r="X1779" i="7"/>
  <c r="AC1779" i="7"/>
  <c r="AD1779" i="7"/>
  <c r="AH1779" i="7" s="1"/>
  <c r="AE1779" i="7"/>
  <c r="AB1778" i="7"/>
  <c r="AC1778" i="7" s="1"/>
  <c r="X1778" i="7"/>
  <c r="AE1778" i="7"/>
  <c r="AD1778" i="7"/>
  <c r="AH1778" i="7" s="1"/>
  <c r="AB1777" i="7"/>
  <c r="AC1777" i="7" s="1"/>
  <c r="X1777" i="7"/>
  <c r="AE1777" i="7"/>
  <c r="AD1777" i="7"/>
  <c r="AH1777" i="7" s="1"/>
  <c r="AB1776" i="7"/>
  <c r="X1776" i="7"/>
  <c r="AC1776" i="7"/>
  <c r="AD1776" i="7"/>
  <c r="AH1776" i="7" s="1"/>
  <c r="AE1776" i="7"/>
  <c r="X1775" i="7"/>
  <c r="AB1775" i="7"/>
  <c r="AC1775" i="7"/>
  <c r="AD1775" i="7"/>
  <c r="AH1775" i="7" s="1"/>
  <c r="AE1775" i="7"/>
  <c r="AB1774" i="7"/>
  <c r="AC1774" i="7" s="1"/>
  <c r="X1774" i="7"/>
  <c r="AE1774" i="7"/>
  <c r="AD1774" i="7"/>
  <c r="AH1774" i="7" s="1"/>
  <c r="X1773" i="7"/>
  <c r="AB1773" i="7"/>
  <c r="AC1773" i="7" s="1"/>
  <c r="AE1773" i="7"/>
  <c r="AD1773" i="7"/>
  <c r="AH1773" i="7" s="1"/>
  <c r="X1772" i="7"/>
  <c r="AB1772" i="7"/>
  <c r="AC1772" i="7" s="1"/>
  <c r="AE1772" i="7"/>
  <c r="AD1772" i="7"/>
  <c r="AH1772" i="7" s="1"/>
  <c r="X1771" i="7"/>
  <c r="AB1771" i="7"/>
  <c r="AC1771" i="7" s="1"/>
  <c r="AE1771" i="7"/>
  <c r="AD1771" i="7"/>
  <c r="AH1771" i="7" s="1"/>
  <c r="AB1770" i="7"/>
  <c r="AC1770" i="7" s="1"/>
  <c r="X1770" i="7"/>
  <c r="AE1770" i="7"/>
  <c r="AD1770" i="7"/>
  <c r="AH1770" i="7" s="1"/>
  <c r="AB1769" i="7"/>
  <c r="AC1769" i="7" s="1"/>
  <c r="X1769" i="7"/>
  <c r="AD1769" i="7"/>
  <c r="AH1769" i="7" s="1"/>
  <c r="AE1769" i="7"/>
  <c r="X1768" i="7"/>
  <c r="AB1768" i="7"/>
  <c r="AC1768" i="7"/>
  <c r="AD1768" i="7"/>
  <c r="AH1768" i="7" s="1"/>
  <c r="AE1768" i="7"/>
  <c r="AB1767" i="7"/>
  <c r="AC1767" i="7" s="1"/>
  <c r="X1767" i="7"/>
  <c r="AE1767" i="7"/>
  <c r="AD1767" i="7"/>
  <c r="AH1767" i="7" s="1"/>
  <c r="X1766" i="7"/>
  <c r="AB1766" i="7"/>
  <c r="AC1766" i="7"/>
  <c r="AD1766" i="7"/>
  <c r="AH1766" i="7" s="1"/>
  <c r="AE1766" i="7"/>
  <c r="AB1765" i="7"/>
  <c r="AC1765" i="7" s="1"/>
  <c r="X1765" i="7"/>
  <c r="AE1765" i="7"/>
  <c r="AD1765" i="7"/>
  <c r="AH1765" i="7" s="1"/>
  <c r="AB1764" i="7"/>
  <c r="X1764" i="7"/>
  <c r="AC1764" i="7"/>
  <c r="AD1764" i="7"/>
  <c r="AH1764" i="7" s="1"/>
  <c r="AE1764" i="7"/>
  <c r="AB1763" i="7"/>
  <c r="AC1763" i="7" s="1"/>
  <c r="X1763" i="7"/>
  <c r="AE1763" i="7"/>
  <c r="AD1763" i="7"/>
  <c r="AH1763" i="7" s="1"/>
  <c r="AB1762" i="7"/>
  <c r="AC1762" i="7" s="1"/>
  <c r="X1762" i="7"/>
  <c r="AE1762" i="7"/>
  <c r="AD1762" i="7"/>
  <c r="AH1762" i="7" s="1"/>
  <c r="AB1761" i="7"/>
  <c r="X1761" i="7"/>
  <c r="AC1761" i="7"/>
  <c r="AD1761" i="7"/>
  <c r="AH1761" i="7" s="1"/>
  <c r="AE1761" i="7"/>
  <c r="X1760" i="7"/>
  <c r="AB1760" i="7"/>
  <c r="AC1760" i="7"/>
  <c r="AD1760" i="7"/>
  <c r="AH1760" i="7" s="1"/>
  <c r="AE1760" i="7"/>
  <c r="X1759" i="7"/>
  <c r="AB1759" i="7"/>
  <c r="AC1759" i="7" s="1"/>
  <c r="AE1759" i="7"/>
  <c r="AD1759" i="7"/>
  <c r="AH1759" i="7" s="1"/>
  <c r="X1758" i="7"/>
  <c r="AB1758" i="7"/>
  <c r="AC1758" i="7"/>
  <c r="AD1758" i="7"/>
  <c r="AH1758" i="7" s="1"/>
  <c r="AE1758" i="7"/>
  <c r="AB1757" i="7"/>
  <c r="AC1757" i="7"/>
  <c r="X1757" i="7"/>
  <c r="AE1757" i="7"/>
  <c r="AD1757" i="7"/>
  <c r="AH1757" i="7" s="1"/>
  <c r="AB1756" i="7"/>
  <c r="AC1756" i="7" s="1"/>
  <c r="X1756" i="7"/>
  <c r="AE1756" i="7"/>
  <c r="AD1756" i="7"/>
  <c r="AH1756" i="7" s="1"/>
  <c r="AB1755" i="7"/>
  <c r="AC1755" i="7"/>
  <c r="X1755" i="7"/>
  <c r="AE1755" i="7"/>
  <c r="AD1755" i="7"/>
  <c r="AH1755" i="7" s="1"/>
  <c r="X1754" i="7"/>
  <c r="AB1754" i="7"/>
  <c r="AC1754" i="7"/>
  <c r="AD1754" i="7"/>
  <c r="AH1754" i="7" s="1"/>
  <c r="AE1754" i="7"/>
  <c r="X1753" i="7"/>
  <c r="AB1753" i="7"/>
  <c r="AC1753" i="7"/>
  <c r="AD1753" i="7"/>
  <c r="AH1753" i="7" s="1"/>
  <c r="AE1753" i="7"/>
  <c r="AB1752" i="7"/>
  <c r="AC1752" i="7" s="1"/>
  <c r="X1752" i="7"/>
  <c r="AD1752" i="7"/>
  <c r="AH1752" i="7" s="1"/>
  <c r="AE1752" i="7"/>
  <c r="X1751" i="7"/>
  <c r="AB1751" i="7"/>
  <c r="AC1751" i="7" s="1"/>
  <c r="AE1751" i="7"/>
  <c r="AD1751" i="7"/>
  <c r="AH1751" i="7" s="1"/>
  <c r="AB1750" i="7"/>
  <c r="AC1750" i="7" s="1"/>
  <c r="X1750" i="7"/>
  <c r="AD1750" i="7"/>
  <c r="AH1750" i="7" s="1"/>
  <c r="AE1750" i="7"/>
  <c r="AB1749" i="7"/>
  <c r="AC1749" i="7" s="1"/>
  <c r="X1749" i="7"/>
  <c r="AE1749" i="7"/>
  <c r="AD1749" i="7"/>
  <c r="AH1749" i="7" s="1"/>
  <c r="AB1748" i="7"/>
  <c r="AC1748" i="7"/>
  <c r="X1748" i="7"/>
  <c r="AD1748" i="7"/>
  <c r="AH1748" i="7" s="1"/>
  <c r="AE1748" i="7"/>
  <c r="AB1747" i="7"/>
  <c r="AC1747" i="7" s="1"/>
  <c r="X1747" i="7"/>
  <c r="AE1747" i="7"/>
  <c r="AD1747" i="7"/>
  <c r="AH1747" i="7" s="1"/>
  <c r="AB1746" i="7"/>
  <c r="X1746" i="7"/>
  <c r="AC1746" i="7"/>
  <c r="AD1746" i="7"/>
  <c r="AH1746" i="7" s="1"/>
  <c r="AE1746" i="7"/>
  <c r="AB1745" i="7"/>
  <c r="AC1745" i="7" s="1"/>
  <c r="X1745" i="7"/>
  <c r="AE1745" i="7"/>
  <c r="AD1745" i="7"/>
  <c r="AH1745" i="7" s="1"/>
  <c r="AB1744" i="7"/>
  <c r="AC1744" i="7" s="1"/>
  <c r="X1744" i="7"/>
  <c r="AD1744" i="7"/>
  <c r="AH1744" i="7" s="1"/>
  <c r="AE1744" i="7"/>
  <c r="AB1743" i="7"/>
  <c r="AC1743" i="7" s="1"/>
  <c r="X1743" i="7"/>
  <c r="AE1743" i="7"/>
  <c r="AD1743" i="7"/>
  <c r="AH1743" i="7" s="1"/>
  <c r="AB1742" i="7"/>
  <c r="AC1742" i="7" s="1"/>
  <c r="X1742" i="7"/>
  <c r="AE1742" i="7"/>
  <c r="AD1742" i="7"/>
  <c r="AH1742" i="7" s="1"/>
  <c r="AB1741" i="7"/>
  <c r="AC1741" i="7" s="1"/>
  <c r="X1741" i="7"/>
  <c r="AE1741" i="7"/>
  <c r="AD1741" i="7"/>
  <c r="AH1741" i="7" s="1"/>
  <c r="AB1740" i="7"/>
  <c r="AC1740" i="7" s="1"/>
  <c r="X1740" i="7"/>
  <c r="AE1740" i="7"/>
  <c r="AD1740" i="7"/>
  <c r="AH1740" i="7" s="1"/>
  <c r="X1739" i="7"/>
  <c r="AB1739" i="7"/>
  <c r="AC1739" i="7" s="1"/>
  <c r="AD1739" i="7"/>
  <c r="AH1739" i="7" s="1"/>
  <c r="AE1739" i="7"/>
  <c r="AB1738" i="7"/>
  <c r="AC1738" i="7" s="1"/>
  <c r="X1738" i="7"/>
  <c r="AD1738" i="7"/>
  <c r="AH1738" i="7" s="1"/>
  <c r="AE1738" i="7"/>
  <c r="X1737" i="7"/>
  <c r="AB1737" i="7"/>
  <c r="AC1737" i="7"/>
  <c r="AD1737" i="7"/>
  <c r="AH1737" i="7" s="1"/>
  <c r="AE1737" i="7"/>
  <c r="AB1736" i="7"/>
  <c r="AC1736" i="7" s="1"/>
  <c r="X1736" i="7"/>
  <c r="AE1736" i="7"/>
  <c r="AD1736" i="7"/>
  <c r="AH1736" i="7" s="1"/>
  <c r="AB1735" i="7"/>
  <c r="AC1735" i="7" s="1"/>
  <c r="X1735" i="7"/>
  <c r="AE1735" i="7"/>
  <c r="AD1735" i="7"/>
  <c r="AH1735" i="7" s="1"/>
  <c r="AB1734" i="7"/>
  <c r="AC1734" i="7" s="1"/>
  <c r="X1734" i="7"/>
  <c r="AE1734" i="7"/>
  <c r="AD1734" i="7"/>
  <c r="AH1734" i="7" s="1"/>
  <c r="AB1733" i="7"/>
  <c r="X1733" i="7"/>
  <c r="AC1733" i="7"/>
  <c r="AE1733" i="7"/>
  <c r="AD1733" i="7"/>
  <c r="AH1733" i="7" s="1"/>
  <c r="X1732" i="7"/>
  <c r="AB1732" i="7"/>
  <c r="AC1732" i="7"/>
  <c r="AD1732" i="7"/>
  <c r="AH1732" i="7" s="1"/>
  <c r="AE1732" i="7"/>
  <c r="X1731" i="7"/>
  <c r="AB1731" i="7"/>
  <c r="AC1731" i="7"/>
  <c r="AE1731" i="7"/>
  <c r="AD1731" i="7"/>
  <c r="AH1731" i="7" s="1"/>
  <c r="AB1730" i="7"/>
  <c r="AC1730" i="7" s="1"/>
  <c r="X1730" i="7"/>
  <c r="AE1730" i="7"/>
  <c r="AD1730" i="7"/>
  <c r="AH1730" i="7" s="1"/>
  <c r="AB1729" i="7"/>
  <c r="AC1729" i="7" s="1"/>
  <c r="X1729" i="7"/>
  <c r="AE1729" i="7"/>
  <c r="AD1729" i="7"/>
  <c r="AH1729" i="7" s="1"/>
  <c r="X1728" i="7"/>
  <c r="AB1728" i="7"/>
  <c r="AC1728" i="7" s="1"/>
  <c r="AD1728" i="7"/>
  <c r="AH1728" i="7" s="1"/>
  <c r="AE1728" i="7"/>
  <c r="X1727" i="7"/>
  <c r="AB1727" i="7"/>
  <c r="AC1727" i="7" s="1"/>
  <c r="AE1727" i="7"/>
  <c r="AD1727" i="7"/>
  <c r="AH1727" i="7" s="1"/>
  <c r="X1726" i="7"/>
  <c r="AB1726" i="7"/>
  <c r="AC1726" i="7"/>
  <c r="AD1726" i="7"/>
  <c r="AH1726" i="7" s="1"/>
  <c r="AE1726" i="7"/>
  <c r="X1725" i="7"/>
  <c r="AB1725" i="7"/>
  <c r="AC1725" i="7"/>
  <c r="AD1725" i="7"/>
  <c r="AH1725" i="7" s="1"/>
  <c r="AE1725" i="7"/>
  <c r="AB1724" i="7"/>
  <c r="X1724" i="7"/>
  <c r="AC1724" i="7"/>
  <c r="AD1724" i="7"/>
  <c r="AH1724" i="7" s="1"/>
  <c r="AE1724" i="7"/>
  <c r="X1723" i="7"/>
  <c r="AB1723" i="7"/>
  <c r="AC1723" i="7"/>
  <c r="AD1723" i="7"/>
  <c r="AH1723" i="7" s="1"/>
  <c r="AE1723" i="7"/>
  <c r="X1722" i="7"/>
  <c r="AB1722" i="7"/>
  <c r="AC1722" i="7" s="1"/>
  <c r="AD1722" i="7"/>
  <c r="AH1722" i="7" s="1"/>
  <c r="AE1722" i="7"/>
  <c r="AB1721" i="7"/>
  <c r="X1721" i="7"/>
  <c r="AC1721" i="7"/>
  <c r="AD1721" i="7"/>
  <c r="AH1721" i="7" s="1"/>
  <c r="AE1721" i="7"/>
  <c r="X1720" i="7"/>
  <c r="AB1720" i="7"/>
  <c r="AC1720" i="7"/>
  <c r="AD1720" i="7"/>
  <c r="AH1720" i="7" s="1"/>
  <c r="AE1720" i="7"/>
  <c r="X1719" i="7"/>
  <c r="AB1719" i="7"/>
  <c r="AC1719" i="7"/>
  <c r="AE1719" i="7"/>
  <c r="AD1719" i="7"/>
  <c r="AH1719" i="7" s="1"/>
  <c r="AB1718" i="7"/>
  <c r="AC1718" i="7"/>
  <c r="X1718" i="7"/>
  <c r="AE1718" i="7"/>
  <c r="AD1718" i="7"/>
  <c r="AH1718" i="7" s="1"/>
  <c r="X1717" i="7"/>
  <c r="AB1717" i="7"/>
  <c r="AC1717" i="7"/>
  <c r="AD1717" i="7"/>
  <c r="AH1717" i="7" s="1"/>
  <c r="AE1717" i="7"/>
  <c r="X1716" i="7"/>
  <c r="AB1716" i="7"/>
  <c r="AC1716" i="7"/>
  <c r="AD1716" i="7"/>
  <c r="AH1716" i="7" s="1"/>
  <c r="AE1716" i="7"/>
  <c r="AB1715" i="7"/>
  <c r="X1715" i="7"/>
  <c r="AC1715" i="7"/>
  <c r="AD1715" i="7"/>
  <c r="AH1715" i="7" s="1"/>
  <c r="AE1715" i="7"/>
  <c r="X1714" i="7"/>
  <c r="AB1714" i="7"/>
  <c r="AC1714" i="7"/>
  <c r="AD1714" i="7"/>
  <c r="AH1714" i="7" s="1"/>
  <c r="AE1714" i="7"/>
  <c r="X1713" i="7"/>
  <c r="AB1713" i="7"/>
  <c r="AC1713" i="7"/>
  <c r="AE1713" i="7"/>
  <c r="AD1713" i="7"/>
  <c r="AH1713" i="7" s="1"/>
  <c r="X1712" i="7"/>
  <c r="AB1712" i="7"/>
  <c r="AC1712" i="7" s="1"/>
  <c r="AE1712" i="7"/>
  <c r="AD1712" i="7"/>
  <c r="AH1712" i="7" s="1"/>
  <c r="AB1711" i="7"/>
  <c r="AC1711" i="7" s="1"/>
  <c r="X1711" i="7"/>
  <c r="AD1711" i="7"/>
  <c r="AH1711" i="7" s="1"/>
  <c r="AE1711" i="7"/>
  <c r="AB1710" i="7"/>
  <c r="AC1710" i="7" s="1"/>
  <c r="X1710" i="7"/>
  <c r="AE1710" i="7"/>
  <c r="AD1710" i="7"/>
  <c r="AH1710" i="7" s="1"/>
  <c r="AB1709" i="7"/>
  <c r="X1709" i="7"/>
  <c r="AC1709" i="7"/>
  <c r="AD1709" i="7"/>
  <c r="AH1709" i="7" s="1"/>
  <c r="AE1709" i="7"/>
  <c r="AB1708" i="7"/>
  <c r="AC1708" i="7" s="1"/>
  <c r="X1708" i="7"/>
  <c r="AE1708" i="7"/>
  <c r="AD1708" i="7"/>
  <c r="AH1708" i="7" s="1"/>
  <c r="AB1707" i="7"/>
  <c r="X1707" i="7"/>
  <c r="AC1707" i="7"/>
  <c r="AD1707" i="7"/>
  <c r="AH1707" i="7" s="1"/>
  <c r="AE1707" i="7"/>
  <c r="AB1706" i="7"/>
  <c r="AC1706" i="7" s="1"/>
  <c r="X1706" i="7"/>
  <c r="AD1706" i="7"/>
  <c r="AH1706" i="7" s="1"/>
  <c r="AE1706" i="7"/>
  <c r="AB1705" i="7"/>
  <c r="AC1705" i="7" s="1"/>
  <c r="X1705" i="7"/>
  <c r="AD1705" i="7"/>
  <c r="AH1705" i="7" s="1"/>
  <c r="AE1705" i="7"/>
  <c r="AB1704" i="7"/>
  <c r="X1704" i="7"/>
  <c r="AC1704" i="7"/>
  <c r="AD1704" i="7"/>
  <c r="AH1704" i="7" s="1"/>
  <c r="AE1704" i="7"/>
  <c r="AB1703" i="7"/>
  <c r="X1703" i="7"/>
  <c r="AC1703" i="7"/>
  <c r="AD1703" i="7"/>
  <c r="AH1703" i="7" s="1"/>
  <c r="AE1703" i="7"/>
  <c r="AB1702" i="7"/>
  <c r="AC1702" i="7" s="1"/>
  <c r="X1702" i="7"/>
  <c r="AD1702" i="7"/>
  <c r="AH1702" i="7" s="1"/>
  <c r="AE1702" i="7"/>
  <c r="AB1701" i="7"/>
  <c r="AC1701" i="7" s="1"/>
  <c r="X1701" i="7"/>
  <c r="AE1701" i="7"/>
  <c r="AD1701" i="7"/>
  <c r="AH1701" i="7" s="1"/>
  <c r="AB1700" i="7"/>
  <c r="AC1700" i="7" s="1"/>
  <c r="X1700" i="7"/>
  <c r="AE1700" i="7"/>
  <c r="AD1700" i="7"/>
  <c r="AH1700" i="7" s="1"/>
  <c r="X1699" i="7"/>
  <c r="AB1699" i="7"/>
  <c r="AC1699" i="7"/>
  <c r="AE1699" i="7"/>
  <c r="AD1699" i="7"/>
  <c r="AH1699" i="7" s="1"/>
  <c r="AB1698" i="7"/>
  <c r="AC1698" i="7" s="1"/>
  <c r="X1698" i="7"/>
  <c r="AD1698" i="7"/>
  <c r="AH1698" i="7" s="1"/>
  <c r="AE1698" i="7"/>
  <c r="AB1697" i="7"/>
  <c r="AC1697" i="7" s="1"/>
  <c r="X1697" i="7"/>
  <c r="AE1697" i="7"/>
  <c r="AD1697" i="7"/>
  <c r="AH1697" i="7" s="1"/>
  <c r="AB1696" i="7"/>
  <c r="AC1696" i="7" s="1"/>
  <c r="X1696" i="7"/>
  <c r="AD1696" i="7"/>
  <c r="AH1696" i="7" s="1"/>
  <c r="AE1696" i="7"/>
  <c r="AB1695" i="7"/>
  <c r="AC1695" i="7" s="1"/>
  <c r="X1695" i="7"/>
  <c r="AE1695" i="7"/>
  <c r="AD1695" i="7"/>
  <c r="AH1695" i="7" s="1"/>
  <c r="X1694" i="7"/>
  <c r="AB1694" i="7"/>
  <c r="AC1694" i="7" s="1"/>
  <c r="AE1694" i="7"/>
  <c r="AD1694" i="7"/>
  <c r="AH1694" i="7" s="1"/>
  <c r="X1693" i="7"/>
  <c r="AB1693" i="7"/>
  <c r="AC1693" i="7" s="1"/>
  <c r="AD1693" i="7"/>
  <c r="AH1693" i="7" s="1"/>
  <c r="AE1693" i="7"/>
  <c r="AB1692" i="7"/>
  <c r="AC1692" i="7" s="1"/>
  <c r="X1692" i="7"/>
  <c r="AE1692" i="7"/>
  <c r="AD1692" i="7"/>
  <c r="AH1692" i="7" s="1"/>
  <c r="X1691" i="7"/>
  <c r="AB1691" i="7"/>
  <c r="AC1691" i="7"/>
  <c r="AE1691" i="7"/>
  <c r="AD1691" i="7"/>
  <c r="AH1691" i="7" s="1"/>
  <c r="AB1690" i="7"/>
  <c r="X1690" i="7"/>
  <c r="AC1690" i="7"/>
  <c r="AD1690" i="7"/>
  <c r="AH1690" i="7" s="1"/>
  <c r="AE1690" i="7"/>
  <c r="AB1689" i="7"/>
  <c r="X1689" i="7"/>
  <c r="AC1689" i="7"/>
  <c r="AD1689" i="7"/>
  <c r="AH1689" i="7" s="1"/>
  <c r="AE1689" i="7"/>
  <c r="AB1688" i="7"/>
  <c r="AC1688" i="7" s="1"/>
  <c r="X1688" i="7"/>
  <c r="AE1688" i="7"/>
  <c r="AD1688" i="7"/>
  <c r="AH1688" i="7" s="1"/>
  <c r="AB1687" i="7"/>
  <c r="AC1687" i="7"/>
  <c r="X1687" i="7"/>
  <c r="AE1687" i="7"/>
  <c r="AD1687" i="7"/>
  <c r="AH1687" i="7" s="1"/>
  <c r="AB1686" i="7"/>
  <c r="AC1686" i="7" s="1"/>
  <c r="X1686" i="7"/>
  <c r="AE1686" i="7"/>
  <c r="AD1686" i="7"/>
  <c r="AH1686" i="7" s="1"/>
  <c r="X1685" i="7"/>
  <c r="AB1685" i="7"/>
  <c r="AC1685" i="7" s="1"/>
  <c r="AE1685" i="7"/>
  <c r="AD1685" i="7"/>
  <c r="AH1685" i="7" s="1"/>
  <c r="X1684" i="7"/>
  <c r="AB1684" i="7"/>
  <c r="AC1684" i="7" s="1"/>
  <c r="AD1684" i="7"/>
  <c r="AH1684" i="7" s="1"/>
  <c r="AE1684" i="7"/>
  <c r="AB1683" i="7"/>
  <c r="AC1683" i="7" s="1"/>
  <c r="X1683" i="7"/>
  <c r="AD1683" i="7"/>
  <c r="AH1683" i="7" s="1"/>
  <c r="AE1683" i="7"/>
  <c r="AB1682" i="7"/>
  <c r="AC1682" i="7" s="1"/>
  <c r="X1682" i="7"/>
  <c r="AE1682" i="7"/>
  <c r="AD1682" i="7"/>
  <c r="AH1682" i="7" s="1"/>
  <c r="X1681" i="7"/>
  <c r="AB1681" i="7"/>
  <c r="AC1681" i="7"/>
  <c r="AD1681" i="7"/>
  <c r="AH1681" i="7" s="1"/>
  <c r="AE1681" i="7"/>
  <c r="AB1680" i="7"/>
  <c r="AC1680" i="7" s="1"/>
  <c r="X1680" i="7"/>
  <c r="AE1680" i="7"/>
  <c r="AD1680" i="7"/>
  <c r="AH1680" i="7" s="1"/>
  <c r="AB1679" i="7"/>
  <c r="AC1679" i="7" s="1"/>
  <c r="X1679" i="7"/>
  <c r="AE1679" i="7"/>
  <c r="AD1679" i="7"/>
  <c r="AH1679" i="7" s="1"/>
  <c r="X1678" i="7"/>
  <c r="AB1678" i="7"/>
  <c r="AC1678" i="7" s="1"/>
  <c r="AE1678" i="7"/>
  <c r="AD1678" i="7"/>
  <c r="AH1678" i="7" s="1"/>
  <c r="X1677" i="7"/>
  <c r="AB1677" i="7"/>
  <c r="AC1677" i="7" s="1"/>
  <c r="AD1677" i="7"/>
  <c r="AH1677" i="7" s="1"/>
  <c r="AE1677" i="7"/>
  <c r="AB1676" i="7"/>
  <c r="AC1676" i="7" s="1"/>
  <c r="X1676" i="7"/>
  <c r="AD1676" i="7"/>
  <c r="AH1676" i="7" s="1"/>
  <c r="AE1676" i="7"/>
  <c r="AB1675" i="7"/>
  <c r="X1675" i="7"/>
  <c r="AC1675" i="7"/>
  <c r="AE1675" i="7"/>
  <c r="AD1675" i="7"/>
  <c r="AH1675" i="7" s="1"/>
  <c r="AB1674" i="7"/>
  <c r="AC1674" i="7" s="1"/>
  <c r="X1674" i="7"/>
  <c r="AE1674" i="7"/>
  <c r="AD1674" i="7"/>
  <c r="AH1674" i="7" s="1"/>
  <c r="AB1673" i="7"/>
  <c r="AC1673" i="7"/>
  <c r="X1673" i="7"/>
  <c r="AE1673" i="7"/>
  <c r="AD1673" i="7"/>
  <c r="AH1673" i="7" s="1"/>
  <c r="AB1672" i="7"/>
  <c r="AC1672" i="7" s="1"/>
  <c r="X1672" i="7"/>
  <c r="AE1672" i="7"/>
  <c r="AD1672" i="7"/>
  <c r="AH1672" i="7" s="1"/>
  <c r="X1671" i="7"/>
  <c r="AB1671" i="7"/>
  <c r="AC1671" i="7" s="1"/>
  <c r="AE1671" i="7"/>
  <c r="AD1671" i="7"/>
  <c r="AH1671" i="7" s="1"/>
  <c r="AB1670" i="7"/>
  <c r="AC1670" i="7" s="1"/>
  <c r="X1670" i="7"/>
  <c r="AE1670" i="7"/>
  <c r="AD1670" i="7"/>
  <c r="AH1670" i="7" s="1"/>
  <c r="X1669" i="7"/>
  <c r="AB1669" i="7"/>
  <c r="AC1669" i="7" s="1"/>
  <c r="AD1669" i="7"/>
  <c r="AH1669" i="7" s="1"/>
  <c r="AE1669" i="7"/>
  <c r="AB1668" i="7"/>
  <c r="AC1668" i="7" s="1"/>
  <c r="X1668" i="7"/>
  <c r="AE1668" i="7"/>
  <c r="AD1668" i="7"/>
  <c r="AH1668" i="7" s="1"/>
  <c r="AB1667" i="7"/>
  <c r="AC1667" i="7" s="1"/>
  <c r="X1667" i="7"/>
  <c r="AE1667" i="7"/>
  <c r="AD1667" i="7"/>
  <c r="AH1667" i="7" s="1"/>
  <c r="X1666" i="7"/>
  <c r="AB1666" i="7"/>
  <c r="AC1666" i="7" s="1"/>
  <c r="AE1666" i="7"/>
  <c r="AD1666" i="7"/>
  <c r="AH1666" i="7" s="1"/>
  <c r="AB1665" i="7"/>
  <c r="AC1665" i="7" s="1"/>
  <c r="X1665" i="7"/>
  <c r="AE1665" i="7"/>
  <c r="AD1665" i="7"/>
  <c r="AH1665" i="7" s="1"/>
  <c r="AB1664" i="7"/>
  <c r="AC1664" i="7" s="1"/>
  <c r="X1664" i="7"/>
  <c r="AD1664" i="7"/>
  <c r="AH1664" i="7" s="1"/>
  <c r="AE1664" i="7"/>
  <c r="AB1663" i="7"/>
  <c r="AC1663" i="7" s="1"/>
  <c r="X1663" i="7"/>
  <c r="AD1663" i="7"/>
  <c r="AH1663" i="7" s="1"/>
  <c r="AE1663" i="7"/>
  <c r="AB1662" i="7"/>
  <c r="AC1662" i="7" s="1"/>
  <c r="X1662" i="7"/>
  <c r="AD1662" i="7"/>
  <c r="AH1662" i="7" s="1"/>
  <c r="AE1662" i="7"/>
  <c r="AB1661" i="7"/>
  <c r="AC1661" i="7" s="1"/>
  <c r="X1661" i="7"/>
  <c r="AE1661" i="7"/>
  <c r="AD1661" i="7"/>
  <c r="AH1661" i="7" s="1"/>
  <c r="AB1660" i="7"/>
  <c r="AC1660" i="7" s="1"/>
  <c r="X1660" i="7"/>
  <c r="AE1660" i="7"/>
  <c r="AD1660" i="7"/>
  <c r="AH1660" i="7" s="1"/>
  <c r="AB1659" i="7"/>
  <c r="AC1659" i="7"/>
  <c r="X1659" i="7"/>
  <c r="AD1659" i="7"/>
  <c r="AH1659" i="7" s="1"/>
  <c r="AE1659" i="7"/>
  <c r="AB1658" i="7"/>
  <c r="X1658" i="7"/>
  <c r="J53" i="8" s="1"/>
  <c r="AE1658" i="7"/>
  <c r="AD1658" i="7"/>
  <c r="AH1658" i="7" s="1"/>
  <c r="G53" i="8" s="1"/>
  <c r="X1657" i="7"/>
  <c r="AB1657" i="7"/>
  <c r="AC1657" i="7" s="1"/>
  <c r="AD1657" i="7"/>
  <c r="AH1657" i="7" s="1"/>
  <c r="AE1657" i="7"/>
  <c r="AB1656" i="7"/>
  <c r="AC1656" i="7" s="1"/>
  <c r="X1656" i="7"/>
  <c r="AE1656" i="7"/>
  <c r="AD1656" i="7"/>
  <c r="AH1656" i="7" s="1"/>
  <c r="AB1655" i="7"/>
  <c r="AC1655" i="7" s="1"/>
  <c r="X1655" i="7"/>
  <c r="AE1655" i="7"/>
  <c r="AD1655" i="7"/>
  <c r="AH1655" i="7" s="1"/>
  <c r="X1654" i="7"/>
  <c r="AB1654" i="7"/>
  <c r="AC1654" i="7" s="1"/>
  <c r="AD1654" i="7"/>
  <c r="AH1654" i="7" s="1"/>
  <c r="AE1654" i="7"/>
  <c r="AB1653" i="7"/>
  <c r="AC1653" i="7" s="1"/>
  <c r="X1653" i="7"/>
  <c r="AE1653" i="7"/>
  <c r="AD1653" i="7"/>
  <c r="AH1653" i="7" s="1"/>
  <c r="AB1652" i="7"/>
  <c r="AC1652" i="7" s="1"/>
  <c r="X1652" i="7"/>
  <c r="AE1652" i="7"/>
  <c r="AD1652" i="7"/>
  <c r="AH1652" i="7" s="1"/>
  <c r="AB1651" i="7"/>
  <c r="AC1651" i="7" s="1"/>
  <c r="X1651" i="7"/>
  <c r="AE1651" i="7"/>
  <c r="AD1651" i="7"/>
  <c r="AH1651" i="7" s="1"/>
  <c r="AB1650" i="7"/>
  <c r="AC1650" i="7" s="1"/>
  <c r="X1650" i="7"/>
  <c r="AE1650" i="7"/>
  <c r="AD1650" i="7"/>
  <c r="AH1650" i="7" s="1"/>
  <c r="X1649" i="7"/>
  <c r="AB1649" i="7"/>
  <c r="AC1649" i="7"/>
  <c r="AD1649" i="7"/>
  <c r="AE1649" i="7"/>
  <c r="X1648" i="7"/>
  <c r="AB1648" i="7"/>
  <c r="AC1648" i="7"/>
  <c r="AD1648" i="7"/>
  <c r="AH1648" i="7" s="1"/>
  <c r="AE1648" i="7"/>
  <c r="X1647" i="7"/>
  <c r="AB1647" i="7"/>
  <c r="AC1647" i="7" s="1"/>
  <c r="AD1647" i="7"/>
  <c r="AH1647" i="7" s="1"/>
  <c r="AE1647" i="7"/>
  <c r="AB1646" i="7"/>
  <c r="AC1646" i="7" s="1"/>
  <c r="X1646" i="7"/>
  <c r="AE1646" i="7"/>
  <c r="AD1646" i="7"/>
  <c r="AH1646" i="7" s="1"/>
  <c r="AB1645" i="7"/>
  <c r="AC1645" i="7" s="1"/>
  <c r="X1645" i="7"/>
  <c r="AE1645" i="7"/>
  <c r="AD1645" i="7"/>
  <c r="AH1645" i="7" s="1"/>
  <c r="AB1644" i="7"/>
  <c r="AC1644" i="7" s="1"/>
  <c r="AF1644" i="7" s="1"/>
  <c r="AG1644" i="7" s="1"/>
  <c r="X1644" i="7"/>
  <c r="AD1644" i="7"/>
  <c r="AE1644" i="7"/>
  <c r="AB1643" i="7"/>
  <c r="AC1643" i="7" s="1"/>
  <c r="X1643" i="7"/>
  <c r="AE1643" i="7"/>
  <c r="AD1643" i="7"/>
  <c r="AH1643" i="7" s="1"/>
  <c r="AB1642" i="7"/>
  <c r="AC1642" i="7" s="1"/>
  <c r="X1642" i="7"/>
  <c r="AE1642" i="7"/>
  <c r="AD1642" i="7"/>
  <c r="AH1642" i="7" s="1"/>
  <c r="AB1641" i="7"/>
  <c r="AC1641" i="7" s="1"/>
  <c r="X1641" i="7"/>
  <c r="AE1641" i="7"/>
  <c r="AD1641" i="7"/>
  <c r="AH1641" i="7" s="1"/>
  <c r="X1640" i="7"/>
  <c r="AB1640" i="7"/>
  <c r="AC1640" i="7" s="1"/>
  <c r="AE1640" i="7"/>
  <c r="AD1640" i="7"/>
  <c r="AH1640" i="7" s="1"/>
  <c r="AB1639" i="7"/>
  <c r="X1639" i="7"/>
  <c r="AC1639" i="7"/>
  <c r="AD1639" i="7"/>
  <c r="AH1639" i="7" s="1"/>
  <c r="AE1639" i="7"/>
  <c r="AB1638" i="7"/>
  <c r="AC1638" i="7" s="1"/>
  <c r="X1638" i="7"/>
  <c r="AE1638" i="7"/>
  <c r="AD1638" i="7"/>
  <c r="AH1638" i="7" s="1"/>
  <c r="X1637" i="7"/>
  <c r="AB1637" i="7"/>
  <c r="AC1637" i="7"/>
  <c r="AD1637" i="7"/>
  <c r="AH1637" i="7" s="1"/>
  <c r="AE1637" i="7"/>
  <c r="AB1636" i="7"/>
  <c r="AC1636" i="7" s="1"/>
  <c r="X1636" i="7"/>
  <c r="AE1636" i="7"/>
  <c r="AD1636" i="7"/>
  <c r="AH1636" i="7" s="1"/>
  <c r="AB1635" i="7"/>
  <c r="X1635" i="7"/>
  <c r="AC1635" i="7"/>
  <c r="AE1635" i="7"/>
  <c r="AD1635" i="7"/>
  <c r="AH1635" i="7" s="1"/>
  <c r="AB1634" i="7"/>
  <c r="AC1634" i="7" s="1"/>
  <c r="X1634" i="7"/>
  <c r="AE1634" i="7"/>
  <c r="AD1634" i="7"/>
  <c r="AH1634" i="7" s="1"/>
  <c r="AB1633" i="7"/>
  <c r="AC1633" i="7"/>
  <c r="X1633" i="7"/>
  <c r="AD1633" i="7"/>
  <c r="AH1633" i="7" s="1"/>
  <c r="AE1633" i="7"/>
  <c r="AB1632" i="7"/>
  <c r="AC1632" i="7" s="1"/>
  <c r="X1632" i="7"/>
  <c r="AE1632" i="7"/>
  <c r="AD1632" i="7"/>
  <c r="AH1632" i="7" s="1"/>
  <c r="AB1631" i="7"/>
  <c r="AC1631" i="7" s="1"/>
  <c r="X1631" i="7"/>
  <c r="AE1631" i="7"/>
  <c r="AD1631" i="7"/>
  <c r="AH1631" i="7" s="1"/>
  <c r="AB1630" i="7"/>
  <c r="AC1630" i="7" s="1"/>
  <c r="X1630" i="7"/>
  <c r="AE1630" i="7"/>
  <c r="AD1630" i="7"/>
  <c r="AH1630" i="7" s="1"/>
  <c r="X1629" i="7"/>
  <c r="AB1629" i="7"/>
  <c r="AC1629" i="7" s="1"/>
  <c r="AE1629" i="7"/>
  <c r="AD1629" i="7"/>
  <c r="AH1629" i="7" s="1"/>
  <c r="X1628" i="7"/>
  <c r="AB1628" i="7"/>
  <c r="AC1628" i="7" s="1"/>
  <c r="AE1628" i="7"/>
  <c r="AD1628" i="7"/>
  <c r="AH1628" i="7" s="1"/>
  <c r="X1627" i="7"/>
  <c r="AB1627" i="7"/>
  <c r="AC1627" i="7" s="1"/>
  <c r="AD1627" i="7"/>
  <c r="AH1627" i="7" s="1"/>
  <c r="AE1627" i="7"/>
  <c r="AB1626" i="7"/>
  <c r="AC1626" i="7" s="1"/>
  <c r="X1626" i="7"/>
  <c r="AE1626" i="7"/>
  <c r="AD1626" i="7"/>
  <c r="AH1626" i="7" s="1"/>
  <c r="AB1625" i="7"/>
  <c r="X1625" i="7"/>
  <c r="AC1625" i="7"/>
  <c r="AD1625" i="7"/>
  <c r="AH1625" i="7" s="1"/>
  <c r="AE1625" i="7"/>
  <c r="AB1624" i="7"/>
  <c r="AC1624" i="7" s="1"/>
  <c r="X1624" i="7"/>
  <c r="AD1624" i="7"/>
  <c r="AH1624" i="7" s="1"/>
  <c r="AE1624" i="7"/>
  <c r="AB1623" i="7"/>
  <c r="AC1623" i="7" s="1"/>
  <c r="X1623" i="7"/>
  <c r="AE1623" i="7"/>
  <c r="AD1623" i="7"/>
  <c r="AH1623" i="7" s="1"/>
  <c r="AB1622" i="7"/>
  <c r="X1622" i="7"/>
  <c r="AC1622" i="7"/>
  <c r="AD1622" i="7"/>
  <c r="AH1622" i="7" s="1"/>
  <c r="AE1622" i="7"/>
  <c r="AB1621" i="7"/>
  <c r="AC1621" i="7" s="1"/>
  <c r="X1621" i="7"/>
  <c r="AE1621" i="7"/>
  <c r="AD1621" i="7"/>
  <c r="AH1621" i="7" s="1"/>
  <c r="AB1620" i="7"/>
  <c r="AC1620" i="7" s="1"/>
  <c r="X1620" i="7"/>
  <c r="AE1620" i="7"/>
  <c r="AD1620" i="7"/>
  <c r="AH1620" i="7" s="1"/>
  <c r="AB1619" i="7"/>
  <c r="X1619" i="7"/>
  <c r="AC1619" i="7"/>
  <c r="AD1619" i="7"/>
  <c r="AH1619" i="7" s="1"/>
  <c r="AE1619" i="7"/>
  <c r="AB1618" i="7"/>
  <c r="AC1618" i="7" s="1"/>
  <c r="X1618" i="7"/>
  <c r="AE1618" i="7"/>
  <c r="AD1618" i="7"/>
  <c r="AH1618" i="7" s="1"/>
  <c r="AB1617" i="7"/>
  <c r="AC1617" i="7" s="1"/>
  <c r="X1617" i="7"/>
  <c r="AE1617" i="7"/>
  <c r="AD1617" i="7"/>
  <c r="AH1617" i="7" s="1"/>
  <c r="X1616" i="7"/>
  <c r="AB1616" i="7"/>
  <c r="AC1616" i="7"/>
  <c r="AD1616" i="7"/>
  <c r="AH1616" i="7" s="1"/>
  <c r="AE1616" i="7"/>
  <c r="X1615" i="7"/>
  <c r="AB1615" i="7"/>
  <c r="AC1615" i="7"/>
  <c r="AD1615" i="7"/>
  <c r="AH1615" i="7" s="1"/>
  <c r="AE1615" i="7"/>
  <c r="X1614" i="7"/>
  <c r="AB1614" i="7"/>
  <c r="AC1614" i="7"/>
  <c r="AD1614" i="7"/>
  <c r="AH1614" i="7" s="1"/>
  <c r="AE1614" i="7"/>
  <c r="X1613" i="7"/>
  <c r="AB1613" i="7"/>
  <c r="AC1613" i="7" s="1"/>
  <c r="AE1613" i="7"/>
  <c r="AD1613" i="7"/>
  <c r="AH1613" i="7" s="1"/>
  <c r="AB1612" i="7"/>
  <c r="AC1612" i="7" s="1"/>
  <c r="X1612" i="7"/>
  <c r="AE1612" i="7"/>
  <c r="AD1612" i="7"/>
  <c r="AH1612" i="7" s="1"/>
  <c r="AB1611" i="7"/>
  <c r="AC1611" i="7" s="1"/>
  <c r="X1611" i="7"/>
  <c r="AE1611" i="7"/>
  <c r="AD1611" i="7"/>
  <c r="AH1611" i="7" s="1"/>
  <c r="X1610" i="7"/>
  <c r="AB1610" i="7"/>
  <c r="AC1610" i="7" s="1"/>
  <c r="AD1610" i="7"/>
  <c r="AH1610" i="7" s="1"/>
  <c r="AE1610" i="7"/>
  <c r="AB1609" i="7"/>
  <c r="AC1609" i="7"/>
  <c r="X1609" i="7"/>
  <c r="AD1609" i="7"/>
  <c r="AH1609" i="7" s="1"/>
  <c r="AE1609" i="7"/>
  <c r="AB1608" i="7"/>
  <c r="AC1608" i="7" s="1"/>
  <c r="X1608" i="7"/>
  <c r="AE1608" i="7"/>
  <c r="AD1608" i="7"/>
  <c r="AH1608" i="7" s="1"/>
  <c r="X1607" i="7"/>
  <c r="AB1607" i="7"/>
  <c r="AC1607" i="7"/>
  <c r="AD1607" i="7"/>
  <c r="AH1607" i="7" s="1"/>
  <c r="AE1607" i="7"/>
  <c r="AB1606" i="7"/>
  <c r="AC1606" i="7" s="1"/>
  <c r="X1606" i="7"/>
  <c r="AE1606" i="7"/>
  <c r="AD1606" i="7"/>
  <c r="AH1606" i="7" s="1"/>
  <c r="AB1605" i="7"/>
  <c r="AC1605" i="7" s="1"/>
  <c r="X1605" i="7"/>
  <c r="AE1605" i="7"/>
  <c r="AD1605" i="7"/>
  <c r="AH1605" i="7" s="1"/>
  <c r="AB1604" i="7"/>
  <c r="AC1604" i="7" s="1"/>
  <c r="X1604" i="7"/>
  <c r="AE1604" i="7"/>
  <c r="AD1604" i="7"/>
  <c r="AH1604" i="7" s="1"/>
  <c r="AB1603" i="7"/>
  <c r="AC1603" i="7" s="1"/>
  <c r="X1603" i="7"/>
  <c r="AE1603" i="7"/>
  <c r="AD1603" i="7"/>
  <c r="AH1603" i="7" s="1"/>
  <c r="AB1602" i="7"/>
  <c r="AC1602" i="7" s="1"/>
  <c r="X1602" i="7"/>
  <c r="AD1602" i="7"/>
  <c r="AH1602" i="7" s="1"/>
  <c r="AE1602" i="7"/>
  <c r="X1601" i="7"/>
  <c r="AB1601" i="7"/>
  <c r="AC1601" i="7" s="1"/>
  <c r="AE1601" i="7"/>
  <c r="AD1601" i="7"/>
  <c r="AH1601" i="7" s="1"/>
  <c r="AB1600" i="7"/>
  <c r="AC1600" i="7" s="1"/>
  <c r="X1600" i="7"/>
  <c r="AE1600" i="7"/>
  <c r="AD1600" i="7"/>
  <c r="AH1600" i="7" s="1"/>
  <c r="AB1599" i="7"/>
  <c r="AC1599" i="7" s="1"/>
  <c r="X1599" i="7"/>
  <c r="AD1599" i="7"/>
  <c r="AH1599" i="7" s="1"/>
  <c r="AE1599" i="7"/>
  <c r="AB1598" i="7"/>
  <c r="AC1598" i="7" s="1"/>
  <c r="X1598" i="7"/>
  <c r="AD1598" i="7"/>
  <c r="AH1598" i="7" s="1"/>
  <c r="AE1598" i="7"/>
  <c r="AB1597" i="7"/>
  <c r="AC1597" i="7" s="1"/>
  <c r="X1597" i="7"/>
  <c r="AE1597" i="7"/>
  <c r="AD1597" i="7"/>
  <c r="AH1597" i="7" s="1"/>
  <c r="AB1596" i="7"/>
  <c r="AC1596" i="7"/>
  <c r="X1596" i="7"/>
  <c r="AD1596" i="7"/>
  <c r="AH1596" i="7" s="1"/>
  <c r="AE1596" i="7"/>
  <c r="AB1595" i="7"/>
  <c r="AC1595" i="7" s="1"/>
  <c r="X1595" i="7"/>
  <c r="AE1595" i="7"/>
  <c r="AD1595" i="7"/>
  <c r="AH1595" i="7" s="1"/>
  <c r="AB1594" i="7"/>
  <c r="AC1594" i="7" s="1"/>
  <c r="X1594" i="7"/>
  <c r="AE1594" i="7"/>
  <c r="AD1594" i="7"/>
  <c r="AH1594" i="7" s="1"/>
  <c r="AB1593" i="7"/>
  <c r="AC1593" i="7" s="1"/>
  <c r="X1593" i="7"/>
  <c r="AE1593" i="7"/>
  <c r="AD1593" i="7"/>
  <c r="AH1593" i="7" s="1"/>
  <c r="AB1592" i="7"/>
  <c r="AC1592" i="7" s="1"/>
  <c r="X1592" i="7"/>
  <c r="AE1592" i="7"/>
  <c r="AD1592" i="7"/>
  <c r="AH1592" i="7" s="1"/>
  <c r="AB1591" i="7"/>
  <c r="AC1591" i="7" s="1"/>
  <c r="X1591" i="7"/>
  <c r="AE1591" i="7"/>
  <c r="AD1591" i="7"/>
  <c r="AH1591" i="7" s="1"/>
  <c r="AB1590" i="7"/>
  <c r="AC1590" i="7" s="1"/>
  <c r="X1590" i="7"/>
  <c r="AE1590" i="7"/>
  <c r="AD1590" i="7"/>
  <c r="AH1590" i="7" s="1"/>
  <c r="X1589" i="7"/>
  <c r="AB1589" i="7"/>
  <c r="AC1589" i="7"/>
  <c r="AD1589" i="7"/>
  <c r="AH1589" i="7" s="1"/>
  <c r="AE1589" i="7"/>
  <c r="AB1588" i="7"/>
  <c r="AC1588" i="7" s="1"/>
  <c r="X1588" i="7"/>
  <c r="AD1588" i="7"/>
  <c r="AH1588" i="7" s="1"/>
  <c r="AE1588" i="7"/>
  <c r="AB1587" i="7"/>
  <c r="AC1587" i="7" s="1"/>
  <c r="X1587" i="7"/>
  <c r="AE1587" i="7"/>
  <c r="AD1587" i="7"/>
  <c r="AH1587" i="7" s="1"/>
  <c r="AB1586" i="7"/>
  <c r="AC1586" i="7" s="1"/>
  <c r="X1586" i="7"/>
  <c r="AE1586" i="7"/>
  <c r="AD1586" i="7"/>
  <c r="AH1586" i="7" s="1"/>
  <c r="AB1585" i="7"/>
  <c r="AC1585" i="7" s="1"/>
  <c r="X1585" i="7"/>
  <c r="AE1585" i="7"/>
  <c r="AD1585" i="7"/>
  <c r="AH1585" i="7" s="1"/>
  <c r="AB1584" i="7"/>
  <c r="AC1584" i="7" s="1"/>
  <c r="X1584" i="7"/>
  <c r="AD1584" i="7"/>
  <c r="AH1584" i="7" s="1"/>
  <c r="AE1584" i="7"/>
  <c r="AB1583" i="7"/>
  <c r="X1583" i="7"/>
  <c r="AC1583" i="7"/>
  <c r="AE1583" i="7"/>
  <c r="AD1583" i="7"/>
  <c r="AH1583" i="7" s="1"/>
  <c r="X1582" i="7"/>
  <c r="AB1582" i="7"/>
  <c r="AC1582" i="7" s="1"/>
  <c r="AE1582" i="7"/>
  <c r="AD1582" i="7"/>
  <c r="AH1582" i="7" s="1"/>
  <c r="AB1581" i="7"/>
  <c r="X1581" i="7"/>
  <c r="AC1581" i="7"/>
  <c r="AD1581" i="7"/>
  <c r="AH1581" i="7" s="1"/>
  <c r="AE1581" i="7"/>
  <c r="AB1580" i="7"/>
  <c r="AC1580" i="7" s="1"/>
  <c r="X1580" i="7"/>
  <c r="AE1580" i="7"/>
  <c r="AD1580" i="7"/>
  <c r="AH1580" i="7" s="1"/>
  <c r="X1579" i="7"/>
  <c r="AB1579" i="7"/>
  <c r="AC1579" i="7" s="1"/>
  <c r="AD1579" i="7"/>
  <c r="AH1579" i="7" s="1"/>
  <c r="AE1579" i="7"/>
  <c r="AB1578" i="7"/>
  <c r="AC1578" i="7" s="1"/>
  <c r="X1578" i="7"/>
  <c r="AD1578" i="7"/>
  <c r="AH1578" i="7" s="1"/>
  <c r="AE1578" i="7"/>
  <c r="AB1577" i="7"/>
  <c r="AC1577" i="7" s="1"/>
  <c r="X1577" i="7"/>
  <c r="AE1577" i="7"/>
  <c r="AD1577" i="7"/>
  <c r="AH1577" i="7" s="1"/>
  <c r="X1576" i="7"/>
  <c r="AB1576" i="7"/>
  <c r="AC1576" i="7"/>
  <c r="AD1576" i="7"/>
  <c r="AH1576" i="7" s="1"/>
  <c r="AE1576" i="7"/>
  <c r="AB1575" i="7"/>
  <c r="AC1575" i="7" s="1"/>
  <c r="X1575" i="7"/>
  <c r="AE1575" i="7"/>
  <c r="AD1575" i="7"/>
  <c r="AH1575" i="7" s="1"/>
  <c r="AB1574" i="7"/>
  <c r="AC1574" i="7" s="1"/>
  <c r="X1574" i="7"/>
  <c r="AE1574" i="7"/>
  <c r="AD1574" i="7"/>
  <c r="AH1574" i="7" s="1"/>
  <c r="AB1573" i="7"/>
  <c r="AC1573" i="7" s="1"/>
  <c r="X1573" i="7"/>
  <c r="AE1573" i="7"/>
  <c r="AD1573" i="7"/>
  <c r="AH1573" i="7" s="1"/>
  <c r="AB1572" i="7"/>
  <c r="AC1572" i="7" s="1"/>
  <c r="X1572" i="7"/>
  <c r="AE1572" i="7"/>
  <c r="AD1572" i="7"/>
  <c r="AH1572" i="7" s="1"/>
  <c r="AB1571" i="7"/>
  <c r="AC1571" i="7" s="1"/>
  <c r="X1571" i="7"/>
  <c r="AE1571" i="7"/>
  <c r="AD1571" i="7"/>
  <c r="AH1571" i="7" s="1"/>
  <c r="AB1570" i="7"/>
  <c r="AC1570" i="7" s="1"/>
  <c r="X1570" i="7"/>
  <c r="AE1570" i="7"/>
  <c r="AD1570" i="7"/>
  <c r="AH1570" i="7" s="1"/>
  <c r="AB1569" i="7"/>
  <c r="AC1569" i="7" s="1"/>
  <c r="X1569" i="7"/>
  <c r="AE1569" i="7"/>
  <c r="AD1569" i="7"/>
  <c r="AH1569" i="7" s="1"/>
  <c r="AB1568" i="7"/>
  <c r="AC1568" i="7"/>
  <c r="X1568" i="7"/>
  <c r="AE1568" i="7"/>
  <c r="AD1568" i="7"/>
  <c r="AH1568" i="7" s="1"/>
  <c r="AB1567" i="7"/>
  <c r="AC1567" i="7" s="1"/>
  <c r="X1567" i="7"/>
  <c r="AE1567" i="7"/>
  <c r="AD1567" i="7"/>
  <c r="AH1567" i="7" s="1"/>
  <c r="AB1566" i="7"/>
  <c r="AC1566" i="7" s="1"/>
  <c r="X1566" i="7"/>
  <c r="AE1566" i="7"/>
  <c r="AD1566" i="7"/>
  <c r="AH1566" i="7" s="1"/>
  <c r="AB1565" i="7"/>
  <c r="AC1565" i="7" s="1"/>
  <c r="X1565" i="7"/>
  <c r="AE1565" i="7"/>
  <c r="AD1565" i="7"/>
  <c r="AH1565" i="7" s="1"/>
  <c r="X1564" i="7"/>
  <c r="AB1564" i="7"/>
  <c r="AC1564" i="7" s="1"/>
  <c r="AE1564" i="7"/>
  <c r="AD1564" i="7"/>
  <c r="AH1564" i="7" s="1"/>
  <c r="X1563" i="7"/>
  <c r="AB1563" i="7"/>
  <c r="AC1563" i="7" s="1"/>
  <c r="AE1563" i="7"/>
  <c r="AD1563" i="7"/>
  <c r="AH1563" i="7" s="1"/>
  <c r="AB1562" i="7"/>
  <c r="AC1562" i="7"/>
  <c r="X1562" i="7"/>
  <c r="AD1562" i="7"/>
  <c r="AH1562" i="7" s="1"/>
  <c r="AE1562" i="7"/>
  <c r="X1561" i="7"/>
  <c r="AB1561" i="7"/>
  <c r="AC1561" i="7"/>
  <c r="AD1561" i="7"/>
  <c r="AH1561" i="7" s="1"/>
  <c r="AE1561" i="7"/>
  <c r="AB1560" i="7"/>
  <c r="AC1560" i="7"/>
  <c r="X1560" i="7"/>
  <c r="AD1560" i="7"/>
  <c r="AH1560" i="7" s="1"/>
  <c r="AE1560" i="7"/>
  <c r="X1559" i="7"/>
  <c r="AB1559" i="7"/>
  <c r="AC1559" i="7" s="1"/>
  <c r="AE1559" i="7"/>
  <c r="AD1559" i="7"/>
  <c r="AH1559" i="7" s="1"/>
  <c r="AB1558" i="7"/>
  <c r="AC1558" i="7" s="1"/>
  <c r="X1558" i="7"/>
  <c r="AD1558" i="7"/>
  <c r="AH1558" i="7" s="1"/>
  <c r="AE1558" i="7"/>
  <c r="AB1557" i="7"/>
  <c r="X1557" i="7"/>
  <c r="AC1557" i="7"/>
  <c r="AE1557" i="7"/>
  <c r="AD1557" i="7"/>
  <c r="AH1557" i="7" s="1"/>
  <c r="AB1556" i="7"/>
  <c r="AC1556" i="7" s="1"/>
  <c r="X1556" i="7"/>
  <c r="AE1556" i="7"/>
  <c r="AD1556" i="7"/>
  <c r="AH1556" i="7" s="1"/>
  <c r="AB1555" i="7"/>
  <c r="AC1555" i="7" s="1"/>
  <c r="X1555" i="7"/>
  <c r="AE1555" i="7"/>
  <c r="AD1555" i="7"/>
  <c r="AH1555" i="7" s="1"/>
  <c r="AB1554" i="7"/>
  <c r="AC1554" i="7" s="1"/>
  <c r="X1554" i="7"/>
  <c r="AE1554" i="7"/>
  <c r="AD1554" i="7"/>
  <c r="AH1554" i="7" s="1"/>
  <c r="AB1553" i="7"/>
  <c r="X1553" i="7"/>
  <c r="AC1553" i="7"/>
  <c r="AD1553" i="7"/>
  <c r="AH1553" i="7" s="1"/>
  <c r="AE1553" i="7"/>
  <c r="X1552" i="7"/>
  <c r="AB1552" i="7"/>
  <c r="AC1552" i="7" s="1"/>
  <c r="AD1552" i="7"/>
  <c r="AH1552" i="7" s="1"/>
  <c r="AE1552" i="7"/>
  <c r="X1551" i="7"/>
  <c r="AB1551" i="7"/>
  <c r="AC1551" i="7"/>
  <c r="AE1551" i="7"/>
  <c r="AD1551" i="7"/>
  <c r="AH1551" i="7" s="1"/>
  <c r="AB1550" i="7"/>
  <c r="AC1550" i="7"/>
  <c r="X1550" i="7"/>
  <c r="AD1550" i="7"/>
  <c r="AH1550" i="7" s="1"/>
  <c r="AE1550" i="7"/>
  <c r="X1549" i="7"/>
  <c r="AB1549" i="7"/>
  <c r="AC1549" i="7"/>
  <c r="AD1549" i="7"/>
  <c r="AH1549" i="7" s="1"/>
  <c r="AE1549" i="7"/>
  <c r="X1548" i="7"/>
  <c r="AB1548" i="7"/>
  <c r="AC1548" i="7"/>
  <c r="AD1548" i="7"/>
  <c r="AH1548" i="7" s="1"/>
  <c r="AE1548" i="7"/>
  <c r="AB1547" i="7"/>
  <c r="AC1547" i="7"/>
  <c r="X1547" i="7"/>
  <c r="AE1547" i="7"/>
  <c r="AD1547" i="7"/>
  <c r="AH1547" i="7" s="1"/>
  <c r="AB1546" i="7"/>
  <c r="AC1546" i="7" s="1"/>
  <c r="X1546" i="7"/>
  <c r="AD1546" i="7"/>
  <c r="AH1546" i="7" s="1"/>
  <c r="AE1546" i="7"/>
  <c r="AB1545" i="7"/>
  <c r="AC1545" i="7" s="1"/>
  <c r="X1545" i="7"/>
  <c r="AE1545" i="7"/>
  <c r="AD1545" i="7"/>
  <c r="AH1545" i="7" s="1"/>
  <c r="AB1544" i="7"/>
  <c r="X1544" i="7"/>
  <c r="AC1544" i="7"/>
  <c r="AD1544" i="7"/>
  <c r="AH1544" i="7" s="1"/>
  <c r="AE1544" i="7"/>
  <c r="AB1543" i="7"/>
  <c r="AC1543" i="7" s="1"/>
  <c r="X1543" i="7"/>
  <c r="AE1543" i="7"/>
  <c r="AD1543" i="7"/>
  <c r="AH1543" i="7" s="1"/>
  <c r="AB1542" i="7"/>
  <c r="AC1542" i="7" s="1"/>
  <c r="X1542" i="7"/>
  <c r="AD1542" i="7"/>
  <c r="AH1542" i="7" s="1"/>
  <c r="AE1542" i="7"/>
  <c r="AB1541" i="7"/>
  <c r="AC1541" i="7" s="1"/>
  <c r="X1541" i="7"/>
  <c r="AE1541" i="7"/>
  <c r="AD1541" i="7"/>
  <c r="AH1541" i="7" s="1"/>
  <c r="AB1540" i="7"/>
  <c r="AC1540" i="7" s="1"/>
  <c r="X1540" i="7"/>
  <c r="AD1540" i="7"/>
  <c r="AH1540" i="7" s="1"/>
  <c r="AE1540" i="7"/>
  <c r="AB1539" i="7"/>
  <c r="AC1539" i="7" s="1"/>
  <c r="X1539" i="7"/>
  <c r="AE1539" i="7"/>
  <c r="AD1539" i="7"/>
  <c r="AH1539" i="7" s="1"/>
  <c r="AB1538" i="7"/>
  <c r="AC1538" i="7" s="1"/>
  <c r="X1538" i="7"/>
  <c r="AD1538" i="7"/>
  <c r="AH1538" i="7" s="1"/>
  <c r="AE1538" i="7"/>
  <c r="AB1537" i="7"/>
  <c r="AC1537" i="7" s="1"/>
  <c r="X1537" i="7"/>
  <c r="AE1537" i="7"/>
  <c r="AD1537" i="7"/>
  <c r="AH1537" i="7" s="1"/>
  <c r="AB1536" i="7"/>
  <c r="AC1536" i="7" s="1"/>
  <c r="X1536" i="7"/>
  <c r="AE1536" i="7"/>
  <c r="AD1536" i="7"/>
  <c r="AH1536" i="7" s="1"/>
  <c r="AB1535" i="7"/>
  <c r="AC1535" i="7"/>
  <c r="X1535" i="7"/>
  <c r="AE1535" i="7"/>
  <c r="AD1535" i="7"/>
  <c r="AH1535" i="7" s="1"/>
  <c r="AB1534" i="7"/>
  <c r="X1534" i="7"/>
  <c r="AC1534" i="7"/>
  <c r="AD1534" i="7"/>
  <c r="AH1534" i="7" s="1"/>
  <c r="AE1534" i="7"/>
  <c r="AB1533" i="7"/>
  <c r="AC1533" i="7" s="1"/>
  <c r="X1533" i="7"/>
  <c r="AE1533" i="7"/>
  <c r="AD1533" i="7"/>
  <c r="AH1533" i="7" s="1"/>
  <c r="AB1532" i="7"/>
  <c r="AC1532" i="7" s="1"/>
  <c r="X1532" i="7"/>
  <c r="AD1532" i="7"/>
  <c r="AH1532" i="7" s="1"/>
  <c r="AE1532" i="7"/>
  <c r="AB1531" i="7"/>
  <c r="X1531" i="7"/>
  <c r="AC1531" i="7"/>
  <c r="AD1531" i="7"/>
  <c r="AH1531" i="7" s="1"/>
  <c r="AE1531" i="7"/>
  <c r="X1530" i="7"/>
  <c r="AB1530" i="7"/>
  <c r="AC1530" i="7"/>
  <c r="AD1530" i="7"/>
  <c r="AH1530" i="7" s="1"/>
  <c r="AE1530" i="7"/>
  <c r="AB1529" i="7"/>
  <c r="AC1529" i="7" s="1"/>
  <c r="X1529" i="7"/>
  <c r="AE1529" i="7"/>
  <c r="AD1529" i="7"/>
  <c r="AH1529" i="7" s="1"/>
  <c r="X1528" i="7"/>
  <c r="AB1528" i="7"/>
  <c r="AC1528" i="7" s="1"/>
  <c r="AD1528" i="7"/>
  <c r="AH1528" i="7" s="1"/>
  <c r="AE1528" i="7"/>
  <c r="X1527" i="7"/>
  <c r="AB1527" i="7"/>
  <c r="AC1527" i="7"/>
  <c r="AD1527" i="7"/>
  <c r="AH1527" i="7" s="1"/>
  <c r="AE1527" i="7"/>
  <c r="AB1526" i="7"/>
  <c r="AC1526" i="7" s="1"/>
  <c r="X1526" i="7"/>
  <c r="AE1526" i="7"/>
  <c r="AD1526" i="7"/>
  <c r="AH1526" i="7" s="1"/>
  <c r="AB1525" i="7"/>
  <c r="AC1525" i="7" s="1"/>
  <c r="X1525" i="7"/>
  <c r="AD1525" i="7"/>
  <c r="AH1525" i="7" s="1"/>
  <c r="AE1525" i="7"/>
  <c r="AB1524" i="7"/>
  <c r="AC1524" i="7" s="1"/>
  <c r="X1524" i="7"/>
  <c r="AE1524" i="7"/>
  <c r="AD1524" i="7"/>
  <c r="AH1524" i="7" s="1"/>
  <c r="AB1523" i="7"/>
  <c r="AC1523" i="7" s="1"/>
  <c r="X1523" i="7"/>
  <c r="AE1523" i="7"/>
  <c r="AD1523" i="7"/>
  <c r="AH1523" i="7" s="1"/>
  <c r="AB1522" i="7"/>
  <c r="AC1522" i="7" s="1"/>
  <c r="X1522" i="7"/>
  <c r="AE1522" i="7"/>
  <c r="AD1522" i="7"/>
  <c r="AH1522" i="7" s="1"/>
  <c r="X1521" i="7"/>
  <c r="AB1521" i="7"/>
  <c r="AC1521" i="7" s="1"/>
  <c r="AD1521" i="7"/>
  <c r="AH1521" i="7" s="1"/>
  <c r="AE1521" i="7"/>
  <c r="X1520" i="7"/>
  <c r="AB1520" i="7"/>
  <c r="AC1520" i="7"/>
  <c r="AE1520" i="7"/>
  <c r="AD1520" i="7"/>
  <c r="AH1520" i="7" s="1"/>
  <c r="AB1519" i="7"/>
  <c r="AC1519" i="7" s="1"/>
  <c r="X1519" i="7"/>
  <c r="AE1519" i="7"/>
  <c r="AD1519" i="7"/>
  <c r="AH1519" i="7" s="1"/>
  <c r="AB1518" i="7"/>
  <c r="AC1518" i="7" s="1"/>
  <c r="X1518" i="7"/>
  <c r="AE1518" i="7"/>
  <c r="AD1518" i="7"/>
  <c r="AH1518" i="7" s="1"/>
  <c r="AB1517" i="7"/>
  <c r="AC1517" i="7" s="1"/>
  <c r="X1517" i="7"/>
  <c r="AD1517" i="7"/>
  <c r="AH1517" i="7" s="1"/>
  <c r="AE1517" i="7"/>
  <c r="AB1516" i="7"/>
  <c r="AC1516" i="7" s="1"/>
  <c r="X1516" i="7"/>
  <c r="AE1516" i="7"/>
  <c r="AD1516" i="7"/>
  <c r="AH1516" i="7" s="1"/>
  <c r="AB1515" i="7"/>
  <c r="AC1515" i="7"/>
  <c r="X1515" i="7"/>
  <c r="AE1515" i="7"/>
  <c r="AD1515" i="7"/>
  <c r="AH1515" i="7" s="1"/>
  <c r="AB1514" i="7"/>
  <c r="AC1514" i="7" s="1"/>
  <c r="X1514" i="7"/>
  <c r="AE1514" i="7"/>
  <c r="AD1514" i="7"/>
  <c r="AH1514" i="7" s="1"/>
  <c r="AB1513" i="7"/>
  <c r="AC1513" i="7" s="1"/>
  <c r="X1513" i="7"/>
  <c r="AD1513" i="7"/>
  <c r="AH1513" i="7" s="1"/>
  <c r="AE1513" i="7"/>
  <c r="AB1512" i="7"/>
  <c r="AC1512" i="7" s="1"/>
  <c r="X1512" i="7"/>
  <c r="AE1512" i="7"/>
  <c r="AD1512" i="7"/>
  <c r="AH1512" i="7" s="1"/>
  <c r="X1511" i="7"/>
  <c r="AB1511" i="7"/>
  <c r="AC1511" i="7"/>
  <c r="AD1511" i="7"/>
  <c r="AH1511" i="7" s="1"/>
  <c r="AE1511" i="7"/>
  <c r="AB1510" i="7"/>
  <c r="AC1510" i="7" s="1"/>
  <c r="X1510" i="7"/>
  <c r="AE1510" i="7"/>
  <c r="AD1510" i="7"/>
  <c r="AH1510" i="7" s="1"/>
  <c r="X1509" i="7"/>
  <c r="AB1509" i="7"/>
  <c r="AC1509" i="7" s="1"/>
  <c r="AD1509" i="7"/>
  <c r="AH1509" i="7" s="1"/>
  <c r="AE1509" i="7"/>
  <c r="AB1508" i="7"/>
  <c r="AC1508" i="7" s="1"/>
  <c r="X1508" i="7"/>
  <c r="AE1508" i="7"/>
  <c r="AD1508" i="7"/>
  <c r="AH1508" i="7" s="1"/>
  <c r="AB1507" i="7"/>
  <c r="AC1507" i="7" s="1"/>
  <c r="X1507" i="7"/>
  <c r="AE1507" i="7"/>
  <c r="AD1507" i="7"/>
  <c r="AH1507" i="7" s="1"/>
  <c r="X1506" i="7"/>
  <c r="AB1506" i="7"/>
  <c r="AC1506" i="7"/>
  <c r="AE1506" i="7"/>
  <c r="AD1506" i="7"/>
  <c r="AH1506" i="7" s="1"/>
  <c r="AB1505" i="7"/>
  <c r="AC1505" i="7" s="1"/>
  <c r="X1505" i="7"/>
  <c r="AE1505" i="7"/>
  <c r="AD1505" i="7"/>
  <c r="AH1505" i="7" s="1"/>
  <c r="AB1504" i="7"/>
  <c r="AC1504" i="7" s="1"/>
  <c r="X1504" i="7"/>
  <c r="AE1504" i="7"/>
  <c r="AD1504" i="7"/>
  <c r="AH1504" i="7" s="1"/>
  <c r="AB1503" i="7"/>
  <c r="AC1503" i="7" s="1"/>
  <c r="X1503" i="7"/>
  <c r="AD1503" i="7"/>
  <c r="AH1503" i="7" s="1"/>
  <c r="AE1503" i="7"/>
  <c r="AB1502" i="7"/>
  <c r="AC1502" i="7" s="1"/>
  <c r="X1502" i="7"/>
  <c r="AE1502" i="7"/>
  <c r="AD1502" i="7"/>
  <c r="AH1502" i="7" s="1"/>
  <c r="X1501" i="7"/>
  <c r="AB1501" i="7"/>
  <c r="AC1501" i="7"/>
  <c r="AD1501" i="7"/>
  <c r="AH1501" i="7" s="1"/>
  <c r="AE1501" i="7"/>
  <c r="AB1500" i="7"/>
  <c r="AC1500" i="7" s="1"/>
  <c r="X1500" i="7"/>
  <c r="AD1500" i="7"/>
  <c r="AH1500" i="7" s="1"/>
  <c r="AE1500" i="7"/>
  <c r="AB1499" i="7"/>
  <c r="AC1499" i="7" s="1"/>
  <c r="X1499" i="7"/>
  <c r="AD1499" i="7"/>
  <c r="AH1499" i="7" s="1"/>
  <c r="AE1499" i="7"/>
  <c r="AB1498" i="7"/>
  <c r="X1498" i="7"/>
  <c r="AC1498" i="7"/>
  <c r="AD1498" i="7"/>
  <c r="AH1498" i="7" s="1"/>
  <c r="AE1498" i="7"/>
  <c r="X1497" i="7"/>
  <c r="AB1497" i="7"/>
  <c r="AC1497" i="7" s="1"/>
  <c r="AE1497" i="7"/>
  <c r="AD1497" i="7"/>
  <c r="AH1497" i="7" s="1"/>
  <c r="AB1496" i="7"/>
  <c r="AC1496" i="7" s="1"/>
  <c r="X1496" i="7"/>
  <c r="AE1496" i="7"/>
  <c r="AD1496" i="7"/>
  <c r="AH1496" i="7" s="1"/>
  <c r="AB1495" i="7"/>
  <c r="AC1495" i="7" s="1"/>
  <c r="X1495" i="7"/>
  <c r="AE1495" i="7"/>
  <c r="AD1495" i="7"/>
  <c r="AH1495" i="7" s="1"/>
  <c r="AB1494" i="7"/>
  <c r="X1494" i="7"/>
  <c r="AC1494" i="7"/>
  <c r="AD1494" i="7"/>
  <c r="AH1494" i="7" s="1"/>
  <c r="AE1494" i="7"/>
  <c r="AB1493" i="7"/>
  <c r="AC1493" i="7" s="1"/>
  <c r="X1493" i="7"/>
  <c r="AE1493" i="7"/>
  <c r="AD1493" i="7"/>
  <c r="AH1493" i="7" s="1"/>
  <c r="AB1492" i="7"/>
  <c r="X1492" i="7"/>
  <c r="AC1492" i="7"/>
  <c r="AE1492" i="7"/>
  <c r="AD1492" i="7"/>
  <c r="AH1492" i="7" s="1"/>
  <c r="AB1491" i="7"/>
  <c r="AC1491" i="7" s="1"/>
  <c r="X1491" i="7"/>
  <c r="AE1491" i="7"/>
  <c r="AD1491" i="7"/>
  <c r="AH1491" i="7" s="1"/>
  <c r="AB1490" i="7"/>
  <c r="AC1490" i="7"/>
  <c r="X1490" i="7"/>
  <c r="AD1490" i="7"/>
  <c r="AH1490" i="7" s="1"/>
  <c r="AE1490" i="7"/>
  <c r="AB1489" i="7"/>
  <c r="AC1489" i="7" s="1"/>
  <c r="X1489" i="7"/>
  <c r="AE1489" i="7"/>
  <c r="AD1489" i="7"/>
  <c r="AH1489" i="7" s="1"/>
  <c r="X1488" i="7"/>
  <c r="AB1488" i="7"/>
  <c r="AC1488" i="7" s="1"/>
  <c r="AD1488" i="7"/>
  <c r="AH1488" i="7" s="1"/>
  <c r="AE1488" i="7"/>
  <c r="AB1487" i="7"/>
  <c r="AC1487" i="7" s="1"/>
  <c r="X1487" i="7"/>
  <c r="AE1487" i="7"/>
  <c r="AD1487" i="7"/>
  <c r="AH1487" i="7" s="1"/>
  <c r="AB1486" i="7"/>
  <c r="AC1486" i="7" s="1"/>
  <c r="X1486" i="7"/>
  <c r="AE1486" i="7"/>
  <c r="AD1486" i="7"/>
  <c r="AH1486" i="7" s="1"/>
  <c r="AB1485" i="7"/>
  <c r="AC1485" i="7" s="1"/>
  <c r="X1485" i="7"/>
  <c r="AD1485" i="7"/>
  <c r="AH1485" i="7" s="1"/>
  <c r="AE1485" i="7"/>
  <c r="AB1484" i="7"/>
  <c r="AC1484" i="7" s="1"/>
  <c r="X1484" i="7"/>
  <c r="AE1484" i="7"/>
  <c r="AD1484" i="7"/>
  <c r="AH1484" i="7" s="1"/>
  <c r="AB1483" i="7"/>
  <c r="AC1483" i="7" s="1"/>
  <c r="X1483" i="7"/>
  <c r="AD1483" i="7"/>
  <c r="AH1483" i="7" s="1"/>
  <c r="AE1483" i="7"/>
  <c r="AB1482" i="7"/>
  <c r="AC1482" i="7" s="1"/>
  <c r="X1482" i="7"/>
  <c r="AE1482" i="7"/>
  <c r="AD1482" i="7"/>
  <c r="AH1482" i="7" s="1"/>
  <c r="AB1481" i="7"/>
  <c r="AC1481" i="7" s="1"/>
  <c r="X1481" i="7"/>
  <c r="AD1481" i="7"/>
  <c r="AH1481" i="7" s="1"/>
  <c r="AE1481" i="7"/>
  <c r="AB1480" i="7"/>
  <c r="AC1480" i="7" s="1"/>
  <c r="X1480" i="7"/>
  <c r="AE1480" i="7"/>
  <c r="AD1480" i="7"/>
  <c r="AH1480" i="7" s="1"/>
  <c r="AB1479" i="7"/>
  <c r="AC1479" i="7" s="1"/>
  <c r="X1479" i="7"/>
  <c r="AD1479" i="7"/>
  <c r="AH1479" i="7" s="1"/>
  <c r="AE1479" i="7"/>
  <c r="AB1478" i="7"/>
  <c r="AC1478" i="7" s="1"/>
  <c r="X1478" i="7"/>
  <c r="AD1478" i="7"/>
  <c r="AH1478" i="7" s="1"/>
  <c r="AE1478" i="7"/>
  <c r="AB1477" i="7"/>
  <c r="AC1477" i="7" s="1"/>
  <c r="X1477" i="7"/>
  <c r="AE1477" i="7"/>
  <c r="AD1477" i="7"/>
  <c r="AH1477" i="7" s="1"/>
  <c r="X1476" i="7"/>
  <c r="AB1476" i="7"/>
  <c r="AC1476" i="7" s="1"/>
  <c r="AD1476" i="7"/>
  <c r="AH1476" i="7" s="1"/>
  <c r="AE1476" i="7"/>
  <c r="AB1475" i="7"/>
  <c r="AC1475" i="7" s="1"/>
  <c r="X1475" i="7"/>
  <c r="AE1475" i="7"/>
  <c r="AD1475" i="7"/>
  <c r="AH1475" i="7" s="1"/>
  <c r="AB1474" i="7"/>
  <c r="AC1474" i="7" s="1"/>
  <c r="X1474" i="7"/>
  <c r="AD1474" i="7"/>
  <c r="AH1474" i="7" s="1"/>
  <c r="AE1474" i="7"/>
  <c r="AB1473" i="7"/>
  <c r="AC1473" i="7" s="1"/>
  <c r="X1473" i="7"/>
  <c r="AE1473" i="7"/>
  <c r="AD1473" i="7"/>
  <c r="AH1473" i="7" s="1"/>
  <c r="X1472" i="7"/>
  <c r="AB1472" i="7"/>
  <c r="AC1472" i="7" s="1"/>
  <c r="AD1472" i="7"/>
  <c r="AH1472" i="7" s="1"/>
  <c r="AE1472" i="7"/>
  <c r="AB1471" i="7"/>
  <c r="AC1471" i="7"/>
  <c r="X1471" i="7"/>
  <c r="AE1471" i="7"/>
  <c r="AD1471" i="7"/>
  <c r="AH1471" i="7" s="1"/>
  <c r="AB1470" i="7"/>
  <c r="AC1470" i="7" s="1"/>
  <c r="X1470" i="7"/>
  <c r="AD1470" i="7"/>
  <c r="AH1470" i="7" s="1"/>
  <c r="AE1470" i="7"/>
  <c r="X1469" i="7"/>
  <c r="AB1469" i="7"/>
  <c r="AC1469" i="7"/>
  <c r="AD1469" i="7"/>
  <c r="AH1469" i="7" s="1"/>
  <c r="AE1469" i="7"/>
  <c r="AB1468" i="7"/>
  <c r="AC1468" i="7" s="1"/>
  <c r="X1468" i="7"/>
  <c r="AE1468" i="7"/>
  <c r="AD1468" i="7"/>
  <c r="AH1468" i="7" s="1"/>
  <c r="AB1467" i="7"/>
  <c r="AC1467" i="7"/>
  <c r="X1467" i="7"/>
  <c r="AE1467" i="7"/>
  <c r="AD1467" i="7"/>
  <c r="AH1467" i="7" s="1"/>
  <c r="AB1466" i="7"/>
  <c r="AC1466" i="7" s="1"/>
  <c r="X1466" i="7"/>
  <c r="AE1466" i="7"/>
  <c r="AD1466" i="7"/>
  <c r="AH1466" i="7" s="1"/>
  <c r="X1465" i="7"/>
  <c r="AB1465" i="7"/>
  <c r="AC1465" i="7"/>
  <c r="AD1465" i="7"/>
  <c r="AH1465" i="7" s="1"/>
  <c r="AE1465" i="7"/>
  <c r="AB1464" i="7"/>
  <c r="AC1464" i="7" s="1"/>
  <c r="X1464" i="7"/>
  <c r="AE1464" i="7"/>
  <c r="AD1464" i="7"/>
  <c r="AH1464" i="7" s="1"/>
  <c r="AB1463" i="7"/>
  <c r="AC1463" i="7" s="1"/>
  <c r="X1463" i="7"/>
  <c r="AD1463" i="7"/>
  <c r="AH1463" i="7" s="1"/>
  <c r="AE1463" i="7"/>
  <c r="AB1462" i="7"/>
  <c r="AC1462" i="7" s="1"/>
  <c r="X1462" i="7"/>
  <c r="AE1462" i="7"/>
  <c r="AD1462" i="7"/>
  <c r="AH1462" i="7" s="1"/>
  <c r="AB1461" i="7"/>
  <c r="AC1461" i="7" s="1"/>
  <c r="X1461" i="7"/>
  <c r="AD1461" i="7"/>
  <c r="AH1461" i="7" s="1"/>
  <c r="AE1461" i="7"/>
  <c r="AB1460" i="7"/>
  <c r="AH1460" i="7" s="1"/>
  <c r="X1460" i="7"/>
  <c r="AC1460" i="7"/>
  <c r="AF1460" i="7" s="1"/>
  <c r="AG1460" i="7" s="1"/>
  <c r="AB1459" i="7"/>
  <c r="AC1459" i="7" s="1"/>
  <c r="X1459" i="7"/>
  <c r="AD1459" i="7"/>
  <c r="AH1459" i="7" s="1"/>
  <c r="AE1459" i="7"/>
  <c r="AB1458" i="7"/>
  <c r="AC1458" i="7" s="1"/>
  <c r="X1458" i="7"/>
  <c r="AD1458" i="7"/>
  <c r="AH1458" i="7" s="1"/>
  <c r="AE1458" i="7"/>
  <c r="AB1457" i="7"/>
  <c r="AC1457" i="7" s="1"/>
  <c r="X1457" i="7"/>
  <c r="AE1457" i="7"/>
  <c r="AD1457" i="7"/>
  <c r="AH1457" i="7" s="1"/>
  <c r="AB1456" i="7"/>
  <c r="AC1456" i="7" s="1"/>
  <c r="X1456" i="7"/>
  <c r="AE1456" i="7"/>
  <c r="AD1456" i="7"/>
  <c r="AH1456" i="7" s="1"/>
  <c r="AB1455" i="7"/>
  <c r="AC1455" i="7"/>
  <c r="X1455" i="7"/>
  <c r="AE1455" i="7"/>
  <c r="AD1455" i="7"/>
  <c r="AH1455" i="7" s="1"/>
  <c r="X1454" i="7"/>
  <c r="AB1454" i="7"/>
  <c r="AC1454" i="7"/>
  <c r="AD1454" i="7"/>
  <c r="AH1454" i="7" s="1"/>
  <c r="AE1454" i="7"/>
  <c r="X1453" i="7"/>
  <c r="AB1453" i="7"/>
  <c r="AC1453" i="7"/>
  <c r="AD1453" i="7"/>
  <c r="AH1453" i="7" s="1"/>
  <c r="AE1453" i="7"/>
  <c r="X1452" i="7"/>
  <c r="AB1452" i="7"/>
  <c r="AC1452" i="7"/>
  <c r="AD1452" i="7"/>
  <c r="AH1452" i="7" s="1"/>
  <c r="AE1452" i="7"/>
  <c r="AB1451" i="7"/>
  <c r="AC1451" i="7"/>
  <c r="X1451" i="7"/>
  <c r="AD1451" i="7"/>
  <c r="AH1451" i="7" s="1"/>
  <c r="AE1451" i="7"/>
  <c r="AB1450" i="7"/>
  <c r="X1450" i="7"/>
  <c r="AC1450" i="7"/>
  <c r="AD1450" i="7"/>
  <c r="AH1450" i="7" s="1"/>
  <c r="AE1450" i="7"/>
  <c r="AB1449" i="7"/>
  <c r="X1449" i="7"/>
  <c r="AC1449" i="7"/>
  <c r="AD1449" i="7"/>
  <c r="AH1449" i="7" s="1"/>
  <c r="AE1449" i="7"/>
  <c r="AB1448" i="7"/>
  <c r="X1448" i="7"/>
  <c r="AC1448" i="7"/>
  <c r="AD1448" i="7"/>
  <c r="AH1448" i="7" s="1"/>
  <c r="AE1448" i="7"/>
  <c r="AB1447" i="7"/>
  <c r="X1447" i="7"/>
  <c r="AC1447" i="7"/>
  <c r="AD1447" i="7"/>
  <c r="AH1447" i="7" s="1"/>
  <c r="AE1447" i="7"/>
  <c r="AB1446" i="7"/>
  <c r="X1446" i="7"/>
  <c r="AC1446" i="7"/>
  <c r="AD1446" i="7"/>
  <c r="AE1446" i="7"/>
  <c r="AB1445" i="7"/>
  <c r="X1445" i="7"/>
  <c r="AC1445" i="7"/>
  <c r="AD1445" i="7"/>
  <c r="AH1445" i="7" s="1"/>
  <c r="AE1445" i="7"/>
  <c r="AB1444" i="7"/>
  <c r="X1444" i="7"/>
  <c r="AC1444" i="7"/>
  <c r="AD1444" i="7"/>
  <c r="AH1444" i="7" s="1"/>
  <c r="AE1444" i="7"/>
  <c r="AB1443" i="7"/>
  <c r="X1443" i="7"/>
  <c r="AC1443" i="7"/>
  <c r="AD1443" i="7"/>
  <c r="AH1443" i="7" s="1"/>
  <c r="AE1443" i="7"/>
  <c r="AB1442" i="7"/>
  <c r="X1442" i="7"/>
  <c r="AC1442" i="7"/>
  <c r="AD1442" i="7"/>
  <c r="AH1442" i="7" s="1"/>
  <c r="AE1442" i="7"/>
  <c r="X1441" i="7"/>
  <c r="AB1441" i="7"/>
  <c r="AC1441" i="7" s="1"/>
  <c r="AE1441" i="7"/>
  <c r="AD1441" i="7"/>
  <c r="AH1441" i="7" s="1"/>
  <c r="AB1440" i="7"/>
  <c r="AC1440" i="7" s="1"/>
  <c r="X1440" i="7"/>
  <c r="AE1440" i="7"/>
  <c r="AD1440" i="7"/>
  <c r="AH1440" i="7" s="1"/>
  <c r="AB1439" i="7"/>
  <c r="AC1439" i="7" s="1"/>
  <c r="X1439" i="7"/>
  <c r="AE1439" i="7"/>
  <c r="AD1439" i="7"/>
  <c r="AH1439" i="7" s="1"/>
  <c r="X1438" i="7"/>
  <c r="AB1438" i="7"/>
  <c r="AC1438" i="7" s="1"/>
  <c r="AE1438" i="7"/>
  <c r="AD1438" i="7"/>
  <c r="AH1438" i="7" s="1"/>
  <c r="X1437" i="7"/>
  <c r="AB1437" i="7"/>
  <c r="AC1437" i="7" s="1"/>
  <c r="AE1437" i="7"/>
  <c r="AD1437" i="7"/>
  <c r="AH1437" i="7" s="1"/>
  <c r="X1436" i="7"/>
  <c r="AB1436" i="7"/>
  <c r="AC1436" i="7" s="1"/>
  <c r="AE1436" i="7"/>
  <c r="AD1436" i="7"/>
  <c r="AH1436" i="7" s="1"/>
  <c r="X1435" i="7"/>
  <c r="AB1435" i="7"/>
  <c r="AC1435" i="7" s="1"/>
  <c r="AE1435" i="7"/>
  <c r="AD1435" i="7"/>
  <c r="AH1435" i="7" s="1"/>
  <c r="AB1434" i="7"/>
  <c r="AC1434" i="7" s="1"/>
  <c r="X1434" i="7"/>
  <c r="AE1434" i="7"/>
  <c r="AD1434" i="7"/>
  <c r="AH1434" i="7" s="1"/>
  <c r="AB1433" i="7"/>
  <c r="AC1433" i="7" s="1"/>
  <c r="X1433" i="7"/>
  <c r="AE1433" i="7"/>
  <c r="AD1433" i="7"/>
  <c r="AH1433" i="7" s="1"/>
  <c r="X1432" i="7"/>
  <c r="AB1432" i="7"/>
  <c r="AC1432" i="7" s="1"/>
  <c r="AE1432" i="7"/>
  <c r="AD1432" i="7"/>
  <c r="AH1432" i="7" s="1"/>
  <c r="AB1431" i="7"/>
  <c r="X1431" i="7"/>
  <c r="AC1431" i="7"/>
  <c r="AE1431" i="7"/>
  <c r="AD1431" i="7"/>
  <c r="AH1431" i="7" s="1"/>
  <c r="AB1430" i="7"/>
  <c r="AC1430" i="7" s="1"/>
  <c r="X1430" i="7"/>
  <c r="AE1430" i="7"/>
  <c r="AD1430" i="7"/>
  <c r="AH1430" i="7" s="1"/>
  <c r="AB1429" i="7"/>
  <c r="X1429" i="7"/>
  <c r="AC1429" i="7"/>
  <c r="AD1429" i="7"/>
  <c r="AH1429" i="7" s="1"/>
  <c r="AE1429" i="7"/>
  <c r="X1428" i="7"/>
  <c r="AB1428" i="7"/>
  <c r="AC1428" i="7" s="1"/>
  <c r="AE1428" i="7"/>
  <c r="AD1428" i="7"/>
  <c r="AH1428" i="7" s="1"/>
  <c r="AB1427" i="7"/>
  <c r="AC1427" i="7" s="1"/>
  <c r="X1427" i="7"/>
  <c r="AE1427" i="7"/>
  <c r="AD1427" i="7"/>
  <c r="AH1427" i="7" s="1"/>
  <c r="AB1426" i="7"/>
  <c r="AC1426" i="7" s="1"/>
  <c r="X1426" i="7"/>
  <c r="AE1426" i="7"/>
  <c r="AD1426" i="7"/>
  <c r="AH1426" i="7" s="1"/>
  <c r="AB1425" i="7"/>
  <c r="AC1425" i="7" s="1"/>
  <c r="X1425" i="7"/>
  <c r="AE1425" i="7"/>
  <c r="AD1425" i="7"/>
  <c r="AH1425" i="7" s="1"/>
  <c r="X1424" i="7"/>
  <c r="AB1424" i="7"/>
  <c r="AC1424" i="7" s="1"/>
  <c r="AE1424" i="7"/>
  <c r="AD1424" i="7"/>
  <c r="AH1424" i="7" s="1"/>
  <c r="X1423" i="7"/>
  <c r="AB1423" i="7"/>
  <c r="AC1423" i="7" s="1"/>
  <c r="AE1423" i="7"/>
  <c r="AD1423" i="7"/>
  <c r="AH1423" i="7" s="1"/>
  <c r="X1422" i="7"/>
  <c r="AB1422" i="7"/>
  <c r="AC1422" i="7" s="1"/>
  <c r="AE1422" i="7"/>
  <c r="AD1422" i="7"/>
  <c r="AH1422" i="7" s="1"/>
  <c r="X1421" i="7"/>
  <c r="AB1421" i="7"/>
  <c r="AC1421" i="7" s="1"/>
  <c r="AE1421" i="7"/>
  <c r="AD1421" i="7"/>
  <c r="AH1421" i="7" s="1"/>
  <c r="X1420" i="7"/>
  <c r="AB1420" i="7"/>
  <c r="AC1420" i="7" s="1"/>
  <c r="AE1420" i="7"/>
  <c r="AD1420" i="7"/>
  <c r="AH1420" i="7" s="1"/>
  <c r="X1419" i="7"/>
  <c r="AB1419" i="7"/>
  <c r="AC1419" i="7" s="1"/>
  <c r="AE1419" i="7"/>
  <c r="AD1419" i="7"/>
  <c r="AH1419" i="7" s="1"/>
  <c r="X1418" i="7"/>
  <c r="AB1418" i="7"/>
  <c r="AC1418" i="7" s="1"/>
  <c r="AE1418" i="7"/>
  <c r="AD1418" i="7"/>
  <c r="AH1418" i="7" s="1"/>
  <c r="X1417" i="7"/>
  <c r="AB1417" i="7"/>
  <c r="AC1417" i="7" s="1"/>
  <c r="AE1417" i="7"/>
  <c r="AD1417" i="7"/>
  <c r="AH1417" i="7" s="1"/>
  <c r="X1416" i="7"/>
  <c r="AB1416" i="7"/>
  <c r="AC1416" i="7" s="1"/>
  <c r="AD1416" i="7"/>
  <c r="AH1416" i="7" s="1"/>
  <c r="AE1416" i="7"/>
  <c r="X1415" i="7"/>
  <c r="AB1415" i="7"/>
  <c r="AC1415" i="7" s="1"/>
  <c r="AE1415" i="7"/>
  <c r="AD1415" i="7"/>
  <c r="AH1415" i="7" s="1"/>
  <c r="X1414" i="7"/>
  <c r="AB1414" i="7"/>
  <c r="AC1414" i="7" s="1"/>
  <c r="AE1414" i="7"/>
  <c r="AD1414" i="7"/>
  <c r="AH1414" i="7" s="1"/>
  <c r="AB1413" i="7"/>
  <c r="AC1413" i="7" s="1"/>
  <c r="X1413" i="7"/>
  <c r="AE1413" i="7"/>
  <c r="AD1413" i="7"/>
  <c r="AH1413" i="7" s="1"/>
  <c r="AB1412" i="7"/>
  <c r="AC1412" i="7" s="1"/>
  <c r="X1412" i="7"/>
  <c r="AE1412" i="7"/>
  <c r="AD1412" i="7"/>
  <c r="AH1412" i="7" s="1"/>
  <c r="AB1411" i="7"/>
  <c r="AC1411" i="7" s="1"/>
  <c r="X1411" i="7"/>
  <c r="AE1411" i="7"/>
  <c r="AD1411" i="7"/>
  <c r="AH1411" i="7" s="1"/>
  <c r="X1410" i="7"/>
  <c r="AB1410" i="7"/>
  <c r="AC1410" i="7" s="1"/>
  <c r="AE1410" i="7"/>
  <c r="AD1410" i="7"/>
  <c r="AH1410" i="7" s="1"/>
  <c r="X1409" i="7"/>
  <c r="AB1409" i="7"/>
  <c r="AC1409" i="7" s="1"/>
  <c r="AE1409" i="7"/>
  <c r="AD1409" i="7"/>
  <c r="AH1409" i="7" s="1"/>
  <c r="X1408" i="7"/>
  <c r="AB1408" i="7"/>
  <c r="AC1408" i="7" s="1"/>
  <c r="AE1408" i="7"/>
  <c r="AD1408" i="7"/>
  <c r="AH1408" i="7" s="1"/>
  <c r="X1407" i="7"/>
  <c r="AB1407" i="7"/>
  <c r="AC1407" i="7" s="1"/>
  <c r="AE1407" i="7"/>
  <c r="AD1407" i="7"/>
  <c r="AH1407" i="7" s="1"/>
  <c r="X1406" i="7"/>
  <c r="AB1406" i="7"/>
  <c r="AC1406" i="7" s="1"/>
  <c r="AE1406" i="7"/>
  <c r="AD1406" i="7"/>
  <c r="AH1406" i="7" s="1"/>
  <c r="X1405" i="7"/>
  <c r="AB1405" i="7"/>
  <c r="AC1405" i="7" s="1"/>
  <c r="AE1405" i="7"/>
  <c r="AD1405" i="7"/>
  <c r="AH1405" i="7" s="1"/>
  <c r="X1404" i="7"/>
  <c r="AB1404" i="7"/>
  <c r="AC1404" i="7" s="1"/>
  <c r="AE1404" i="7"/>
  <c r="AD1404" i="7"/>
  <c r="AH1404" i="7" s="1"/>
  <c r="X1403" i="7"/>
  <c r="AB1403" i="7"/>
  <c r="AC1403" i="7" s="1"/>
  <c r="AE1403" i="7"/>
  <c r="AD1403" i="7"/>
  <c r="AH1403" i="7" s="1"/>
  <c r="X1402" i="7"/>
  <c r="AB1402" i="7"/>
  <c r="AC1402" i="7" s="1"/>
  <c r="AE1402" i="7"/>
  <c r="AD1402" i="7"/>
  <c r="AH1402" i="7" s="1"/>
  <c r="X1401" i="7"/>
  <c r="AB1401" i="7"/>
  <c r="AC1401" i="7" s="1"/>
  <c r="AE1401" i="7"/>
  <c r="AD1401" i="7"/>
  <c r="AH1401" i="7" s="1"/>
  <c r="AB1400" i="7"/>
  <c r="AC1400" i="7" s="1"/>
  <c r="X1400" i="7"/>
  <c r="AE1400" i="7"/>
  <c r="AD1400" i="7"/>
  <c r="AH1400" i="7" s="1"/>
  <c r="AB1399" i="7"/>
  <c r="AC1399" i="7" s="1"/>
  <c r="X1399" i="7"/>
  <c r="AE1399" i="7"/>
  <c r="AD1399" i="7"/>
  <c r="AH1399" i="7" s="1"/>
  <c r="AB1398" i="7"/>
  <c r="AC1398" i="7" s="1"/>
  <c r="X1398" i="7"/>
  <c r="AE1398" i="7"/>
  <c r="AD1398" i="7"/>
  <c r="AH1398" i="7" s="1"/>
  <c r="X1397" i="7"/>
  <c r="AB1397" i="7"/>
  <c r="AC1397" i="7" s="1"/>
  <c r="AE1397" i="7"/>
  <c r="AD1397" i="7"/>
  <c r="AH1397" i="7" s="1"/>
  <c r="X1396" i="7"/>
  <c r="AB1396" i="7"/>
  <c r="AC1396" i="7" s="1"/>
  <c r="AE1396" i="7"/>
  <c r="AD1396" i="7"/>
  <c r="AH1396" i="7" s="1"/>
  <c r="X1395" i="7"/>
  <c r="AB1395" i="7"/>
  <c r="AC1395" i="7" s="1"/>
  <c r="AE1395" i="7"/>
  <c r="AD1395" i="7"/>
  <c r="AH1395" i="7" s="1"/>
  <c r="X1394" i="7"/>
  <c r="AB1394" i="7"/>
  <c r="AC1394" i="7" s="1"/>
  <c r="AE1394" i="7"/>
  <c r="AD1394" i="7"/>
  <c r="AH1394" i="7" s="1"/>
  <c r="X1393" i="7"/>
  <c r="AB1393" i="7"/>
  <c r="AC1393" i="7" s="1"/>
  <c r="AE1393" i="7"/>
  <c r="AD1393" i="7"/>
  <c r="AH1393" i="7" s="1"/>
  <c r="X1392" i="7"/>
  <c r="AB1392" i="7"/>
  <c r="AC1392" i="7" s="1"/>
  <c r="AE1392" i="7"/>
  <c r="AD1392" i="7"/>
  <c r="AH1392" i="7" s="1"/>
  <c r="X1391" i="7"/>
  <c r="AB1391" i="7"/>
  <c r="AC1391" i="7" s="1"/>
  <c r="AE1391" i="7"/>
  <c r="AD1391" i="7"/>
  <c r="AH1391" i="7" s="1"/>
  <c r="X1390" i="7"/>
  <c r="AB1390" i="7"/>
  <c r="AC1390" i="7" s="1"/>
  <c r="AE1390" i="7"/>
  <c r="AD1390" i="7"/>
  <c r="AH1390" i="7" s="1"/>
  <c r="X1389" i="7"/>
  <c r="AB1389" i="7"/>
  <c r="AC1389" i="7" s="1"/>
  <c r="AE1389" i="7"/>
  <c r="AD1389" i="7"/>
  <c r="AH1389" i="7" s="1"/>
  <c r="X1388" i="7"/>
  <c r="AB1388" i="7"/>
  <c r="AC1388" i="7" s="1"/>
  <c r="AD1388" i="7"/>
  <c r="AH1388" i="7" s="1"/>
  <c r="AE1388" i="7"/>
  <c r="X1387" i="7"/>
  <c r="AB1387" i="7"/>
  <c r="AC1387" i="7" s="1"/>
  <c r="AE1387" i="7"/>
  <c r="AD1387" i="7"/>
  <c r="AH1387" i="7" s="1"/>
  <c r="AB1386" i="7"/>
  <c r="AC1386" i="7" s="1"/>
  <c r="X1386" i="7"/>
  <c r="AE1386" i="7"/>
  <c r="AD1386" i="7"/>
  <c r="AH1386" i="7" s="1"/>
  <c r="X1385" i="7"/>
  <c r="AB1385" i="7"/>
  <c r="AC1385" i="7" s="1"/>
  <c r="AE1385" i="7"/>
  <c r="AD1385" i="7"/>
  <c r="AH1385" i="7" s="1"/>
  <c r="AB1384" i="7"/>
  <c r="AC1384" i="7" s="1"/>
  <c r="X1384" i="7"/>
  <c r="AE1384" i="7"/>
  <c r="AD1384" i="7"/>
  <c r="AH1384" i="7" s="1"/>
  <c r="AB1383" i="7"/>
  <c r="AC1383" i="7"/>
  <c r="X1383" i="7"/>
  <c r="AE1383" i="7"/>
  <c r="AD1383" i="7"/>
  <c r="AH1383" i="7" s="1"/>
  <c r="AB1382" i="7"/>
  <c r="AC1382" i="7" s="1"/>
  <c r="X1382" i="7"/>
  <c r="AE1382" i="7"/>
  <c r="AD1382" i="7"/>
  <c r="AH1382" i="7" s="1"/>
  <c r="AB1381" i="7"/>
  <c r="AC1381" i="7" s="1"/>
  <c r="X1381" i="7"/>
  <c r="AE1381" i="7"/>
  <c r="AD1381" i="7"/>
  <c r="AH1381" i="7" s="1"/>
  <c r="AB1380" i="7"/>
  <c r="AC1380" i="7" s="1"/>
  <c r="X1380" i="7"/>
  <c r="AE1380" i="7"/>
  <c r="AD1380" i="7"/>
  <c r="AH1380" i="7" s="1"/>
  <c r="AB1379" i="7"/>
  <c r="AC1379" i="7" s="1"/>
  <c r="X1379" i="7"/>
  <c r="AE1379" i="7"/>
  <c r="AD1379" i="7"/>
  <c r="AH1379" i="7" s="1"/>
  <c r="AB1378" i="7"/>
  <c r="AC1378" i="7"/>
  <c r="X1378" i="7"/>
  <c r="AE1378" i="7"/>
  <c r="AD1378" i="7"/>
  <c r="AH1378" i="7" s="1"/>
  <c r="AB1377" i="7"/>
  <c r="AC1377" i="7" s="1"/>
  <c r="X1377" i="7"/>
  <c r="AE1377" i="7"/>
  <c r="AD1377" i="7"/>
  <c r="AH1377" i="7" s="1"/>
  <c r="AB1376" i="7"/>
  <c r="AC1376" i="7" s="1"/>
  <c r="X1376" i="7"/>
  <c r="AE1376" i="7"/>
  <c r="AD1376" i="7"/>
  <c r="AH1376" i="7" s="1"/>
  <c r="AB1375" i="7"/>
  <c r="AC1375" i="7" s="1"/>
  <c r="X1375" i="7"/>
  <c r="AE1375" i="7"/>
  <c r="AD1375" i="7"/>
  <c r="AH1375" i="7" s="1"/>
  <c r="AB1374" i="7"/>
  <c r="AC1374" i="7" s="1"/>
  <c r="X1374" i="7"/>
  <c r="AE1374" i="7"/>
  <c r="AD1374" i="7"/>
  <c r="AH1374" i="7" s="1"/>
  <c r="AB1373" i="7"/>
  <c r="AC1373" i="7" s="1"/>
  <c r="X1373" i="7"/>
  <c r="AE1373" i="7"/>
  <c r="AD1373" i="7"/>
  <c r="AH1373" i="7" s="1"/>
  <c r="X1372" i="7"/>
  <c r="AB1372" i="7"/>
  <c r="AC1372" i="7"/>
  <c r="AD1372" i="7"/>
  <c r="AH1372" i="7" s="1"/>
  <c r="AE1372" i="7"/>
  <c r="AB1371" i="7"/>
  <c r="AC1371" i="7" s="1"/>
  <c r="X1371" i="7"/>
  <c r="AD1371" i="7"/>
  <c r="AH1371" i="7" s="1"/>
  <c r="AE1371" i="7"/>
  <c r="AB1370" i="7"/>
  <c r="AC1370" i="7" s="1"/>
  <c r="X1370" i="7"/>
  <c r="AE1370" i="7"/>
  <c r="AD1370" i="7"/>
  <c r="AH1370" i="7" s="1"/>
  <c r="AB1369" i="7"/>
  <c r="AC1369" i="7" s="1"/>
  <c r="X1369" i="7"/>
  <c r="AE1369" i="7"/>
  <c r="AD1369" i="7"/>
  <c r="AH1369" i="7" s="1"/>
  <c r="AB1368" i="7"/>
  <c r="AC1368" i="7" s="1"/>
  <c r="X1368" i="7"/>
  <c r="AE1368" i="7"/>
  <c r="AD1368" i="7"/>
  <c r="AH1368" i="7" s="1"/>
  <c r="AB1367" i="7"/>
  <c r="AC1367" i="7" s="1"/>
  <c r="X1367" i="7"/>
  <c r="AE1367" i="7"/>
  <c r="AD1367" i="7"/>
  <c r="AH1367" i="7" s="1"/>
  <c r="AB1366" i="7"/>
  <c r="AC1366" i="7" s="1"/>
  <c r="X1366" i="7"/>
  <c r="AE1366" i="7"/>
  <c r="AD1366" i="7"/>
  <c r="AH1366" i="7" s="1"/>
  <c r="AB1365" i="7"/>
  <c r="AC1365" i="7" s="1"/>
  <c r="X1365" i="7"/>
  <c r="AD1365" i="7"/>
  <c r="AH1365" i="7" s="1"/>
  <c r="AE1365" i="7"/>
  <c r="AB1364" i="7"/>
  <c r="AC1364" i="7" s="1"/>
  <c r="X1364" i="7"/>
  <c r="AE1364" i="7"/>
  <c r="AD1364" i="7"/>
  <c r="AH1364" i="7" s="1"/>
  <c r="AB1363" i="7"/>
  <c r="AC1363" i="7" s="1"/>
  <c r="X1363" i="7"/>
  <c r="AE1363" i="7"/>
  <c r="AD1363" i="7"/>
  <c r="AH1363" i="7" s="1"/>
  <c r="AB1362" i="7"/>
  <c r="X1362" i="7"/>
  <c r="AC1362" i="7"/>
  <c r="AE1362" i="7"/>
  <c r="AD1362" i="7"/>
  <c r="AH1362" i="7" s="1"/>
  <c r="AB1361" i="7"/>
  <c r="AC1361" i="7" s="1"/>
  <c r="X1361" i="7"/>
  <c r="AE1361" i="7"/>
  <c r="AD1361" i="7"/>
  <c r="AH1361" i="7" s="1"/>
  <c r="AB1360" i="7"/>
  <c r="AC1360" i="7" s="1"/>
  <c r="X1360" i="7"/>
  <c r="AE1360" i="7"/>
  <c r="AD1360" i="7"/>
  <c r="AH1360" i="7" s="1"/>
  <c r="AB1359" i="7"/>
  <c r="AC1359" i="7" s="1"/>
  <c r="X1359" i="7"/>
  <c r="AE1359" i="7"/>
  <c r="AD1359" i="7"/>
  <c r="AH1359" i="7" s="1"/>
  <c r="AB1358" i="7"/>
  <c r="AC1358" i="7" s="1"/>
  <c r="X1358" i="7"/>
  <c r="AE1358" i="7"/>
  <c r="AD1358" i="7"/>
  <c r="AH1358" i="7" s="1"/>
  <c r="AB1357" i="7"/>
  <c r="AC1357" i="7" s="1"/>
  <c r="X1357" i="7"/>
  <c r="AD1357" i="7"/>
  <c r="AH1357" i="7" s="1"/>
  <c r="AE1357" i="7"/>
  <c r="X1356" i="7"/>
  <c r="AB1356" i="7"/>
  <c r="AC1356" i="7" s="1"/>
  <c r="AE1356" i="7"/>
  <c r="AD1356" i="7"/>
  <c r="AH1356" i="7" s="1"/>
  <c r="AB1355" i="7"/>
  <c r="AC1355" i="7" s="1"/>
  <c r="X1355" i="7"/>
  <c r="AE1355" i="7"/>
  <c r="AD1355" i="7"/>
  <c r="AH1355" i="7" s="1"/>
  <c r="AB1354" i="7"/>
  <c r="AC1354" i="7" s="1"/>
  <c r="X1354" i="7"/>
  <c r="AD1354" i="7"/>
  <c r="AH1354" i="7" s="1"/>
  <c r="AE1354" i="7"/>
  <c r="X1353" i="7"/>
  <c r="AB1353" i="7"/>
  <c r="AC1353" i="7"/>
  <c r="AD1353" i="7"/>
  <c r="AH1353" i="7" s="1"/>
  <c r="AE1353" i="7"/>
  <c r="X1352" i="7"/>
  <c r="AB1352" i="7"/>
  <c r="AC1352" i="7"/>
  <c r="AD1352" i="7"/>
  <c r="AH1352" i="7" s="1"/>
  <c r="AE1352" i="7"/>
  <c r="X1351" i="7"/>
  <c r="AB1351" i="7"/>
  <c r="AC1351" i="7"/>
  <c r="AD1351" i="7"/>
  <c r="AH1351" i="7" s="1"/>
  <c r="AE1351" i="7"/>
  <c r="AB1350" i="7"/>
  <c r="AC1350" i="7"/>
  <c r="X1350" i="7"/>
  <c r="AD1350" i="7"/>
  <c r="AH1350" i="7" s="1"/>
  <c r="AE1350" i="7"/>
  <c r="AB1349" i="7"/>
  <c r="AC1349" i="7" s="1"/>
  <c r="X1349" i="7"/>
  <c r="AD1349" i="7"/>
  <c r="AH1349" i="7" s="1"/>
  <c r="AE1349" i="7"/>
  <c r="AB1348" i="7"/>
  <c r="AC1348" i="7" s="1"/>
  <c r="X1348" i="7"/>
  <c r="AE1348" i="7"/>
  <c r="AD1348" i="7"/>
  <c r="AH1348" i="7" s="1"/>
  <c r="AB1347" i="7"/>
  <c r="X1347" i="7"/>
  <c r="AC1347" i="7"/>
  <c r="AD1347" i="7"/>
  <c r="AH1347" i="7" s="1"/>
  <c r="AE1347" i="7"/>
  <c r="AB1346" i="7"/>
  <c r="AC1346" i="7" s="1"/>
  <c r="X1346" i="7"/>
  <c r="AE1346" i="7"/>
  <c r="AD1346" i="7"/>
  <c r="AH1346" i="7" s="1"/>
  <c r="X1345" i="7"/>
  <c r="AB1345" i="7"/>
  <c r="AC1345" i="7"/>
  <c r="AE1345" i="7"/>
  <c r="AD1345" i="7"/>
  <c r="AH1345" i="7" s="1"/>
  <c r="X1344" i="7"/>
  <c r="AB1344" i="7"/>
  <c r="AC1344" i="7"/>
  <c r="AD1344" i="7"/>
  <c r="AH1344" i="7" s="1"/>
  <c r="AE1344" i="7"/>
  <c r="AB1343" i="7"/>
  <c r="AC1343" i="7" s="1"/>
  <c r="X1343" i="7"/>
  <c r="AE1343" i="7"/>
  <c r="AD1343" i="7"/>
  <c r="AH1343" i="7" s="1"/>
  <c r="AB1342" i="7"/>
  <c r="AC1342" i="7" s="1"/>
  <c r="X1342" i="7"/>
  <c r="AE1342" i="7"/>
  <c r="AD1342" i="7"/>
  <c r="AH1342" i="7" s="1"/>
  <c r="X1341" i="7"/>
  <c r="AB1341" i="7"/>
  <c r="AC1341" i="7" s="1"/>
  <c r="AE1341" i="7"/>
  <c r="AD1341" i="7"/>
  <c r="AH1341" i="7" s="1"/>
  <c r="X1340" i="7"/>
  <c r="AB1340" i="7"/>
  <c r="AC1340" i="7" s="1"/>
  <c r="AE1340" i="7"/>
  <c r="AD1340" i="7"/>
  <c r="AH1340" i="7" s="1"/>
  <c r="AB1339" i="7"/>
  <c r="AC1339" i="7" s="1"/>
  <c r="X1339" i="7"/>
  <c r="AE1339" i="7"/>
  <c r="AD1339" i="7"/>
  <c r="AH1339" i="7" s="1"/>
  <c r="AB1338" i="7"/>
  <c r="AC1338" i="7" s="1"/>
  <c r="X1338" i="7"/>
  <c r="AE1338" i="7"/>
  <c r="AD1338" i="7"/>
  <c r="AH1338" i="7" s="1"/>
  <c r="X1337" i="7"/>
  <c r="AB1337" i="7"/>
  <c r="AC1337" i="7"/>
  <c r="AD1337" i="7"/>
  <c r="AH1337" i="7" s="1"/>
  <c r="AE1337" i="7"/>
  <c r="X1336" i="7"/>
  <c r="AB1336" i="7"/>
  <c r="AC1336" i="7"/>
  <c r="AD1336" i="7"/>
  <c r="AH1336" i="7" s="1"/>
  <c r="AE1336" i="7"/>
  <c r="X1335" i="7"/>
  <c r="AB1335" i="7"/>
  <c r="AC1335" i="7"/>
  <c r="AE1335" i="7"/>
  <c r="AD1335" i="7"/>
  <c r="AH1335" i="7" s="1"/>
  <c r="AB1334" i="7"/>
  <c r="AC1334" i="7" s="1"/>
  <c r="X1334" i="7"/>
  <c r="AE1334" i="7"/>
  <c r="AD1334" i="7"/>
  <c r="AH1334" i="7" s="1"/>
  <c r="X1333" i="7"/>
  <c r="AB1333" i="7"/>
  <c r="AC1333" i="7"/>
  <c r="AD1333" i="7"/>
  <c r="AH1333" i="7" s="1"/>
  <c r="AE1333" i="7"/>
  <c r="X1332" i="7"/>
  <c r="AB1332" i="7"/>
  <c r="AC1332" i="7" s="1"/>
  <c r="AE1332" i="7"/>
  <c r="AD1332" i="7"/>
  <c r="AH1332" i="7" s="1"/>
  <c r="AB1331" i="7"/>
  <c r="AC1331" i="7" s="1"/>
  <c r="X1331" i="7"/>
  <c r="AE1331" i="7"/>
  <c r="AD1331" i="7"/>
  <c r="AH1331" i="7" s="1"/>
  <c r="X1330" i="7"/>
  <c r="AB1330" i="7"/>
  <c r="AC1330" i="7"/>
  <c r="AD1330" i="7"/>
  <c r="AH1330" i="7" s="1"/>
  <c r="AE1330" i="7"/>
  <c r="X1329" i="7"/>
  <c r="AB1329" i="7"/>
  <c r="AC1329" i="7"/>
  <c r="AE1329" i="7"/>
  <c r="AD1329" i="7"/>
  <c r="AH1329" i="7" s="1"/>
  <c r="AB1328" i="7"/>
  <c r="AC1328" i="7" s="1"/>
  <c r="X1328" i="7"/>
  <c r="AE1328" i="7"/>
  <c r="AD1328" i="7"/>
  <c r="AH1328" i="7" s="1"/>
  <c r="AB1327" i="7"/>
  <c r="X1327" i="7"/>
  <c r="AC1327" i="7"/>
  <c r="AD1327" i="7"/>
  <c r="AH1327" i="7" s="1"/>
  <c r="AE1327" i="7"/>
  <c r="X1326" i="7"/>
  <c r="AB1326" i="7"/>
  <c r="AC1326" i="7"/>
  <c r="AD1326" i="7"/>
  <c r="AH1326" i="7" s="1"/>
  <c r="AE1326" i="7"/>
  <c r="AB1325" i="7"/>
  <c r="AC1325" i="7" s="1"/>
  <c r="X1325" i="7"/>
  <c r="AD1325" i="7"/>
  <c r="AH1325" i="7" s="1"/>
  <c r="AE1325" i="7"/>
  <c r="AB1324" i="7"/>
  <c r="X1324" i="7"/>
  <c r="AC1324" i="7"/>
  <c r="AE1324" i="7"/>
  <c r="AD1324" i="7"/>
  <c r="AH1324" i="7" s="1"/>
  <c r="AB1323" i="7"/>
  <c r="AC1323" i="7" s="1"/>
  <c r="X1323" i="7"/>
  <c r="AE1323" i="7"/>
  <c r="AD1323" i="7"/>
  <c r="AH1323" i="7" s="1"/>
  <c r="AB1322" i="7"/>
  <c r="AC1322" i="7"/>
  <c r="X1322" i="7"/>
  <c r="AE1322" i="7"/>
  <c r="AD1322" i="7"/>
  <c r="AH1322" i="7" s="1"/>
  <c r="AB1321" i="7"/>
  <c r="AC1321" i="7" s="1"/>
  <c r="X1321" i="7"/>
  <c r="AD1321" i="7"/>
  <c r="AH1321" i="7" s="1"/>
  <c r="AE1321" i="7"/>
  <c r="X1320" i="7"/>
  <c r="AB1320" i="7"/>
  <c r="AC1320" i="7" s="1"/>
  <c r="AD1320" i="7"/>
  <c r="AH1320" i="7" s="1"/>
  <c r="AE1320" i="7"/>
  <c r="X1319" i="7"/>
  <c r="AB1319" i="7"/>
  <c r="AC1319" i="7"/>
  <c r="AD1319" i="7"/>
  <c r="AH1319" i="7" s="1"/>
  <c r="AE1319" i="7"/>
  <c r="AB1318" i="7"/>
  <c r="AC1318" i="7" s="1"/>
  <c r="X1318" i="7"/>
  <c r="AE1318" i="7"/>
  <c r="AD1318" i="7"/>
  <c r="AH1318" i="7" s="1"/>
  <c r="AB1317" i="7"/>
  <c r="AC1317" i="7" s="1"/>
  <c r="X1317" i="7"/>
  <c r="AD1317" i="7"/>
  <c r="AH1317" i="7" s="1"/>
  <c r="AE1317" i="7"/>
  <c r="AB1316" i="7"/>
  <c r="AC1316" i="7" s="1"/>
  <c r="X1316" i="7"/>
  <c r="AD1316" i="7"/>
  <c r="AH1316" i="7" s="1"/>
  <c r="AE1316" i="7"/>
  <c r="AB1315" i="7"/>
  <c r="AC1315" i="7" s="1"/>
  <c r="X1315" i="7"/>
  <c r="AE1315" i="7"/>
  <c r="AD1315" i="7"/>
  <c r="AH1315" i="7" s="1"/>
  <c r="AB1314" i="7"/>
  <c r="AC1314" i="7" s="1"/>
  <c r="AE1314" i="7"/>
  <c r="AD1314" i="7"/>
  <c r="AH1314" i="7" s="1"/>
  <c r="AB1313" i="7"/>
  <c r="AC1313" i="7" s="1"/>
  <c r="X1313" i="7"/>
  <c r="AE1313" i="7"/>
  <c r="AD1313" i="7"/>
  <c r="AH1313" i="7" s="1"/>
  <c r="X1312" i="7"/>
  <c r="AB1312" i="7"/>
  <c r="AC1312" i="7" s="1"/>
  <c r="AE1312" i="7"/>
  <c r="AD1312" i="7"/>
  <c r="AH1312" i="7" s="1"/>
  <c r="X1311" i="7"/>
  <c r="AB1311" i="7"/>
  <c r="AC1311" i="7"/>
  <c r="AD1311" i="7"/>
  <c r="AH1311" i="7" s="1"/>
  <c r="AE1311" i="7"/>
  <c r="X1310" i="7"/>
  <c r="AB1310" i="7"/>
  <c r="AC1310" i="7" s="1"/>
  <c r="AD1310" i="7"/>
  <c r="AH1310" i="7" s="1"/>
  <c r="AE1310" i="7"/>
  <c r="X1309" i="7"/>
  <c r="AB1309" i="7"/>
  <c r="AC1309" i="7" s="1"/>
  <c r="AD1309" i="7"/>
  <c r="AH1309" i="7" s="1"/>
  <c r="AE1309" i="7"/>
  <c r="X1308" i="7"/>
  <c r="AB1308" i="7"/>
  <c r="AC1308" i="7"/>
  <c r="AD1308" i="7"/>
  <c r="AH1308" i="7" s="1"/>
  <c r="AE1308" i="7"/>
  <c r="AB1307" i="7"/>
  <c r="AC1307" i="7" s="1"/>
  <c r="X1307" i="7"/>
  <c r="AD1307" i="7"/>
  <c r="AH1307" i="7" s="1"/>
  <c r="AE1307" i="7"/>
  <c r="AB1306" i="7"/>
  <c r="AC1306" i="7" s="1"/>
  <c r="X1306" i="7"/>
  <c r="AE1306" i="7"/>
  <c r="AD1306" i="7"/>
  <c r="AH1306" i="7" s="1"/>
  <c r="AB1305" i="7"/>
  <c r="AC1305" i="7" s="1"/>
  <c r="X1305" i="7"/>
  <c r="AE1305" i="7"/>
  <c r="AD1305" i="7"/>
  <c r="AH1305" i="7" s="1"/>
  <c r="AB1304" i="7"/>
  <c r="AC1304" i="7" s="1"/>
  <c r="X1304" i="7"/>
  <c r="AE1304" i="7"/>
  <c r="AD1304" i="7"/>
  <c r="AH1304" i="7" s="1"/>
  <c r="AB1303" i="7"/>
  <c r="AC1303" i="7" s="1"/>
  <c r="X1303" i="7"/>
  <c r="AD1303" i="7"/>
  <c r="AH1303" i="7" s="1"/>
  <c r="AE1303" i="7"/>
  <c r="AB1302" i="7"/>
  <c r="AC1302" i="7"/>
  <c r="X1302" i="7"/>
  <c r="AE1302" i="7"/>
  <c r="AD1302" i="7"/>
  <c r="AH1302" i="7" s="1"/>
  <c r="AB1301" i="7"/>
  <c r="AC1301" i="7" s="1"/>
  <c r="X1301" i="7"/>
  <c r="AE1301" i="7"/>
  <c r="AD1301" i="7"/>
  <c r="AH1301" i="7" s="1"/>
  <c r="AB1300" i="7"/>
  <c r="AC1300" i="7" s="1"/>
  <c r="X1300" i="7"/>
  <c r="AE1300" i="7"/>
  <c r="AD1300" i="7"/>
  <c r="AH1300" i="7" s="1"/>
  <c r="X1299" i="7"/>
  <c r="AB1299" i="7"/>
  <c r="AC1299" i="7"/>
  <c r="AD1299" i="7"/>
  <c r="AH1299" i="7" s="1"/>
  <c r="AE1299" i="7"/>
  <c r="X1298" i="7"/>
  <c r="AB1298" i="7"/>
  <c r="AC1298" i="7" s="1"/>
  <c r="AE1298" i="7"/>
  <c r="AD1298" i="7"/>
  <c r="AH1298" i="7" s="1"/>
  <c r="AB1297" i="7"/>
  <c r="AC1297" i="7" s="1"/>
  <c r="X1297" i="7"/>
  <c r="AD1297" i="7"/>
  <c r="AH1297" i="7" s="1"/>
  <c r="AE1297" i="7"/>
  <c r="AB1296" i="7"/>
  <c r="AC1296" i="7" s="1"/>
  <c r="X1296" i="7"/>
  <c r="AE1296" i="7"/>
  <c r="AD1296" i="7"/>
  <c r="AH1296" i="7" s="1"/>
  <c r="AB1295" i="7"/>
  <c r="X1295" i="7"/>
  <c r="AC1295" i="7"/>
  <c r="AE1295" i="7"/>
  <c r="AD1295" i="7"/>
  <c r="AH1295" i="7" s="1"/>
  <c r="AB1294" i="7"/>
  <c r="AC1294" i="7" s="1"/>
  <c r="X1294" i="7"/>
  <c r="AE1294" i="7"/>
  <c r="AD1294" i="7"/>
  <c r="AH1294" i="7" s="1"/>
  <c r="AB1293" i="7"/>
  <c r="X1293" i="7"/>
  <c r="AC1293" i="7"/>
  <c r="AE1293" i="7"/>
  <c r="AD1293" i="7"/>
  <c r="AH1293" i="7" s="1"/>
  <c r="AB1292" i="7"/>
  <c r="AC1292" i="7" s="1"/>
  <c r="X1292" i="7"/>
  <c r="AE1292" i="7"/>
  <c r="AD1292" i="7"/>
  <c r="AH1292" i="7" s="1"/>
  <c r="X1291" i="7"/>
  <c r="AB1291" i="7"/>
  <c r="AC1291" i="7" s="1"/>
  <c r="AE1291" i="7"/>
  <c r="AD1291" i="7"/>
  <c r="AH1291" i="7" s="1"/>
  <c r="AB1290" i="7"/>
  <c r="AC1290" i="7"/>
  <c r="X1290" i="7"/>
  <c r="AD1290" i="7"/>
  <c r="AH1290" i="7" s="1"/>
  <c r="AE1290" i="7"/>
  <c r="AB1289" i="7"/>
  <c r="AC1289" i="7" s="1"/>
  <c r="X1289" i="7"/>
  <c r="AE1289" i="7"/>
  <c r="AD1289" i="7"/>
  <c r="AH1289" i="7" s="1"/>
  <c r="AB1288" i="7"/>
  <c r="AC1288" i="7"/>
  <c r="X1288" i="7"/>
  <c r="AD1288" i="7"/>
  <c r="AH1288" i="7" s="1"/>
  <c r="AE1288" i="7"/>
  <c r="AB1287" i="7"/>
  <c r="AC1287" i="7" s="1"/>
  <c r="X1287" i="7"/>
  <c r="AE1287" i="7"/>
  <c r="AD1287" i="7"/>
  <c r="AH1287" i="7" s="1"/>
  <c r="X1286" i="7"/>
  <c r="AB1286" i="7"/>
  <c r="AC1286" i="7" s="1"/>
  <c r="AE1286" i="7"/>
  <c r="AD1286" i="7"/>
  <c r="AH1286" i="7" s="1"/>
  <c r="AB1285" i="7"/>
  <c r="AC1285" i="7"/>
  <c r="X1285" i="7"/>
  <c r="AD1285" i="7"/>
  <c r="AH1285" i="7" s="1"/>
  <c r="AE1285" i="7"/>
  <c r="X1284" i="7"/>
  <c r="AB1284" i="7"/>
  <c r="AC1284" i="7" s="1"/>
  <c r="AE1284" i="7"/>
  <c r="AD1284" i="7"/>
  <c r="AH1284" i="7" s="1"/>
  <c r="X1283" i="7"/>
  <c r="AB1283" i="7"/>
  <c r="AC1283" i="7"/>
  <c r="AD1283" i="7"/>
  <c r="AH1283" i="7" s="1"/>
  <c r="AE1283" i="7"/>
  <c r="X1282" i="7"/>
  <c r="AB1282" i="7"/>
  <c r="AC1282" i="7" s="1"/>
  <c r="AD1282" i="7"/>
  <c r="AH1282" i="7" s="1"/>
  <c r="AE1282" i="7"/>
  <c r="X1281" i="7"/>
  <c r="AB1281" i="7"/>
  <c r="AC1281" i="7" s="1"/>
  <c r="AE1281" i="7"/>
  <c r="AD1281" i="7"/>
  <c r="AH1281" i="7" s="1"/>
  <c r="AB1280" i="7"/>
  <c r="AC1280" i="7" s="1"/>
  <c r="X1280" i="7"/>
  <c r="AD1280" i="7"/>
  <c r="AH1280" i="7" s="1"/>
  <c r="AE1280" i="7"/>
  <c r="X1279" i="7"/>
  <c r="AB1279" i="7"/>
  <c r="AC1279" i="7" s="1"/>
  <c r="AE1279" i="7"/>
  <c r="AD1279" i="7"/>
  <c r="AH1279" i="7" s="1"/>
  <c r="AB1278" i="7"/>
  <c r="AC1278" i="7" s="1"/>
  <c r="X1278" i="7"/>
  <c r="AD1278" i="7"/>
  <c r="AH1278" i="7" s="1"/>
  <c r="AE1278" i="7"/>
  <c r="AB1277" i="7"/>
  <c r="X1277" i="7"/>
  <c r="AB1276" i="7"/>
  <c r="AC1276" i="7" s="1"/>
  <c r="X1276" i="7"/>
  <c r="AD1276" i="7"/>
  <c r="AH1276" i="7" s="1"/>
  <c r="AE1276" i="7"/>
  <c r="AB1275" i="7"/>
  <c r="AC1275" i="7" s="1"/>
  <c r="X1275" i="7"/>
  <c r="AE1275" i="7"/>
  <c r="AD1275" i="7"/>
  <c r="AH1275" i="7" s="1"/>
  <c r="AB1274" i="7"/>
  <c r="AC1274" i="7" s="1"/>
  <c r="X1274" i="7"/>
  <c r="AE1274" i="7"/>
  <c r="AD1274" i="7"/>
  <c r="AH1274" i="7" s="1"/>
  <c r="X1273" i="7"/>
  <c r="AB1273" i="7"/>
  <c r="AC1273" i="7"/>
  <c r="AD1273" i="7"/>
  <c r="AH1273" i="7" s="1"/>
  <c r="AE1273" i="7"/>
  <c r="AB1272" i="7"/>
  <c r="AC1272" i="7"/>
  <c r="X1272" i="7"/>
  <c r="AE1272" i="7"/>
  <c r="AD1272" i="7"/>
  <c r="AH1272" i="7" s="1"/>
  <c r="AB1271" i="7"/>
  <c r="AC1271" i="7"/>
  <c r="X1271" i="7"/>
  <c r="AE1271" i="7"/>
  <c r="AD1271" i="7"/>
  <c r="AH1271" i="7" s="1"/>
  <c r="X1270" i="7"/>
  <c r="AB1270" i="7"/>
  <c r="AC1270" i="7"/>
  <c r="AE1270" i="7"/>
  <c r="AD1270" i="7"/>
  <c r="AH1270" i="7" s="1"/>
  <c r="AB1269" i="7"/>
  <c r="AC1269" i="7" s="1"/>
  <c r="X1269" i="7"/>
  <c r="AE1269" i="7"/>
  <c r="AD1269" i="7"/>
  <c r="AH1269" i="7" s="1"/>
  <c r="X1268" i="7"/>
  <c r="AB1268" i="7"/>
  <c r="AC1268" i="7"/>
  <c r="AD1268" i="7"/>
  <c r="AH1268" i="7" s="1"/>
  <c r="AE1268" i="7"/>
  <c r="AB1267" i="7"/>
  <c r="AC1267" i="7" s="1"/>
  <c r="X1267" i="7"/>
  <c r="AD1267" i="7"/>
  <c r="AH1267" i="7" s="1"/>
  <c r="AE1267" i="7"/>
  <c r="AB1266" i="7"/>
  <c r="AC1266" i="7" s="1"/>
  <c r="X1266" i="7"/>
  <c r="AE1266" i="7"/>
  <c r="AD1266" i="7"/>
  <c r="AH1266" i="7" s="1"/>
  <c r="AB1265" i="7"/>
  <c r="AC1265" i="7" s="1"/>
  <c r="X1265" i="7"/>
  <c r="AE1265" i="7"/>
  <c r="AD1265" i="7"/>
  <c r="AH1265" i="7" s="1"/>
  <c r="AB1264" i="7"/>
  <c r="AC1264" i="7" s="1"/>
  <c r="X1264" i="7"/>
  <c r="AE1264" i="7"/>
  <c r="AD1264" i="7"/>
  <c r="AH1264" i="7" s="1"/>
  <c r="AB1263" i="7"/>
  <c r="AC1263" i="7" s="1"/>
  <c r="X1263" i="7"/>
  <c r="AE1263" i="7"/>
  <c r="AD1263" i="7"/>
  <c r="AH1263" i="7" s="1"/>
  <c r="AB1262" i="7"/>
  <c r="AC1262" i="7" s="1"/>
  <c r="X1262" i="7"/>
  <c r="AE1262" i="7"/>
  <c r="AD1262" i="7"/>
  <c r="AH1262" i="7" s="1"/>
  <c r="AB1261" i="7"/>
  <c r="AC1261" i="7" s="1"/>
  <c r="X1261" i="7"/>
  <c r="AE1261" i="7"/>
  <c r="AD1261" i="7"/>
  <c r="AH1261" i="7" s="1"/>
  <c r="AB1260" i="7"/>
  <c r="AC1260" i="7" s="1"/>
  <c r="X1260" i="7"/>
  <c r="AE1260" i="7"/>
  <c r="AD1260" i="7"/>
  <c r="AH1260" i="7" s="1"/>
  <c r="AB1259" i="7"/>
  <c r="AC1259" i="7" s="1"/>
  <c r="X1259" i="7"/>
  <c r="AE1259" i="7"/>
  <c r="AD1259" i="7"/>
  <c r="AH1259" i="7" s="1"/>
  <c r="AB1258" i="7"/>
  <c r="AC1258" i="7" s="1"/>
  <c r="X1258" i="7"/>
  <c r="AD1258" i="7"/>
  <c r="AH1258" i="7" s="1"/>
  <c r="AE1258" i="7"/>
  <c r="AB1257" i="7"/>
  <c r="AC1257" i="7" s="1"/>
  <c r="X1257" i="7"/>
  <c r="AE1257" i="7"/>
  <c r="AD1257" i="7"/>
  <c r="AH1257" i="7" s="1"/>
  <c r="AB1256" i="7"/>
  <c r="AC1256" i="7" s="1"/>
  <c r="X1256" i="7"/>
  <c r="AE1256" i="7"/>
  <c r="AD1256" i="7"/>
  <c r="AH1256" i="7" s="1"/>
  <c r="AB1255" i="7"/>
  <c r="X1255" i="7"/>
  <c r="AC1255" i="7"/>
  <c r="AE1255" i="7"/>
  <c r="AD1255" i="7"/>
  <c r="AH1255" i="7" s="1"/>
  <c r="AB1254" i="7"/>
  <c r="AC1254" i="7" s="1"/>
  <c r="X1254" i="7"/>
  <c r="AE1254" i="7"/>
  <c r="AD1254" i="7"/>
  <c r="AH1254" i="7" s="1"/>
  <c r="AB1253" i="7"/>
  <c r="AC1253" i="7" s="1"/>
  <c r="X1253" i="7"/>
  <c r="AE1253" i="7"/>
  <c r="AD1253" i="7"/>
  <c r="AH1253" i="7" s="1"/>
  <c r="X1252" i="7"/>
  <c r="AB1252" i="7"/>
  <c r="AC1252" i="7" s="1"/>
  <c r="AD1252" i="7"/>
  <c r="AH1252" i="7" s="1"/>
  <c r="AE1252" i="7"/>
  <c r="AB1251" i="7"/>
  <c r="X1251" i="7"/>
  <c r="AC1251" i="7"/>
  <c r="AD1251" i="7"/>
  <c r="AH1251" i="7" s="1"/>
  <c r="AE1251" i="7"/>
  <c r="AB1250" i="7"/>
  <c r="X1250" i="7"/>
  <c r="AC1250" i="7"/>
  <c r="AD1250" i="7"/>
  <c r="AH1250" i="7" s="1"/>
  <c r="AE1250" i="7"/>
  <c r="AB1249" i="7"/>
  <c r="X1249" i="7"/>
  <c r="AC1249" i="7"/>
  <c r="AD1249" i="7"/>
  <c r="AH1249" i="7" s="1"/>
  <c r="AE1249" i="7"/>
  <c r="AB1248" i="7"/>
  <c r="X1248" i="7"/>
  <c r="AC1248" i="7"/>
  <c r="AD1248" i="7"/>
  <c r="AH1248" i="7" s="1"/>
  <c r="AE1248" i="7"/>
  <c r="AB1247" i="7"/>
  <c r="X1247" i="7"/>
  <c r="AC1247" i="7"/>
  <c r="AD1247" i="7"/>
  <c r="AH1247" i="7" s="1"/>
  <c r="AE1247" i="7"/>
  <c r="X1246" i="7"/>
  <c r="AB1246" i="7"/>
  <c r="AC1246" i="7"/>
  <c r="AD1246" i="7"/>
  <c r="AH1246" i="7" s="1"/>
  <c r="AE1246" i="7"/>
  <c r="X1245" i="7"/>
  <c r="AB1245" i="7"/>
  <c r="AC1245" i="7"/>
  <c r="AD1245" i="7"/>
  <c r="AH1245" i="7" s="1"/>
  <c r="AE1245" i="7"/>
  <c r="AB1244" i="7"/>
  <c r="AC1244" i="7" s="1"/>
  <c r="X1244" i="7"/>
  <c r="AE1244" i="7"/>
  <c r="AD1244" i="7"/>
  <c r="AH1244" i="7" s="1"/>
  <c r="AB1243" i="7"/>
  <c r="AC1243" i="7" s="1"/>
  <c r="X1243" i="7"/>
  <c r="AE1243" i="7"/>
  <c r="AD1243" i="7"/>
  <c r="AH1243" i="7" s="1"/>
  <c r="AB1242" i="7"/>
  <c r="X1242" i="7"/>
  <c r="AC1242" i="7"/>
  <c r="AD1242" i="7"/>
  <c r="AH1242" i="7" s="1"/>
  <c r="AE1242" i="7"/>
  <c r="AB1241" i="7"/>
  <c r="X1241" i="7"/>
  <c r="AC1241" i="7"/>
  <c r="AD1241" i="7"/>
  <c r="AH1241" i="7" s="1"/>
  <c r="AE1241" i="7"/>
  <c r="X1240" i="7"/>
  <c r="AB1240" i="7"/>
  <c r="AC1240" i="7" s="1"/>
  <c r="AE1240" i="7"/>
  <c r="AD1240" i="7"/>
  <c r="AH1240" i="7" s="1"/>
  <c r="AB1239" i="7"/>
  <c r="AC1239" i="7" s="1"/>
  <c r="X1239" i="7"/>
  <c r="AE1239" i="7"/>
  <c r="AD1239" i="7"/>
  <c r="AH1239" i="7" s="1"/>
  <c r="AB1238" i="7"/>
  <c r="AC1238" i="7" s="1"/>
  <c r="X1238" i="7"/>
  <c r="AE1238" i="7"/>
  <c r="AD1238" i="7"/>
  <c r="AH1238" i="7" s="1"/>
  <c r="AB1237" i="7"/>
  <c r="AC1237" i="7" s="1"/>
  <c r="X1237" i="7"/>
  <c r="AE1237" i="7"/>
  <c r="AD1237" i="7"/>
  <c r="AH1237" i="7" s="1"/>
  <c r="AB1236" i="7"/>
  <c r="AC1236" i="7" s="1"/>
  <c r="X1236" i="7"/>
  <c r="AE1236" i="7"/>
  <c r="AD1236" i="7"/>
  <c r="AH1236" i="7" s="1"/>
  <c r="AB1235" i="7"/>
  <c r="AC1235" i="7" s="1"/>
  <c r="X1235" i="7"/>
  <c r="AE1235" i="7"/>
  <c r="AD1235" i="7"/>
  <c r="AH1235" i="7" s="1"/>
  <c r="AB1234" i="7"/>
  <c r="AC1234" i="7" s="1"/>
  <c r="X1234" i="7"/>
  <c r="AE1234" i="7"/>
  <c r="AD1234" i="7"/>
  <c r="AH1234" i="7" s="1"/>
  <c r="X1233" i="7"/>
  <c r="AB1233" i="7"/>
  <c r="AC1233" i="7"/>
  <c r="AD1233" i="7"/>
  <c r="AH1233" i="7" s="1"/>
  <c r="AE1233" i="7"/>
  <c r="X1232" i="7"/>
  <c r="AB1232" i="7"/>
  <c r="AC1232" i="7" s="1"/>
  <c r="AE1232" i="7"/>
  <c r="AD1232" i="7"/>
  <c r="AH1232" i="7" s="1"/>
  <c r="AB1231" i="7"/>
  <c r="AC1231" i="7" s="1"/>
  <c r="X1231" i="7"/>
  <c r="AD1231" i="7"/>
  <c r="AH1231" i="7" s="1"/>
  <c r="AE1231" i="7"/>
  <c r="AB1230" i="7"/>
  <c r="AC1230" i="7" s="1"/>
  <c r="X1230" i="7"/>
  <c r="AE1230" i="7"/>
  <c r="AD1230" i="7"/>
  <c r="AH1230" i="7" s="1"/>
  <c r="AB1229" i="7"/>
  <c r="AC1229" i="7" s="1"/>
  <c r="X1229" i="7"/>
  <c r="AD1229" i="7"/>
  <c r="AH1229" i="7" s="1"/>
  <c r="AE1229" i="7"/>
  <c r="AB1228" i="7"/>
  <c r="AC1228" i="7" s="1"/>
  <c r="X1228" i="7"/>
  <c r="AE1228" i="7"/>
  <c r="AD1228" i="7"/>
  <c r="AH1228" i="7" s="1"/>
  <c r="AB1227" i="7"/>
  <c r="AC1227" i="7" s="1"/>
  <c r="X1227" i="7"/>
  <c r="AE1227" i="7"/>
  <c r="AD1227" i="7"/>
  <c r="AH1227" i="7" s="1"/>
  <c r="AB1226" i="7"/>
  <c r="AC1226" i="7" s="1"/>
  <c r="X1226" i="7"/>
  <c r="AD1226" i="7"/>
  <c r="AH1226" i="7" s="1"/>
  <c r="AE1226" i="7"/>
  <c r="AB1225" i="7"/>
  <c r="AC1225" i="7" s="1"/>
  <c r="X1225" i="7"/>
  <c r="AD1225" i="7"/>
  <c r="AH1225" i="7" s="1"/>
  <c r="AE1225" i="7"/>
  <c r="AB1224" i="7"/>
  <c r="AC1224" i="7" s="1"/>
  <c r="X1224" i="7"/>
  <c r="AE1224" i="7"/>
  <c r="AD1224" i="7"/>
  <c r="AH1224" i="7" s="1"/>
  <c r="X1223" i="7"/>
  <c r="AB1223" i="7"/>
  <c r="AC1223" i="7" s="1"/>
  <c r="AD1223" i="7"/>
  <c r="AH1223" i="7" s="1"/>
  <c r="AE1223" i="7"/>
  <c r="AB1222" i="7"/>
  <c r="AC1222" i="7" s="1"/>
  <c r="X1222" i="7"/>
  <c r="AE1222" i="7"/>
  <c r="AD1222" i="7"/>
  <c r="AH1222" i="7" s="1"/>
  <c r="AB1221" i="7"/>
  <c r="AC1221" i="7" s="1"/>
  <c r="X1221" i="7"/>
  <c r="AE1221" i="7"/>
  <c r="AD1221" i="7"/>
  <c r="AH1221" i="7" s="1"/>
  <c r="AB1220" i="7"/>
  <c r="AC1220" i="7" s="1"/>
  <c r="X1220" i="7"/>
  <c r="AE1220" i="7"/>
  <c r="AD1220" i="7"/>
  <c r="AH1220" i="7" s="1"/>
  <c r="AB1219" i="7"/>
  <c r="AC1219" i="7" s="1"/>
  <c r="X1219" i="7"/>
  <c r="AE1219" i="7"/>
  <c r="AD1219" i="7"/>
  <c r="AH1219" i="7" s="1"/>
  <c r="X1218" i="7"/>
  <c r="AB1218" i="7"/>
  <c r="AC1218" i="7" s="1"/>
  <c r="AE1218" i="7"/>
  <c r="AD1218" i="7"/>
  <c r="AH1218" i="7" s="1"/>
  <c r="X1217" i="7"/>
  <c r="AB1217" i="7"/>
  <c r="AC1217" i="7" s="1"/>
  <c r="AE1217" i="7"/>
  <c r="AD1217" i="7"/>
  <c r="AH1217" i="7" s="1"/>
  <c r="X1216" i="7"/>
  <c r="AB1216" i="7"/>
  <c r="AC1216" i="7" s="1"/>
  <c r="AE1216" i="7"/>
  <c r="AD1216" i="7"/>
  <c r="AH1216" i="7" s="1"/>
  <c r="X1215" i="7"/>
  <c r="AB1215" i="7"/>
  <c r="AC1215" i="7" s="1"/>
  <c r="AE1215" i="7"/>
  <c r="AD1215" i="7"/>
  <c r="AH1215" i="7" s="1"/>
  <c r="X1214" i="7"/>
  <c r="AB1214" i="7"/>
  <c r="AC1214" i="7" s="1"/>
  <c r="AE1214" i="7"/>
  <c r="AD1214" i="7"/>
  <c r="AH1214" i="7" s="1"/>
  <c r="X1213" i="7"/>
  <c r="AB1213" i="7"/>
  <c r="AC1213" i="7" s="1"/>
  <c r="AE1213" i="7"/>
  <c r="AD1213" i="7"/>
  <c r="AH1213" i="7" s="1"/>
  <c r="X1212" i="7"/>
  <c r="AB1212" i="7"/>
  <c r="AC1212" i="7" s="1"/>
  <c r="AE1212" i="7"/>
  <c r="AD1212" i="7"/>
  <c r="AH1212" i="7" s="1"/>
  <c r="X1211" i="7"/>
  <c r="AB1211" i="7"/>
  <c r="AC1211" i="7" s="1"/>
  <c r="AE1211" i="7"/>
  <c r="AD1211" i="7"/>
  <c r="AH1211" i="7" s="1"/>
  <c r="X1210" i="7"/>
  <c r="AB1210" i="7"/>
  <c r="AC1210" i="7" s="1"/>
  <c r="AE1210" i="7"/>
  <c r="AD1210" i="7"/>
  <c r="AH1210" i="7" s="1"/>
  <c r="X1209" i="7"/>
  <c r="AB1209" i="7"/>
  <c r="AC1209" i="7" s="1"/>
  <c r="AE1209" i="7"/>
  <c r="AD1209" i="7"/>
  <c r="AH1209" i="7" s="1"/>
  <c r="X1208" i="7"/>
  <c r="AB1208" i="7"/>
  <c r="AC1208" i="7" s="1"/>
  <c r="AE1208" i="7"/>
  <c r="AD1208" i="7"/>
  <c r="AH1208" i="7" s="1"/>
  <c r="AB1207" i="7"/>
  <c r="AC1207" i="7" s="1"/>
  <c r="X1207" i="7"/>
  <c r="AE1207" i="7"/>
  <c r="AD1207" i="7"/>
  <c r="AH1207" i="7" s="1"/>
  <c r="X1206" i="7"/>
  <c r="AB1206" i="7"/>
  <c r="AC1206" i="7" s="1"/>
  <c r="AE1206" i="7"/>
  <c r="AD1206" i="7"/>
  <c r="AH1206" i="7" s="1"/>
  <c r="X1205" i="7"/>
  <c r="AB1205" i="7"/>
  <c r="AC1205" i="7" s="1"/>
  <c r="AE1205" i="7"/>
  <c r="AD1205" i="7"/>
  <c r="AH1205" i="7" s="1"/>
  <c r="X1204" i="7"/>
  <c r="AB1204" i="7"/>
  <c r="AC1204" i="7" s="1"/>
  <c r="AE1204" i="7"/>
  <c r="AD1204" i="7"/>
  <c r="AH1204" i="7" s="1"/>
  <c r="X1203" i="7"/>
  <c r="AB1203" i="7"/>
  <c r="AC1203" i="7" s="1"/>
  <c r="AE1203" i="7"/>
  <c r="AD1203" i="7"/>
  <c r="AH1203" i="7" s="1"/>
  <c r="X1202" i="7"/>
  <c r="AB1202" i="7"/>
  <c r="AC1202" i="7" s="1"/>
  <c r="AE1202" i="7"/>
  <c r="AD1202" i="7"/>
  <c r="AH1202" i="7" s="1"/>
  <c r="X1201" i="7"/>
  <c r="AB1201" i="7"/>
  <c r="AC1201" i="7" s="1"/>
  <c r="AE1201" i="7"/>
  <c r="AD1201" i="7"/>
  <c r="AH1201" i="7" s="1"/>
  <c r="X1200" i="7"/>
  <c r="AB1200" i="7"/>
  <c r="AC1200" i="7" s="1"/>
  <c r="AE1200" i="7"/>
  <c r="AD1200" i="7"/>
  <c r="AH1200" i="7" s="1"/>
  <c r="X1199" i="7"/>
  <c r="AB1199" i="7"/>
  <c r="AC1199" i="7" s="1"/>
  <c r="AE1199" i="7"/>
  <c r="AD1199" i="7"/>
  <c r="AH1199" i="7" s="1"/>
  <c r="X1198" i="7"/>
  <c r="AB1198" i="7"/>
  <c r="AC1198" i="7" s="1"/>
  <c r="AE1198" i="7"/>
  <c r="AD1198" i="7"/>
  <c r="AH1198" i="7" s="1"/>
  <c r="X1197" i="7"/>
  <c r="AB1197" i="7"/>
  <c r="AC1197" i="7" s="1"/>
  <c r="AE1197" i="7"/>
  <c r="AD1197" i="7"/>
  <c r="AH1197" i="7" s="1"/>
  <c r="X1196" i="7"/>
  <c r="AB1196" i="7"/>
  <c r="AC1196" i="7" s="1"/>
  <c r="AE1196" i="7"/>
  <c r="AD1196" i="7"/>
  <c r="AH1196" i="7" s="1"/>
  <c r="AB1195" i="7"/>
  <c r="AC1195" i="7" s="1"/>
  <c r="X1195" i="7"/>
  <c r="AE1195" i="7"/>
  <c r="AD1195" i="7"/>
  <c r="AH1195" i="7" s="1"/>
  <c r="X1194" i="7"/>
  <c r="AB1194" i="7"/>
  <c r="AC1194" i="7"/>
  <c r="AE1194" i="7"/>
  <c r="AD1194" i="7"/>
  <c r="AH1194" i="7" s="1"/>
  <c r="X1193" i="7"/>
  <c r="AB1193" i="7"/>
  <c r="AC1193" i="7"/>
  <c r="AD1193" i="7"/>
  <c r="AH1193" i="7" s="1"/>
  <c r="AE1193" i="7"/>
  <c r="AB1192" i="7"/>
  <c r="X1192" i="7"/>
  <c r="AC1192" i="7"/>
  <c r="AE1192" i="7"/>
  <c r="AD1192" i="7"/>
  <c r="AH1192" i="7" s="1"/>
  <c r="AB1191" i="7"/>
  <c r="AC1191" i="7" s="1"/>
  <c r="X1191" i="7"/>
  <c r="AE1191" i="7"/>
  <c r="AD1191" i="7"/>
  <c r="AH1191" i="7" s="1"/>
  <c r="AB1190" i="7"/>
  <c r="AC1190" i="7" s="1"/>
  <c r="X1190" i="7"/>
  <c r="AE1190" i="7"/>
  <c r="AD1190" i="7"/>
  <c r="AH1190" i="7" s="1"/>
  <c r="X1189" i="7"/>
  <c r="AB1189" i="7"/>
  <c r="AC1189" i="7" s="1"/>
  <c r="AE1189" i="7"/>
  <c r="AD1189" i="7"/>
  <c r="AH1189" i="7" s="1"/>
  <c r="X1188" i="7"/>
  <c r="AB1188" i="7"/>
  <c r="AC1188" i="7" s="1"/>
  <c r="AE1188" i="7"/>
  <c r="AD1188" i="7"/>
  <c r="AH1188" i="7" s="1"/>
  <c r="X1187" i="7"/>
  <c r="AB1187" i="7"/>
  <c r="AC1187" i="7" s="1"/>
  <c r="AE1187" i="7"/>
  <c r="AD1187" i="7"/>
  <c r="AH1187" i="7" s="1"/>
  <c r="AB1186" i="7"/>
  <c r="X1186" i="7"/>
  <c r="AC1186" i="7"/>
  <c r="AD1186" i="7"/>
  <c r="AH1186" i="7" s="1"/>
  <c r="AE1186" i="7"/>
  <c r="AB1185" i="7"/>
  <c r="AC1185" i="7" s="1"/>
  <c r="X1185" i="7"/>
  <c r="AE1185" i="7"/>
  <c r="AD1185" i="7"/>
  <c r="AH1185" i="7" s="1"/>
  <c r="AB1184" i="7"/>
  <c r="AC1184" i="7" s="1"/>
  <c r="X1184" i="7"/>
  <c r="AE1184" i="7"/>
  <c r="AD1184" i="7"/>
  <c r="AH1184" i="7" s="1"/>
  <c r="AB1183" i="7"/>
  <c r="X1183" i="7"/>
  <c r="AC1183" i="7"/>
  <c r="AD1183" i="7"/>
  <c r="AH1183" i="7" s="1"/>
  <c r="AE1183" i="7"/>
  <c r="AB1182" i="7"/>
  <c r="AC1182" i="7" s="1"/>
  <c r="X1182" i="7"/>
  <c r="AE1182" i="7"/>
  <c r="AD1182" i="7"/>
  <c r="AH1182" i="7" s="1"/>
  <c r="AB1181" i="7"/>
  <c r="X1181" i="7"/>
  <c r="J50" i="8" s="1"/>
  <c r="AD1181" i="7"/>
  <c r="AH1181" i="7" s="1"/>
  <c r="AE1181" i="7"/>
  <c r="AB1180" i="7"/>
  <c r="X1180" i="7"/>
  <c r="AC1180" i="7"/>
  <c r="AE1180" i="7"/>
  <c r="AD1180" i="7"/>
  <c r="AH1180" i="7" s="1"/>
  <c r="AB1179" i="7"/>
  <c r="AC1179" i="7" s="1"/>
  <c r="X1179" i="7"/>
  <c r="AE1179" i="7"/>
  <c r="AD1179" i="7"/>
  <c r="AH1179" i="7" s="1"/>
  <c r="AB1178" i="7"/>
  <c r="AC1178" i="7" s="1"/>
  <c r="X1178" i="7"/>
  <c r="AE1178" i="7"/>
  <c r="AD1178" i="7"/>
  <c r="AH1178" i="7" s="1"/>
  <c r="X1177" i="7"/>
  <c r="AB1177" i="7"/>
  <c r="AC1177" i="7" s="1"/>
  <c r="AE1177" i="7"/>
  <c r="AD1177" i="7"/>
  <c r="AH1177" i="7" s="1"/>
  <c r="X1176" i="7"/>
  <c r="AB1176" i="7"/>
  <c r="AC1176" i="7" s="1"/>
  <c r="AE1176" i="7"/>
  <c r="AD1176" i="7"/>
  <c r="AH1176" i="7" s="1"/>
  <c r="AB1175" i="7"/>
  <c r="X1175" i="7"/>
  <c r="AC1175" i="7"/>
  <c r="AE1175" i="7"/>
  <c r="AD1175" i="7"/>
  <c r="AH1175" i="7" s="1"/>
  <c r="X1174" i="7"/>
  <c r="AB1174" i="7"/>
  <c r="AC1174" i="7" s="1"/>
  <c r="AE1174" i="7"/>
  <c r="AD1174" i="7"/>
  <c r="AH1174" i="7" s="1"/>
  <c r="AB1173" i="7"/>
  <c r="AC1173" i="7" s="1"/>
  <c r="X1173" i="7"/>
  <c r="AE1173" i="7"/>
  <c r="AD1173" i="7"/>
  <c r="AH1173" i="7" s="1"/>
  <c r="AB1172" i="7"/>
  <c r="AC1172" i="7" s="1"/>
  <c r="X1172" i="7"/>
  <c r="AE1172" i="7"/>
  <c r="AD1172" i="7"/>
  <c r="AH1172" i="7" s="1"/>
  <c r="AB1171" i="7"/>
  <c r="AC1171" i="7" s="1"/>
  <c r="X1171" i="7"/>
  <c r="AE1171" i="7"/>
  <c r="AD1171" i="7"/>
  <c r="AH1171" i="7" s="1"/>
  <c r="AB1170" i="7"/>
  <c r="AC1170" i="7" s="1"/>
  <c r="X1170" i="7"/>
  <c r="AE1170" i="7"/>
  <c r="AD1170" i="7"/>
  <c r="AH1170" i="7" s="1"/>
  <c r="X1169" i="7"/>
  <c r="AB1169" i="7"/>
  <c r="AC1169" i="7" s="1"/>
  <c r="AD1169" i="7"/>
  <c r="AH1169" i="7" s="1"/>
  <c r="AE1169" i="7"/>
  <c r="AB1168" i="7"/>
  <c r="AC1168" i="7" s="1"/>
  <c r="X1168" i="7"/>
  <c r="AE1168" i="7"/>
  <c r="AD1168" i="7"/>
  <c r="AH1168" i="7" s="1"/>
  <c r="AB1167" i="7"/>
  <c r="AC1167" i="7" s="1"/>
  <c r="X1167" i="7"/>
  <c r="AE1167" i="7"/>
  <c r="AD1167" i="7"/>
  <c r="AH1167" i="7" s="1"/>
  <c r="X1166" i="7"/>
  <c r="AB1166" i="7"/>
  <c r="AC1166" i="7" s="1"/>
  <c r="AE1166" i="7"/>
  <c r="AD1166" i="7"/>
  <c r="AH1166" i="7" s="1"/>
  <c r="X1165" i="7"/>
  <c r="AB1165" i="7"/>
  <c r="AC1165" i="7" s="1"/>
  <c r="AE1165" i="7"/>
  <c r="AD1165" i="7"/>
  <c r="AH1165" i="7" s="1"/>
  <c r="X1164" i="7"/>
  <c r="AB1164" i="7"/>
  <c r="AC1164" i="7" s="1"/>
  <c r="AE1164" i="7"/>
  <c r="AD1164" i="7"/>
  <c r="AH1164" i="7" s="1"/>
  <c r="X1163" i="7"/>
  <c r="AB1163" i="7"/>
  <c r="AC1163" i="7" s="1"/>
  <c r="AE1163" i="7"/>
  <c r="AD1163" i="7"/>
  <c r="AH1163" i="7" s="1"/>
  <c r="X1162" i="7"/>
  <c r="AB1162" i="7"/>
  <c r="AC1162" i="7" s="1"/>
  <c r="AE1162" i="7"/>
  <c r="AD1162" i="7"/>
  <c r="AH1162" i="7" s="1"/>
  <c r="X1161" i="7"/>
  <c r="AB1161" i="7"/>
  <c r="AC1161" i="7" s="1"/>
  <c r="AE1161" i="7"/>
  <c r="AD1161" i="7"/>
  <c r="AH1161" i="7" s="1"/>
  <c r="X1160" i="7"/>
  <c r="AB1160" i="7"/>
  <c r="AC1160" i="7" s="1"/>
  <c r="AE1160" i="7"/>
  <c r="AD1160" i="7"/>
  <c r="AH1160" i="7" s="1"/>
  <c r="X1159" i="7"/>
  <c r="AB1159" i="7"/>
  <c r="AC1159" i="7" s="1"/>
  <c r="AE1159" i="7"/>
  <c r="AD1159" i="7"/>
  <c r="AH1159" i="7" s="1"/>
  <c r="AB1158" i="7"/>
  <c r="AC1158" i="7" s="1"/>
  <c r="X1158" i="7"/>
  <c r="AD1158" i="7"/>
  <c r="AH1158" i="7" s="1"/>
  <c r="AE1158" i="7"/>
  <c r="X1157" i="7"/>
  <c r="AB1157" i="7"/>
  <c r="AC1157" i="7" s="1"/>
  <c r="AE1157" i="7"/>
  <c r="AD1157" i="7"/>
  <c r="AH1157" i="7" s="1"/>
  <c r="AB1156" i="7"/>
  <c r="AC1156" i="7" s="1"/>
  <c r="X1156" i="7"/>
  <c r="AE1156" i="7"/>
  <c r="AD1156" i="7"/>
  <c r="AH1156" i="7" s="1"/>
  <c r="AB1155" i="7"/>
  <c r="AC1155" i="7" s="1"/>
  <c r="X1155" i="7"/>
  <c r="AE1155" i="7"/>
  <c r="AD1155" i="7"/>
  <c r="AH1155" i="7" s="1"/>
  <c r="AB1154" i="7"/>
  <c r="AC1154" i="7" s="1"/>
  <c r="X1154" i="7"/>
  <c r="AE1154" i="7"/>
  <c r="AD1154" i="7"/>
  <c r="AH1154" i="7" s="1"/>
  <c r="X1153" i="7"/>
  <c r="AB1153" i="7"/>
  <c r="AC1153" i="7" s="1"/>
  <c r="AE1153" i="7"/>
  <c r="AD1153" i="7"/>
  <c r="AH1153" i="7" s="1"/>
  <c r="X1152" i="7"/>
  <c r="AB1152" i="7"/>
  <c r="AC1152" i="7" s="1"/>
  <c r="AE1152" i="7"/>
  <c r="AD1152" i="7"/>
  <c r="AH1152" i="7" s="1"/>
  <c r="AB1151" i="7"/>
  <c r="AC1151" i="7" s="1"/>
  <c r="X1151" i="7"/>
  <c r="AE1151" i="7"/>
  <c r="AD1151" i="7"/>
  <c r="AH1151" i="7" s="1"/>
  <c r="AB1150" i="7"/>
  <c r="AC1150" i="7" s="1"/>
  <c r="X1150" i="7"/>
  <c r="AE1150" i="7"/>
  <c r="AD1150" i="7"/>
  <c r="AH1150" i="7" s="1"/>
  <c r="AB1149" i="7"/>
  <c r="X1149" i="7"/>
  <c r="AC1149" i="7"/>
  <c r="AE1149" i="7"/>
  <c r="AD1149" i="7"/>
  <c r="AH1149" i="7" s="1"/>
  <c r="AB1148" i="7"/>
  <c r="AC1148" i="7" s="1"/>
  <c r="X1148" i="7"/>
  <c r="AE1148" i="7"/>
  <c r="AD1148" i="7"/>
  <c r="AH1148" i="7" s="1"/>
  <c r="AB1147" i="7"/>
  <c r="AC1147" i="7" s="1"/>
  <c r="X1147" i="7"/>
  <c r="AE1147" i="7"/>
  <c r="AD1147" i="7"/>
  <c r="AH1147" i="7" s="1"/>
  <c r="X1146" i="7"/>
  <c r="AB1146" i="7"/>
  <c r="AC1146" i="7" s="1"/>
  <c r="AD1146" i="7"/>
  <c r="AH1146" i="7" s="1"/>
  <c r="AE1146" i="7"/>
  <c r="AB1145" i="7"/>
  <c r="AC1145" i="7" s="1"/>
  <c r="X1145" i="7"/>
  <c r="AE1145" i="7"/>
  <c r="AD1145" i="7"/>
  <c r="AH1145" i="7" s="1"/>
  <c r="AB1144" i="7"/>
  <c r="AC1144" i="7" s="1"/>
  <c r="X1144" i="7"/>
  <c r="AE1144" i="7"/>
  <c r="AD1144" i="7"/>
  <c r="AH1144" i="7" s="1"/>
  <c r="X1143" i="7"/>
  <c r="AB1143" i="7"/>
  <c r="AC1143" i="7" s="1"/>
  <c r="AD1143" i="7"/>
  <c r="AH1143" i="7" s="1"/>
  <c r="AE1143" i="7"/>
  <c r="AB1142" i="7"/>
  <c r="AC1142" i="7" s="1"/>
  <c r="X1142" i="7"/>
  <c r="AE1142" i="7"/>
  <c r="AD1142" i="7"/>
  <c r="AH1142" i="7" s="1"/>
  <c r="AB1141" i="7"/>
  <c r="AC1141" i="7" s="1"/>
  <c r="X1141" i="7"/>
  <c r="AD1141" i="7"/>
  <c r="AH1141" i="7" s="1"/>
  <c r="AE1141" i="7"/>
  <c r="AB1140" i="7"/>
  <c r="AC1140" i="7" s="1"/>
  <c r="X1140" i="7"/>
  <c r="AD1140" i="7"/>
  <c r="AH1140" i="7" s="1"/>
  <c r="AE1140" i="7"/>
  <c r="X1139" i="7"/>
  <c r="AB1139" i="7"/>
  <c r="AC1139" i="7" s="1"/>
  <c r="AD1139" i="7"/>
  <c r="AH1139" i="7" s="1"/>
  <c r="AE1139" i="7"/>
  <c r="AB1138" i="7"/>
  <c r="AC1138" i="7" s="1"/>
  <c r="X1138" i="7"/>
  <c r="AE1138" i="7"/>
  <c r="AD1138" i="7"/>
  <c r="AH1138" i="7" s="1"/>
  <c r="AB1137" i="7"/>
  <c r="AC1137" i="7" s="1"/>
  <c r="X1137" i="7"/>
  <c r="AE1137" i="7"/>
  <c r="AD1137" i="7"/>
  <c r="AH1137" i="7" s="1"/>
  <c r="X1136" i="7"/>
  <c r="AB1136" i="7"/>
  <c r="AC1136" i="7" s="1"/>
  <c r="AE1136" i="7"/>
  <c r="AD1136" i="7"/>
  <c r="AH1136" i="7" s="1"/>
  <c r="AB1135" i="7"/>
  <c r="AC1135" i="7" s="1"/>
  <c r="X1135" i="7"/>
  <c r="AE1135" i="7"/>
  <c r="AD1135" i="7"/>
  <c r="AH1135" i="7" s="1"/>
  <c r="AB1134" i="7"/>
  <c r="AC1134" i="7" s="1"/>
  <c r="X1134" i="7"/>
  <c r="AE1134" i="7"/>
  <c r="AD1134" i="7"/>
  <c r="AH1134" i="7" s="1"/>
  <c r="X1133" i="7"/>
  <c r="AB1133" i="7"/>
  <c r="AC1133" i="7"/>
  <c r="AE1133" i="7"/>
  <c r="AD1133" i="7"/>
  <c r="AH1133" i="7" s="1"/>
  <c r="AB1132" i="7"/>
  <c r="AC1132" i="7" s="1"/>
  <c r="X1132" i="7"/>
  <c r="AE1132" i="7"/>
  <c r="AD1132" i="7"/>
  <c r="AH1132" i="7" s="1"/>
  <c r="AB1131" i="7"/>
  <c r="AC1131" i="7" s="1"/>
  <c r="X1131" i="7"/>
  <c r="AE1131" i="7"/>
  <c r="AD1131" i="7"/>
  <c r="AH1131" i="7" s="1"/>
  <c r="X1130" i="7"/>
  <c r="AB1130" i="7"/>
  <c r="AC1130" i="7" s="1"/>
  <c r="AE1130" i="7"/>
  <c r="AD1130" i="7"/>
  <c r="AH1130" i="7" s="1"/>
  <c r="AB1129" i="7"/>
  <c r="AC1129" i="7" s="1"/>
  <c r="X1129" i="7"/>
  <c r="AD1129" i="7"/>
  <c r="AH1129" i="7" s="1"/>
  <c r="AE1129" i="7"/>
  <c r="AB1128" i="7"/>
  <c r="AC1128" i="7" s="1"/>
  <c r="X1128" i="7"/>
  <c r="AD1128" i="7"/>
  <c r="AH1128" i="7" s="1"/>
  <c r="AE1128" i="7"/>
  <c r="AB1127" i="7"/>
  <c r="AC1127" i="7" s="1"/>
  <c r="X1127" i="7"/>
  <c r="AD1127" i="7"/>
  <c r="AH1127" i="7" s="1"/>
  <c r="AE1127" i="7"/>
  <c r="AB1126" i="7"/>
  <c r="X1126" i="7"/>
  <c r="AC1126" i="7"/>
  <c r="AD1126" i="7"/>
  <c r="AH1126" i="7" s="1"/>
  <c r="AE1126" i="7"/>
  <c r="AB1125" i="7"/>
  <c r="AC1125" i="7" s="1"/>
  <c r="X1125" i="7"/>
  <c r="AE1125" i="7"/>
  <c r="AD1125" i="7"/>
  <c r="AH1125" i="7" s="1"/>
  <c r="AB1124" i="7"/>
  <c r="X1124" i="7"/>
  <c r="AC1124" i="7"/>
  <c r="AE1124" i="7"/>
  <c r="AD1124" i="7"/>
  <c r="AH1124" i="7" s="1"/>
  <c r="AB1123" i="7"/>
  <c r="AC1123" i="7" s="1"/>
  <c r="X1123" i="7"/>
  <c r="AD1123" i="7"/>
  <c r="AH1123" i="7" s="1"/>
  <c r="AE1123" i="7"/>
  <c r="AB1122" i="7"/>
  <c r="AC1122" i="7" s="1"/>
  <c r="X1122" i="7"/>
  <c r="AE1122" i="7"/>
  <c r="AD1122" i="7"/>
  <c r="AH1122" i="7" s="1"/>
  <c r="AB1121" i="7"/>
  <c r="X1121" i="7"/>
  <c r="AC1121" i="7"/>
  <c r="AD1121" i="7"/>
  <c r="AH1121" i="7" s="1"/>
  <c r="AE1121" i="7"/>
  <c r="AB1120" i="7"/>
  <c r="AC1120" i="7" s="1"/>
  <c r="X1120" i="7"/>
  <c r="AE1120" i="7"/>
  <c r="AD1120" i="7"/>
  <c r="AH1120" i="7" s="1"/>
  <c r="AB1119" i="7"/>
  <c r="AC1119" i="7" s="1"/>
  <c r="X1119" i="7"/>
  <c r="AE1119" i="7"/>
  <c r="AD1119" i="7"/>
  <c r="AH1119" i="7" s="1"/>
  <c r="AB1118" i="7"/>
  <c r="X1118" i="7"/>
  <c r="AC1118" i="7"/>
  <c r="AE1118" i="7"/>
  <c r="AD1118" i="7"/>
  <c r="AH1118" i="7" s="1"/>
  <c r="AB1117" i="7"/>
  <c r="AC1117" i="7"/>
  <c r="X1117" i="7"/>
  <c r="AD1117" i="7"/>
  <c r="AH1117" i="7" s="1"/>
  <c r="AE1117" i="7"/>
  <c r="AB1116" i="7"/>
  <c r="AC1116" i="7" s="1"/>
  <c r="X1116" i="7"/>
  <c r="AE1116" i="7"/>
  <c r="AD1116" i="7"/>
  <c r="AH1116" i="7" s="1"/>
  <c r="AB1115" i="7"/>
  <c r="AC1115" i="7" s="1"/>
  <c r="X1115" i="7"/>
  <c r="AE1115" i="7"/>
  <c r="AD1115" i="7"/>
  <c r="AH1115" i="7" s="1"/>
  <c r="AB1114" i="7"/>
  <c r="X1114" i="7"/>
  <c r="AC1114" i="7"/>
  <c r="AD1114" i="7"/>
  <c r="AH1114" i="7" s="1"/>
  <c r="AE1114" i="7"/>
  <c r="AB1113" i="7"/>
  <c r="X1113" i="7"/>
  <c r="AC1113" i="7"/>
  <c r="AD1113" i="7"/>
  <c r="AH1113" i="7" s="1"/>
  <c r="AE1113" i="7"/>
  <c r="AB1112" i="7"/>
  <c r="X1112" i="7"/>
  <c r="AC1112" i="7"/>
  <c r="AD1112" i="7"/>
  <c r="AH1112" i="7" s="1"/>
  <c r="AE1112" i="7"/>
  <c r="AB1111" i="7"/>
  <c r="X1111" i="7"/>
  <c r="AC1111" i="7"/>
  <c r="AD1111" i="7"/>
  <c r="AH1111" i="7" s="1"/>
  <c r="AE1111" i="7"/>
  <c r="AB1110" i="7"/>
  <c r="X1110" i="7"/>
  <c r="AC1110" i="7"/>
  <c r="AD1110" i="7"/>
  <c r="AH1110" i="7" s="1"/>
  <c r="AE1110" i="7"/>
  <c r="AB1109" i="7"/>
  <c r="X1109" i="7"/>
  <c r="AC1109" i="7"/>
  <c r="AD1109" i="7"/>
  <c r="AH1109" i="7" s="1"/>
  <c r="AE1109" i="7"/>
  <c r="X1108" i="7"/>
  <c r="AB1108" i="7"/>
  <c r="AC1108" i="7" s="1"/>
  <c r="AE1108" i="7"/>
  <c r="AD1108" i="7"/>
  <c r="AH1108" i="7" s="1"/>
  <c r="AB1107" i="7"/>
  <c r="AC1107" i="7" s="1"/>
  <c r="X1107" i="7"/>
  <c r="AE1107" i="7"/>
  <c r="AD1107" i="7"/>
  <c r="AH1107" i="7" s="1"/>
  <c r="X1106" i="7"/>
  <c r="AB1106" i="7"/>
  <c r="AC1106" i="7" s="1"/>
  <c r="AD1106" i="7"/>
  <c r="AH1106" i="7" s="1"/>
  <c r="AE1106" i="7"/>
  <c r="AB1105" i="7"/>
  <c r="AC1105" i="7" s="1"/>
  <c r="AF1105" i="7" s="1"/>
  <c r="AG1105" i="7" s="1"/>
  <c r="X1105" i="7"/>
  <c r="AE1105" i="7"/>
  <c r="AD1105" i="7"/>
  <c r="AH1105" i="7" s="1"/>
  <c r="AB1104" i="7"/>
  <c r="AC1104" i="7" s="1"/>
  <c r="X1104" i="7"/>
  <c r="AE1104" i="7"/>
  <c r="AD1104" i="7"/>
  <c r="AH1104" i="7" s="1"/>
  <c r="AB1103" i="7"/>
  <c r="AC1103" i="7" s="1"/>
  <c r="X1103" i="7"/>
  <c r="AE1103" i="7"/>
  <c r="AD1103" i="7"/>
  <c r="AH1103" i="7" s="1"/>
  <c r="X1102" i="7"/>
  <c r="AB1102" i="7"/>
  <c r="AC1102" i="7" s="1"/>
  <c r="AE1102" i="7"/>
  <c r="AD1102" i="7"/>
  <c r="AH1102" i="7" s="1"/>
  <c r="X1101" i="7"/>
  <c r="AB1101" i="7"/>
  <c r="AC1101" i="7" s="1"/>
  <c r="AE1101" i="7"/>
  <c r="AD1101" i="7"/>
  <c r="AH1101" i="7" s="1"/>
  <c r="X1100" i="7"/>
  <c r="AB1100" i="7"/>
  <c r="AC1100" i="7" s="1"/>
  <c r="AE1100" i="7"/>
  <c r="AD1100" i="7"/>
  <c r="AH1100" i="7" s="1"/>
  <c r="X1099" i="7"/>
  <c r="AB1099" i="7"/>
  <c r="AC1099" i="7" s="1"/>
  <c r="AE1099" i="7"/>
  <c r="AD1099" i="7"/>
  <c r="AH1099" i="7" s="1"/>
  <c r="X1098" i="7"/>
  <c r="AB1098" i="7"/>
  <c r="AC1098" i="7" s="1"/>
  <c r="AE1098" i="7"/>
  <c r="AD1098" i="7"/>
  <c r="AH1098" i="7" s="1"/>
  <c r="X1097" i="7"/>
  <c r="AB1097" i="7"/>
  <c r="AC1097" i="7" s="1"/>
  <c r="AE1097" i="7"/>
  <c r="AD1097" i="7"/>
  <c r="AH1097" i="7" s="1"/>
  <c r="X1096" i="7"/>
  <c r="AB1096" i="7"/>
  <c r="AC1096" i="7" s="1"/>
  <c r="AE1096" i="7"/>
  <c r="AD1096" i="7"/>
  <c r="AH1096" i="7" s="1"/>
  <c r="X1095" i="7"/>
  <c r="AB1095" i="7"/>
  <c r="AC1095" i="7" s="1"/>
  <c r="AD1095" i="7"/>
  <c r="AH1095" i="7" s="1"/>
  <c r="AE1095" i="7"/>
  <c r="AB1094" i="7"/>
  <c r="X1094" i="7"/>
  <c r="AC1094" i="7"/>
  <c r="AF1094" i="7" s="1"/>
  <c r="AG1094" i="7" s="1"/>
  <c r="AH1094" i="7"/>
  <c r="AB1093" i="7"/>
  <c r="AC1093" i="7"/>
  <c r="X1093" i="7"/>
  <c r="AD1093" i="7"/>
  <c r="AH1093" i="7" s="1"/>
  <c r="AE1093" i="7"/>
  <c r="AB1092" i="7"/>
  <c r="AC1092" i="7" s="1"/>
  <c r="X1092" i="7"/>
  <c r="AE1092" i="7"/>
  <c r="AD1092" i="7"/>
  <c r="AH1092" i="7" s="1"/>
  <c r="AB1091" i="7"/>
  <c r="AC1091" i="7" s="1"/>
  <c r="X1091" i="7"/>
  <c r="AE1091" i="7"/>
  <c r="AD1091" i="7"/>
  <c r="AH1091" i="7" s="1"/>
  <c r="AB1090" i="7"/>
  <c r="X1090" i="7"/>
  <c r="AC1090" i="7"/>
  <c r="AD1090" i="7"/>
  <c r="AH1090" i="7" s="1"/>
  <c r="AE1090" i="7"/>
  <c r="AB1089" i="7"/>
  <c r="X1089" i="7"/>
  <c r="AC1089" i="7"/>
  <c r="AD1089" i="7"/>
  <c r="AH1089" i="7" s="1"/>
  <c r="AE1089" i="7"/>
  <c r="AB1088" i="7"/>
  <c r="X1088" i="7"/>
  <c r="AC1088" i="7"/>
  <c r="AD1088" i="7"/>
  <c r="AH1088" i="7" s="1"/>
  <c r="AE1088" i="7"/>
  <c r="AB1087" i="7"/>
  <c r="X1087" i="7"/>
  <c r="AC1087" i="7"/>
  <c r="AD1087" i="7"/>
  <c r="AH1087" i="7" s="1"/>
  <c r="AE1087" i="7"/>
  <c r="AB1086" i="7"/>
  <c r="X1086" i="7"/>
  <c r="AC1086" i="7"/>
  <c r="AD1086" i="7"/>
  <c r="AH1086" i="7" s="1"/>
  <c r="AE1086" i="7"/>
  <c r="AB1085" i="7"/>
  <c r="X1085" i="7"/>
  <c r="AC1085" i="7"/>
  <c r="AE1085" i="7"/>
  <c r="AD1085" i="7"/>
  <c r="AH1085" i="7" s="1"/>
  <c r="AB1084" i="7"/>
  <c r="AC1084" i="7" s="1"/>
  <c r="X1084" i="7"/>
  <c r="AE1084" i="7"/>
  <c r="AD1084" i="7"/>
  <c r="AH1084" i="7" s="1"/>
  <c r="X1083" i="7"/>
  <c r="AB1083" i="7"/>
  <c r="AC1083" i="7" s="1"/>
  <c r="AE1083" i="7"/>
  <c r="AD1083" i="7"/>
  <c r="AH1083" i="7" s="1"/>
  <c r="AB1082" i="7"/>
  <c r="AC1082" i="7" s="1"/>
  <c r="X1082" i="7"/>
  <c r="AE1082" i="7"/>
  <c r="AD1082" i="7"/>
  <c r="AH1082" i="7" s="1"/>
  <c r="AB1081" i="7"/>
  <c r="AC1081" i="7" s="1"/>
  <c r="X1081" i="7"/>
  <c r="AE1081" i="7"/>
  <c r="AD1081" i="7"/>
  <c r="AH1081" i="7" s="1"/>
  <c r="AB1080" i="7"/>
  <c r="AC1080" i="7" s="1"/>
  <c r="X1080" i="7"/>
  <c r="AD1080" i="7"/>
  <c r="AH1080" i="7" s="1"/>
  <c r="AE1080" i="7"/>
  <c r="AB1079" i="7"/>
  <c r="AC1079" i="7" s="1"/>
  <c r="X1079" i="7"/>
  <c r="AE1079" i="7"/>
  <c r="AD1079" i="7"/>
  <c r="AH1079" i="7" s="1"/>
  <c r="X1078" i="7"/>
  <c r="AB1078" i="7"/>
  <c r="AC1078" i="7" s="1"/>
  <c r="AD1078" i="7"/>
  <c r="AH1078" i="7" s="1"/>
  <c r="AE1078" i="7"/>
  <c r="AB1077" i="7"/>
  <c r="AC1077" i="7" s="1"/>
  <c r="X1077" i="7"/>
  <c r="AE1077" i="7"/>
  <c r="AD1077" i="7"/>
  <c r="AH1077" i="7" s="1"/>
  <c r="AB1076" i="7"/>
  <c r="X1076" i="7"/>
  <c r="AC1076" i="7"/>
  <c r="AE1076" i="7"/>
  <c r="AD1076" i="7"/>
  <c r="AH1076" i="7" s="1"/>
  <c r="AB1075" i="7"/>
  <c r="AC1075" i="7" s="1"/>
  <c r="X1075" i="7"/>
  <c r="AE1075" i="7"/>
  <c r="AD1075" i="7"/>
  <c r="AH1075" i="7" s="1"/>
  <c r="AB1074" i="7"/>
  <c r="AC1074" i="7" s="1"/>
  <c r="X1074" i="7"/>
  <c r="AE1074" i="7"/>
  <c r="AD1074" i="7"/>
  <c r="AH1074" i="7" s="1"/>
  <c r="AB1073" i="7"/>
  <c r="X1073" i="7"/>
  <c r="AC1073" i="7"/>
  <c r="AD1073" i="7"/>
  <c r="AH1073" i="7" s="1"/>
  <c r="AE1073" i="7"/>
  <c r="AB1072" i="7"/>
  <c r="X1072" i="7"/>
  <c r="AC1072" i="7"/>
  <c r="AD1072" i="7"/>
  <c r="AH1072" i="7" s="1"/>
  <c r="AE1072" i="7"/>
  <c r="AB1071" i="7"/>
  <c r="X1071" i="7"/>
  <c r="AC1071" i="7"/>
  <c r="AD1071" i="7"/>
  <c r="AH1071" i="7" s="1"/>
  <c r="AE1071" i="7"/>
  <c r="AB1070" i="7"/>
  <c r="X1070" i="7"/>
  <c r="AC1070" i="7"/>
  <c r="AD1070" i="7"/>
  <c r="AH1070" i="7" s="1"/>
  <c r="AE1070" i="7"/>
  <c r="AB1069" i="7"/>
  <c r="X1069" i="7"/>
  <c r="AC1069" i="7"/>
  <c r="AD1069" i="7"/>
  <c r="AH1069" i="7" s="1"/>
  <c r="AE1069" i="7"/>
  <c r="X1068" i="7"/>
  <c r="AB1068" i="7"/>
  <c r="AC1068" i="7" s="1"/>
  <c r="AE1068" i="7"/>
  <c r="AD1068" i="7"/>
  <c r="AH1068" i="7" s="1"/>
  <c r="AB1067" i="7"/>
  <c r="AC1067" i="7" s="1"/>
  <c r="X1067" i="7"/>
  <c r="AE1067" i="7"/>
  <c r="AD1067" i="7"/>
  <c r="AH1067" i="7" s="1"/>
  <c r="AB1066" i="7"/>
  <c r="AC1066" i="7" s="1"/>
  <c r="X1066" i="7"/>
  <c r="AE1066" i="7"/>
  <c r="AD1066" i="7"/>
  <c r="AH1066" i="7" s="1"/>
  <c r="AB1065" i="7"/>
  <c r="X1065" i="7"/>
  <c r="AC1065" i="7"/>
  <c r="AD1065" i="7"/>
  <c r="AH1065" i="7" s="1"/>
  <c r="AE1065" i="7"/>
  <c r="AB1064" i="7"/>
  <c r="X1064" i="7"/>
  <c r="AC1064" i="7"/>
  <c r="AD1064" i="7"/>
  <c r="AH1064" i="7" s="1"/>
  <c r="AE1064" i="7"/>
  <c r="X1063" i="7"/>
  <c r="AB1063" i="7"/>
  <c r="AC1063" i="7" s="1"/>
  <c r="AD1063" i="7"/>
  <c r="AH1063" i="7" s="1"/>
  <c r="AE1063" i="7"/>
  <c r="AB1062" i="7"/>
  <c r="AC1062" i="7" s="1"/>
  <c r="X1062" i="7"/>
  <c r="AE1062" i="7"/>
  <c r="AD1062" i="7"/>
  <c r="AH1062" i="7" s="1"/>
  <c r="AB1061" i="7"/>
  <c r="X1061" i="7"/>
  <c r="AC1061" i="7"/>
  <c r="AD1061" i="7"/>
  <c r="AH1061" i="7" s="1"/>
  <c r="AE1061" i="7"/>
  <c r="AB1060" i="7"/>
  <c r="AC1060" i="7" s="1"/>
  <c r="X1060" i="7"/>
  <c r="AE1060" i="7"/>
  <c r="AD1060" i="7"/>
  <c r="AH1060" i="7" s="1"/>
  <c r="X1059" i="7"/>
  <c r="AB1059" i="7"/>
  <c r="AC1059" i="7" s="1"/>
  <c r="AD1059" i="7"/>
  <c r="AH1059" i="7" s="1"/>
  <c r="AE1059" i="7"/>
  <c r="AB1058" i="7"/>
  <c r="AC1058" i="7" s="1"/>
  <c r="X1058" i="7"/>
  <c r="AE1058" i="7"/>
  <c r="AD1058" i="7"/>
  <c r="AH1058" i="7" s="1"/>
  <c r="AB1057" i="7"/>
  <c r="AC1057" i="7" s="1"/>
  <c r="X1057" i="7"/>
  <c r="AE1057" i="7"/>
  <c r="AD1057" i="7"/>
  <c r="AH1057" i="7" s="1"/>
  <c r="X1056" i="7"/>
  <c r="AB1056" i="7"/>
  <c r="AC1056" i="7"/>
  <c r="AD1056" i="7"/>
  <c r="AH1056" i="7" s="1"/>
  <c r="AE1056" i="7"/>
  <c r="AB1055" i="7"/>
  <c r="AC1055" i="7"/>
  <c r="X1055" i="7"/>
  <c r="AD1055" i="7"/>
  <c r="AH1055" i="7" s="1"/>
  <c r="AE1055" i="7"/>
  <c r="AB1054" i="7"/>
  <c r="AC1054" i="7" s="1"/>
  <c r="AF1054" i="7" s="1"/>
  <c r="AG1054" i="7" s="1"/>
  <c r="X1054" i="7"/>
  <c r="AE1054" i="7"/>
  <c r="AD1054" i="7"/>
  <c r="AB1053" i="7"/>
  <c r="AC1053" i="7" s="1"/>
  <c r="X1053" i="7"/>
  <c r="AE1053" i="7"/>
  <c r="AD1053" i="7"/>
  <c r="AH1053" i="7" s="1"/>
  <c r="AB1052" i="7"/>
  <c r="AC1052" i="7"/>
  <c r="X1052" i="7"/>
  <c r="AD1052" i="7"/>
  <c r="AH1052" i="7" s="1"/>
  <c r="AE1052" i="7"/>
  <c r="AB1051" i="7"/>
  <c r="AC1051" i="7" s="1"/>
  <c r="X1051" i="7"/>
  <c r="AE1051" i="7"/>
  <c r="AD1051" i="7"/>
  <c r="AH1051" i="7" s="1"/>
  <c r="AB1050" i="7"/>
  <c r="AC1050" i="7" s="1"/>
  <c r="X1050" i="7"/>
  <c r="AD1050" i="7"/>
  <c r="AH1050" i="7" s="1"/>
  <c r="AE1050" i="7"/>
  <c r="AB1049" i="7"/>
  <c r="AC1049" i="7" s="1"/>
  <c r="X1049" i="7"/>
  <c r="AE1049" i="7"/>
  <c r="AD1049" i="7"/>
  <c r="AH1049" i="7" s="1"/>
  <c r="AB1048" i="7"/>
  <c r="AC1048" i="7" s="1"/>
  <c r="X1048" i="7"/>
  <c r="AE1048" i="7"/>
  <c r="AD1048" i="7"/>
  <c r="AH1048" i="7" s="1"/>
  <c r="AB1047" i="7"/>
  <c r="AC1047" i="7" s="1"/>
  <c r="X1047" i="7"/>
  <c r="AD1047" i="7"/>
  <c r="AH1047" i="7" s="1"/>
  <c r="AE1047" i="7"/>
  <c r="AB1046" i="7"/>
  <c r="AC1046" i="7" s="1"/>
  <c r="X1046" i="7"/>
  <c r="AE1046" i="7"/>
  <c r="AD1046" i="7"/>
  <c r="AH1046" i="7" s="1"/>
  <c r="AB1045" i="7"/>
  <c r="AC1045" i="7" s="1"/>
  <c r="X1045" i="7"/>
  <c r="AE1045" i="7"/>
  <c r="AD1045" i="7"/>
  <c r="AH1045" i="7" s="1"/>
  <c r="AB1044" i="7"/>
  <c r="AC1044" i="7" s="1"/>
  <c r="X1044" i="7"/>
  <c r="AE1044" i="7"/>
  <c r="AD1044" i="7"/>
  <c r="AH1044" i="7" s="1"/>
  <c r="AB1043" i="7"/>
  <c r="AC1043" i="7" s="1"/>
  <c r="X1043" i="7"/>
  <c r="AE1043" i="7"/>
  <c r="AD1043" i="7"/>
  <c r="AH1043" i="7" s="1"/>
  <c r="AB1042" i="7"/>
  <c r="AC1042" i="7" s="1"/>
  <c r="X1042" i="7"/>
  <c r="AE1042" i="7"/>
  <c r="AD1042" i="7"/>
  <c r="AH1042" i="7" s="1"/>
  <c r="AB1041" i="7"/>
  <c r="X1041" i="7"/>
  <c r="AC1041" i="7"/>
  <c r="AD1041" i="7"/>
  <c r="AH1041" i="7" s="1"/>
  <c r="AE1041" i="7"/>
  <c r="AB1040" i="7"/>
  <c r="AC1040" i="7" s="1"/>
  <c r="X1040" i="7"/>
  <c r="AE1040" i="7"/>
  <c r="AD1040" i="7"/>
  <c r="AH1040" i="7" s="1"/>
  <c r="AB1039" i="7"/>
  <c r="AC1039" i="7" s="1"/>
  <c r="X1039" i="7"/>
  <c r="AD1039" i="7"/>
  <c r="AH1039" i="7" s="1"/>
  <c r="AE1039" i="7"/>
  <c r="AB1038" i="7"/>
  <c r="AC1038" i="7" s="1"/>
  <c r="X1038" i="7"/>
  <c r="AE1038" i="7"/>
  <c r="AD1038" i="7"/>
  <c r="AH1038" i="7" s="1"/>
  <c r="AB1037" i="7"/>
  <c r="AC1037" i="7" s="1"/>
  <c r="X1037" i="7"/>
  <c r="AE1037" i="7"/>
  <c r="AD1037" i="7"/>
  <c r="AH1037" i="7" s="1"/>
  <c r="X1036" i="7"/>
  <c r="AB1036" i="7"/>
  <c r="AC1036" i="7" s="1"/>
  <c r="AE1036" i="7"/>
  <c r="AD1036" i="7"/>
  <c r="AH1036" i="7" s="1"/>
  <c r="AB1035" i="7"/>
  <c r="AC1035" i="7" s="1"/>
  <c r="X1035" i="7"/>
  <c r="AE1035" i="7"/>
  <c r="AD1035" i="7"/>
  <c r="AH1035" i="7" s="1"/>
  <c r="AB1034" i="7"/>
  <c r="AC1034" i="7" s="1"/>
  <c r="X1034" i="7"/>
  <c r="AE1034" i="7"/>
  <c r="AD1034" i="7"/>
  <c r="AH1034" i="7" s="1"/>
  <c r="AB1033" i="7"/>
  <c r="AC1033" i="7" s="1"/>
  <c r="X1033" i="7"/>
  <c r="AE1033" i="7"/>
  <c r="AD1033" i="7"/>
  <c r="AH1033" i="7" s="1"/>
  <c r="AB1032" i="7"/>
  <c r="AC1032" i="7" s="1"/>
  <c r="X1032" i="7"/>
  <c r="AE1032" i="7"/>
  <c r="AD1032" i="7"/>
  <c r="AH1032" i="7" s="1"/>
  <c r="X1031" i="7"/>
  <c r="AB1031" i="7"/>
  <c r="AC1031" i="7" s="1"/>
  <c r="AE1031" i="7"/>
  <c r="AD1031" i="7"/>
  <c r="AH1031" i="7" s="1"/>
  <c r="AB1030" i="7"/>
  <c r="X1030" i="7"/>
  <c r="AC1030" i="7"/>
  <c r="AD1030" i="7"/>
  <c r="AH1030" i="7" s="1"/>
  <c r="AE1030" i="7"/>
  <c r="AB1029" i="7"/>
  <c r="AC1029" i="7" s="1"/>
  <c r="X1029" i="7"/>
  <c r="AE1029" i="7"/>
  <c r="AD1029" i="7"/>
  <c r="AH1029" i="7" s="1"/>
  <c r="AB1028" i="7"/>
  <c r="AC1028" i="7" s="1"/>
  <c r="X1028" i="7"/>
  <c r="AE1028" i="7"/>
  <c r="AD1028" i="7"/>
  <c r="AH1028" i="7" s="1"/>
  <c r="AB1027" i="7"/>
  <c r="AC1027" i="7" s="1"/>
  <c r="X1027" i="7"/>
  <c r="AE1027" i="7"/>
  <c r="AD1027" i="7"/>
  <c r="AH1027" i="7" s="1"/>
  <c r="AB1026" i="7"/>
  <c r="AC1026" i="7" s="1"/>
  <c r="X1026" i="7"/>
  <c r="AE1026" i="7"/>
  <c r="AD1026" i="7"/>
  <c r="AH1026" i="7" s="1"/>
  <c r="AB1025" i="7"/>
  <c r="AC1025" i="7" s="1"/>
  <c r="X1025" i="7"/>
  <c r="AD1025" i="7"/>
  <c r="AH1025" i="7" s="1"/>
  <c r="AE1025" i="7"/>
  <c r="X1024" i="7"/>
  <c r="AB1024" i="7"/>
  <c r="AC1024" i="7" s="1"/>
  <c r="AE1024" i="7"/>
  <c r="AD1024" i="7"/>
  <c r="AH1024" i="7" s="1"/>
  <c r="AB1023" i="7"/>
  <c r="AC1023" i="7" s="1"/>
  <c r="X1023" i="7"/>
  <c r="AE1023" i="7"/>
  <c r="AD1023" i="7"/>
  <c r="AH1023" i="7" s="1"/>
  <c r="X1022" i="7"/>
  <c r="AB1022" i="7"/>
  <c r="AC1022" i="7" s="1"/>
  <c r="AD1022" i="7"/>
  <c r="AH1022" i="7" s="1"/>
  <c r="AE1022" i="7"/>
  <c r="AB1021" i="7"/>
  <c r="AC1021" i="7" s="1"/>
  <c r="X1021" i="7"/>
  <c r="AE1021" i="7"/>
  <c r="AD1021" i="7"/>
  <c r="AH1021" i="7" s="1"/>
  <c r="AB1020" i="7"/>
  <c r="AC1020" i="7" s="1"/>
  <c r="X1020" i="7"/>
  <c r="AE1020" i="7"/>
  <c r="AD1020" i="7"/>
  <c r="AH1020" i="7" s="1"/>
  <c r="X1019" i="7"/>
  <c r="AB1019" i="7"/>
  <c r="AC1019" i="7" s="1"/>
  <c r="AE1019" i="7"/>
  <c r="AD1019" i="7"/>
  <c r="AH1019" i="7" s="1"/>
  <c r="AB1018" i="7"/>
  <c r="AC1018" i="7" s="1"/>
  <c r="X1018" i="7"/>
  <c r="AE1018" i="7"/>
  <c r="AD1018" i="7"/>
  <c r="AH1018" i="7" s="1"/>
  <c r="X1017" i="7"/>
  <c r="AB1017" i="7"/>
  <c r="AC1017" i="7" s="1"/>
  <c r="AE1017" i="7"/>
  <c r="AD1017" i="7"/>
  <c r="AH1017" i="7" s="1"/>
  <c r="X1016" i="7"/>
  <c r="AB1016" i="7"/>
  <c r="AC1016" i="7" s="1"/>
  <c r="AE1016" i="7"/>
  <c r="AD1016" i="7"/>
  <c r="AH1016" i="7" s="1"/>
  <c r="X1015" i="7"/>
  <c r="AB1015" i="7"/>
  <c r="AC1015" i="7" s="1"/>
  <c r="AE1015" i="7"/>
  <c r="AD1015" i="7"/>
  <c r="AH1015" i="7" s="1"/>
  <c r="X1014" i="7"/>
  <c r="AB1014" i="7"/>
  <c r="AC1014" i="7" s="1"/>
  <c r="AE1014" i="7"/>
  <c r="AD1014" i="7"/>
  <c r="AH1014" i="7" s="1"/>
  <c r="X1013" i="7"/>
  <c r="AB1013" i="7"/>
  <c r="AC1013" i="7" s="1"/>
  <c r="AE1013" i="7"/>
  <c r="AD1013" i="7"/>
  <c r="AH1013" i="7" s="1"/>
  <c r="X1012" i="7"/>
  <c r="AB1012" i="7"/>
  <c r="AC1012" i="7" s="1"/>
  <c r="AE1012" i="7"/>
  <c r="AD1012" i="7"/>
  <c r="AH1012" i="7" s="1"/>
  <c r="X1011" i="7"/>
  <c r="AB1011" i="7"/>
  <c r="AC1011" i="7" s="1"/>
  <c r="AE1011" i="7"/>
  <c r="AD1011" i="7"/>
  <c r="AH1011" i="7" s="1"/>
  <c r="X1010" i="7"/>
  <c r="AB1010" i="7"/>
  <c r="AC1010" i="7" s="1"/>
  <c r="AE1010" i="7"/>
  <c r="AD1010" i="7"/>
  <c r="AH1010" i="7" s="1"/>
  <c r="X1009" i="7"/>
  <c r="AB1009" i="7"/>
  <c r="AC1009" i="7" s="1"/>
  <c r="AE1009" i="7"/>
  <c r="AD1009" i="7"/>
  <c r="AH1009" i="7" s="1"/>
  <c r="X1008" i="7"/>
  <c r="AB1008" i="7"/>
  <c r="AC1008" i="7" s="1"/>
  <c r="AE1008" i="7"/>
  <c r="AD1008" i="7"/>
  <c r="AH1008" i="7" s="1"/>
  <c r="X1007" i="7"/>
  <c r="AB1007" i="7"/>
  <c r="AC1007" i="7" s="1"/>
  <c r="AE1007" i="7"/>
  <c r="AD1007" i="7"/>
  <c r="AH1007" i="7" s="1"/>
  <c r="AB1006" i="7"/>
  <c r="X1006" i="7"/>
  <c r="AC1006" i="7"/>
  <c r="AD1006" i="7"/>
  <c r="AH1006" i="7" s="1"/>
  <c r="AE1006" i="7"/>
  <c r="AB1005" i="7"/>
  <c r="AC1005" i="7" s="1"/>
  <c r="X1005" i="7"/>
  <c r="AE1005" i="7"/>
  <c r="AD1005" i="7"/>
  <c r="AH1005" i="7" s="1"/>
  <c r="X1004" i="7"/>
  <c r="AB1004" i="7"/>
  <c r="AC1004" i="7" s="1"/>
  <c r="AE1004" i="7"/>
  <c r="AD1004" i="7"/>
  <c r="AH1004" i="7" s="1"/>
  <c r="AB1003" i="7"/>
  <c r="AC1003" i="7" s="1"/>
  <c r="X1003" i="7"/>
  <c r="AE1003" i="7"/>
  <c r="AD1003" i="7"/>
  <c r="AH1003" i="7" s="1"/>
  <c r="AB1002" i="7"/>
  <c r="AC1002" i="7" s="1"/>
  <c r="X1002" i="7"/>
  <c r="AD1002" i="7"/>
  <c r="AH1002" i="7" s="1"/>
  <c r="AE1002" i="7"/>
  <c r="AB1001" i="7"/>
  <c r="AC1001" i="7" s="1"/>
  <c r="X1001" i="7"/>
  <c r="AE1001" i="7"/>
  <c r="AD1001" i="7"/>
  <c r="AH1001" i="7" s="1"/>
  <c r="X1000" i="7"/>
  <c r="AB1000" i="7"/>
  <c r="AC1000" i="7" s="1"/>
  <c r="AE1000" i="7"/>
  <c r="AD1000" i="7"/>
  <c r="AH1000" i="7" s="1"/>
  <c r="X999" i="7"/>
  <c r="AB999" i="7"/>
  <c r="AC999" i="7" s="1"/>
  <c r="AE999" i="7"/>
  <c r="AD999" i="7"/>
  <c r="AH999" i="7" s="1"/>
  <c r="X998" i="7"/>
  <c r="AB998" i="7"/>
  <c r="AC998" i="7" s="1"/>
  <c r="AE998" i="7"/>
  <c r="AD998" i="7"/>
  <c r="AH998" i="7" s="1"/>
  <c r="X997" i="7"/>
  <c r="AB997" i="7"/>
  <c r="AC997" i="7" s="1"/>
  <c r="AE997" i="7"/>
  <c r="AD997" i="7"/>
  <c r="AH997" i="7" s="1"/>
  <c r="X996" i="7"/>
  <c r="AB996" i="7"/>
  <c r="AC996" i="7" s="1"/>
  <c r="AE996" i="7"/>
  <c r="AD996" i="7"/>
  <c r="AH996" i="7" s="1"/>
  <c r="X995" i="7"/>
  <c r="AB995" i="7"/>
  <c r="AC995" i="7" s="1"/>
  <c r="AE995" i="7"/>
  <c r="AD995" i="7"/>
  <c r="AH995" i="7" s="1"/>
  <c r="AB994" i="7"/>
  <c r="AC994" i="7" s="1"/>
  <c r="X994" i="7"/>
  <c r="AE994" i="7"/>
  <c r="AD994" i="7"/>
  <c r="AH994" i="7" s="1"/>
  <c r="AB993" i="7"/>
  <c r="AC993" i="7"/>
  <c r="X993" i="7"/>
  <c r="AE993" i="7"/>
  <c r="AD993" i="7"/>
  <c r="AH993" i="7" s="1"/>
  <c r="AB992" i="7"/>
  <c r="AC992" i="7" s="1"/>
  <c r="X992" i="7"/>
  <c r="AE992" i="7"/>
  <c r="AD992" i="7"/>
  <c r="AH992" i="7" s="1"/>
  <c r="X991" i="7"/>
  <c r="AB991" i="7"/>
  <c r="AC991" i="7" s="1"/>
  <c r="AE991" i="7"/>
  <c r="AD991" i="7"/>
  <c r="AH991" i="7" s="1"/>
  <c r="X990" i="7"/>
  <c r="AB990" i="7"/>
  <c r="AC990" i="7" s="1"/>
  <c r="AE990" i="7"/>
  <c r="AD990" i="7"/>
  <c r="AH990" i="7" s="1"/>
  <c r="X989" i="7"/>
  <c r="AB989" i="7"/>
  <c r="AC989" i="7" s="1"/>
  <c r="AE989" i="7"/>
  <c r="AD989" i="7"/>
  <c r="AH989" i="7" s="1"/>
  <c r="X988" i="7"/>
  <c r="AB988" i="7"/>
  <c r="AC988" i="7" s="1"/>
  <c r="AE988" i="7"/>
  <c r="AD988" i="7"/>
  <c r="AH988" i="7" s="1"/>
  <c r="X987" i="7"/>
  <c r="AB987" i="7"/>
  <c r="AC987" i="7" s="1"/>
  <c r="AE987" i="7"/>
  <c r="AD987" i="7"/>
  <c r="AH987" i="7" s="1"/>
  <c r="AB986" i="7"/>
  <c r="AC986" i="7" s="1"/>
  <c r="X986" i="7"/>
  <c r="AE986" i="7"/>
  <c r="AD986" i="7"/>
  <c r="AH986" i="7" s="1"/>
  <c r="AB985" i="7"/>
  <c r="AC985" i="7" s="1"/>
  <c r="X985" i="7"/>
  <c r="AD985" i="7"/>
  <c r="AH985" i="7" s="1"/>
  <c r="AE985" i="7"/>
  <c r="AB984" i="7"/>
  <c r="AC984" i="7" s="1"/>
  <c r="X984" i="7"/>
  <c r="AE984" i="7"/>
  <c r="AD984" i="7"/>
  <c r="AH984" i="7" s="1"/>
  <c r="AB983" i="7"/>
  <c r="AC983" i="7" s="1"/>
  <c r="X983" i="7"/>
  <c r="AE983" i="7"/>
  <c r="AD983" i="7"/>
  <c r="AH983" i="7" s="1"/>
  <c r="X982" i="7"/>
  <c r="AB982" i="7"/>
  <c r="AC982" i="7" s="1"/>
  <c r="AE982" i="7"/>
  <c r="AD982" i="7"/>
  <c r="AH982" i="7" s="1"/>
  <c r="X981" i="7"/>
  <c r="AB981" i="7"/>
  <c r="AC981" i="7" s="1"/>
  <c r="AE981" i="7"/>
  <c r="AD981" i="7"/>
  <c r="AH981" i="7" s="1"/>
  <c r="AB980" i="7"/>
  <c r="AC980" i="7" s="1"/>
  <c r="X980" i="7"/>
  <c r="AE980" i="7"/>
  <c r="AD980" i="7"/>
  <c r="AH980" i="7" s="1"/>
  <c r="AB979" i="7"/>
  <c r="AC979" i="7" s="1"/>
  <c r="X979" i="7"/>
  <c r="AE979" i="7"/>
  <c r="AD979" i="7"/>
  <c r="AH979" i="7" s="1"/>
  <c r="AB978" i="7"/>
  <c r="AC978" i="7" s="1"/>
  <c r="X978" i="7"/>
  <c r="AE978" i="7"/>
  <c r="AD978" i="7"/>
  <c r="AH978" i="7" s="1"/>
  <c r="AB977" i="7"/>
  <c r="AC977" i="7" s="1"/>
  <c r="X977" i="7"/>
  <c r="AE977" i="7"/>
  <c r="AD977" i="7"/>
  <c r="AH977" i="7" s="1"/>
  <c r="AB976" i="7"/>
  <c r="X976" i="7"/>
  <c r="AC976" i="7"/>
  <c r="AD976" i="7"/>
  <c r="AH976" i="7" s="1"/>
  <c r="AE976" i="7"/>
  <c r="AB975" i="7"/>
  <c r="AC975" i="7" s="1"/>
  <c r="X975" i="7"/>
  <c r="AE975" i="7"/>
  <c r="AD975" i="7"/>
  <c r="AH975" i="7" s="1"/>
  <c r="AB974" i="7"/>
  <c r="AC974" i="7" s="1"/>
  <c r="X974" i="7"/>
  <c r="AE974" i="7"/>
  <c r="AD974" i="7"/>
  <c r="AH974" i="7" s="1"/>
  <c r="X973" i="7"/>
  <c r="AB973" i="7"/>
  <c r="AC973" i="7" s="1"/>
  <c r="AE973" i="7"/>
  <c r="AD973" i="7"/>
  <c r="AH973" i="7" s="1"/>
  <c r="AB972" i="7"/>
  <c r="X972" i="7"/>
  <c r="AC972" i="7"/>
  <c r="AD972" i="7"/>
  <c r="AH972" i="7" s="1"/>
  <c r="AE972" i="7"/>
  <c r="AB971" i="7"/>
  <c r="AC971" i="7" s="1"/>
  <c r="X971" i="7"/>
  <c r="AE971" i="7"/>
  <c r="AD971" i="7"/>
  <c r="AH971" i="7" s="1"/>
  <c r="AB970" i="7"/>
  <c r="X970" i="7"/>
  <c r="AC970" i="7"/>
  <c r="AD970" i="7"/>
  <c r="AH970" i="7" s="1"/>
  <c r="AE970" i="7"/>
  <c r="AB969" i="7"/>
  <c r="AC969" i="7" s="1"/>
  <c r="X969" i="7"/>
  <c r="AE969" i="7"/>
  <c r="AD969" i="7"/>
  <c r="AH969" i="7" s="1"/>
  <c r="X968" i="7"/>
  <c r="AB968" i="7"/>
  <c r="AC968" i="7" s="1"/>
  <c r="AE968" i="7"/>
  <c r="AD968" i="7"/>
  <c r="AH968" i="7" s="1"/>
  <c r="X967" i="7"/>
  <c r="AB967" i="7"/>
  <c r="AC967" i="7" s="1"/>
  <c r="AD967" i="7"/>
  <c r="AH967" i="7" s="1"/>
  <c r="AE967" i="7"/>
  <c r="AB966" i="7"/>
  <c r="AC966" i="7" s="1"/>
  <c r="X966" i="7"/>
  <c r="AE966" i="7"/>
  <c r="AD966" i="7"/>
  <c r="AH966" i="7" s="1"/>
  <c r="AB965" i="7"/>
  <c r="AC965" i="7" s="1"/>
  <c r="X965" i="7"/>
  <c r="AE965" i="7"/>
  <c r="AD965" i="7"/>
  <c r="AH965" i="7" s="1"/>
  <c r="AB964" i="7"/>
  <c r="AC964" i="7" s="1"/>
  <c r="X964" i="7"/>
  <c r="AE964" i="7"/>
  <c r="AD964" i="7"/>
  <c r="AH964" i="7" s="1"/>
  <c r="X963" i="7"/>
  <c r="AB963" i="7"/>
  <c r="AC963" i="7" s="1"/>
  <c r="AD963" i="7"/>
  <c r="AH963" i="7" s="1"/>
  <c r="AE963" i="7"/>
  <c r="AB962" i="7"/>
  <c r="AC962" i="7" s="1"/>
  <c r="X962" i="7"/>
  <c r="AE962" i="7"/>
  <c r="AD962" i="7"/>
  <c r="AH962" i="7" s="1"/>
  <c r="X961" i="7"/>
  <c r="AB961" i="7"/>
  <c r="AC961" i="7" s="1"/>
  <c r="AD961" i="7"/>
  <c r="AH961" i="7" s="1"/>
  <c r="AE961" i="7"/>
  <c r="X960" i="7"/>
  <c r="AB960" i="7"/>
  <c r="AC960" i="7"/>
  <c r="AD960" i="7"/>
  <c r="AH960" i="7" s="1"/>
  <c r="AE960" i="7"/>
  <c r="AB959" i="7"/>
  <c r="X959" i="7"/>
  <c r="AC959" i="7"/>
  <c r="AD959" i="7"/>
  <c r="AH959" i="7" s="1"/>
  <c r="AE959" i="7"/>
  <c r="AB958" i="7"/>
  <c r="AC958" i="7" s="1"/>
  <c r="X958" i="7"/>
  <c r="AE958" i="7"/>
  <c r="AD958" i="7"/>
  <c r="AH958" i="7" s="1"/>
  <c r="AB957" i="7"/>
  <c r="AC957" i="7" s="1"/>
  <c r="X957" i="7"/>
  <c r="AE957" i="7"/>
  <c r="AD957" i="7"/>
  <c r="AH957" i="7" s="1"/>
  <c r="X956" i="7"/>
  <c r="AB956" i="7"/>
  <c r="AC956" i="7" s="1"/>
  <c r="AE956" i="7"/>
  <c r="AD956" i="7"/>
  <c r="AH956" i="7" s="1"/>
  <c r="X955" i="7"/>
  <c r="AB955" i="7"/>
  <c r="AC955" i="7" s="1"/>
  <c r="AE955" i="7"/>
  <c r="AD955" i="7"/>
  <c r="AH955" i="7" s="1"/>
  <c r="X954" i="7"/>
  <c r="AB954" i="7"/>
  <c r="AC954" i="7" s="1"/>
  <c r="AE954" i="7"/>
  <c r="AD954" i="7"/>
  <c r="AH954" i="7" s="1"/>
  <c r="AB953" i="7"/>
  <c r="AC953" i="7" s="1"/>
  <c r="X953" i="7"/>
  <c r="AE953" i="7"/>
  <c r="AD953" i="7"/>
  <c r="AH953" i="7" s="1"/>
  <c r="AB952" i="7"/>
  <c r="AC952" i="7" s="1"/>
  <c r="X952" i="7"/>
  <c r="AE952" i="7"/>
  <c r="AD952" i="7"/>
  <c r="AH952" i="7" s="1"/>
  <c r="X951" i="7"/>
  <c r="AB951" i="7"/>
  <c r="AC951" i="7" s="1"/>
  <c r="AE951" i="7"/>
  <c r="AD951" i="7"/>
  <c r="AH951" i="7" s="1"/>
  <c r="AB950" i="7"/>
  <c r="AC950" i="7"/>
  <c r="X950" i="7"/>
  <c r="AD950" i="7"/>
  <c r="AH950" i="7" s="1"/>
  <c r="AE950" i="7"/>
  <c r="AB949" i="7"/>
  <c r="X949" i="7"/>
  <c r="AC949" i="7"/>
  <c r="AE949" i="7"/>
  <c r="AD949" i="7"/>
  <c r="AH949" i="7" s="1"/>
  <c r="X948" i="7"/>
  <c r="AB948" i="7"/>
  <c r="AC948" i="7" s="1"/>
  <c r="AE948" i="7"/>
  <c r="AD948" i="7"/>
  <c r="AH948" i="7" s="1"/>
  <c r="AB947" i="7"/>
  <c r="AC947" i="7" s="1"/>
  <c r="X947" i="7"/>
  <c r="AE947" i="7"/>
  <c r="AD947" i="7"/>
  <c r="AH947" i="7" s="1"/>
  <c r="AB946" i="7"/>
  <c r="AC946" i="7" s="1"/>
  <c r="X946" i="7"/>
  <c r="AE946" i="7"/>
  <c r="AD946" i="7"/>
  <c r="AH946" i="7" s="1"/>
  <c r="AB945" i="7"/>
  <c r="AC945" i="7" s="1"/>
  <c r="X945" i="7"/>
  <c r="AE945" i="7"/>
  <c r="AD945" i="7"/>
  <c r="AH945" i="7" s="1"/>
  <c r="X944" i="7"/>
  <c r="AB944" i="7"/>
  <c r="AC944" i="7" s="1"/>
  <c r="AE944" i="7"/>
  <c r="AD944" i="7"/>
  <c r="AH944" i="7" s="1"/>
  <c r="X943" i="7"/>
  <c r="AB943" i="7"/>
  <c r="AC943" i="7" s="1"/>
  <c r="AE943" i="7"/>
  <c r="AD943" i="7"/>
  <c r="AH943" i="7" s="1"/>
  <c r="X942" i="7"/>
  <c r="AB942" i="7"/>
  <c r="AC942" i="7" s="1"/>
  <c r="AD942" i="7"/>
  <c r="AH942" i="7" s="1"/>
  <c r="AE942" i="7"/>
  <c r="X941" i="7"/>
  <c r="AB941" i="7"/>
  <c r="AC941" i="7"/>
  <c r="AE941" i="7"/>
  <c r="AD941" i="7"/>
  <c r="AH941" i="7" s="1"/>
  <c r="AB940" i="7"/>
  <c r="AC940" i="7" s="1"/>
  <c r="X940" i="7"/>
  <c r="AE940" i="7"/>
  <c r="AD940" i="7"/>
  <c r="AH940" i="7" s="1"/>
  <c r="AB939" i="7"/>
  <c r="AC939" i="7"/>
  <c r="X939" i="7"/>
  <c r="AE939" i="7"/>
  <c r="AD939" i="7"/>
  <c r="AH939" i="7" s="1"/>
  <c r="AB938" i="7"/>
  <c r="AC938" i="7" s="1"/>
  <c r="X938" i="7"/>
  <c r="AE938" i="7"/>
  <c r="AD938" i="7"/>
  <c r="AH938" i="7" s="1"/>
  <c r="AB937" i="7"/>
  <c r="AC937" i="7" s="1"/>
  <c r="X937" i="7"/>
  <c r="AE937" i="7"/>
  <c r="AD937" i="7"/>
  <c r="AH937" i="7" s="1"/>
  <c r="AB936" i="7"/>
  <c r="AC936" i="7" s="1"/>
  <c r="X936" i="7"/>
  <c r="AE936" i="7"/>
  <c r="AD936" i="7"/>
  <c r="AH936" i="7" s="1"/>
  <c r="AB935" i="7"/>
  <c r="AC935" i="7" s="1"/>
  <c r="X935" i="7"/>
  <c r="AE935" i="7"/>
  <c r="AD935" i="7"/>
  <c r="AH935" i="7" s="1"/>
  <c r="X934" i="7"/>
  <c r="AB934" i="7"/>
  <c r="AC934" i="7" s="1"/>
  <c r="AE934" i="7"/>
  <c r="AD934" i="7"/>
  <c r="AH934" i="7" s="1"/>
  <c r="X933" i="7"/>
  <c r="AB933" i="7"/>
  <c r="AC933" i="7" s="1"/>
  <c r="AE933" i="7"/>
  <c r="AD933" i="7"/>
  <c r="AH933" i="7" s="1"/>
  <c r="AB932" i="7"/>
  <c r="AC932" i="7" s="1"/>
  <c r="X932" i="7"/>
  <c r="AE932" i="7"/>
  <c r="AD932" i="7"/>
  <c r="AH932" i="7" s="1"/>
  <c r="X931" i="7"/>
  <c r="AB931" i="7"/>
  <c r="AC931" i="7"/>
  <c r="AD931" i="7"/>
  <c r="AH931" i="7" s="1"/>
  <c r="AE931" i="7"/>
  <c r="AB930" i="7"/>
  <c r="X930" i="7"/>
  <c r="AC930" i="7"/>
  <c r="AE930" i="7"/>
  <c r="AD930" i="7"/>
  <c r="AH930" i="7" s="1"/>
  <c r="AB929" i="7"/>
  <c r="AC929" i="7" s="1"/>
  <c r="X929" i="7"/>
  <c r="AD929" i="7"/>
  <c r="AH929" i="7" s="1"/>
  <c r="AE929" i="7"/>
  <c r="AB928" i="7"/>
  <c r="AC928" i="7" s="1"/>
  <c r="X928" i="7"/>
  <c r="AD928" i="7"/>
  <c r="AH928" i="7" s="1"/>
  <c r="AE928" i="7"/>
  <c r="AB927" i="7"/>
  <c r="AC927" i="7" s="1"/>
  <c r="X927" i="7"/>
  <c r="AE927" i="7"/>
  <c r="AD927" i="7"/>
  <c r="AH927" i="7" s="1"/>
  <c r="X926" i="7"/>
  <c r="AB926" i="7"/>
  <c r="AC926" i="7"/>
  <c r="AD926" i="7"/>
  <c r="AH926" i="7" s="1"/>
  <c r="AE926" i="7"/>
  <c r="X925" i="7"/>
  <c r="AB925" i="7"/>
  <c r="AC925" i="7" s="1"/>
  <c r="AE925" i="7"/>
  <c r="AD925" i="7"/>
  <c r="AH925" i="7" s="1"/>
  <c r="AB924" i="7"/>
  <c r="AC924" i="7" s="1"/>
  <c r="X924" i="7"/>
  <c r="AE924" i="7"/>
  <c r="AD924" i="7"/>
  <c r="AH924" i="7" s="1"/>
  <c r="AB923" i="7"/>
  <c r="X923" i="7"/>
  <c r="AC923" i="7"/>
  <c r="AE923" i="7"/>
  <c r="AD923" i="7"/>
  <c r="AH923" i="7" s="1"/>
  <c r="AB922" i="7"/>
  <c r="AC922" i="7" s="1"/>
  <c r="X922" i="7"/>
  <c r="AE922" i="7"/>
  <c r="AD922" i="7"/>
  <c r="AH922" i="7" s="1"/>
  <c r="AB921" i="7"/>
  <c r="AC921" i="7" s="1"/>
  <c r="X921" i="7"/>
  <c r="AE921" i="7"/>
  <c r="AD921" i="7"/>
  <c r="AH921" i="7" s="1"/>
  <c r="X920" i="7"/>
  <c r="AB920" i="7"/>
  <c r="AC920" i="7"/>
  <c r="AD920" i="7"/>
  <c r="AH920" i="7" s="1"/>
  <c r="AE920" i="7"/>
  <c r="AB919" i="7"/>
  <c r="AC919" i="7" s="1"/>
  <c r="X919" i="7"/>
  <c r="AD919" i="7"/>
  <c r="AH919" i="7" s="1"/>
  <c r="AE919" i="7"/>
  <c r="AB918" i="7"/>
  <c r="AC918" i="7" s="1"/>
  <c r="X918" i="7"/>
  <c r="AD918" i="7"/>
  <c r="AH918" i="7" s="1"/>
  <c r="AE918" i="7"/>
  <c r="AB917" i="7"/>
  <c r="AC917" i="7" s="1"/>
  <c r="X917" i="7"/>
  <c r="AD917" i="7"/>
  <c r="AH917" i="7" s="1"/>
  <c r="AE917" i="7"/>
  <c r="AB916" i="7"/>
  <c r="AC916" i="7" s="1"/>
  <c r="X916" i="7"/>
  <c r="AE916" i="7"/>
  <c r="AD916" i="7"/>
  <c r="AH916" i="7" s="1"/>
  <c r="X915" i="7"/>
  <c r="AB915" i="7"/>
  <c r="AC915" i="7" s="1"/>
  <c r="AD915" i="7"/>
  <c r="AH915" i="7" s="1"/>
  <c r="AE915" i="7"/>
  <c r="AB914" i="7"/>
  <c r="AC914" i="7" s="1"/>
  <c r="X914" i="7"/>
  <c r="AD914" i="7"/>
  <c r="AH914" i="7" s="1"/>
  <c r="AE914" i="7"/>
  <c r="AB913" i="7"/>
  <c r="AC913" i="7" s="1"/>
  <c r="X913" i="7"/>
  <c r="AE913" i="7"/>
  <c r="AD913" i="7"/>
  <c r="AH913" i="7" s="1"/>
  <c r="X912" i="7"/>
  <c r="AB912" i="7"/>
  <c r="AC912" i="7"/>
  <c r="AE912" i="7"/>
  <c r="AD912" i="7"/>
  <c r="AH912" i="7" s="1"/>
  <c r="AB911" i="7"/>
  <c r="X911" i="7"/>
  <c r="AB910" i="7"/>
  <c r="AC910" i="7" s="1"/>
  <c r="X910" i="7"/>
  <c r="AD910" i="7"/>
  <c r="AH910" i="7" s="1"/>
  <c r="AE910" i="7"/>
  <c r="X909" i="7"/>
  <c r="AB909" i="7"/>
  <c r="AC909" i="7" s="1"/>
  <c r="AE909" i="7"/>
  <c r="AD909" i="7"/>
  <c r="AH909" i="7" s="1"/>
  <c r="AB908" i="7"/>
  <c r="AC908" i="7" s="1"/>
  <c r="X908" i="7"/>
  <c r="AE908" i="7"/>
  <c r="AD908" i="7"/>
  <c r="AH908" i="7" s="1"/>
  <c r="AB907" i="7"/>
  <c r="AC907" i="7" s="1"/>
  <c r="X907" i="7"/>
  <c r="AE907" i="7"/>
  <c r="AD907" i="7"/>
  <c r="AH907" i="7" s="1"/>
  <c r="X906" i="7"/>
  <c r="AB906" i="7"/>
  <c r="AC906" i="7" s="1"/>
  <c r="AE906" i="7"/>
  <c r="AD906" i="7"/>
  <c r="AH906" i="7" s="1"/>
  <c r="AB905" i="7"/>
  <c r="AC905" i="7" s="1"/>
  <c r="X905" i="7"/>
  <c r="AE905" i="7"/>
  <c r="AD905" i="7"/>
  <c r="AH905" i="7" s="1"/>
  <c r="X904" i="7"/>
  <c r="AB904" i="7"/>
  <c r="AC904" i="7" s="1"/>
  <c r="AE904" i="7"/>
  <c r="AD904" i="7"/>
  <c r="AH904" i="7" s="1"/>
  <c r="X903" i="7"/>
  <c r="AB903" i="7"/>
  <c r="AC903" i="7"/>
  <c r="AD903" i="7"/>
  <c r="AH903" i="7" s="1"/>
  <c r="AE903" i="7"/>
  <c r="X902" i="7"/>
  <c r="AB902" i="7"/>
  <c r="AC902" i="7" s="1"/>
  <c r="AE902" i="7"/>
  <c r="AD902" i="7"/>
  <c r="AH902" i="7" s="1"/>
  <c r="AB901" i="7"/>
  <c r="AC901" i="7" s="1"/>
  <c r="X901" i="7"/>
  <c r="AE901" i="7"/>
  <c r="AD901" i="7"/>
  <c r="AH901" i="7" s="1"/>
  <c r="X900" i="7"/>
  <c r="AB900" i="7"/>
  <c r="AC900" i="7" s="1"/>
  <c r="AE900" i="7"/>
  <c r="AD900" i="7"/>
  <c r="AH900" i="7" s="1"/>
  <c r="AB899" i="7"/>
  <c r="AC899" i="7" s="1"/>
  <c r="X899" i="7"/>
  <c r="AE899" i="7"/>
  <c r="AD899" i="7"/>
  <c r="AH899" i="7" s="1"/>
  <c r="AB898" i="7"/>
  <c r="AC898" i="7" s="1"/>
  <c r="X898" i="7"/>
  <c r="AE898" i="7"/>
  <c r="AD898" i="7"/>
  <c r="AH898" i="7" s="1"/>
  <c r="AB897" i="7"/>
  <c r="AC897" i="7" s="1"/>
  <c r="X897" i="7"/>
  <c r="AE897" i="7"/>
  <c r="AD897" i="7"/>
  <c r="AH897" i="7" s="1"/>
  <c r="X896" i="7"/>
  <c r="AB896" i="7"/>
  <c r="AC896" i="7" s="1"/>
  <c r="AE896" i="7"/>
  <c r="AD896" i="7"/>
  <c r="AH896" i="7" s="1"/>
  <c r="X895" i="7"/>
  <c r="AB895" i="7"/>
  <c r="AC895" i="7"/>
  <c r="AD895" i="7"/>
  <c r="AH895" i="7" s="1"/>
  <c r="AE895" i="7"/>
  <c r="X894" i="7"/>
  <c r="AB894" i="7"/>
  <c r="AC894" i="7" s="1"/>
  <c r="AD894" i="7"/>
  <c r="AH894" i="7" s="1"/>
  <c r="AE894" i="7"/>
  <c r="AB893" i="7"/>
  <c r="AC893" i="7" s="1"/>
  <c r="X893" i="7"/>
  <c r="AE893" i="7"/>
  <c r="AD893" i="7"/>
  <c r="AH893" i="7" s="1"/>
  <c r="X892" i="7"/>
  <c r="AB892" i="7"/>
  <c r="AC892" i="7" s="1"/>
  <c r="AE892" i="7"/>
  <c r="AD892" i="7"/>
  <c r="AH892" i="7" s="1"/>
  <c r="X891" i="7"/>
  <c r="AB891" i="7"/>
  <c r="AC891" i="7"/>
  <c r="AD891" i="7"/>
  <c r="AH891" i="7" s="1"/>
  <c r="AE891" i="7"/>
  <c r="X890" i="7"/>
  <c r="AB890" i="7"/>
  <c r="AC890" i="7" s="1"/>
  <c r="AE890" i="7"/>
  <c r="AD890" i="7"/>
  <c r="AH890" i="7" s="1"/>
  <c r="AB889" i="7"/>
  <c r="AC889" i="7" s="1"/>
  <c r="X889" i="7"/>
  <c r="AE889" i="7"/>
  <c r="AD889" i="7"/>
  <c r="AH889" i="7" s="1"/>
  <c r="X888" i="7"/>
  <c r="AB888" i="7"/>
  <c r="AC888" i="7" s="1"/>
  <c r="AE888" i="7"/>
  <c r="AD888" i="7"/>
  <c r="AH888" i="7" s="1"/>
  <c r="AB887" i="7"/>
  <c r="AC887" i="7" s="1"/>
  <c r="X887" i="7"/>
  <c r="AE887" i="7"/>
  <c r="AD887" i="7"/>
  <c r="AH887" i="7" s="1"/>
  <c r="AB886" i="7"/>
  <c r="AC886" i="7" s="1"/>
  <c r="X886" i="7"/>
  <c r="AE886" i="7"/>
  <c r="AD886" i="7"/>
  <c r="AH886" i="7" s="1"/>
  <c r="AB885" i="7"/>
  <c r="AC885" i="7" s="1"/>
  <c r="X885" i="7"/>
  <c r="AE885" i="7"/>
  <c r="AD885" i="7"/>
  <c r="AH885" i="7" s="1"/>
  <c r="X884" i="7"/>
  <c r="AB884" i="7"/>
  <c r="AC884" i="7" s="1"/>
  <c r="AD884" i="7"/>
  <c r="AH884" i="7" s="1"/>
  <c r="AE884" i="7"/>
  <c r="AB883" i="7"/>
  <c r="AC883" i="7" s="1"/>
  <c r="X883" i="7"/>
  <c r="AE883" i="7"/>
  <c r="AD883" i="7"/>
  <c r="AH883" i="7" s="1"/>
  <c r="X882" i="7"/>
  <c r="AB882" i="7"/>
  <c r="AC882" i="7"/>
  <c r="AD882" i="7"/>
  <c r="AH882" i="7" s="1"/>
  <c r="AE882" i="7"/>
  <c r="X881" i="7"/>
  <c r="AB881" i="7"/>
  <c r="AC881" i="7" s="1"/>
  <c r="AE881" i="7"/>
  <c r="AD881" i="7"/>
  <c r="AH881" i="7" s="1"/>
  <c r="AB880" i="7"/>
  <c r="AC880" i="7" s="1"/>
  <c r="X880" i="7"/>
  <c r="AE880" i="7"/>
  <c r="AD880" i="7"/>
  <c r="AH880" i="7" s="1"/>
  <c r="X879" i="7"/>
  <c r="AB879" i="7"/>
  <c r="AC879" i="7" s="1"/>
  <c r="AE879" i="7"/>
  <c r="AD879" i="7"/>
  <c r="AH879" i="7" s="1"/>
  <c r="AB878" i="7"/>
  <c r="AC878" i="7" s="1"/>
  <c r="X878" i="7"/>
  <c r="AE878" i="7"/>
  <c r="AD878" i="7"/>
  <c r="AH878" i="7" s="1"/>
  <c r="X877" i="7"/>
  <c r="AB877" i="7"/>
  <c r="AC877" i="7" s="1"/>
  <c r="AE877" i="7"/>
  <c r="AD877" i="7"/>
  <c r="AH877" i="7" s="1"/>
  <c r="AB876" i="7"/>
  <c r="AC876" i="7" s="1"/>
  <c r="X876" i="7"/>
  <c r="AE876" i="7"/>
  <c r="AD876" i="7"/>
  <c r="AH876" i="7" s="1"/>
  <c r="AB875" i="7"/>
  <c r="AC875" i="7" s="1"/>
  <c r="X875" i="7"/>
  <c r="AE875" i="7"/>
  <c r="AD875" i="7"/>
  <c r="AH875" i="7" s="1"/>
  <c r="X874" i="7"/>
  <c r="AB874" i="7"/>
  <c r="AC874" i="7"/>
  <c r="AD874" i="7"/>
  <c r="AH874" i="7" s="1"/>
  <c r="AE874" i="7"/>
  <c r="X873" i="7"/>
  <c r="AB873" i="7"/>
  <c r="AC873" i="7" s="1"/>
  <c r="AD873" i="7"/>
  <c r="AH873" i="7" s="1"/>
  <c r="AE873" i="7"/>
  <c r="X872" i="7"/>
  <c r="AB872" i="7"/>
  <c r="AC872" i="7"/>
  <c r="AD872" i="7"/>
  <c r="AH872" i="7" s="1"/>
  <c r="AE872" i="7"/>
  <c r="AB871" i="7"/>
  <c r="AC871" i="7"/>
  <c r="X871" i="7"/>
  <c r="AE871" i="7"/>
  <c r="AD871" i="7"/>
  <c r="AH871" i="7" s="1"/>
  <c r="X870" i="7"/>
  <c r="AB870" i="7"/>
  <c r="AC870" i="7"/>
  <c r="AE870" i="7"/>
  <c r="AD870" i="7"/>
  <c r="AH870" i="7" s="1"/>
  <c r="X869" i="7"/>
  <c r="AB869" i="7"/>
  <c r="AC869" i="7" s="1"/>
  <c r="AE869" i="7"/>
  <c r="AD869" i="7"/>
  <c r="AH869" i="7" s="1"/>
  <c r="X868" i="7"/>
  <c r="AB868" i="7"/>
  <c r="AC868" i="7"/>
  <c r="AD868" i="7"/>
  <c r="AH868" i="7" s="1"/>
  <c r="AE868" i="7"/>
  <c r="X867" i="7"/>
  <c r="AB867" i="7"/>
  <c r="AC867" i="7" s="1"/>
  <c r="AE867" i="7"/>
  <c r="AD867" i="7"/>
  <c r="AH867" i="7" s="1"/>
  <c r="AB866" i="7"/>
  <c r="AC866" i="7" s="1"/>
  <c r="X866" i="7"/>
  <c r="AE866" i="7"/>
  <c r="AD866" i="7"/>
  <c r="AH866" i="7" s="1"/>
  <c r="X865" i="7"/>
  <c r="AB865" i="7"/>
  <c r="AC865" i="7" s="1"/>
  <c r="AE865" i="7"/>
  <c r="AD865" i="7"/>
  <c r="AH865" i="7" s="1"/>
  <c r="AB864" i="7"/>
  <c r="AC864" i="7" s="1"/>
  <c r="X864" i="7"/>
  <c r="AE864" i="7"/>
  <c r="AD864" i="7"/>
  <c r="AH864" i="7" s="1"/>
  <c r="X863" i="7"/>
  <c r="AB863" i="7"/>
  <c r="AC863" i="7" s="1"/>
  <c r="AE863" i="7"/>
  <c r="AD863" i="7"/>
  <c r="AH863" i="7" s="1"/>
  <c r="AB862" i="7"/>
  <c r="AC862" i="7" s="1"/>
  <c r="X862" i="7"/>
  <c r="AE862" i="7"/>
  <c r="AD862" i="7"/>
  <c r="AH862" i="7" s="1"/>
  <c r="AB861" i="7"/>
  <c r="AC861" i="7"/>
  <c r="X861" i="7"/>
  <c r="AD861" i="7"/>
  <c r="AH861" i="7" s="1"/>
  <c r="AE861" i="7"/>
  <c r="AB860" i="7"/>
  <c r="AC860" i="7" s="1"/>
  <c r="X860" i="7"/>
  <c r="AE860" i="7"/>
  <c r="AD860" i="7"/>
  <c r="AH860" i="7" s="1"/>
  <c r="X859" i="7"/>
  <c r="AB859" i="7"/>
  <c r="AC859" i="7" s="1"/>
  <c r="AE859" i="7"/>
  <c r="AD859" i="7"/>
  <c r="AH859" i="7" s="1"/>
  <c r="AB858" i="7"/>
  <c r="AC858" i="7" s="1"/>
  <c r="X858" i="7"/>
  <c r="AE858" i="7"/>
  <c r="AD858" i="7"/>
  <c r="AH858" i="7" s="1"/>
  <c r="AB857" i="7"/>
  <c r="AC857" i="7" s="1"/>
  <c r="X857" i="7"/>
  <c r="AE857" i="7"/>
  <c r="AD857" i="7"/>
  <c r="AH857" i="7" s="1"/>
  <c r="AB856" i="7"/>
  <c r="AC856" i="7" s="1"/>
  <c r="X856" i="7"/>
  <c r="AE856" i="7"/>
  <c r="AD856" i="7"/>
  <c r="AH856" i="7" s="1"/>
  <c r="AB855" i="7"/>
  <c r="AC855" i="7" s="1"/>
  <c r="X855" i="7"/>
  <c r="AE855" i="7"/>
  <c r="AD855" i="7"/>
  <c r="AH855" i="7" s="1"/>
  <c r="AB854" i="7"/>
  <c r="AC854" i="7"/>
  <c r="X854" i="7"/>
  <c r="AD854" i="7"/>
  <c r="AH854" i="7" s="1"/>
  <c r="AE854" i="7"/>
  <c r="X853" i="7"/>
  <c r="AB853" i="7"/>
  <c r="AC853" i="7" s="1"/>
  <c r="AE853" i="7"/>
  <c r="AD853" i="7"/>
  <c r="AH853" i="7" s="1"/>
  <c r="X852" i="7"/>
  <c r="AB852" i="7"/>
  <c r="AC852" i="7"/>
  <c r="AD852" i="7"/>
  <c r="AH852" i="7" s="1"/>
  <c r="AE852" i="7"/>
  <c r="AB851" i="7"/>
  <c r="AC851" i="7" s="1"/>
  <c r="X851" i="7"/>
  <c r="AE851" i="7"/>
  <c r="AD851" i="7"/>
  <c r="AH851" i="7" s="1"/>
  <c r="X850" i="7"/>
  <c r="AB850" i="7"/>
  <c r="AC850" i="7" s="1"/>
  <c r="AD850" i="7"/>
  <c r="AH850" i="7" s="1"/>
  <c r="AE850" i="7"/>
  <c r="X849" i="7"/>
  <c r="AB849" i="7"/>
  <c r="AC849" i="7" s="1"/>
  <c r="AE849" i="7"/>
  <c r="AD849" i="7"/>
  <c r="AH849" i="7" s="1"/>
  <c r="X848" i="7"/>
  <c r="AB848" i="7"/>
  <c r="AC848" i="7"/>
  <c r="AD848" i="7"/>
  <c r="AH848" i="7" s="1"/>
  <c r="AE848" i="7"/>
  <c r="X847" i="7"/>
  <c r="AB847" i="7"/>
  <c r="AC847" i="7" s="1"/>
  <c r="AE847" i="7"/>
  <c r="AD847" i="7"/>
  <c r="AH847" i="7" s="1"/>
  <c r="AB846" i="7"/>
  <c r="AC846" i="7" s="1"/>
  <c r="X846" i="7"/>
  <c r="AE846" i="7"/>
  <c r="AD846" i="7"/>
  <c r="AH846" i="7" s="1"/>
  <c r="X845" i="7"/>
  <c r="AB845" i="7"/>
  <c r="AC845" i="7" s="1"/>
  <c r="AE845" i="7"/>
  <c r="AD845" i="7"/>
  <c r="AH845" i="7" s="1"/>
  <c r="AB844" i="7"/>
  <c r="AC844" i="7" s="1"/>
  <c r="X844" i="7"/>
  <c r="AE844" i="7"/>
  <c r="AD844" i="7"/>
  <c r="AH844" i="7" s="1"/>
  <c r="X843" i="7"/>
  <c r="AB843" i="7"/>
  <c r="AC843" i="7" s="1"/>
  <c r="AE843" i="7"/>
  <c r="AD843" i="7"/>
  <c r="AH843" i="7" s="1"/>
  <c r="AB842" i="7"/>
  <c r="AC842" i="7" s="1"/>
  <c r="X842" i="7"/>
  <c r="AE842" i="7"/>
  <c r="AD842" i="7"/>
  <c r="AH842" i="7" s="1"/>
  <c r="X841" i="7"/>
  <c r="AB841" i="7"/>
  <c r="AC841" i="7" s="1"/>
  <c r="AE841" i="7"/>
  <c r="AD841" i="7"/>
  <c r="AH841" i="7" s="1"/>
  <c r="AB840" i="7"/>
  <c r="AC840" i="7" s="1"/>
  <c r="X840" i="7"/>
  <c r="AE840" i="7"/>
  <c r="AD840" i="7"/>
  <c r="AH840" i="7" s="1"/>
  <c r="AB839" i="7"/>
  <c r="AC839" i="7" s="1"/>
  <c r="X839" i="7"/>
  <c r="AE839" i="7"/>
  <c r="AD839" i="7"/>
  <c r="AH839" i="7" s="1"/>
  <c r="AB838" i="7"/>
  <c r="AC838" i="7" s="1"/>
  <c r="X838" i="7"/>
  <c r="AE838" i="7"/>
  <c r="AD838" i="7"/>
  <c r="AH838" i="7" s="1"/>
  <c r="AB837" i="7"/>
  <c r="AC837" i="7" s="1"/>
  <c r="X837" i="7"/>
  <c r="AE837" i="7"/>
  <c r="AD837" i="7"/>
  <c r="AH837" i="7" s="1"/>
  <c r="X836" i="7"/>
  <c r="AB836" i="7"/>
  <c r="AC836" i="7" s="1"/>
  <c r="AD836" i="7"/>
  <c r="AH836" i="7" s="1"/>
  <c r="AE836" i="7"/>
  <c r="X835" i="7"/>
  <c r="AB835" i="7"/>
  <c r="AC835" i="7" s="1"/>
  <c r="AE835" i="7"/>
  <c r="AD835" i="7"/>
  <c r="AH835" i="7" s="1"/>
  <c r="X834" i="7"/>
  <c r="AB834" i="7"/>
  <c r="AC834" i="7"/>
  <c r="AD834" i="7"/>
  <c r="AH834" i="7" s="1"/>
  <c r="AE834" i="7"/>
  <c r="X833" i="7"/>
  <c r="AB833" i="7"/>
  <c r="AC833" i="7" s="1"/>
  <c r="AE833" i="7"/>
  <c r="AD833" i="7"/>
  <c r="AH833" i="7" s="1"/>
  <c r="AB832" i="7"/>
  <c r="AC832" i="7" s="1"/>
  <c r="X832" i="7"/>
  <c r="AE832" i="7"/>
  <c r="AD832" i="7"/>
  <c r="AH832" i="7" s="1"/>
  <c r="AB831" i="7"/>
  <c r="AC831" i="7" s="1"/>
  <c r="X831" i="7"/>
  <c r="AE831" i="7"/>
  <c r="AD831" i="7"/>
  <c r="AH831" i="7" s="1"/>
  <c r="AB830" i="7"/>
  <c r="AC830" i="7" s="1"/>
  <c r="X830" i="7"/>
  <c r="AE830" i="7"/>
  <c r="AD830" i="7"/>
  <c r="AH830" i="7" s="1"/>
  <c r="AB829" i="7"/>
  <c r="AC829" i="7" s="1"/>
  <c r="X829" i="7"/>
  <c r="AE829" i="7"/>
  <c r="AD829" i="7"/>
  <c r="AH829" i="7" s="1"/>
  <c r="X828" i="7"/>
  <c r="AB828" i="7"/>
  <c r="AC828" i="7"/>
  <c r="AD828" i="7"/>
  <c r="AH828" i="7" s="1"/>
  <c r="AE828" i="7"/>
  <c r="X827" i="7"/>
  <c r="AB827" i="7"/>
  <c r="AC827" i="7"/>
  <c r="AD827" i="7"/>
  <c r="AH827" i="7" s="1"/>
  <c r="AE827" i="7"/>
  <c r="X826" i="7"/>
  <c r="AB826" i="7"/>
  <c r="AC826" i="7" s="1"/>
  <c r="AE826" i="7"/>
  <c r="AD826" i="7"/>
  <c r="AH826" i="7" s="1"/>
  <c r="AB825" i="7"/>
  <c r="AC825" i="7" s="1"/>
  <c r="X825" i="7"/>
  <c r="AE825" i="7"/>
  <c r="AD825" i="7"/>
  <c r="AH825" i="7" s="1"/>
  <c r="X824" i="7"/>
  <c r="AB824" i="7"/>
  <c r="AC824" i="7" s="1"/>
  <c r="AE824" i="7"/>
  <c r="AD824" i="7"/>
  <c r="AH824" i="7" s="1"/>
  <c r="AB823" i="7"/>
  <c r="AC823" i="7" s="1"/>
  <c r="X823" i="7"/>
  <c r="AE823" i="7"/>
  <c r="AD823" i="7"/>
  <c r="AH823" i="7" s="1"/>
  <c r="X822" i="7"/>
  <c r="AB822" i="7"/>
  <c r="AC822" i="7" s="1"/>
  <c r="AE822" i="7"/>
  <c r="AD822" i="7"/>
  <c r="AH822" i="7" s="1"/>
  <c r="AB821" i="7"/>
  <c r="AC821" i="7" s="1"/>
  <c r="X821" i="7"/>
  <c r="AE821" i="7"/>
  <c r="AD821" i="7"/>
  <c r="AH821" i="7" s="1"/>
  <c r="X820" i="7"/>
  <c r="AB820" i="7"/>
  <c r="AC820" i="7" s="1"/>
  <c r="AE820" i="7"/>
  <c r="AD820" i="7"/>
  <c r="AH820" i="7" s="1"/>
  <c r="AB819" i="7"/>
  <c r="AC819" i="7" s="1"/>
  <c r="X819" i="7"/>
  <c r="AE819" i="7"/>
  <c r="AD819" i="7"/>
  <c r="AH819" i="7" s="1"/>
  <c r="AB818" i="7"/>
  <c r="AC818" i="7" s="1"/>
  <c r="X818" i="7"/>
  <c r="AE818" i="7"/>
  <c r="AD818" i="7"/>
  <c r="AH818" i="7" s="1"/>
  <c r="AB817" i="7"/>
  <c r="AC817" i="7" s="1"/>
  <c r="X817" i="7"/>
  <c r="AE817" i="7"/>
  <c r="AD817" i="7"/>
  <c r="AH817" i="7" s="1"/>
  <c r="X816" i="7"/>
  <c r="AB816" i="7"/>
  <c r="AC816" i="7" s="1"/>
  <c r="AE816" i="7"/>
  <c r="AD816" i="7"/>
  <c r="AH816" i="7" s="1"/>
  <c r="AB815" i="7"/>
  <c r="AC815" i="7"/>
  <c r="X815" i="7"/>
  <c r="AD815" i="7"/>
  <c r="AH815" i="7" s="1"/>
  <c r="AE815" i="7"/>
  <c r="X814" i="7"/>
  <c r="AB814" i="7"/>
  <c r="AC814" i="7"/>
  <c r="AD814" i="7"/>
  <c r="AH814" i="7" s="1"/>
  <c r="AE814" i="7"/>
  <c r="X813" i="7"/>
  <c r="AB813" i="7"/>
  <c r="AC813" i="7" s="1"/>
  <c r="AE813" i="7"/>
  <c r="AD813" i="7"/>
  <c r="AH813" i="7" s="1"/>
  <c r="AB812" i="7"/>
  <c r="AC812" i="7" s="1"/>
  <c r="X812" i="7"/>
  <c r="AE812" i="7"/>
  <c r="AD812" i="7"/>
  <c r="AH812" i="7" s="1"/>
  <c r="X811" i="7"/>
  <c r="AB811" i="7"/>
  <c r="AC811" i="7" s="1"/>
  <c r="AE811" i="7"/>
  <c r="AD811" i="7"/>
  <c r="AH811" i="7" s="1"/>
  <c r="AB810" i="7"/>
  <c r="AC810" i="7" s="1"/>
  <c r="X810" i="7"/>
  <c r="AE810" i="7"/>
  <c r="AD810" i="7"/>
  <c r="AH810" i="7" s="1"/>
  <c r="X809" i="7"/>
  <c r="AB809" i="7"/>
  <c r="AC809" i="7" s="1"/>
  <c r="AE809" i="7"/>
  <c r="AD809" i="7"/>
  <c r="AH809" i="7" s="1"/>
  <c r="AB808" i="7"/>
  <c r="AC808" i="7" s="1"/>
  <c r="X808" i="7"/>
  <c r="AE808" i="7"/>
  <c r="AD808" i="7"/>
  <c r="AH808" i="7" s="1"/>
  <c r="X807" i="7"/>
  <c r="AB807" i="7"/>
  <c r="AC807" i="7" s="1"/>
  <c r="AE807" i="7"/>
  <c r="AD807" i="7"/>
  <c r="AH807" i="7" s="1"/>
  <c r="AB806" i="7"/>
  <c r="AC806" i="7" s="1"/>
  <c r="X806" i="7"/>
  <c r="AE806" i="7"/>
  <c r="AD806" i="7"/>
  <c r="AH806" i="7" s="1"/>
  <c r="AB805" i="7"/>
  <c r="AC805" i="7" s="1"/>
  <c r="X805" i="7"/>
  <c r="AE805" i="7"/>
  <c r="AD805" i="7"/>
  <c r="AH805" i="7" s="1"/>
  <c r="AB804" i="7"/>
  <c r="AC804" i="7" s="1"/>
  <c r="X804" i="7"/>
  <c r="AE804" i="7"/>
  <c r="AD804" i="7"/>
  <c r="AH804" i="7" s="1"/>
  <c r="X803" i="7"/>
  <c r="AB803" i="7"/>
  <c r="AC803" i="7" s="1"/>
  <c r="AE803" i="7"/>
  <c r="AD803" i="7"/>
  <c r="AH803" i="7" s="1"/>
  <c r="X802" i="7"/>
  <c r="AB802" i="7"/>
  <c r="AC802" i="7"/>
  <c r="AD802" i="7"/>
  <c r="AH802" i="7" s="1"/>
  <c r="AE802" i="7"/>
  <c r="X801" i="7"/>
  <c r="AB801" i="7"/>
  <c r="AC801" i="7" s="1"/>
  <c r="AE801" i="7"/>
  <c r="AD801" i="7"/>
  <c r="AH801" i="7" s="1"/>
  <c r="X800" i="7"/>
  <c r="AB800" i="7"/>
  <c r="AC800" i="7" s="1"/>
  <c r="AD800" i="7"/>
  <c r="AH800" i="7" s="1"/>
  <c r="AE800" i="7"/>
  <c r="X799" i="7"/>
  <c r="AB799" i="7"/>
  <c r="AC799" i="7"/>
  <c r="AD799" i="7"/>
  <c r="AH799" i="7" s="1"/>
  <c r="AE799" i="7"/>
  <c r="X798" i="7"/>
  <c r="AB798" i="7"/>
  <c r="AC798" i="7" s="1"/>
  <c r="AE798" i="7"/>
  <c r="AD798" i="7"/>
  <c r="AH798" i="7" s="1"/>
  <c r="AB797" i="7"/>
  <c r="AC797" i="7" s="1"/>
  <c r="X797" i="7"/>
  <c r="AE797" i="7"/>
  <c r="AD797" i="7"/>
  <c r="AH797" i="7" s="1"/>
  <c r="X796" i="7"/>
  <c r="AB796" i="7"/>
  <c r="AC796" i="7" s="1"/>
  <c r="AE796" i="7"/>
  <c r="AD796" i="7"/>
  <c r="AH796" i="7" s="1"/>
  <c r="AB795" i="7"/>
  <c r="AC795" i="7" s="1"/>
  <c r="X795" i="7"/>
  <c r="AE795" i="7"/>
  <c r="AD795" i="7"/>
  <c r="AH795" i="7" s="1"/>
  <c r="X794" i="7"/>
  <c r="AB794" i="7"/>
  <c r="AC794" i="7" s="1"/>
  <c r="AE794" i="7"/>
  <c r="AD794" i="7"/>
  <c r="AH794" i="7" s="1"/>
  <c r="AB793" i="7"/>
  <c r="AC793" i="7" s="1"/>
  <c r="X793" i="7"/>
  <c r="AE793" i="7"/>
  <c r="AD793" i="7"/>
  <c r="AH793" i="7" s="1"/>
  <c r="X792" i="7"/>
  <c r="AB792" i="7"/>
  <c r="AC792" i="7" s="1"/>
  <c r="AE792" i="7"/>
  <c r="AD792" i="7"/>
  <c r="AH792" i="7" s="1"/>
  <c r="AB791" i="7"/>
  <c r="AC791" i="7" s="1"/>
  <c r="X791" i="7"/>
  <c r="AE791" i="7"/>
  <c r="AD791" i="7"/>
  <c r="AH791" i="7" s="1"/>
  <c r="X790" i="7"/>
  <c r="AB790" i="7"/>
  <c r="AC790" i="7" s="1"/>
  <c r="AE790" i="7"/>
  <c r="AD790" i="7"/>
  <c r="AH790" i="7" s="1"/>
  <c r="AB789" i="7"/>
  <c r="AC789" i="7" s="1"/>
  <c r="X789" i="7"/>
  <c r="AE789" i="7"/>
  <c r="AD789" i="7"/>
  <c r="AH789" i="7" s="1"/>
  <c r="X788" i="7"/>
  <c r="AB788" i="7"/>
  <c r="AC788" i="7" s="1"/>
  <c r="AE788" i="7"/>
  <c r="AD788" i="7"/>
  <c r="AH788" i="7" s="1"/>
  <c r="AB787" i="7"/>
  <c r="AC787" i="7" s="1"/>
  <c r="X787" i="7"/>
  <c r="AE787" i="7"/>
  <c r="AD787" i="7"/>
  <c r="AH787" i="7" s="1"/>
  <c r="AB786" i="7"/>
  <c r="AC786" i="7" s="1"/>
  <c r="X786" i="7"/>
  <c r="AE786" i="7"/>
  <c r="AD786" i="7"/>
  <c r="AH786" i="7" s="1"/>
  <c r="AB785" i="7"/>
  <c r="X785" i="7"/>
  <c r="AC785" i="7"/>
  <c r="AD785" i="7"/>
  <c r="AH785" i="7" s="1"/>
  <c r="AE785" i="7"/>
  <c r="X784" i="7"/>
  <c r="AB784" i="7"/>
  <c r="AC784" i="7" s="1"/>
  <c r="AE784" i="7"/>
  <c r="AD784" i="7"/>
  <c r="AH784" i="7" s="1"/>
  <c r="X783" i="7"/>
  <c r="AB783" i="7"/>
  <c r="AC783" i="7"/>
  <c r="AD783" i="7"/>
  <c r="AH783" i="7" s="1"/>
  <c r="AE783" i="7"/>
  <c r="X782" i="7"/>
  <c r="AB782" i="7"/>
  <c r="AC782" i="7" s="1"/>
  <c r="AE782" i="7"/>
  <c r="AD782" i="7"/>
  <c r="AH782" i="7" s="1"/>
  <c r="AB781" i="7"/>
  <c r="AC781" i="7" s="1"/>
  <c r="X781" i="7"/>
  <c r="AE781" i="7"/>
  <c r="AD781" i="7"/>
  <c r="AH781" i="7" s="1"/>
  <c r="X780" i="7"/>
  <c r="AB780" i="7"/>
  <c r="AC780" i="7" s="1"/>
  <c r="AE780" i="7"/>
  <c r="AD780" i="7"/>
  <c r="AH780" i="7" s="1"/>
  <c r="AB779" i="7"/>
  <c r="AC779" i="7" s="1"/>
  <c r="X779" i="7"/>
  <c r="AE779" i="7"/>
  <c r="AD779" i="7"/>
  <c r="AH779" i="7" s="1"/>
  <c r="X778" i="7"/>
  <c r="AB778" i="7"/>
  <c r="AC778" i="7" s="1"/>
  <c r="AE778" i="7"/>
  <c r="AD778" i="7"/>
  <c r="AH778" i="7" s="1"/>
  <c r="AB777" i="7"/>
  <c r="AC777" i="7" s="1"/>
  <c r="X777" i="7"/>
  <c r="AE777" i="7"/>
  <c r="AD777" i="7"/>
  <c r="AH777" i="7" s="1"/>
  <c r="X776" i="7"/>
  <c r="AB776" i="7"/>
  <c r="AC776" i="7" s="1"/>
  <c r="AE776" i="7"/>
  <c r="AD776" i="7"/>
  <c r="AH776" i="7" s="1"/>
  <c r="AB775" i="7"/>
  <c r="AC775" i="7" s="1"/>
  <c r="X775" i="7"/>
  <c r="AE775" i="7"/>
  <c r="AD775" i="7"/>
  <c r="AH775" i="7" s="1"/>
  <c r="AB774" i="7"/>
  <c r="AC774" i="7" s="1"/>
  <c r="X774" i="7"/>
  <c r="AE774" i="7"/>
  <c r="AD774" i="7"/>
  <c r="AH774" i="7" s="1"/>
  <c r="AB773" i="7"/>
  <c r="AC773" i="7" s="1"/>
  <c r="X773" i="7"/>
  <c r="AE773" i="7"/>
  <c r="AD773" i="7"/>
  <c r="AH773" i="7" s="1"/>
  <c r="X772" i="7"/>
  <c r="AB772" i="7"/>
  <c r="AC772" i="7"/>
  <c r="AE772" i="7"/>
  <c r="AD772" i="7"/>
  <c r="AH772" i="7" s="1"/>
  <c r="X771" i="7"/>
  <c r="AB771" i="7"/>
  <c r="AC771" i="7"/>
  <c r="AD771" i="7"/>
  <c r="AH771" i="7" s="1"/>
  <c r="AE771" i="7"/>
  <c r="X770" i="7"/>
  <c r="AB770" i="7"/>
  <c r="AC770" i="7" s="1"/>
  <c r="AE770" i="7"/>
  <c r="AD770" i="7"/>
  <c r="AH770" i="7" s="1"/>
  <c r="AB769" i="7"/>
  <c r="AC769" i="7" s="1"/>
  <c r="X769" i="7"/>
  <c r="AE769" i="7"/>
  <c r="AD769" i="7"/>
  <c r="AH769" i="7" s="1"/>
  <c r="X768" i="7"/>
  <c r="AB768" i="7"/>
  <c r="AC768" i="7" s="1"/>
  <c r="AE768" i="7"/>
  <c r="AD768" i="7"/>
  <c r="AH768" i="7" s="1"/>
  <c r="AB767" i="7"/>
  <c r="AC767" i="7" s="1"/>
  <c r="X767" i="7"/>
  <c r="AE767" i="7"/>
  <c r="AD767" i="7"/>
  <c r="AH767" i="7" s="1"/>
  <c r="X766" i="7"/>
  <c r="AB766" i="7"/>
  <c r="AC766" i="7" s="1"/>
  <c r="AE766" i="7"/>
  <c r="AD766" i="7"/>
  <c r="AH766" i="7" s="1"/>
  <c r="AB765" i="7"/>
  <c r="X765" i="7"/>
  <c r="AE765" i="7"/>
  <c r="AD765" i="7"/>
  <c r="X764" i="7"/>
  <c r="AB764" i="7"/>
  <c r="AC764" i="7" s="1"/>
  <c r="AE764" i="7"/>
  <c r="AD764" i="7"/>
  <c r="AH764" i="7" s="1"/>
  <c r="AB763" i="7"/>
  <c r="AC763" i="7" s="1"/>
  <c r="X763" i="7"/>
  <c r="AE763" i="7"/>
  <c r="AD763" i="7"/>
  <c r="AH763" i="7" s="1"/>
  <c r="AB762" i="7"/>
  <c r="AC762" i="7" s="1"/>
  <c r="X762" i="7"/>
  <c r="AE762" i="7"/>
  <c r="AD762" i="7"/>
  <c r="AH762" i="7" s="1"/>
  <c r="AB761" i="7"/>
  <c r="AC761" i="7" s="1"/>
  <c r="X761" i="7"/>
  <c r="AE761" i="7"/>
  <c r="AD761" i="7"/>
  <c r="AH761" i="7" s="1"/>
  <c r="X760" i="7"/>
  <c r="AB760" i="7"/>
  <c r="AC760" i="7" s="1"/>
  <c r="AE760" i="7"/>
  <c r="AD760" i="7"/>
  <c r="AH760" i="7" s="1"/>
  <c r="X759" i="7"/>
  <c r="AB759" i="7"/>
  <c r="AC759" i="7"/>
  <c r="AD759" i="7"/>
  <c r="AH759" i="7" s="1"/>
  <c r="AE759" i="7"/>
  <c r="AB758" i="7"/>
  <c r="AC758" i="7" s="1"/>
  <c r="X758" i="7"/>
  <c r="AE758" i="7"/>
  <c r="AD758" i="7"/>
  <c r="AH758" i="7" s="1"/>
  <c r="AB757" i="7"/>
  <c r="AC757" i="7" s="1"/>
  <c r="X757" i="7"/>
  <c r="AD757" i="7"/>
  <c r="AH757" i="7" s="1"/>
  <c r="AE757" i="7"/>
  <c r="X756" i="7"/>
  <c r="AB756" i="7"/>
  <c r="AC756" i="7"/>
  <c r="AD756" i="7"/>
  <c r="AH756" i="7" s="1"/>
  <c r="AE756" i="7"/>
  <c r="X755" i="7"/>
  <c r="AB755" i="7"/>
  <c r="AC755" i="7" s="1"/>
  <c r="AE755" i="7"/>
  <c r="AD755" i="7"/>
  <c r="AH755" i="7" s="1"/>
  <c r="AB754" i="7"/>
  <c r="AC754" i="7" s="1"/>
  <c r="X754" i="7"/>
  <c r="AE754" i="7"/>
  <c r="AD754" i="7"/>
  <c r="AH754" i="7" s="1"/>
  <c r="X753" i="7"/>
  <c r="AB753" i="7"/>
  <c r="AC753" i="7" s="1"/>
  <c r="AE753" i="7"/>
  <c r="AD753" i="7"/>
  <c r="AH753" i="7" s="1"/>
  <c r="AB752" i="7"/>
  <c r="AC752" i="7" s="1"/>
  <c r="X752" i="7"/>
  <c r="AE752" i="7"/>
  <c r="AD752" i="7"/>
  <c r="AH752" i="7" s="1"/>
  <c r="X751" i="7"/>
  <c r="AB751" i="7"/>
  <c r="AC751" i="7" s="1"/>
  <c r="AE751" i="7"/>
  <c r="AD751" i="7"/>
  <c r="AH751" i="7" s="1"/>
  <c r="AB750" i="7"/>
  <c r="AC750" i="7" s="1"/>
  <c r="X750" i="7"/>
  <c r="AE750" i="7"/>
  <c r="AD750" i="7"/>
  <c r="AH750" i="7" s="1"/>
  <c r="X749" i="7"/>
  <c r="AB749" i="7"/>
  <c r="AC749" i="7" s="1"/>
  <c r="AE749" i="7"/>
  <c r="AD749" i="7"/>
  <c r="AH749" i="7" s="1"/>
  <c r="AB748" i="7"/>
  <c r="AC748" i="7" s="1"/>
  <c r="X748" i="7"/>
  <c r="AE748" i="7"/>
  <c r="AD748" i="7"/>
  <c r="AH748" i="7" s="1"/>
  <c r="AB747" i="7"/>
  <c r="AC747" i="7" s="1"/>
  <c r="X747" i="7"/>
  <c r="AE747" i="7"/>
  <c r="AD747" i="7"/>
  <c r="AH747" i="7" s="1"/>
  <c r="AB746" i="7"/>
  <c r="AC746" i="7" s="1"/>
  <c r="X746" i="7"/>
  <c r="AE746" i="7"/>
  <c r="AD746" i="7"/>
  <c r="AH746" i="7" s="1"/>
  <c r="X745" i="7"/>
  <c r="AB745" i="7"/>
  <c r="AC745" i="7" s="1"/>
  <c r="AD745" i="7"/>
  <c r="AH745" i="7" s="1"/>
  <c r="AE745" i="7"/>
  <c r="AB744" i="7"/>
  <c r="AC744" i="7" s="1"/>
  <c r="X744" i="7"/>
  <c r="AD744" i="7"/>
  <c r="AH744" i="7" s="1"/>
  <c r="AE744" i="7"/>
  <c r="X743" i="7"/>
  <c r="AB743" i="7"/>
  <c r="AC743" i="7" s="1"/>
  <c r="AE743" i="7"/>
  <c r="AD743" i="7"/>
  <c r="AH743" i="7" s="1"/>
  <c r="X742" i="7"/>
  <c r="AB742" i="7"/>
  <c r="AC742" i="7"/>
  <c r="AD742" i="7"/>
  <c r="AH742" i="7" s="1"/>
  <c r="AE742" i="7"/>
  <c r="X741" i="7"/>
  <c r="AB741" i="7"/>
  <c r="AC741" i="7" s="1"/>
  <c r="AE741" i="7"/>
  <c r="AD741" i="7"/>
  <c r="AH741" i="7" s="1"/>
  <c r="AB740" i="7"/>
  <c r="AC740" i="7" s="1"/>
  <c r="X740" i="7"/>
  <c r="AE740" i="7"/>
  <c r="AD740" i="7"/>
  <c r="AH740" i="7" s="1"/>
  <c r="X739" i="7"/>
  <c r="AB739" i="7"/>
  <c r="AC739" i="7" s="1"/>
  <c r="AE739" i="7"/>
  <c r="AD739" i="7"/>
  <c r="AH739" i="7" s="1"/>
  <c r="AB738" i="7"/>
  <c r="AC738" i="7" s="1"/>
  <c r="X738" i="7"/>
  <c r="AE738" i="7"/>
  <c r="AD738" i="7"/>
  <c r="AH738" i="7" s="1"/>
  <c r="X737" i="7"/>
  <c r="AB737" i="7"/>
  <c r="AC737" i="7" s="1"/>
  <c r="AE737" i="7"/>
  <c r="AD737" i="7"/>
  <c r="AH737" i="7" s="1"/>
  <c r="AB736" i="7"/>
  <c r="AC736" i="7" s="1"/>
  <c r="X736" i="7"/>
  <c r="AE736" i="7"/>
  <c r="AD736" i="7"/>
  <c r="AH736" i="7" s="1"/>
  <c r="X735" i="7"/>
  <c r="AB735" i="7"/>
  <c r="AC735" i="7" s="1"/>
  <c r="AE735" i="7"/>
  <c r="AD735" i="7"/>
  <c r="AH735" i="7" s="1"/>
  <c r="AB734" i="7"/>
  <c r="AC734" i="7" s="1"/>
  <c r="X734" i="7"/>
  <c r="AE734" i="7"/>
  <c r="AD734" i="7"/>
  <c r="AH734" i="7" s="1"/>
  <c r="AB733" i="7"/>
  <c r="AC733" i="7" s="1"/>
  <c r="X733" i="7"/>
  <c r="AE733" i="7"/>
  <c r="AD733" i="7"/>
  <c r="AH733" i="7" s="1"/>
  <c r="X732" i="7"/>
  <c r="AB732" i="7"/>
  <c r="AC732" i="7"/>
  <c r="AD732" i="7"/>
  <c r="AH732" i="7" s="1"/>
  <c r="AE732" i="7"/>
  <c r="AB731" i="7"/>
  <c r="AC731" i="7"/>
  <c r="X731" i="7"/>
  <c r="AE731" i="7"/>
  <c r="AD731" i="7"/>
  <c r="AH731" i="7" s="1"/>
  <c r="X730" i="7"/>
  <c r="AB730" i="7"/>
  <c r="AC730" i="7"/>
  <c r="AD730" i="7"/>
  <c r="AH730" i="7" s="1"/>
  <c r="AE730" i="7"/>
  <c r="X729" i="7"/>
  <c r="AB729" i="7"/>
  <c r="AC729" i="7" s="1"/>
  <c r="AE729" i="7"/>
  <c r="AD729" i="7"/>
  <c r="AH729" i="7" s="1"/>
  <c r="AB727" i="7"/>
  <c r="AC727" i="7" s="1"/>
  <c r="X727" i="7"/>
  <c r="AE727" i="7"/>
  <c r="AD727" i="7"/>
  <c r="AH727" i="7" s="1"/>
  <c r="AB726" i="7"/>
  <c r="AC726" i="7" s="1"/>
  <c r="X726" i="7"/>
  <c r="AE726" i="7"/>
  <c r="AD726" i="7"/>
  <c r="AH726" i="7" s="1"/>
  <c r="AB725" i="7"/>
  <c r="AC725" i="7" s="1"/>
  <c r="X725" i="7"/>
  <c r="AE725" i="7"/>
  <c r="AD725" i="7"/>
  <c r="AH725" i="7" s="1"/>
  <c r="AB724" i="7"/>
  <c r="AC724" i="7" s="1"/>
  <c r="X724" i="7"/>
  <c r="AD724" i="7"/>
  <c r="AH724" i="7" s="1"/>
  <c r="AE724" i="7"/>
  <c r="AB723" i="7"/>
  <c r="AC723" i="7" s="1"/>
  <c r="X723" i="7"/>
  <c r="AE723" i="7"/>
  <c r="AD723" i="7"/>
  <c r="AH723" i="7" s="1"/>
  <c r="AB722" i="7"/>
  <c r="AC722" i="7" s="1"/>
  <c r="X722" i="7"/>
  <c r="AD722" i="7"/>
  <c r="AH722" i="7" s="1"/>
  <c r="AE722" i="7"/>
  <c r="AB721" i="7"/>
  <c r="AC721" i="7" s="1"/>
  <c r="X721" i="7"/>
  <c r="AE721" i="7"/>
  <c r="AD721" i="7"/>
  <c r="AH721" i="7" s="1"/>
  <c r="AB720" i="7"/>
  <c r="AC720" i="7" s="1"/>
  <c r="X720" i="7"/>
  <c r="AD720" i="7"/>
  <c r="AH720" i="7" s="1"/>
  <c r="AE720" i="7"/>
  <c r="AB719" i="7"/>
  <c r="AC719" i="7" s="1"/>
  <c r="X719" i="7"/>
  <c r="AE719" i="7"/>
  <c r="AD719" i="7"/>
  <c r="AH719" i="7" s="1"/>
  <c r="AB718" i="7"/>
  <c r="AC718" i="7" s="1"/>
  <c r="X718" i="7"/>
  <c r="AD718" i="7"/>
  <c r="AH718" i="7" s="1"/>
  <c r="AE718" i="7"/>
  <c r="AB717" i="7"/>
  <c r="AC717" i="7" s="1"/>
  <c r="X717" i="7"/>
  <c r="AE717" i="7"/>
  <c r="AD717" i="7"/>
  <c r="AH717" i="7" s="1"/>
  <c r="AB716" i="7"/>
  <c r="AC716" i="7" s="1"/>
  <c r="X716" i="7"/>
  <c r="AE716" i="7"/>
  <c r="AD716" i="7"/>
  <c r="AH716" i="7" s="1"/>
  <c r="AB715" i="7"/>
  <c r="AC715" i="7" s="1"/>
  <c r="X715" i="7"/>
  <c r="AE715" i="7"/>
  <c r="AD715" i="7"/>
  <c r="AH715" i="7" s="1"/>
  <c r="AB714" i="7"/>
  <c r="AC714" i="7"/>
  <c r="X714" i="7"/>
  <c r="AD714" i="7"/>
  <c r="AH714" i="7" s="1"/>
  <c r="AE714" i="7"/>
  <c r="AB713" i="7"/>
  <c r="AC713" i="7" s="1"/>
  <c r="X713" i="7"/>
  <c r="AE713" i="7"/>
  <c r="AD713" i="7"/>
  <c r="AH713" i="7" s="1"/>
  <c r="AB712" i="7"/>
  <c r="AC712" i="7" s="1"/>
  <c r="X712" i="7"/>
  <c r="AD712" i="7"/>
  <c r="AH712" i="7" s="1"/>
  <c r="AE712" i="7"/>
  <c r="AB711" i="7"/>
  <c r="AC711" i="7" s="1"/>
  <c r="X711" i="7"/>
  <c r="AE711" i="7"/>
  <c r="AD711" i="7"/>
  <c r="AH711" i="7" s="1"/>
  <c r="X710" i="7"/>
  <c r="AB710" i="7"/>
  <c r="AC710" i="7" s="1"/>
  <c r="AE710" i="7"/>
  <c r="AD710" i="7"/>
  <c r="AH710" i="7" s="1"/>
  <c r="AB709" i="7"/>
  <c r="AC709" i="7" s="1"/>
  <c r="X709" i="7"/>
  <c r="AE709" i="7"/>
  <c r="AD709" i="7"/>
  <c r="AH709" i="7" s="1"/>
  <c r="AB708" i="7"/>
  <c r="AC708" i="7" s="1"/>
  <c r="X708" i="7"/>
  <c r="AE708" i="7"/>
  <c r="AD708" i="7"/>
  <c r="AH708" i="7" s="1"/>
  <c r="AB707" i="7"/>
  <c r="AC707" i="7" s="1"/>
  <c r="X707" i="7"/>
  <c r="AE707" i="7"/>
  <c r="AD707" i="7"/>
  <c r="AH707" i="7" s="1"/>
  <c r="AB706" i="7"/>
  <c r="AC706" i="7" s="1"/>
  <c r="X706" i="7"/>
  <c r="AD706" i="7"/>
  <c r="AH706" i="7" s="1"/>
  <c r="AE706" i="7"/>
  <c r="AB705" i="7"/>
  <c r="AC705" i="7" s="1"/>
  <c r="X705" i="7"/>
  <c r="AE705" i="7"/>
  <c r="AD705" i="7"/>
  <c r="AH705" i="7" s="1"/>
  <c r="AB704" i="7"/>
  <c r="AC704" i="7" s="1"/>
  <c r="X704" i="7"/>
  <c r="AE704" i="7"/>
  <c r="AD704" i="7"/>
  <c r="AH704" i="7" s="1"/>
  <c r="AB703" i="7"/>
  <c r="AC703" i="7" s="1"/>
  <c r="X703" i="7"/>
  <c r="AE703" i="7"/>
  <c r="AD703" i="7"/>
  <c r="AH703" i="7" s="1"/>
  <c r="AB702" i="7"/>
  <c r="AC702" i="7"/>
  <c r="X702" i="7"/>
  <c r="AD702" i="7"/>
  <c r="AH702" i="7" s="1"/>
  <c r="AE702" i="7"/>
  <c r="AB701" i="7"/>
  <c r="AC701" i="7" s="1"/>
  <c r="X701" i="7"/>
  <c r="AE701" i="7"/>
  <c r="AD701" i="7"/>
  <c r="AH701" i="7" s="1"/>
  <c r="AB700" i="7"/>
  <c r="AC700" i="7"/>
  <c r="X700" i="7"/>
  <c r="AD700" i="7"/>
  <c r="AH700" i="7" s="1"/>
  <c r="AE700" i="7"/>
  <c r="AB699" i="7"/>
  <c r="AC699" i="7" s="1"/>
  <c r="X699" i="7"/>
  <c r="AE699" i="7"/>
  <c r="AD699" i="7"/>
  <c r="AH699" i="7" s="1"/>
  <c r="AB698" i="7"/>
  <c r="AC698" i="7" s="1"/>
  <c r="X698" i="7"/>
  <c r="AE698" i="7"/>
  <c r="AD698" i="7"/>
  <c r="AH698" i="7" s="1"/>
  <c r="X697" i="7"/>
  <c r="AB697" i="7"/>
  <c r="AC697" i="7"/>
  <c r="AD697" i="7"/>
  <c r="AH697" i="7" s="1"/>
  <c r="AE697" i="7"/>
  <c r="AB696" i="7"/>
  <c r="AC696" i="7" s="1"/>
  <c r="X696" i="7"/>
  <c r="AD696" i="7"/>
  <c r="AH696" i="7" s="1"/>
  <c r="AE696" i="7"/>
  <c r="AB695" i="7"/>
  <c r="AC695" i="7" s="1"/>
  <c r="X695" i="7"/>
  <c r="AE695" i="7"/>
  <c r="AD695" i="7"/>
  <c r="AH695" i="7" s="1"/>
  <c r="AB694" i="7"/>
  <c r="AC694" i="7" s="1"/>
  <c r="X694" i="7"/>
  <c r="AE694" i="7"/>
  <c r="AD694" i="7"/>
  <c r="AH694" i="7" s="1"/>
  <c r="AB693" i="7"/>
  <c r="AC693" i="7"/>
  <c r="X693" i="7"/>
  <c r="AD693" i="7"/>
  <c r="AH693" i="7" s="1"/>
  <c r="AE693" i="7"/>
  <c r="AB692" i="7"/>
  <c r="AC692" i="7" s="1"/>
  <c r="X692" i="7"/>
  <c r="AE692" i="7"/>
  <c r="AD692" i="7"/>
  <c r="AH692" i="7" s="1"/>
  <c r="AB691" i="7"/>
  <c r="AC691" i="7" s="1"/>
  <c r="X691" i="7"/>
  <c r="AE691" i="7"/>
  <c r="AD691" i="7"/>
  <c r="AH691" i="7" s="1"/>
  <c r="X690" i="7"/>
  <c r="AB690" i="7"/>
  <c r="AC690" i="7"/>
  <c r="AE690" i="7"/>
  <c r="AD690" i="7"/>
  <c r="AH690" i="7" s="1"/>
  <c r="AB689" i="7"/>
  <c r="AC689" i="7" s="1"/>
  <c r="X689" i="7"/>
  <c r="AE689" i="7"/>
  <c r="AD689" i="7"/>
  <c r="AH689" i="7" s="1"/>
  <c r="AB688" i="7"/>
  <c r="AC688" i="7" s="1"/>
  <c r="X688" i="7"/>
  <c r="AE688" i="7"/>
  <c r="AD688" i="7"/>
  <c r="AH688" i="7" s="1"/>
  <c r="X687" i="7"/>
  <c r="AB687" i="7"/>
  <c r="AC687" i="7"/>
  <c r="AD687" i="7"/>
  <c r="AH687" i="7" s="1"/>
  <c r="AE687" i="7"/>
  <c r="AB686" i="7"/>
  <c r="AC686" i="7" s="1"/>
  <c r="X686" i="7"/>
  <c r="AD686" i="7"/>
  <c r="AH686" i="7" s="1"/>
  <c r="AE686" i="7"/>
  <c r="AB685" i="7"/>
  <c r="AC685" i="7" s="1"/>
  <c r="X685" i="7"/>
  <c r="AE685" i="7"/>
  <c r="AD685" i="7"/>
  <c r="AH685" i="7" s="1"/>
  <c r="AB684" i="7"/>
  <c r="AC684" i="7" s="1"/>
  <c r="X684" i="7"/>
  <c r="AE684" i="7"/>
  <c r="AD684" i="7"/>
  <c r="AH684" i="7" s="1"/>
  <c r="AB683" i="7"/>
  <c r="AC683" i="7" s="1"/>
  <c r="X683" i="7"/>
  <c r="AE683" i="7"/>
  <c r="AD683" i="7"/>
  <c r="AH683" i="7" s="1"/>
  <c r="AB682" i="7"/>
  <c r="X682" i="7"/>
  <c r="AC682" i="7"/>
  <c r="AE682" i="7"/>
  <c r="AD682" i="7"/>
  <c r="AH682" i="7" s="1"/>
  <c r="AB681" i="7"/>
  <c r="AC681" i="7" s="1"/>
  <c r="X681" i="7"/>
  <c r="AE681" i="7"/>
  <c r="AD681" i="7"/>
  <c r="AH681" i="7" s="1"/>
  <c r="AB680" i="7"/>
  <c r="AC680" i="7" s="1"/>
  <c r="X680" i="7"/>
  <c r="AE680" i="7"/>
  <c r="AD680" i="7"/>
  <c r="AH680" i="7" s="1"/>
  <c r="X679" i="7"/>
  <c r="AB679" i="7"/>
  <c r="AC679" i="7" s="1"/>
  <c r="AD679" i="7"/>
  <c r="AH679" i="7" s="1"/>
  <c r="AE679" i="7"/>
  <c r="AB678" i="7"/>
  <c r="AC678" i="7" s="1"/>
  <c r="X678" i="7"/>
  <c r="AE678" i="7"/>
  <c r="AD678" i="7"/>
  <c r="AH678" i="7" s="1"/>
  <c r="AB677" i="7"/>
  <c r="AC677" i="7" s="1"/>
  <c r="X677" i="7"/>
  <c r="AE677" i="7"/>
  <c r="AD677" i="7"/>
  <c r="AH677" i="7" s="1"/>
  <c r="X676" i="7"/>
  <c r="AB676" i="7"/>
  <c r="AC676" i="7"/>
  <c r="AD676" i="7"/>
  <c r="AH676" i="7" s="1"/>
  <c r="AE676" i="7"/>
  <c r="AB675" i="7"/>
  <c r="AC675" i="7" s="1"/>
  <c r="X675" i="7"/>
  <c r="AD675" i="7"/>
  <c r="AH675" i="7" s="1"/>
  <c r="AE675" i="7"/>
  <c r="AB674" i="7"/>
  <c r="AC674" i="7" s="1"/>
  <c r="X674" i="7"/>
  <c r="AE674" i="7"/>
  <c r="AD674" i="7"/>
  <c r="AH674" i="7" s="1"/>
  <c r="AB673" i="7"/>
  <c r="AC673" i="7" s="1"/>
  <c r="X673" i="7"/>
  <c r="AE673" i="7"/>
  <c r="AD673" i="7"/>
  <c r="AH673" i="7" s="1"/>
  <c r="AB672" i="7"/>
  <c r="X672" i="7"/>
  <c r="AC672" i="7"/>
  <c r="AE672" i="7"/>
  <c r="AD672" i="7"/>
  <c r="AH672" i="7" s="1"/>
  <c r="AB671" i="7"/>
  <c r="AC671" i="7" s="1"/>
  <c r="X671" i="7"/>
  <c r="AE671" i="7"/>
  <c r="AD671" i="7"/>
  <c r="AH671" i="7" s="1"/>
  <c r="AB670" i="7"/>
  <c r="AC670" i="7" s="1"/>
  <c r="X670" i="7"/>
  <c r="AE670" i="7"/>
  <c r="AD670" i="7"/>
  <c r="AH670" i="7" s="1"/>
  <c r="AB669" i="7"/>
  <c r="AC669" i="7" s="1"/>
  <c r="AF669" i="7" s="1"/>
  <c r="AG669" i="7" s="1"/>
  <c r="X669" i="7"/>
  <c r="AE669" i="7"/>
  <c r="AD669" i="7"/>
  <c r="X668" i="7"/>
  <c r="AB668" i="7"/>
  <c r="AC668" i="7" s="1"/>
  <c r="AE668" i="7"/>
  <c r="AD668" i="7"/>
  <c r="AH668" i="7" s="1"/>
  <c r="X667" i="7"/>
  <c r="AB667" i="7"/>
  <c r="AC667" i="7"/>
  <c r="AE667" i="7"/>
  <c r="AD667" i="7"/>
  <c r="AH667" i="7" s="1"/>
  <c r="AB666" i="7"/>
  <c r="AC666" i="7" s="1"/>
  <c r="X666" i="7"/>
  <c r="AD666" i="7"/>
  <c r="AH666" i="7" s="1"/>
  <c r="AE666" i="7"/>
  <c r="AB665" i="7"/>
  <c r="AC665" i="7" s="1"/>
  <c r="X665" i="7"/>
  <c r="AD665" i="7"/>
  <c r="AH665" i="7" s="1"/>
  <c r="AE665" i="7"/>
  <c r="AB664" i="7"/>
  <c r="AC664" i="7" s="1"/>
  <c r="X664" i="7"/>
  <c r="AD664" i="7"/>
  <c r="AH664" i="7" s="1"/>
  <c r="AE664" i="7"/>
  <c r="AB663" i="7"/>
  <c r="AC663" i="7" s="1"/>
  <c r="X663" i="7"/>
  <c r="AE663" i="7"/>
  <c r="AD663" i="7"/>
  <c r="AH663" i="7" s="1"/>
  <c r="AB662" i="7"/>
  <c r="AC662" i="7" s="1"/>
  <c r="X662" i="7"/>
  <c r="AE662" i="7"/>
  <c r="AD662" i="7"/>
  <c r="AH662" i="7" s="1"/>
  <c r="AB661" i="7"/>
  <c r="AC661" i="7" s="1"/>
  <c r="X661" i="7"/>
  <c r="AD661" i="7"/>
  <c r="AH661" i="7" s="1"/>
  <c r="AE661" i="7"/>
  <c r="AB660" i="7"/>
  <c r="AC660" i="7" s="1"/>
  <c r="X660" i="7"/>
  <c r="AE660" i="7"/>
  <c r="AD660" i="7"/>
  <c r="AH660" i="7" s="1"/>
  <c r="AB659" i="7"/>
  <c r="AC659" i="7" s="1"/>
  <c r="X659" i="7"/>
  <c r="AD659" i="7"/>
  <c r="AH659" i="7" s="1"/>
  <c r="AE659" i="7"/>
  <c r="AB658" i="7"/>
  <c r="AC658" i="7" s="1"/>
  <c r="X658" i="7"/>
  <c r="AE658" i="7"/>
  <c r="AD658" i="7"/>
  <c r="AH658" i="7" s="1"/>
  <c r="X657" i="7"/>
  <c r="AB657" i="7"/>
  <c r="AC657" i="7"/>
  <c r="AD657" i="7"/>
  <c r="AH657" i="7" s="1"/>
  <c r="AE657" i="7"/>
  <c r="AB656" i="7"/>
  <c r="AC656" i="7" s="1"/>
  <c r="X656" i="7"/>
  <c r="AE656" i="7"/>
  <c r="AD656" i="7"/>
  <c r="AH656" i="7" s="1"/>
  <c r="AB655" i="7"/>
  <c r="AC655" i="7" s="1"/>
  <c r="X655" i="7"/>
  <c r="AE655" i="7"/>
  <c r="AD655" i="7"/>
  <c r="AH655" i="7" s="1"/>
  <c r="AB654" i="7"/>
  <c r="X654" i="7"/>
  <c r="AC654" i="7"/>
  <c r="AD654" i="7"/>
  <c r="AH654" i="7" s="1"/>
  <c r="AE654" i="7"/>
  <c r="X653" i="7"/>
  <c r="AB653" i="7"/>
  <c r="AC653" i="7" s="1"/>
  <c r="AE653" i="7"/>
  <c r="AD653" i="7"/>
  <c r="AH653" i="7" s="1"/>
  <c r="AB652" i="7"/>
  <c r="AC652" i="7" s="1"/>
  <c r="X652" i="7"/>
  <c r="AE652" i="7"/>
  <c r="AD652" i="7"/>
  <c r="AH652" i="7" s="1"/>
  <c r="AB651" i="7"/>
  <c r="AC651" i="7" s="1"/>
  <c r="X651" i="7"/>
  <c r="AE651" i="7"/>
  <c r="AD651" i="7"/>
  <c r="AH651" i="7" s="1"/>
  <c r="AB650" i="7"/>
  <c r="X650" i="7"/>
  <c r="AC650" i="7"/>
  <c r="AE650" i="7"/>
  <c r="AD650" i="7"/>
  <c r="AH650" i="7" s="1"/>
  <c r="AB649" i="7"/>
  <c r="AC649" i="7" s="1"/>
  <c r="X649" i="7"/>
  <c r="AE649" i="7"/>
  <c r="AD649" i="7"/>
  <c r="AH649" i="7" s="1"/>
  <c r="AB648" i="7"/>
  <c r="AC648" i="7" s="1"/>
  <c r="X648" i="7"/>
  <c r="AE648" i="7"/>
  <c r="AD648" i="7"/>
  <c r="AH648" i="7" s="1"/>
  <c r="AB647" i="7"/>
  <c r="AC647" i="7" s="1"/>
  <c r="X647" i="7"/>
  <c r="AD647" i="7"/>
  <c r="AH647" i="7" s="1"/>
  <c r="AE647" i="7"/>
  <c r="X646" i="7"/>
  <c r="AB646" i="7"/>
  <c r="AC646" i="7" s="1"/>
  <c r="AD646" i="7"/>
  <c r="AH646" i="7" s="1"/>
  <c r="AE646" i="7"/>
  <c r="AB645" i="7"/>
  <c r="AC645" i="7" s="1"/>
  <c r="X645" i="7"/>
  <c r="AE645" i="7"/>
  <c r="AD645" i="7"/>
  <c r="AH645" i="7" s="1"/>
  <c r="AB644" i="7"/>
  <c r="AC644" i="7" s="1"/>
  <c r="X644" i="7"/>
  <c r="AE644" i="7"/>
  <c r="AD644" i="7"/>
  <c r="AH644" i="7" s="1"/>
  <c r="AB643" i="7"/>
  <c r="AC643" i="7" s="1"/>
  <c r="X643" i="7"/>
  <c r="AE643" i="7"/>
  <c r="AD643" i="7"/>
  <c r="AH643" i="7" s="1"/>
  <c r="AB642" i="7"/>
  <c r="AC642" i="7" s="1"/>
  <c r="X642" i="7"/>
  <c r="AE642" i="7"/>
  <c r="AD642" i="7"/>
  <c r="AH642" i="7" s="1"/>
  <c r="AB641" i="7"/>
  <c r="X641" i="7"/>
  <c r="AC641" i="7"/>
  <c r="AD641" i="7"/>
  <c r="AH641" i="7" s="1"/>
  <c r="AE641" i="7"/>
  <c r="AB640" i="7"/>
  <c r="AC640" i="7" s="1"/>
  <c r="X640" i="7"/>
  <c r="AE640" i="7"/>
  <c r="AD640" i="7"/>
  <c r="AH640" i="7" s="1"/>
  <c r="AB639" i="7"/>
  <c r="AC639" i="7" s="1"/>
  <c r="X639" i="7"/>
  <c r="AE639" i="7"/>
  <c r="AD639" i="7"/>
  <c r="AH639" i="7" s="1"/>
  <c r="X638" i="7"/>
  <c r="AB638" i="7"/>
  <c r="AC638" i="7" s="1"/>
  <c r="AD638" i="7"/>
  <c r="AH638" i="7" s="1"/>
  <c r="AE638" i="7"/>
  <c r="AB637" i="7"/>
  <c r="AC637" i="7" s="1"/>
  <c r="X637" i="7"/>
  <c r="AE637" i="7"/>
  <c r="AD637" i="7"/>
  <c r="AH637" i="7" s="1"/>
  <c r="AB636" i="7"/>
  <c r="AC636" i="7" s="1"/>
  <c r="X636" i="7"/>
  <c r="AE636" i="7"/>
  <c r="AD636" i="7"/>
  <c r="AH636" i="7" s="1"/>
  <c r="AB635" i="7"/>
  <c r="X635" i="7"/>
  <c r="AC635" i="7"/>
  <c r="AE635" i="7"/>
  <c r="AD635" i="7"/>
  <c r="AH635" i="7" s="1"/>
  <c r="X634" i="7"/>
  <c r="AB634" i="7"/>
  <c r="AC634" i="7"/>
  <c r="AE634" i="7"/>
  <c r="AD634" i="7"/>
  <c r="AH634" i="7" s="1"/>
  <c r="AB633" i="7"/>
  <c r="AC633" i="7" s="1"/>
  <c r="X633" i="7"/>
  <c r="AE633" i="7"/>
  <c r="AD633" i="7"/>
  <c r="AH633" i="7" s="1"/>
  <c r="X632" i="7"/>
  <c r="AB632" i="7"/>
  <c r="AC632" i="7" s="1"/>
  <c r="AD632" i="7"/>
  <c r="AH632" i="7" s="1"/>
  <c r="AE632" i="7"/>
  <c r="AB631" i="7"/>
  <c r="AC631" i="7" s="1"/>
  <c r="X631" i="7"/>
  <c r="AE631" i="7"/>
  <c r="AD631" i="7"/>
  <c r="AH631" i="7" s="1"/>
  <c r="AB630" i="7"/>
  <c r="X630" i="7"/>
  <c r="AC630" i="7"/>
  <c r="AD630" i="7"/>
  <c r="AH630" i="7" s="1"/>
  <c r="AE630" i="7"/>
  <c r="AB629" i="7"/>
  <c r="AC629" i="7" s="1"/>
  <c r="X629" i="7"/>
  <c r="AE629" i="7"/>
  <c r="AD629" i="7"/>
  <c r="AH629" i="7" s="1"/>
  <c r="X628" i="7"/>
  <c r="AB628" i="7"/>
  <c r="AC628" i="7" s="1"/>
  <c r="AD628" i="7"/>
  <c r="AH628" i="7" s="1"/>
  <c r="AE628" i="7"/>
  <c r="AB627" i="7"/>
  <c r="AC627" i="7" s="1"/>
  <c r="X627" i="7"/>
  <c r="AE627" i="7"/>
  <c r="AD627" i="7"/>
  <c r="AH627" i="7" s="1"/>
  <c r="AB626" i="7"/>
  <c r="AC626" i="7" s="1"/>
  <c r="X626" i="7"/>
  <c r="AE626" i="7"/>
  <c r="AD626" i="7"/>
  <c r="AH626" i="7" s="1"/>
  <c r="AB625" i="7"/>
  <c r="AC625" i="7" s="1"/>
  <c r="X625" i="7"/>
  <c r="AD625" i="7"/>
  <c r="AH625" i="7" s="1"/>
  <c r="AE625" i="7"/>
  <c r="AB624" i="7"/>
  <c r="AC624" i="7" s="1"/>
  <c r="X624" i="7"/>
  <c r="AD624" i="7"/>
  <c r="AH624" i="7" s="1"/>
  <c r="AE624" i="7"/>
  <c r="AB623" i="7"/>
  <c r="AC623" i="7" s="1"/>
  <c r="X623" i="7"/>
  <c r="AE623" i="7"/>
  <c r="AD623" i="7"/>
  <c r="AH623" i="7" s="1"/>
  <c r="AB622" i="7"/>
  <c r="AC622" i="7" s="1"/>
  <c r="X622" i="7"/>
  <c r="AE622" i="7"/>
  <c r="AD622" i="7"/>
  <c r="AH622" i="7" s="1"/>
  <c r="AB621" i="7"/>
  <c r="AC621" i="7" s="1"/>
  <c r="X621" i="7"/>
  <c r="AE621" i="7"/>
  <c r="AD621" i="7"/>
  <c r="AH621" i="7" s="1"/>
  <c r="AB620" i="7"/>
  <c r="AC620" i="7" s="1"/>
  <c r="X620" i="7"/>
  <c r="AE620" i="7"/>
  <c r="AD620" i="7"/>
  <c r="AH620" i="7" s="1"/>
  <c r="AB619" i="7"/>
  <c r="AC619" i="7" s="1"/>
  <c r="X619" i="7"/>
  <c r="AE619" i="7"/>
  <c r="AD619" i="7"/>
  <c r="AH619" i="7" s="1"/>
  <c r="AB618" i="7"/>
  <c r="AC618" i="7" s="1"/>
  <c r="X618" i="7"/>
  <c r="AE618" i="7"/>
  <c r="AD618" i="7"/>
  <c r="AH618" i="7" s="1"/>
  <c r="AB617" i="7"/>
  <c r="X617" i="7"/>
  <c r="AC617" i="7"/>
  <c r="AD617" i="7"/>
  <c r="AH617" i="7" s="1"/>
  <c r="AE617" i="7"/>
  <c r="AB616" i="7"/>
  <c r="AC616" i="7" s="1"/>
  <c r="X616" i="7"/>
  <c r="AE616" i="7"/>
  <c r="AD616" i="7"/>
  <c r="AH616" i="7" s="1"/>
  <c r="AB615" i="7"/>
  <c r="AC615" i="7" s="1"/>
  <c r="X615" i="7"/>
  <c r="AE615" i="7"/>
  <c r="AD615" i="7"/>
  <c r="AH615" i="7" s="1"/>
  <c r="X614" i="7"/>
  <c r="AB614" i="7"/>
  <c r="AC614" i="7" s="1"/>
  <c r="AE614" i="7"/>
  <c r="AD614" i="7"/>
  <c r="AH614" i="7" s="1"/>
  <c r="AB613" i="7"/>
  <c r="AC613" i="7" s="1"/>
  <c r="X613" i="7"/>
  <c r="AE613" i="7"/>
  <c r="AD613" i="7"/>
  <c r="AH613" i="7" s="1"/>
  <c r="AB612" i="7"/>
  <c r="AC612" i="7"/>
  <c r="X612" i="7"/>
  <c r="AE612" i="7"/>
  <c r="AD612" i="7"/>
  <c r="AH612" i="7" s="1"/>
  <c r="AB611" i="7"/>
  <c r="AC611" i="7" s="1"/>
  <c r="X611" i="7"/>
  <c r="AE611" i="7"/>
  <c r="AD611" i="7"/>
  <c r="AH611" i="7" s="1"/>
  <c r="X610" i="7"/>
  <c r="AB610" i="7"/>
  <c r="AC610" i="7" s="1"/>
  <c r="AE610" i="7"/>
  <c r="AD610" i="7"/>
  <c r="AH610" i="7" s="1"/>
  <c r="X609" i="7"/>
  <c r="AB609" i="7"/>
  <c r="AC609" i="7" s="1"/>
  <c r="AE609" i="7"/>
  <c r="AD609" i="7"/>
  <c r="AH609" i="7" s="1"/>
  <c r="X608" i="7"/>
  <c r="AB608" i="7"/>
  <c r="AC608" i="7" s="1"/>
  <c r="AD608" i="7"/>
  <c r="AH608" i="7" s="1"/>
  <c r="AE608" i="7"/>
  <c r="AB607" i="7"/>
  <c r="AC607" i="7" s="1"/>
  <c r="X607" i="7"/>
  <c r="AE607" i="7"/>
  <c r="AD607" i="7"/>
  <c r="AH607" i="7" s="1"/>
  <c r="AB606" i="7"/>
  <c r="AC606" i="7" s="1"/>
  <c r="X606" i="7"/>
  <c r="AD606" i="7"/>
  <c r="AH606" i="7" s="1"/>
  <c r="AE606" i="7"/>
  <c r="AB605" i="7"/>
  <c r="AC605" i="7" s="1"/>
  <c r="X605" i="7"/>
  <c r="AE605" i="7"/>
  <c r="AD605" i="7"/>
  <c r="AH605" i="7" s="1"/>
  <c r="AB604" i="7"/>
  <c r="AC604" i="7" s="1"/>
  <c r="X604" i="7"/>
  <c r="AE604" i="7"/>
  <c r="AD604" i="7"/>
  <c r="AH604" i="7" s="1"/>
  <c r="AB603" i="7"/>
  <c r="AC603" i="7" s="1"/>
  <c r="X603" i="7"/>
  <c r="AD603" i="7"/>
  <c r="AH603" i="7" s="1"/>
  <c r="AE603" i="7"/>
  <c r="X602" i="7"/>
  <c r="AB602" i="7"/>
  <c r="AC602" i="7" s="1"/>
  <c r="AE602" i="7"/>
  <c r="AD602" i="7"/>
  <c r="AH602" i="7" s="1"/>
  <c r="AB601" i="7"/>
  <c r="AC601" i="7" s="1"/>
  <c r="X601" i="7"/>
  <c r="AE601" i="7"/>
  <c r="AD601" i="7"/>
  <c r="AH601" i="7" s="1"/>
  <c r="AB600" i="7"/>
  <c r="AC600" i="7" s="1"/>
  <c r="X600" i="7"/>
  <c r="AE600" i="7"/>
  <c r="AD600" i="7"/>
  <c r="AH600" i="7" s="1"/>
  <c r="X599" i="7"/>
  <c r="AB599" i="7"/>
  <c r="AC599" i="7" s="1"/>
  <c r="AE599" i="7"/>
  <c r="AD599" i="7"/>
  <c r="AH599" i="7" s="1"/>
  <c r="AB598" i="7"/>
  <c r="AC598" i="7" s="1"/>
  <c r="X598" i="7"/>
  <c r="AD598" i="7"/>
  <c r="AH598" i="7" s="1"/>
  <c r="AE598" i="7"/>
  <c r="X597" i="7"/>
  <c r="AB597" i="7"/>
  <c r="AC597" i="7" s="1"/>
  <c r="AE597" i="7"/>
  <c r="AD597" i="7"/>
  <c r="AH597" i="7" s="1"/>
  <c r="AB596" i="7"/>
  <c r="AC596" i="7" s="1"/>
  <c r="X596" i="7"/>
  <c r="AE596" i="7"/>
  <c r="AD596" i="7"/>
  <c r="AH596" i="7" s="1"/>
  <c r="AB595" i="7"/>
  <c r="X595" i="7"/>
  <c r="AC595" i="7"/>
  <c r="AE595" i="7"/>
  <c r="AD595" i="7"/>
  <c r="AH595" i="7" s="1"/>
  <c r="AB594" i="7"/>
  <c r="AC594" i="7" s="1"/>
  <c r="X594" i="7"/>
  <c r="AE594" i="7"/>
  <c r="AD594" i="7"/>
  <c r="AH594" i="7" s="1"/>
  <c r="X593" i="7"/>
  <c r="AB593" i="7"/>
  <c r="AC593" i="7" s="1"/>
  <c r="AE593" i="7"/>
  <c r="AD593" i="7"/>
  <c r="AH593" i="7" s="1"/>
  <c r="AB592" i="7"/>
  <c r="AC592" i="7" s="1"/>
  <c r="X592" i="7"/>
  <c r="AE592" i="7"/>
  <c r="AD592" i="7"/>
  <c r="AH592" i="7" s="1"/>
  <c r="AB591" i="7"/>
  <c r="AC591" i="7" s="1"/>
  <c r="X591" i="7"/>
  <c r="AE591" i="7"/>
  <c r="AD591" i="7"/>
  <c r="AH591" i="7" s="1"/>
  <c r="AB590" i="7"/>
  <c r="AC590" i="7" s="1"/>
  <c r="X590" i="7"/>
  <c r="AE590" i="7"/>
  <c r="AD590" i="7"/>
  <c r="AH590" i="7" s="1"/>
  <c r="X589" i="7"/>
  <c r="AB589" i="7"/>
  <c r="AC589" i="7" s="1"/>
  <c r="AE589" i="7"/>
  <c r="AD589" i="7"/>
  <c r="AH589" i="7" s="1"/>
  <c r="AB588" i="7"/>
  <c r="AC588" i="7" s="1"/>
  <c r="X588" i="7"/>
  <c r="AE588" i="7"/>
  <c r="AD588" i="7"/>
  <c r="AH588" i="7" s="1"/>
  <c r="X587" i="7"/>
  <c r="AB587" i="7"/>
  <c r="AC587" i="7" s="1"/>
  <c r="AF587" i="7" s="1"/>
  <c r="AG587" i="7" s="1"/>
  <c r="AD587" i="7"/>
  <c r="AH587" i="7" s="1"/>
  <c r="AE587" i="7"/>
  <c r="X586" i="7"/>
  <c r="AB586" i="7"/>
  <c r="AC586" i="7"/>
  <c r="AE586" i="7"/>
  <c r="AD586" i="7"/>
  <c r="AH586" i="7" s="1"/>
  <c r="AB585" i="7"/>
  <c r="AC585" i="7" s="1"/>
  <c r="X585" i="7"/>
  <c r="AE585" i="7"/>
  <c r="AD585" i="7"/>
  <c r="AH585" i="7" s="1"/>
  <c r="X584" i="7"/>
  <c r="AB584" i="7"/>
  <c r="AC584" i="7" s="1"/>
  <c r="AD584" i="7"/>
  <c r="AH584" i="7" s="1"/>
  <c r="AE584" i="7"/>
  <c r="AB583" i="7"/>
  <c r="AC583" i="7" s="1"/>
  <c r="X583" i="7"/>
  <c r="AD583" i="7"/>
  <c r="AH583" i="7" s="1"/>
  <c r="AE583" i="7"/>
  <c r="X582" i="7"/>
  <c r="AB582" i="7"/>
  <c r="AC582" i="7" s="1"/>
  <c r="AD582" i="7"/>
  <c r="AH582" i="7" s="1"/>
  <c r="AE582" i="7"/>
  <c r="X581" i="7"/>
  <c r="AB581" i="7"/>
  <c r="AC581" i="7" s="1"/>
  <c r="AE581" i="7"/>
  <c r="AD581" i="7"/>
  <c r="AH581" i="7" s="1"/>
  <c r="X580" i="7"/>
  <c r="AB580" i="7"/>
  <c r="AC580" i="7"/>
  <c r="AE580" i="7"/>
  <c r="AD580" i="7"/>
  <c r="AH580" i="7" s="1"/>
  <c r="X579" i="7"/>
  <c r="AB579" i="7"/>
  <c r="AC579" i="7" s="1"/>
  <c r="AD579" i="7"/>
  <c r="AH579" i="7" s="1"/>
  <c r="AE579" i="7"/>
  <c r="X578" i="7"/>
  <c r="AB578" i="7"/>
  <c r="AC578" i="7"/>
  <c r="AD578" i="7"/>
  <c r="AH578" i="7" s="1"/>
  <c r="AE578" i="7"/>
  <c r="X577" i="7"/>
  <c r="AB577" i="7"/>
  <c r="AC577" i="7" s="1"/>
  <c r="AD577" i="7"/>
  <c r="AH577" i="7" s="1"/>
  <c r="AE577" i="7"/>
  <c r="X576" i="7"/>
  <c r="AB576" i="7"/>
  <c r="AC576" i="7" s="1"/>
  <c r="AE576" i="7"/>
  <c r="AD576" i="7"/>
  <c r="AH576" i="7" s="1"/>
  <c r="AB575" i="7"/>
  <c r="AC575" i="7"/>
  <c r="X575" i="7"/>
  <c r="AD575" i="7"/>
  <c r="AH575" i="7" s="1"/>
  <c r="AE575" i="7"/>
  <c r="AB574" i="7"/>
  <c r="AC574" i="7" s="1"/>
  <c r="X574" i="7"/>
  <c r="AD574" i="7"/>
  <c r="AH574" i="7" s="1"/>
  <c r="AE574" i="7"/>
  <c r="AB573" i="7"/>
  <c r="AC573" i="7" s="1"/>
  <c r="X573" i="7"/>
  <c r="AE573" i="7"/>
  <c r="AD573" i="7"/>
  <c r="AH573" i="7" s="1"/>
  <c r="X572" i="7"/>
  <c r="AB572" i="7"/>
  <c r="AC572" i="7"/>
  <c r="AE572" i="7"/>
  <c r="AD572" i="7"/>
  <c r="AH572" i="7" s="1"/>
  <c r="X571" i="7"/>
  <c r="AB571" i="7"/>
  <c r="AC571" i="7"/>
  <c r="AE571" i="7"/>
  <c r="AD571" i="7"/>
  <c r="AH571" i="7" s="1"/>
  <c r="AB570" i="7"/>
  <c r="AC570" i="7" s="1"/>
  <c r="X570" i="7"/>
  <c r="AE570" i="7"/>
  <c r="AD570" i="7"/>
  <c r="AH570" i="7" s="1"/>
  <c r="X569" i="7"/>
  <c r="AB569" i="7"/>
  <c r="AC569" i="7" s="1"/>
  <c r="AD569" i="7"/>
  <c r="AH569" i="7" s="1"/>
  <c r="AE569" i="7"/>
  <c r="AB568" i="7"/>
  <c r="AC568" i="7" s="1"/>
  <c r="X568" i="7"/>
  <c r="AE568" i="7"/>
  <c r="AD568" i="7"/>
  <c r="AH568" i="7" s="1"/>
  <c r="AB567" i="7"/>
  <c r="X567" i="7"/>
  <c r="AC567" i="7"/>
  <c r="AD567" i="7"/>
  <c r="AH567" i="7" s="1"/>
  <c r="AE567" i="7"/>
  <c r="X566" i="7"/>
  <c r="AB566" i="7"/>
  <c r="AC566" i="7"/>
  <c r="AE566" i="7"/>
  <c r="AD566" i="7"/>
  <c r="AH566" i="7" s="1"/>
  <c r="X565" i="7"/>
  <c r="AB565" i="7"/>
  <c r="AC565" i="7"/>
  <c r="AE565" i="7"/>
  <c r="AD565" i="7"/>
  <c r="AH565" i="7" s="1"/>
  <c r="X564" i="7"/>
  <c r="AB564" i="7"/>
  <c r="AC564" i="7" s="1"/>
  <c r="AD564" i="7"/>
  <c r="AH564" i="7" s="1"/>
  <c r="AE564" i="7"/>
  <c r="AB563" i="7"/>
  <c r="X563" i="7"/>
  <c r="AC563" i="7"/>
  <c r="AE563" i="7"/>
  <c r="AD563" i="7"/>
  <c r="AH563" i="7" s="1"/>
  <c r="X562" i="7"/>
  <c r="AB562" i="7"/>
  <c r="AC562" i="7"/>
  <c r="AE562" i="7"/>
  <c r="AD562" i="7"/>
  <c r="AH562" i="7" s="1"/>
  <c r="X561" i="7"/>
  <c r="AB561" i="7"/>
  <c r="AC561" i="7"/>
  <c r="AD561" i="7"/>
  <c r="AH561" i="7" s="1"/>
  <c r="AE561" i="7"/>
  <c r="AB560" i="7"/>
  <c r="X560" i="7"/>
  <c r="AC560" i="7"/>
  <c r="AD560" i="7"/>
  <c r="AH560" i="7" s="1"/>
  <c r="AE560" i="7"/>
  <c r="X559" i="7"/>
  <c r="AB559" i="7"/>
  <c r="AC559" i="7"/>
  <c r="AD559" i="7"/>
  <c r="AH559" i="7" s="1"/>
  <c r="AE559" i="7"/>
  <c r="X558" i="7"/>
  <c r="AB558" i="7"/>
  <c r="AC558" i="7"/>
  <c r="AD558" i="7"/>
  <c r="AH558" i="7" s="1"/>
  <c r="AE558" i="7"/>
  <c r="X557" i="7"/>
  <c r="AB557" i="7"/>
  <c r="AC557" i="7" s="1"/>
  <c r="AD557" i="7"/>
  <c r="AH557" i="7" s="1"/>
  <c r="AE557" i="7"/>
  <c r="X556" i="7"/>
  <c r="AB556" i="7"/>
  <c r="AC556" i="7" s="1"/>
  <c r="AD556" i="7"/>
  <c r="AH556" i="7" s="1"/>
  <c r="AE556" i="7"/>
  <c r="AB555" i="7"/>
  <c r="AC555" i="7" s="1"/>
  <c r="X555" i="7"/>
  <c r="AE555" i="7"/>
  <c r="AD555" i="7"/>
  <c r="AH555" i="7" s="1"/>
  <c r="AB554" i="7"/>
  <c r="X554" i="7"/>
  <c r="AC554" i="7"/>
  <c r="AE554" i="7"/>
  <c r="AD554" i="7"/>
  <c r="AH554" i="7" s="1"/>
  <c r="X553" i="7"/>
  <c r="AB553" i="7"/>
  <c r="AC553" i="7" s="1"/>
  <c r="AE553" i="7"/>
  <c r="AD553" i="7"/>
  <c r="AH553" i="7" s="1"/>
  <c r="X552" i="7"/>
  <c r="AB552" i="7"/>
  <c r="AC552" i="7"/>
  <c r="AD552" i="7"/>
  <c r="AH552" i="7" s="1"/>
  <c r="AE552" i="7"/>
  <c r="X551" i="7"/>
  <c r="AB551" i="7"/>
  <c r="AC551" i="7"/>
  <c r="AD551" i="7"/>
  <c r="AH551" i="7" s="1"/>
  <c r="AE551" i="7"/>
  <c r="X550" i="7"/>
  <c r="AB550" i="7"/>
  <c r="AC550" i="7"/>
  <c r="AD550" i="7"/>
  <c r="AH550" i="7" s="1"/>
  <c r="AE550" i="7"/>
  <c r="X549" i="7"/>
  <c r="AB549" i="7"/>
  <c r="AC549" i="7"/>
  <c r="AD549" i="7"/>
  <c r="AH549" i="7" s="1"/>
  <c r="AE549" i="7"/>
  <c r="X548" i="7"/>
  <c r="AB548" i="7"/>
  <c r="AC548" i="7" s="1"/>
  <c r="AE548" i="7"/>
  <c r="AD548" i="7"/>
  <c r="AH548" i="7" s="1"/>
  <c r="AB547" i="7"/>
  <c r="AC547" i="7" s="1"/>
  <c r="X547" i="7"/>
  <c r="AE547" i="7"/>
  <c r="AD547" i="7"/>
  <c r="AH547" i="7" s="1"/>
  <c r="X546" i="7"/>
  <c r="AB546" i="7"/>
  <c r="AC546" i="7"/>
  <c r="AD546" i="7"/>
  <c r="AH546" i="7" s="1"/>
  <c r="AE546" i="7"/>
  <c r="AA545" i="7"/>
  <c r="I46" i="8" s="1"/>
  <c r="AB545" i="7"/>
  <c r="AB544" i="7"/>
  <c r="X544" i="7"/>
  <c r="AC544" i="7"/>
  <c r="AE544" i="7"/>
  <c r="AD544" i="7"/>
  <c r="AH544" i="7" s="1"/>
  <c r="AB543" i="7"/>
  <c r="AC543" i="7"/>
  <c r="X543" i="7"/>
  <c r="AD543" i="7"/>
  <c r="AH543" i="7" s="1"/>
  <c r="AE543" i="7"/>
  <c r="AB542" i="7"/>
  <c r="AC542" i="7" s="1"/>
  <c r="X542" i="7"/>
  <c r="AE542" i="7"/>
  <c r="AD542" i="7"/>
  <c r="AH542" i="7" s="1"/>
  <c r="X541" i="7"/>
  <c r="AB541" i="7"/>
  <c r="AC541" i="7" s="1"/>
  <c r="AE541" i="7"/>
  <c r="AD541" i="7"/>
  <c r="AH541" i="7" s="1"/>
  <c r="X540" i="7"/>
  <c r="AB540" i="7"/>
  <c r="AC540" i="7"/>
  <c r="AD540" i="7"/>
  <c r="AH540" i="7" s="1"/>
  <c r="AE540" i="7"/>
  <c r="AB539" i="7"/>
  <c r="AC539" i="7" s="1"/>
  <c r="X539" i="7"/>
  <c r="AE539" i="7"/>
  <c r="AD539" i="7"/>
  <c r="AH539" i="7" s="1"/>
  <c r="AB538" i="7"/>
  <c r="AC538" i="7" s="1"/>
  <c r="X538" i="7"/>
  <c r="AE538" i="7"/>
  <c r="AD538" i="7"/>
  <c r="AH538" i="7" s="1"/>
  <c r="X537" i="7"/>
  <c r="AB537" i="7"/>
  <c r="AC537" i="7" s="1"/>
  <c r="AE537" i="7"/>
  <c r="AD537" i="7"/>
  <c r="AH537" i="7" s="1"/>
  <c r="X536" i="7"/>
  <c r="AB536" i="7"/>
  <c r="AC536" i="7"/>
  <c r="AD536" i="7"/>
  <c r="AH536" i="7" s="1"/>
  <c r="AE536" i="7"/>
  <c r="AB535" i="7"/>
  <c r="AC535" i="7"/>
  <c r="X535" i="7"/>
  <c r="AD535" i="7"/>
  <c r="AH535" i="7" s="1"/>
  <c r="AE535" i="7"/>
  <c r="AB534" i="7"/>
  <c r="X534" i="7"/>
  <c r="AC534" i="7"/>
  <c r="AE534" i="7"/>
  <c r="AD534" i="7"/>
  <c r="AH534" i="7" s="1"/>
  <c r="X533" i="7"/>
  <c r="AB533" i="7"/>
  <c r="AC533" i="7"/>
  <c r="AD533" i="7"/>
  <c r="AH533" i="7" s="1"/>
  <c r="AE533" i="7"/>
  <c r="AB532" i="7"/>
  <c r="X532" i="7"/>
  <c r="AC532" i="7"/>
  <c r="AD532" i="7"/>
  <c r="AH532" i="7" s="1"/>
  <c r="AE532" i="7"/>
  <c r="AB531" i="7"/>
  <c r="AC531" i="7"/>
  <c r="X531" i="7"/>
  <c r="AD531" i="7"/>
  <c r="AH531" i="7" s="1"/>
  <c r="AE531" i="7"/>
  <c r="X530" i="7"/>
  <c r="AB530" i="7"/>
  <c r="AC530" i="7" s="1"/>
  <c r="AE530" i="7"/>
  <c r="AD530" i="7"/>
  <c r="AH530" i="7" s="1"/>
  <c r="AB529" i="7"/>
  <c r="AC529" i="7" s="1"/>
  <c r="X529" i="7"/>
  <c r="AE529" i="7"/>
  <c r="AD529" i="7"/>
  <c r="AH529" i="7" s="1"/>
  <c r="X528" i="7"/>
  <c r="AB528" i="7"/>
  <c r="AC528" i="7" s="1"/>
  <c r="AE528" i="7"/>
  <c r="AD528" i="7"/>
  <c r="AH528" i="7" s="1"/>
  <c r="AB527" i="7"/>
  <c r="AC527" i="7" s="1"/>
  <c r="X527" i="7"/>
  <c r="AD527" i="7"/>
  <c r="AH527" i="7" s="1"/>
  <c r="AE527" i="7"/>
  <c r="AB526" i="7"/>
  <c r="AC526" i="7" s="1"/>
  <c r="X526" i="7"/>
  <c r="AE526" i="7"/>
  <c r="AD526" i="7"/>
  <c r="AH526" i="7" s="1"/>
  <c r="AB525" i="7"/>
  <c r="AC525" i="7" s="1"/>
  <c r="X525" i="7"/>
  <c r="AE525" i="7"/>
  <c r="AD525" i="7"/>
  <c r="AH525" i="7" s="1"/>
  <c r="AB524" i="7"/>
  <c r="X524" i="7"/>
  <c r="AC524" i="7"/>
  <c r="AD524" i="7"/>
  <c r="AH524" i="7" s="1"/>
  <c r="AE524" i="7"/>
  <c r="AB523" i="7"/>
  <c r="X523" i="7"/>
  <c r="AC523" i="7"/>
  <c r="AD523" i="7"/>
  <c r="AH523" i="7" s="1"/>
  <c r="AE523" i="7"/>
  <c r="AB522" i="7"/>
  <c r="X522" i="7"/>
  <c r="AC522" i="7"/>
  <c r="AD522" i="7"/>
  <c r="AH522" i="7" s="1"/>
  <c r="AE522" i="7"/>
  <c r="X521" i="7"/>
  <c r="AB521" i="7"/>
  <c r="AC521" i="7" s="1"/>
  <c r="AE521" i="7"/>
  <c r="AD521" i="7"/>
  <c r="AH521" i="7" s="1"/>
  <c r="AB520" i="7"/>
  <c r="AC520" i="7" s="1"/>
  <c r="X520" i="7"/>
  <c r="AE520" i="7"/>
  <c r="AD520" i="7"/>
  <c r="AH520" i="7" s="1"/>
  <c r="AB519" i="7"/>
  <c r="AC519" i="7" s="1"/>
  <c r="X519" i="7"/>
  <c r="AE519" i="7"/>
  <c r="AD519" i="7"/>
  <c r="AH519" i="7" s="1"/>
  <c r="AB518" i="7"/>
  <c r="AC518" i="7" s="1"/>
  <c r="X518" i="7"/>
  <c r="AE518" i="7"/>
  <c r="AD518" i="7"/>
  <c r="AH518" i="7" s="1"/>
  <c r="AB517" i="7"/>
  <c r="AC517" i="7" s="1"/>
  <c r="X517" i="7"/>
  <c r="AE517" i="7"/>
  <c r="AD517" i="7"/>
  <c r="AH517" i="7" s="1"/>
  <c r="X516" i="7"/>
  <c r="AB516" i="7"/>
  <c r="AC516" i="7" s="1"/>
  <c r="AE516" i="7"/>
  <c r="AD516" i="7"/>
  <c r="AH516" i="7" s="1"/>
  <c r="AB515" i="7"/>
  <c r="AC515" i="7" s="1"/>
  <c r="X515" i="7"/>
  <c r="AE515" i="7"/>
  <c r="AD515" i="7"/>
  <c r="AH515" i="7" s="1"/>
  <c r="AB514" i="7"/>
  <c r="AC514" i="7" s="1"/>
  <c r="X514" i="7"/>
  <c r="AE514" i="7"/>
  <c r="AD514" i="7"/>
  <c r="AH514" i="7" s="1"/>
  <c r="AB513" i="7"/>
  <c r="AC513" i="7" s="1"/>
  <c r="X513" i="7"/>
  <c r="AE513" i="7"/>
  <c r="AD513" i="7"/>
  <c r="AH513" i="7" s="1"/>
  <c r="X512" i="7"/>
  <c r="AB512" i="7"/>
  <c r="AC512" i="7" s="1"/>
  <c r="AE512" i="7"/>
  <c r="AD512" i="7"/>
  <c r="AH512" i="7" s="1"/>
  <c r="X511" i="7"/>
  <c r="AB511" i="7"/>
  <c r="AC511" i="7" s="1"/>
  <c r="AE511" i="7"/>
  <c r="AD511" i="7"/>
  <c r="AH511" i="7" s="1"/>
  <c r="AB510" i="7"/>
  <c r="AC510" i="7" s="1"/>
  <c r="X510" i="7"/>
  <c r="AE510" i="7"/>
  <c r="AD510" i="7"/>
  <c r="AH510" i="7" s="1"/>
  <c r="AB509" i="7"/>
  <c r="AC509" i="7"/>
  <c r="X509" i="7"/>
  <c r="AE509" i="7"/>
  <c r="AD509" i="7"/>
  <c r="AH509" i="7" s="1"/>
  <c r="AB508" i="7"/>
  <c r="X508" i="7"/>
  <c r="AC508" i="7"/>
  <c r="AD508" i="7"/>
  <c r="AH508" i="7" s="1"/>
  <c r="AE508" i="7"/>
  <c r="X507" i="7"/>
  <c r="AB507" i="7"/>
  <c r="AC507" i="7"/>
  <c r="AD507" i="7"/>
  <c r="AH507" i="7" s="1"/>
  <c r="AE507" i="7"/>
  <c r="AB506" i="7"/>
  <c r="AC506" i="7" s="1"/>
  <c r="X506" i="7"/>
  <c r="AE506" i="7"/>
  <c r="AD506" i="7"/>
  <c r="AH506" i="7" s="1"/>
  <c r="AB505" i="7"/>
  <c r="AC505" i="7" s="1"/>
  <c r="X505" i="7"/>
  <c r="AE505" i="7"/>
  <c r="AD505" i="7"/>
  <c r="AH505" i="7" s="1"/>
  <c r="AB504" i="7"/>
  <c r="AC504" i="7" s="1"/>
  <c r="X504" i="7"/>
  <c r="AE504" i="7"/>
  <c r="AD504" i="7"/>
  <c r="AH504" i="7" s="1"/>
  <c r="AB503" i="7"/>
  <c r="AC503" i="7" s="1"/>
  <c r="X503" i="7"/>
  <c r="AD503" i="7"/>
  <c r="AH503" i="7" s="1"/>
  <c r="AE503" i="7"/>
  <c r="AB502" i="7"/>
  <c r="AC502" i="7" s="1"/>
  <c r="X502" i="7"/>
  <c r="AE502" i="7"/>
  <c r="AD502" i="7"/>
  <c r="AH502" i="7" s="1"/>
  <c r="AB501" i="7"/>
  <c r="AC501" i="7" s="1"/>
  <c r="X501" i="7"/>
  <c r="AE501" i="7"/>
  <c r="AD501" i="7"/>
  <c r="AH501" i="7" s="1"/>
  <c r="X500" i="7"/>
  <c r="AB500" i="7"/>
  <c r="AC500" i="7" s="1"/>
  <c r="AE500" i="7"/>
  <c r="AD500" i="7"/>
  <c r="AH500" i="7" s="1"/>
  <c r="AB499" i="7"/>
  <c r="AC499" i="7" s="1"/>
  <c r="X499" i="7"/>
  <c r="AE499" i="7"/>
  <c r="AD499" i="7"/>
  <c r="AH499" i="7" s="1"/>
  <c r="AB498" i="7"/>
  <c r="AC498" i="7" s="1"/>
  <c r="X498" i="7"/>
  <c r="AE498" i="7"/>
  <c r="AD498" i="7"/>
  <c r="AH498" i="7" s="1"/>
  <c r="AB497" i="7"/>
  <c r="AC497" i="7" s="1"/>
  <c r="X497" i="7"/>
  <c r="AE497" i="7"/>
  <c r="AD497" i="7"/>
  <c r="AH497" i="7" s="1"/>
  <c r="X496" i="7"/>
  <c r="AB496" i="7"/>
  <c r="AC496" i="7" s="1"/>
  <c r="AE496" i="7"/>
  <c r="AD496" i="7"/>
  <c r="AH496" i="7" s="1"/>
  <c r="AB495" i="7"/>
  <c r="AC495" i="7" s="1"/>
  <c r="X495" i="7"/>
  <c r="AE495" i="7"/>
  <c r="AD495" i="7"/>
  <c r="AH495" i="7" s="1"/>
  <c r="AB494" i="7"/>
  <c r="AC494" i="7" s="1"/>
  <c r="X494" i="7"/>
  <c r="AE494" i="7"/>
  <c r="AD494" i="7"/>
  <c r="AH494" i="7" s="1"/>
  <c r="AB493" i="7"/>
  <c r="AC493" i="7" s="1"/>
  <c r="X493" i="7"/>
  <c r="AE493" i="7"/>
  <c r="AD493" i="7"/>
  <c r="AH493" i="7" s="1"/>
  <c r="AB492" i="7"/>
  <c r="AC492" i="7" s="1"/>
  <c r="X492" i="7"/>
  <c r="AE492" i="7"/>
  <c r="AD492" i="7"/>
  <c r="AH492" i="7" s="1"/>
  <c r="AB491" i="7"/>
  <c r="AC491" i="7" s="1"/>
  <c r="X491" i="7"/>
  <c r="AD491" i="7"/>
  <c r="AH491" i="7" s="1"/>
  <c r="AE491" i="7"/>
  <c r="AB490" i="7"/>
  <c r="AC490" i="7" s="1"/>
  <c r="X490" i="7"/>
  <c r="AE490" i="7"/>
  <c r="AD490" i="7"/>
  <c r="AH490" i="7" s="1"/>
  <c r="AB489" i="7"/>
  <c r="AC489" i="7" s="1"/>
  <c r="X489" i="7"/>
  <c r="AD489" i="7"/>
  <c r="AH489" i="7" s="1"/>
  <c r="AE489" i="7"/>
  <c r="AB488" i="7"/>
  <c r="AC488" i="7" s="1"/>
  <c r="X488" i="7"/>
  <c r="AD488" i="7"/>
  <c r="AH488" i="7" s="1"/>
  <c r="AE488" i="7"/>
  <c r="X487" i="7"/>
  <c r="AB487" i="7"/>
  <c r="AC487" i="7" s="1"/>
  <c r="AD487" i="7"/>
  <c r="AH487" i="7" s="1"/>
  <c r="AE487" i="7"/>
  <c r="X486" i="7"/>
  <c r="AB486" i="7"/>
  <c r="AC486" i="7"/>
  <c r="AD486" i="7"/>
  <c r="AH486" i="7" s="1"/>
  <c r="AE486" i="7"/>
  <c r="AB485" i="7"/>
  <c r="AC485" i="7" s="1"/>
  <c r="X485" i="7"/>
  <c r="AE485" i="7"/>
  <c r="AD485" i="7"/>
  <c r="AH485" i="7" s="1"/>
  <c r="AB484" i="7"/>
  <c r="AC484" i="7" s="1"/>
  <c r="X484" i="7"/>
  <c r="AD484" i="7"/>
  <c r="AH484" i="7" s="1"/>
  <c r="AE484" i="7"/>
  <c r="AB483" i="7"/>
  <c r="AC483" i="7" s="1"/>
  <c r="X483" i="7"/>
  <c r="AE483" i="7"/>
  <c r="AD483" i="7"/>
  <c r="AH483" i="7" s="1"/>
  <c r="AB482" i="7"/>
  <c r="AC482" i="7"/>
  <c r="X482" i="7"/>
  <c r="AE482" i="7"/>
  <c r="AD482" i="7"/>
  <c r="AH482" i="7" s="1"/>
  <c r="AB481" i="7"/>
  <c r="AC481" i="7" s="1"/>
  <c r="X481" i="7"/>
  <c r="AE481" i="7"/>
  <c r="AD481" i="7"/>
  <c r="AH481" i="7" s="1"/>
  <c r="AB480" i="7"/>
  <c r="AC480" i="7"/>
  <c r="X480" i="7"/>
  <c r="AD480" i="7"/>
  <c r="AH480" i="7" s="1"/>
  <c r="AE480" i="7"/>
  <c r="AB479" i="7"/>
  <c r="AC479" i="7" s="1"/>
  <c r="X479" i="7"/>
  <c r="AE479" i="7"/>
  <c r="AD479" i="7"/>
  <c r="AH479" i="7" s="1"/>
  <c r="AB478" i="7"/>
  <c r="AC478" i="7" s="1"/>
  <c r="X478" i="7"/>
  <c r="AD478" i="7"/>
  <c r="AH478" i="7" s="1"/>
  <c r="AE478" i="7"/>
  <c r="AB477" i="7"/>
  <c r="AC477" i="7"/>
  <c r="X477" i="7"/>
  <c r="AE477" i="7"/>
  <c r="AD477" i="7"/>
  <c r="AH477" i="7" s="1"/>
  <c r="AB476" i="7"/>
  <c r="AC476" i="7" s="1"/>
  <c r="X476" i="7"/>
  <c r="AE476" i="7"/>
  <c r="AD476" i="7"/>
  <c r="AH476" i="7" s="1"/>
  <c r="AB475" i="7"/>
  <c r="AC475" i="7"/>
  <c r="X475" i="7"/>
  <c r="AD475" i="7"/>
  <c r="AH475" i="7" s="1"/>
  <c r="AE475" i="7"/>
  <c r="AB474" i="7"/>
  <c r="AC474" i="7" s="1"/>
  <c r="X474" i="7"/>
  <c r="AE474" i="7"/>
  <c r="AD474" i="7"/>
  <c r="AH474" i="7" s="1"/>
  <c r="AB473" i="7"/>
  <c r="AC473" i="7" s="1"/>
  <c r="X473" i="7"/>
  <c r="AD473" i="7"/>
  <c r="AH473" i="7" s="1"/>
  <c r="AE473" i="7"/>
  <c r="AB472" i="7"/>
  <c r="AC472" i="7" s="1"/>
  <c r="X472" i="7"/>
  <c r="AE472" i="7"/>
  <c r="AD472" i="7"/>
  <c r="AH472" i="7" s="1"/>
  <c r="AB471" i="7"/>
  <c r="AC471" i="7" s="1"/>
  <c r="X471" i="7"/>
  <c r="AE471" i="7"/>
  <c r="AD471" i="7"/>
  <c r="AH471" i="7" s="1"/>
  <c r="AB470" i="7"/>
  <c r="AC470" i="7"/>
  <c r="X470" i="7"/>
  <c r="AD470" i="7"/>
  <c r="AH470" i="7" s="1"/>
  <c r="AE470" i="7"/>
  <c r="AB469" i="7"/>
  <c r="AC469" i="7" s="1"/>
  <c r="X469" i="7"/>
  <c r="AE469" i="7"/>
  <c r="AD469" i="7"/>
  <c r="AH469" i="7" s="1"/>
  <c r="AB468" i="7"/>
  <c r="AC468" i="7" s="1"/>
  <c r="X468" i="7"/>
  <c r="AE468" i="7"/>
  <c r="AD468" i="7"/>
  <c r="AH468" i="7" s="1"/>
  <c r="AB467" i="7"/>
  <c r="AC467" i="7" s="1"/>
  <c r="X467" i="7"/>
  <c r="AE467" i="7"/>
  <c r="AD467" i="7"/>
  <c r="AH467" i="7" s="1"/>
  <c r="X466" i="7"/>
  <c r="AB466" i="7"/>
  <c r="AC466" i="7"/>
  <c r="AE466" i="7"/>
  <c r="AD466" i="7"/>
  <c r="AH466" i="7" s="1"/>
  <c r="AB465" i="7"/>
  <c r="AC465" i="7" s="1"/>
  <c r="X465" i="7"/>
  <c r="AD465" i="7"/>
  <c r="AH465" i="7" s="1"/>
  <c r="AE465" i="7"/>
  <c r="AB464" i="7"/>
  <c r="AC464" i="7" s="1"/>
  <c r="X464" i="7"/>
  <c r="AD464" i="7"/>
  <c r="AH464" i="7" s="1"/>
  <c r="AE464" i="7"/>
  <c r="AB463" i="7"/>
  <c r="AC463" i="7" s="1"/>
  <c r="X463" i="7"/>
  <c r="AD463" i="7"/>
  <c r="AH463" i="7" s="1"/>
  <c r="AE463" i="7"/>
  <c r="AB462" i="7"/>
  <c r="AC462" i="7" s="1"/>
  <c r="X462" i="7"/>
  <c r="AD462" i="7"/>
  <c r="AH462" i="7" s="1"/>
  <c r="AE462" i="7"/>
  <c r="AB461" i="7"/>
  <c r="AC461" i="7" s="1"/>
  <c r="X461" i="7"/>
  <c r="AD461" i="7"/>
  <c r="AH461" i="7" s="1"/>
  <c r="AE461" i="7"/>
  <c r="AB460" i="7"/>
  <c r="AC460" i="7" s="1"/>
  <c r="X460" i="7"/>
  <c r="AD460" i="7"/>
  <c r="AH460" i="7" s="1"/>
  <c r="AE460" i="7"/>
  <c r="AB459" i="7"/>
  <c r="X459" i="7"/>
  <c r="AD459" i="7"/>
  <c r="AH459" i="7" s="1"/>
  <c r="AE459" i="7"/>
  <c r="X458" i="7"/>
  <c r="AB458" i="7"/>
  <c r="AC458" i="7"/>
  <c r="AE458" i="7"/>
  <c r="AD458" i="7"/>
  <c r="AH458" i="7" s="1"/>
  <c r="X457" i="7"/>
  <c r="AB457" i="7"/>
  <c r="AC457" i="7" s="1"/>
  <c r="AE457" i="7"/>
  <c r="AD457" i="7"/>
  <c r="AH457" i="7" s="1"/>
  <c r="X456" i="7"/>
  <c r="AB456" i="7"/>
  <c r="AC456" i="7"/>
  <c r="AE456" i="7"/>
  <c r="AD456" i="7"/>
  <c r="AH456" i="7" s="1"/>
  <c r="AB455" i="7"/>
  <c r="AC455" i="7" s="1"/>
  <c r="X455" i="7"/>
  <c r="AE455" i="7"/>
  <c r="AD455" i="7"/>
  <c r="AH455" i="7" s="1"/>
  <c r="X454" i="7"/>
  <c r="AB454" i="7"/>
  <c r="AC454" i="7" s="1"/>
  <c r="AE454" i="7"/>
  <c r="AD454" i="7"/>
  <c r="AH454" i="7" s="1"/>
  <c r="AB453" i="7"/>
  <c r="AC453" i="7" s="1"/>
  <c r="X453" i="7"/>
  <c r="AE453" i="7"/>
  <c r="AD453" i="7"/>
  <c r="AH453" i="7" s="1"/>
  <c r="AB452" i="7"/>
  <c r="AC452" i="7" s="1"/>
  <c r="X452" i="7"/>
  <c r="AE452" i="7"/>
  <c r="AD452" i="7"/>
  <c r="AH452" i="7" s="1"/>
  <c r="X451" i="7"/>
  <c r="AB451" i="7"/>
  <c r="AC451" i="7" s="1"/>
  <c r="AE451" i="7"/>
  <c r="AD451" i="7"/>
  <c r="AH451" i="7" s="1"/>
  <c r="AB450" i="7"/>
  <c r="AC450" i="7" s="1"/>
  <c r="X450" i="7"/>
  <c r="AE450" i="7"/>
  <c r="AD450" i="7"/>
  <c r="AH450" i="7" s="1"/>
  <c r="X449" i="7"/>
  <c r="AB449" i="7"/>
  <c r="AC449" i="7"/>
  <c r="AE449" i="7"/>
  <c r="AD449" i="7"/>
  <c r="AH449" i="7" s="1"/>
  <c r="AB448" i="7"/>
  <c r="X448" i="7"/>
  <c r="AC448" i="7"/>
  <c r="AE448" i="7"/>
  <c r="AD448" i="7"/>
  <c r="AH448" i="7" s="1"/>
  <c r="AB447" i="7"/>
  <c r="AC447" i="7"/>
  <c r="X447" i="7"/>
  <c r="AD447" i="7"/>
  <c r="AH447" i="7" s="1"/>
  <c r="AE447" i="7"/>
  <c r="X446" i="7"/>
  <c r="AB446" i="7"/>
  <c r="AC446" i="7"/>
  <c r="AD446" i="7"/>
  <c r="AH446" i="7" s="1"/>
  <c r="AE446" i="7"/>
  <c r="X445" i="7"/>
  <c r="AB445" i="7"/>
  <c r="AC445" i="7"/>
  <c r="AD445" i="7"/>
  <c r="AH445" i="7" s="1"/>
  <c r="AE445" i="7"/>
  <c r="AB444" i="7"/>
  <c r="AC444" i="7" s="1"/>
  <c r="X444" i="7"/>
  <c r="AE444" i="7"/>
  <c r="AD444" i="7"/>
  <c r="AH444" i="7" s="1"/>
  <c r="AB443" i="7"/>
  <c r="AC443" i="7" s="1"/>
  <c r="X443" i="7"/>
  <c r="AE443" i="7"/>
  <c r="AD443" i="7"/>
  <c r="AH443" i="7" s="1"/>
  <c r="X442" i="7"/>
  <c r="AB442" i="7"/>
  <c r="AC442" i="7" s="1"/>
  <c r="AD442" i="7"/>
  <c r="AH442" i="7" s="1"/>
  <c r="AE442" i="7"/>
  <c r="X441" i="7"/>
  <c r="AB441" i="7"/>
  <c r="AC441" i="7" s="1"/>
  <c r="AD441" i="7"/>
  <c r="AH441" i="7" s="1"/>
  <c r="AE441" i="7"/>
  <c r="AB440" i="7"/>
  <c r="X440" i="7"/>
  <c r="AC440" i="7"/>
  <c r="AE440" i="7"/>
  <c r="AD440" i="7"/>
  <c r="AH440" i="7" s="1"/>
  <c r="AB439" i="7"/>
  <c r="AC439" i="7" s="1"/>
  <c r="X439" i="7"/>
  <c r="AD439" i="7"/>
  <c r="AH439" i="7" s="1"/>
  <c r="AE439" i="7"/>
  <c r="AB438" i="7"/>
  <c r="AC438" i="7" s="1"/>
  <c r="X438" i="7"/>
  <c r="AD438" i="7"/>
  <c r="AH438" i="7" s="1"/>
  <c r="AE438" i="7"/>
  <c r="AB437" i="7"/>
  <c r="X437" i="7"/>
  <c r="AC437" i="7"/>
  <c r="AE437" i="7"/>
  <c r="AD437" i="7"/>
  <c r="AH437" i="7" s="1"/>
  <c r="AB436" i="7"/>
  <c r="AC436" i="7" s="1"/>
  <c r="X436" i="7"/>
  <c r="AE436" i="7"/>
  <c r="AD436" i="7"/>
  <c r="AH436" i="7" s="1"/>
  <c r="X435" i="7"/>
  <c r="AB435" i="7"/>
  <c r="AC435" i="7"/>
  <c r="AE435" i="7"/>
  <c r="AD435" i="7"/>
  <c r="AH435" i="7" s="1"/>
  <c r="AB434" i="7"/>
  <c r="AC434" i="7" s="1"/>
  <c r="X434" i="7"/>
  <c r="AE434" i="7"/>
  <c r="AD434" i="7"/>
  <c r="AH434" i="7" s="1"/>
  <c r="AB433" i="7"/>
  <c r="AC433" i="7" s="1"/>
  <c r="X433" i="7"/>
  <c r="AE433" i="7"/>
  <c r="AD433" i="7"/>
  <c r="AH433" i="7" s="1"/>
  <c r="AB432" i="7"/>
  <c r="AC432" i="7" s="1"/>
  <c r="X432" i="7"/>
  <c r="AE432" i="7"/>
  <c r="AD432" i="7"/>
  <c r="AH432" i="7" s="1"/>
  <c r="X431" i="7"/>
  <c r="AB431" i="7"/>
  <c r="AC431" i="7" s="1"/>
  <c r="AD431" i="7"/>
  <c r="AH431" i="7" s="1"/>
  <c r="AE431" i="7"/>
  <c r="AB430" i="7"/>
  <c r="AC430" i="7" s="1"/>
  <c r="X430" i="7"/>
  <c r="AE430" i="7"/>
  <c r="AD430" i="7"/>
  <c r="AH430" i="7" s="1"/>
  <c r="X429" i="7"/>
  <c r="AB429" i="7"/>
  <c r="AC429" i="7"/>
  <c r="AD429" i="7"/>
  <c r="AH429" i="7" s="1"/>
  <c r="AE429" i="7"/>
  <c r="X428" i="7"/>
  <c r="AB428" i="7"/>
  <c r="AC428" i="7"/>
  <c r="AE428" i="7"/>
  <c r="AD428" i="7"/>
  <c r="AH428" i="7" s="1"/>
  <c r="X427" i="7"/>
  <c r="AB427" i="7"/>
  <c r="AC427" i="7"/>
  <c r="AD427" i="7"/>
  <c r="AH427" i="7" s="1"/>
  <c r="AE427" i="7"/>
  <c r="X426" i="7"/>
  <c r="AB426" i="7"/>
  <c r="AC426" i="7"/>
  <c r="AD426" i="7"/>
  <c r="AH426" i="7" s="1"/>
  <c r="AE426" i="7"/>
  <c r="X425" i="7"/>
  <c r="AB425" i="7"/>
  <c r="AC425" i="7"/>
  <c r="AD425" i="7"/>
  <c r="AH425" i="7" s="1"/>
  <c r="AE425" i="7"/>
  <c r="AB424" i="7"/>
  <c r="AC424" i="7"/>
  <c r="X424" i="7"/>
  <c r="AD424" i="7"/>
  <c r="AH424" i="7" s="1"/>
  <c r="AE424" i="7"/>
  <c r="AB423" i="7"/>
  <c r="AC423" i="7"/>
  <c r="X423" i="7"/>
  <c r="AD423" i="7"/>
  <c r="AH423" i="7" s="1"/>
  <c r="AE423" i="7"/>
  <c r="AB422" i="7"/>
  <c r="AC422" i="7"/>
  <c r="X422" i="7"/>
  <c r="AE422" i="7"/>
  <c r="AD422" i="7"/>
  <c r="AH422" i="7" s="1"/>
  <c r="X421" i="7"/>
  <c r="AB421" i="7"/>
  <c r="AC421" i="7" s="1"/>
  <c r="AD421" i="7"/>
  <c r="AH421" i="7" s="1"/>
  <c r="AE421" i="7"/>
  <c r="X420" i="7"/>
  <c r="AB420" i="7"/>
  <c r="AC420" i="7" s="1"/>
  <c r="AE420" i="7"/>
  <c r="AD420" i="7"/>
  <c r="AH420" i="7" s="1"/>
  <c r="X419" i="7"/>
  <c r="AB419" i="7"/>
  <c r="AC419" i="7" s="1"/>
  <c r="AE419" i="7"/>
  <c r="AD419" i="7"/>
  <c r="AH419" i="7" s="1"/>
  <c r="X418" i="7"/>
  <c r="AB418" i="7"/>
  <c r="AC418" i="7" s="1"/>
  <c r="AE418" i="7"/>
  <c r="AD418" i="7"/>
  <c r="AH418" i="7" s="1"/>
  <c r="AB417" i="7"/>
  <c r="X417" i="7"/>
  <c r="AC417" i="7"/>
  <c r="AD417" i="7"/>
  <c r="AH417" i="7" s="1"/>
  <c r="AE417" i="7"/>
  <c r="X416" i="7"/>
  <c r="AB416" i="7"/>
  <c r="AC416" i="7"/>
  <c r="AD416" i="7"/>
  <c r="AH416" i="7" s="1"/>
  <c r="AE416" i="7"/>
  <c r="X415" i="7"/>
  <c r="AB415" i="7"/>
  <c r="AC415" i="7" s="1"/>
  <c r="AD415" i="7"/>
  <c r="AH415" i="7" s="1"/>
  <c r="AE415" i="7"/>
  <c r="AB414" i="7"/>
  <c r="AC414" i="7" s="1"/>
  <c r="X414" i="7"/>
  <c r="AE414" i="7"/>
  <c r="AD414" i="7"/>
  <c r="AH414" i="7" s="1"/>
  <c r="X413" i="7"/>
  <c r="AB413" i="7"/>
  <c r="AC413" i="7"/>
  <c r="AE413" i="7"/>
  <c r="AD413" i="7"/>
  <c r="AH413" i="7" s="1"/>
  <c r="X412" i="7"/>
  <c r="AB412" i="7"/>
  <c r="AC412" i="7" s="1"/>
  <c r="AE412" i="7"/>
  <c r="AD412" i="7"/>
  <c r="AH412" i="7" s="1"/>
  <c r="AB411" i="7"/>
  <c r="X411" i="7"/>
  <c r="AC411" i="7"/>
  <c r="AE411" i="7"/>
  <c r="AD411" i="7"/>
  <c r="AH411" i="7" s="1"/>
  <c r="AB410" i="7"/>
  <c r="AC410" i="7" s="1"/>
  <c r="AF410" i="7" s="1"/>
  <c r="AG410" i="7" s="1"/>
  <c r="X410" i="7"/>
  <c r="AD410" i="7"/>
  <c r="AH410" i="7" s="1"/>
  <c r="AE410" i="7"/>
  <c r="AB409" i="7"/>
  <c r="AC409" i="7" s="1"/>
  <c r="X409" i="7"/>
  <c r="AE409" i="7"/>
  <c r="AD409" i="7"/>
  <c r="AH409" i="7" s="1"/>
  <c r="AB408" i="7"/>
  <c r="AC408" i="7"/>
  <c r="X408" i="7"/>
  <c r="AD408" i="7"/>
  <c r="AH408" i="7" s="1"/>
  <c r="AE408" i="7"/>
  <c r="X407" i="7"/>
  <c r="AB407" i="7"/>
  <c r="AC407" i="7" s="1"/>
  <c r="AE407" i="7"/>
  <c r="AD407" i="7"/>
  <c r="AH407" i="7" s="1"/>
  <c r="X406" i="7"/>
  <c r="AB406" i="7"/>
  <c r="AC406" i="7" s="1"/>
  <c r="AE406" i="7"/>
  <c r="AD406" i="7"/>
  <c r="AH406" i="7" s="1"/>
  <c r="X405" i="7"/>
  <c r="AB405" i="7"/>
  <c r="AC405" i="7"/>
  <c r="AE405" i="7"/>
  <c r="AD405" i="7"/>
  <c r="AH405" i="7" s="1"/>
  <c r="AB404" i="7"/>
  <c r="AC404" i="7"/>
  <c r="X404" i="7"/>
  <c r="AD404" i="7"/>
  <c r="AH404" i="7" s="1"/>
  <c r="AE404" i="7"/>
  <c r="AB403" i="7"/>
  <c r="AC403" i="7"/>
  <c r="X403" i="7"/>
  <c r="AE403" i="7"/>
  <c r="AD403" i="7"/>
  <c r="AH403" i="7" s="1"/>
  <c r="AB402" i="7"/>
  <c r="AC402" i="7"/>
  <c r="X402" i="7"/>
  <c r="AE402" i="7"/>
  <c r="AD402" i="7"/>
  <c r="AH402" i="7" s="1"/>
  <c r="X401" i="7"/>
  <c r="AB401" i="7"/>
  <c r="AC401" i="7" s="1"/>
  <c r="AD401" i="7"/>
  <c r="AH401" i="7" s="1"/>
  <c r="AE401" i="7"/>
  <c r="AB400" i="7"/>
  <c r="X400" i="7"/>
  <c r="AC400" i="7"/>
  <c r="AE400" i="7"/>
  <c r="AD400" i="7"/>
  <c r="AH400" i="7" s="1"/>
  <c r="X399" i="7"/>
  <c r="AB399" i="7"/>
  <c r="AC399" i="7"/>
  <c r="AD399" i="7"/>
  <c r="AH399" i="7" s="1"/>
  <c r="AE399" i="7"/>
  <c r="X398" i="7"/>
  <c r="AB398" i="7"/>
  <c r="AC398" i="7" s="1"/>
  <c r="AD398" i="7"/>
  <c r="AH398" i="7" s="1"/>
  <c r="AE398" i="7"/>
  <c r="X397" i="7"/>
  <c r="AB397" i="7"/>
  <c r="AC397" i="7" s="1"/>
  <c r="AD397" i="7"/>
  <c r="AH397" i="7" s="1"/>
  <c r="AE397" i="7"/>
  <c r="AB396" i="7"/>
  <c r="X396" i="7"/>
  <c r="AC396" i="7"/>
  <c r="AD396" i="7"/>
  <c r="AH396" i="7" s="1"/>
  <c r="AE396" i="7"/>
  <c r="AB395" i="7"/>
  <c r="AC395" i="7" s="1"/>
  <c r="X395" i="7"/>
  <c r="AE395" i="7"/>
  <c r="AD395" i="7"/>
  <c r="AH395" i="7" s="1"/>
  <c r="X394" i="7"/>
  <c r="AB394" i="7"/>
  <c r="AC394" i="7" s="1"/>
  <c r="AE394" i="7"/>
  <c r="AD394" i="7"/>
  <c r="AH394" i="7" s="1"/>
  <c r="AB393" i="7"/>
  <c r="X393" i="7"/>
  <c r="AC393" i="7"/>
  <c r="AE393" i="7"/>
  <c r="AD393" i="7"/>
  <c r="AH393" i="7" s="1"/>
  <c r="AB392" i="7"/>
  <c r="AC392" i="7"/>
  <c r="X392" i="7"/>
  <c r="AE392" i="7"/>
  <c r="AD392" i="7"/>
  <c r="AH392" i="7" s="1"/>
  <c r="AB391" i="7"/>
  <c r="X391" i="7"/>
  <c r="AC391" i="7"/>
  <c r="AD391" i="7"/>
  <c r="AH391" i="7" s="1"/>
  <c r="AE391" i="7"/>
  <c r="AB390" i="7"/>
  <c r="AC390" i="7"/>
  <c r="X390" i="7"/>
  <c r="AD390" i="7"/>
  <c r="AH390" i="7" s="1"/>
  <c r="AE390" i="7"/>
  <c r="X389" i="7"/>
  <c r="AB389" i="7"/>
  <c r="AC389" i="7"/>
  <c r="AE389" i="7"/>
  <c r="AD389" i="7"/>
  <c r="AH389" i="7" s="1"/>
  <c r="AB388" i="7"/>
  <c r="X388" i="7"/>
  <c r="AC388" i="7"/>
  <c r="AD388" i="7"/>
  <c r="AH388" i="7" s="1"/>
  <c r="AE388" i="7"/>
  <c r="AB387" i="7"/>
  <c r="X387" i="7"/>
  <c r="AC387" i="7"/>
  <c r="AE387" i="7"/>
  <c r="AD387" i="7"/>
  <c r="AH387" i="7" s="1"/>
  <c r="X386" i="7"/>
  <c r="AB386" i="7"/>
  <c r="AC386" i="7" s="1"/>
  <c r="AE386" i="7"/>
  <c r="AD386" i="7"/>
  <c r="AH386" i="7" s="1"/>
  <c r="AB385" i="7"/>
  <c r="AC385" i="7" s="1"/>
  <c r="X385" i="7"/>
  <c r="AE385" i="7"/>
  <c r="AD385" i="7"/>
  <c r="AH385" i="7" s="1"/>
  <c r="X384" i="7"/>
  <c r="AB384" i="7"/>
  <c r="AC384" i="7" s="1"/>
  <c r="AD384" i="7"/>
  <c r="AH384" i="7" s="1"/>
  <c r="AE384" i="7"/>
  <c r="AB383" i="7"/>
  <c r="AC383" i="7"/>
  <c r="X383" i="7"/>
  <c r="AE383" i="7"/>
  <c r="AD383" i="7"/>
  <c r="AH383" i="7" s="1"/>
  <c r="AB382" i="7"/>
  <c r="AC382" i="7"/>
  <c r="X382" i="7"/>
  <c r="AD382" i="7"/>
  <c r="AH382" i="7" s="1"/>
  <c r="AE382" i="7"/>
  <c r="X381" i="7"/>
  <c r="AB381" i="7"/>
  <c r="AC381" i="7" s="1"/>
  <c r="AE381" i="7"/>
  <c r="AD381" i="7"/>
  <c r="AH381" i="7" s="1"/>
  <c r="X380" i="7"/>
  <c r="AB380" i="7"/>
  <c r="AC380" i="7"/>
  <c r="AE380" i="7"/>
  <c r="AD380" i="7"/>
  <c r="AH380" i="7" s="1"/>
  <c r="AB379" i="7"/>
  <c r="AC379" i="7"/>
  <c r="X379" i="7"/>
  <c r="AE379" i="7"/>
  <c r="AD379" i="7"/>
  <c r="AH379" i="7" s="1"/>
  <c r="X378" i="7"/>
  <c r="AB378" i="7"/>
  <c r="AC378" i="7" s="1"/>
  <c r="AD378" i="7"/>
  <c r="AH378" i="7" s="1"/>
  <c r="AE378" i="7"/>
  <c r="AB377" i="7"/>
  <c r="X377" i="7"/>
  <c r="AC377" i="7"/>
  <c r="AD377" i="7"/>
  <c r="AH377" i="7" s="1"/>
  <c r="AE377" i="7"/>
  <c r="X376" i="7"/>
  <c r="AB376" i="7"/>
  <c r="AC376" i="7"/>
  <c r="AE376" i="7"/>
  <c r="AD376" i="7"/>
  <c r="AH376" i="7" s="1"/>
  <c r="X375" i="7"/>
  <c r="AB375" i="7"/>
  <c r="AC375" i="7"/>
  <c r="AE375" i="7"/>
  <c r="AD375" i="7"/>
  <c r="AH375" i="7" s="1"/>
  <c r="X374" i="7"/>
  <c r="AB374" i="7"/>
  <c r="AC374" i="7" s="1"/>
  <c r="AE374" i="7"/>
  <c r="AD374" i="7"/>
  <c r="AH374" i="7" s="1"/>
  <c r="AB373" i="7"/>
  <c r="AC373" i="7"/>
  <c r="X373" i="7"/>
  <c r="AE373" i="7"/>
  <c r="AD373" i="7"/>
  <c r="AH373" i="7" s="1"/>
  <c r="AB372" i="7"/>
  <c r="AC372" i="7"/>
  <c r="X372" i="7"/>
  <c r="AE372" i="7"/>
  <c r="AD372" i="7"/>
  <c r="AH372" i="7" s="1"/>
  <c r="X371" i="7"/>
  <c r="AB371" i="7"/>
  <c r="AC371" i="7"/>
  <c r="AD371" i="7"/>
  <c r="AH371" i="7" s="1"/>
  <c r="AE371" i="7"/>
  <c r="AB370" i="7"/>
  <c r="X370" i="7"/>
  <c r="AC370" i="7"/>
  <c r="AD370" i="7"/>
  <c r="AH370" i="7" s="1"/>
  <c r="AE370" i="7"/>
  <c r="AB369" i="7"/>
  <c r="AC369" i="7" s="1"/>
  <c r="X369" i="7"/>
  <c r="AD369" i="7"/>
  <c r="AH369" i="7" s="1"/>
  <c r="AE369" i="7"/>
  <c r="AB368" i="7"/>
  <c r="X368" i="7"/>
  <c r="AC368" i="7"/>
  <c r="AD368" i="7"/>
  <c r="AH368" i="7" s="1"/>
  <c r="AE368" i="7"/>
  <c r="X367" i="7"/>
  <c r="AB367" i="7"/>
  <c r="AC367" i="7" s="1"/>
  <c r="AE367" i="7"/>
  <c r="AD367" i="7"/>
  <c r="AH367" i="7" s="1"/>
  <c r="AB366" i="7"/>
  <c r="AC366" i="7" s="1"/>
  <c r="X366" i="7"/>
  <c r="AD366" i="7"/>
  <c r="AH366" i="7" s="1"/>
  <c r="AE366" i="7"/>
  <c r="X365" i="7"/>
  <c r="AB365" i="7"/>
  <c r="AC365" i="7"/>
  <c r="AE365" i="7"/>
  <c r="AD365" i="7"/>
  <c r="AH365" i="7" s="1"/>
  <c r="X364" i="7"/>
  <c r="AB364" i="7"/>
  <c r="AC364" i="7" s="1"/>
  <c r="AE364" i="7"/>
  <c r="AD364" i="7"/>
  <c r="AH364" i="7" s="1"/>
  <c r="X363" i="7"/>
  <c r="AB363" i="7"/>
  <c r="AC363" i="7" s="1"/>
  <c r="AE363" i="7"/>
  <c r="AD363" i="7"/>
  <c r="AH363" i="7" s="1"/>
  <c r="AB361" i="7"/>
  <c r="AC361" i="7" s="1"/>
  <c r="X361" i="7"/>
  <c r="AE361" i="7"/>
  <c r="AD361" i="7"/>
  <c r="AH361" i="7" s="1"/>
  <c r="AB360" i="7"/>
  <c r="AC360" i="7" s="1"/>
  <c r="X360" i="7"/>
  <c r="AE360" i="7"/>
  <c r="AD360" i="7"/>
  <c r="AH360" i="7" s="1"/>
  <c r="X359" i="7"/>
  <c r="AB359" i="7"/>
  <c r="AC359" i="7" s="1"/>
  <c r="AE359" i="7"/>
  <c r="AD359" i="7"/>
  <c r="AH359" i="7" s="1"/>
  <c r="X358" i="7"/>
  <c r="AB358" i="7"/>
  <c r="AC358" i="7" s="1"/>
  <c r="AE358" i="7"/>
  <c r="AD358" i="7"/>
  <c r="AH358" i="7" s="1"/>
  <c r="AB357" i="7"/>
  <c r="AC357" i="7" s="1"/>
  <c r="X357" i="7"/>
  <c r="AE357" i="7"/>
  <c r="AD357" i="7"/>
  <c r="AH357" i="7" s="1"/>
  <c r="AB356" i="7"/>
  <c r="AC356" i="7" s="1"/>
  <c r="X356" i="7"/>
  <c r="AE356" i="7"/>
  <c r="AD356" i="7"/>
  <c r="AH356" i="7" s="1"/>
  <c r="AB355" i="7"/>
  <c r="X355" i="7"/>
  <c r="AC355" i="7"/>
  <c r="AE355" i="7"/>
  <c r="AD355" i="7"/>
  <c r="AH355" i="7" s="1"/>
  <c r="AB354" i="7"/>
  <c r="AC354" i="7" s="1"/>
  <c r="X354" i="7"/>
  <c r="AE354" i="7"/>
  <c r="AD354" i="7"/>
  <c r="AH354" i="7" s="1"/>
  <c r="X353" i="7"/>
  <c r="AB353" i="7"/>
  <c r="AC353" i="7" s="1"/>
  <c r="AD353" i="7"/>
  <c r="AH353" i="7" s="1"/>
  <c r="AE353" i="7"/>
  <c r="AB352" i="7"/>
  <c r="AC352" i="7" s="1"/>
  <c r="X352" i="7"/>
  <c r="AE352" i="7"/>
  <c r="AD352" i="7"/>
  <c r="AH352" i="7" s="1"/>
  <c r="X351" i="7"/>
  <c r="AB351" i="7"/>
  <c r="AC351" i="7" s="1"/>
  <c r="AE351" i="7"/>
  <c r="AD351" i="7"/>
  <c r="AH351" i="7" s="1"/>
  <c r="X350" i="7"/>
  <c r="AB350" i="7"/>
  <c r="AC350" i="7" s="1"/>
  <c r="AE350" i="7"/>
  <c r="AD350" i="7"/>
  <c r="AH350" i="7" s="1"/>
  <c r="AB349" i="7"/>
  <c r="AC349" i="7"/>
  <c r="X349" i="7"/>
  <c r="AE349" i="7"/>
  <c r="AD349" i="7"/>
  <c r="AH349" i="7" s="1"/>
  <c r="AB348" i="7"/>
  <c r="AC348" i="7" s="1"/>
  <c r="X348" i="7"/>
  <c r="AD348" i="7"/>
  <c r="AH348" i="7" s="1"/>
  <c r="AE348" i="7"/>
  <c r="AB347" i="7"/>
  <c r="AC347" i="7" s="1"/>
  <c r="X347" i="7"/>
  <c r="AD347" i="7"/>
  <c r="AH347" i="7" s="1"/>
  <c r="AE347" i="7"/>
  <c r="X346" i="7"/>
  <c r="AB346" i="7"/>
  <c r="AC346" i="7" s="1"/>
  <c r="AD346" i="7"/>
  <c r="AH346" i="7" s="1"/>
  <c r="AE346" i="7"/>
  <c r="AB345" i="7"/>
  <c r="AC345" i="7" s="1"/>
  <c r="X345" i="7"/>
  <c r="AE345" i="7"/>
  <c r="AD345" i="7"/>
  <c r="AH345" i="7" s="1"/>
  <c r="X344" i="7"/>
  <c r="AB344" i="7"/>
  <c r="AC344" i="7" s="1"/>
  <c r="AE344" i="7"/>
  <c r="AD344" i="7"/>
  <c r="AH344" i="7" s="1"/>
  <c r="X343" i="7"/>
  <c r="AB343" i="7"/>
  <c r="AC343" i="7" s="1"/>
  <c r="AE343" i="7"/>
  <c r="AD343" i="7"/>
  <c r="AH343" i="7" s="1"/>
  <c r="AB342" i="7"/>
  <c r="AC342" i="7" s="1"/>
  <c r="X342" i="7"/>
  <c r="AE342" i="7"/>
  <c r="AD342" i="7"/>
  <c r="AH342" i="7" s="1"/>
  <c r="AB341" i="7"/>
  <c r="AC341" i="7" s="1"/>
  <c r="X341" i="7"/>
  <c r="AE341" i="7"/>
  <c r="AD341" i="7"/>
  <c r="AH341" i="7" s="1"/>
  <c r="AB340" i="7"/>
  <c r="X340" i="7"/>
  <c r="AC340" i="7"/>
  <c r="AE340" i="7"/>
  <c r="AD340" i="7"/>
  <c r="AH340" i="7" s="1"/>
  <c r="X339" i="7"/>
  <c r="AB339" i="7"/>
  <c r="AC339" i="7"/>
  <c r="AD339" i="7"/>
  <c r="AH339" i="7" s="1"/>
  <c r="AE339" i="7"/>
  <c r="X338" i="7"/>
  <c r="AB338" i="7"/>
  <c r="AC338" i="7" s="1"/>
  <c r="AE338" i="7"/>
  <c r="AD338" i="7"/>
  <c r="AH338" i="7" s="1"/>
  <c r="AB337" i="7"/>
  <c r="AC337" i="7" s="1"/>
  <c r="X337" i="7"/>
  <c r="AD337" i="7"/>
  <c r="AH337" i="7" s="1"/>
  <c r="AE337" i="7"/>
  <c r="AB336" i="7"/>
  <c r="AC336" i="7" s="1"/>
  <c r="X336" i="7"/>
  <c r="AE336" i="7"/>
  <c r="AD336" i="7"/>
  <c r="AH336" i="7" s="1"/>
  <c r="X335" i="7"/>
  <c r="AB335" i="7"/>
  <c r="AC335" i="7" s="1"/>
  <c r="AD335" i="7"/>
  <c r="AH335" i="7" s="1"/>
  <c r="AE335" i="7"/>
  <c r="AB334" i="7"/>
  <c r="AC334" i="7" s="1"/>
  <c r="X334" i="7"/>
  <c r="AE334" i="7"/>
  <c r="AD334" i="7"/>
  <c r="AH334" i="7" s="1"/>
  <c r="AB333" i="7"/>
  <c r="AC333" i="7" s="1"/>
  <c r="X333" i="7"/>
  <c r="AE333" i="7"/>
  <c r="AD333" i="7"/>
  <c r="AH333" i="7" s="1"/>
  <c r="X332" i="7"/>
  <c r="AB332" i="7"/>
  <c r="AC332" i="7"/>
  <c r="AD332" i="7"/>
  <c r="AH332" i="7" s="1"/>
  <c r="AE332" i="7"/>
  <c r="AB331" i="7"/>
  <c r="AC331" i="7" s="1"/>
  <c r="X331" i="7"/>
  <c r="AE331" i="7"/>
  <c r="AD331" i="7"/>
  <c r="AH331" i="7" s="1"/>
  <c r="AB330" i="7"/>
  <c r="AC330" i="7" s="1"/>
  <c r="X330" i="7"/>
  <c r="AE330" i="7"/>
  <c r="AD330" i="7"/>
  <c r="AH330" i="7" s="1"/>
  <c r="AB329" i="7"/>
  <c r="AC329" i="7" s="1"/>
  <c r="X329" i="7"/>
  <c r="AE329" i="7"/>
  <c r="AD329" i="7"/>
  <c r="AH329" i="7" s="1"/>
  <c r="AB328" i="7"/>
  <c r="AC328" i="7" s="1"/>
  <c r="X328" i="7"/>
  <c r="AE328" i="7"/>
  <c r="AD328" i="7"/>
  <c r="AH328" i="7" s="1"/>
  <c r="AB327" i="7"/>
  <c r="AC327" i="7" s="1"/>
  <c r="X327" i="7"/>
  <c r="AD327" i="7"/>
  <c r="AH327" i="7" s="1"/>
  <c r="AE327" i="7"/>
  <c r="AB326" i="7"/>
  <c r="AC326" i="7" s="1"/>
  <c r="X326" i="7"/>
  <c r="AD326" i="7"/>
  <c r="AH326" i="7" s="1"/>
  <c r="AE326" i="7"/>
  <c r="AB325" i="7"/>
  <c r="X325" i="7"/>
  <c r="AC325" i="7"/>
  <c r="AD325" i="7"/>
  <c r="AH325" i="7" s="1"/>
  <c r="AE325" i="7"/>
  <c r="X324" i="7"/>
  <c r="AB324" i="7"/>
  <c r="AC324" i="7" s="1"/>
  <c r="AE324" i="7"/>
  <c r="AD324" i="7"/>
  <c r="AH324" i="7" s="1"/>
  <c r="AB323" i="7"/>
  <c r="AC323" i="7" s="1"/>
  <c r="X323" i="7"/>
  <c r="AE323" i="7"/>
  <c r="AD323" i="7"/>
  <c r="AH323" i="7" s="1"/>
  <c r="X322" i="7"/>
  <c r="AB322" i="7"/>
  <c r="AC322" i="7"/>
  <c r="AD322" i="7"/>
  <c r="AH322" i="7" s="1"/>
  <c r="AE322" i="7"/>
  <c r="AB321" i="7"/>
  <c r="AC321" i="7" s="1"/>
  <c r="X321" i="7"/>
  <c r="AD321" i="7"/>
  <c r="AH321" i="7" s="1"/>
  <c r="AE321" i="7"/>
  <c r="AB320" i="7"/>
  <c r="AC320" i="7" s="1"/>
  <c r="X320" i="7"/>
  <c r="AE320" i="7"/>
  <c r="AD320" i="7"/>
  <c r="AH320" i="7" s="1"/>
  <c r="AB319" i="7"/>
  <c r="X319" i="7"/>
  <c r="AC319" i="7"/>
  <c r="AD319" i="7"/>
  <c r="AH319" i="7" s="1"/>
  <c r="AE319" i="7"/>
  <c r="AB318" i="7"/>
  <c r="AC318" i="7" s="1"/>
  <c r="X318" i="7"/>
  <c r="AE318" i="7"/>
  <c r="AD318" i="7"/>
  <c r="AH318" i="7" s="1"/>
  <c r="AB317" i="7"/>
  <c r="AC317" i="7" s="1"/>
  <c r="X317" i="7"/>
  <c r="AD317" i="7"/>
  <c r="AH317" i="7" s="1"/>
  <c r="AE317" i="7"/>
  <c r="AB316" i="7"/>
  <c r="AC316" i="7" s="1"/>
  <c r="X316" i="7"/>
  <c r="AE316" i="7"/>
  <c r="AD316" i="7"/>
  <c r="AH316" i="7" s="1"/>
  <c r="AB315" i="7"/>
  <c r="AC315" i="7" s="1"/>
  <c r="X315" i="7"/>
  <c r="AE315" i="7"/>
  <c r="AD315" i="7"/>
  <c r="AH315" i="7" s="1"/>
  <c r="AB314" i="7"/>
  <c r="AC314" i="7" s="1"/>
  <c r="X314" i="7"/>
  <c r="AD314" i="7"/>
  <c r="AH314" i="7" s="1"/>
  <c r="AE314" i="7"/>
  <c r="AB313" i="7"/>
  <c r="AC313" i="7" s="1"/>
  <c r="X313" i="7"/>
  <c r="AE313" i="7"/>
  <c r="AD313" i="7"/>
  <c r="AH313" i="7" s="1"/>
  <c r="AB312" i="7"/>
  <c r="AC312" i="7" s="1"/>
  <c r="X312" i="7"/>
  <c r="AD312" i="7"/>
  <c r="AH312" i="7" s="1"/>
  <c r="AE312" i="7"/>
  <c r="AB311" i="7"/>
  <c r="AC311" i="7" s="1"/>
  <c r="X311" i="7"/>
  <c r="AE311" i="7"/>
  <c r="AD311" i="7"/>
  <c r="AH311" i="7" s="1"/>
  <c r="X310" i="7"/>
  <c r="AB310" i="7"/>
  <c r="AC310" i="7"/>
  <c r="AD310" i="7"/>
  <c r="AH310" i="7" s="1"/>
  <c r="AE310" i="7"/>
  <c r="AB309" i="7"/>
  <c r="AC309" i="7" s="1"/>
  <c r="X309" i="7"/>
  <c r="AE309" i="7"/>
  <c r="AD309" i="7"/>
  <c r="AH309" i="7" s="1"/>
  <c r="AB308" i="7"/>
  <c r="AC308" i="7" s="1"/>
  <c r="X308" i="7"/>
  <c r="AE308" i="7"/>
  <c r="AD308" i="7"/>
  <c r="AH308" i="7" s="1"/>
  <c r="X307" i="7"/>
  <c r="AB307" i="7"/>
  <c r="AC307" i="7" s="1"/>
  <c r="AD307" i="7"/>
  <c r="AH307" i="7" s="1"/>
  <c r="AE307" i="7"/>
  <c r="AB306" i="7"/>
  <c r="AC306" i="7" s="1"/>
  <c r="X306" i="7"/>
  <c r="AD306" i="7"/>
  <c r="AH306" i="7" s="1"/>
  <c r="AE306" i="7"/>
  <c r="AB305" i="7"/>
  <c r="AC305" i="7" s="1"/>
  <c r="X305" i="7"/>
  <c r="AD305" i="7"/>
  <c r="AH305" i="7" s="1"/>
  <c r="AE305" i="7"/>
  <c r="AB304" i="7"/>
  <c r="AC304" i="7" s="1"/>
  <c r="X304" i="7"/>
  <c r="AD304" i="7"/>
  <c r="AH304" i="7" s="1"/>
  <c r="AE304" i="7"/>
  <c r="AB303" i="7"/>
  <c r="AC303" i="7" s="1"/>
  <c r="X303" i="7"/>
  <c r="AD303" i="7"/>
  <c r="AH303" i="7" s="1"/>
  <c r="AE303" i="7"/>
  <c r="AB302" i="7"/>
  <c r="AC302" i="7" s="1"/>
  <c r="X302" i="7"/>
  <c r="AE302" i="7"/>
  <c r="AD302" i="7"/>
  <c r="AH302" i="7" s="1"/>
  <c r="AB301" i="7"/>
  <c r="AC301" i="7" s="1"/>
  <c r="X301" i="7"/>
  <c r="AE301" i="7"/>
  <c r="AD301" i="7"/>
  <c r="AH301" i="7" s="1"/>
  <c r="AB300" i="7"/>
  <c r="AC300" i="7" s="1"/>
  <c r="X300" i="7"/>
  <c r="AE300" i="7"/>
  <c r="AD300" i="7"/>
  <c r="AH300" i="7" s="1"/>
  <c r="AB299" i="7"/>
  <c r="AC299" i="7" s="1"/>
  <c r="X299" i="7"/>
  <c r="AE299" i="7"/>
  <c r="AD299" i="7"/>
  <c r="AH299" i="7" s="1"/>
  <c r="AB298" i="7"/>
  <c r="AC298" i="7" s="1"/>
  <c r="X298" i="7"/>
  <c r="AD298" i="7"/>
  <c r="AH298" i="7" s="1"/>
  <c r="AE298" i="7"/>
  <c r="AB297" i="7"/>
  <c r="AC297" i="7" s="1"/>
  <c r="X297" i="7"/>
  <c r="AE297" i="7"/>
  <c r="AD297" i="7"/>
  <c r="AH297" i="7" s="1"/>
  <c r="X296" i="7"/>
  <c r="AB296" i="7"/>
  <c r="AC296" i="7" s="1"/>
  <c r="AE296" i="7"/>
  <c r="AD296" i="7"/>
  <c r="AH296" i="7" s="1"/>
  <c r="X295" i="7"/>
  <c r="AB295" i="7"/>
  <c r="AC295" i="7"/>
  <c r="AD295" i="7"/>
  <c r="AH295" i="7" s="1"/>
  <c r="AE295" i="7"/>
  <c r="X294" i="7"/>
  <c r="AB294" i="7"/>
  <c r="AC294" i="7"/>
  <c r="AD294" i="7"/>
  <c r="AH294" i="7" s="1"/>
  <c r="AE294" i="7"/>
  <c r="AB293" i="7"/>
  <c r="AC293" i="7" s="1"/>
  <c r="X293" i="7"/>
  <c r="AE293" i="7"/>
  <c r="AD293" i="7"/>
  <c r="AH293" i="7" s="1"/>
  <c r="AB292" i="7"/>
  <c r="AC292" i="7" s="1"/>
  <c r="X292" i="7"/>
  <c r="AE292" i="7"/>
  <c r="AD292" i="7"/>
  <c r="AH292" i="7" s="1"/>
  <c r="AB291" i="7"/>
  <c r="AC291" i="7" s="1"/>
  <c r="X291" i="7"/>
  <c r="AD291" i="7"/>
  <c r="AH291" i="7" s="1"/>
  <c r="AE291" i="7"/>
  <c r="AB290" i="7"/>
  <c r="AC290" i="7" s="1"/>
  <c r="X290" i="7"/>
  <c r="AE290" i="7"/>
  <c r="AD290" i="7"/>
  <c r="AH290" i="7" s="1"/>
  <c r="X289" i="7"/>
  <c r="AB289" i="7"/>
  <c r="AC289" i="7" s="1"/>
  <c r="AD289" i="7"/>
  <c r="AH289" i="7" s="1"/>
  <c r="AE289" i="7"/>
  <c r="AB288" i="7"/>
  <c r="AC288" i="7"/>
  <c r="X288" i="7"/>
  <c r="AE288" i="7"/>
  <c r="AD288" i="7"/>
  <c r="AH288" i="7" s="1"/>
  <c r="AB287" i="7"/>
  <c r="AC287" i="7" s="1"/>
  <c r="X287" i="7"/>
  <c r="AE287" i="7"/>
  <c r="AD287" i="7"/>
  <c r="AH287" i="7" s="1"/>
  <c r="X286" i="7"/>
  <c r="AB286" i="7"/>
  <c r="AC286" i="7" s="1"/>
  <c r="AD286" i="7"/>
  <c r="AH286" i="7" s="1"/>
  <c r="AE286" i="7"/>
  <c r="AB285" i="7"/>
  <c r="AC285" i="7" s="1"/>
  <c r="X285" i="7"/>
  <c r="AD285" i="7"/>
  <c r="AH285" i="7" s="1"/>
  <c r="AE285" i="7"/>
  <c r="AB284" i="7"/>
  <c r="AC284" i="7" s="1"/>
  <c r="X284" i="7"/>
  <c r="AE284" i="7"/>
  <c r="AD284" i="7"/>
  <c r="AH284" i="7" s="1"/>
  <c r="X283" i="7"/>
  <c r="AB283" i="7"/>
  <c r="AC283" i="7" s="1"/>
  <c r="AD283" i="7"/>
  <c r="AH283" i="7" s="1"/>
  <c r="AE283" i="7"/>
  <c r="AB282" i="7"/>
  <c r="AC282" i="7" s="1"/>
  <c r="X282" i="7"/>
  <c r="AE282" i="7"/>
  <c r="AD282" i="7"/>
  <c r="AH282" i="7" s="1"/>
  <c r="AB281" i="7"/>
  <c r="AC281" i="7" s="1"/>
  <c r="X281" i="7"/>
  <c r="AE281" i="7"/>
  <c r="AD281" i="7"/>
  <c r="AH281" i="7" s="1"/>
  <c r="AB280" i="7"/>
  <c r="AC280" i="7" s="1"/>
  <c r="X280" i="7"/>
  <c r="AD280" i="7"/>
  <c r="AH280" i="7" s="1"/>
  <c r="AE280" i="7"/>
  <c r="AB279" i="7"/>
  <c r="AC279" i="7" s="1"/>
  <c r="X279" i="7"/>
  <c r="AE279" i="7"/>
  <c r="AD279" i="7"/>
  <c r="AH279" i="7" s="1"/>
  <c r="AB278" i="7"/>
  <c r="AC278" i="7"/>
  <c r="X278" i="7"/>
  <c r="AE278" i="7"/>
  <c r="AD278" i="7"/>
  <c r="AH278" i="7" s="1"/>
  <c r="AB277" i="7"/>
  <c r="AC277" i="7" s="1"/>
  <c r="X277" i="7"/>
  <c r="AD277" i="7"/>
  <c r="AH277" i="7" s="1"/>
  <c r="AE277" i="7"/>
  <c r="AB276" i="7"/>
  <c r="AC276" i="7" s="1"/>
  <c r="X276" i="7"/>
  <c r="AE276" i="7"/>
  <c r="AD276" i="7"/>
  <c r="AH276" i="7" s="1"/>
  <c r="AB275" i="7"/>
  <c r="AC275" i="7" s="1"/>
  <c r="X275" i="7"/>
  <c r="AE275" i="7"/>
  <c r="AD275" i="7"/>
  <c r="AH275" i="7" s="1"/>
  <c r="AB274" i="7"/>
  <c r="AC274" i="7" s="1"/>
  <c r="X274" i="7"/>
  <c r="AE274" i="7"/>
  <c r="AD274" i="7"/>
  <c r="AH274" i="7" s="1"/>
  <c r="AB273" i="7"/>
  <c r="X273" i="7"/>
  <c r="AC273" i="7"/>
  <c r="AD273" i="7"/>
  <c r="AH273" i="7" s="1"/>
  <c r="AE273" i="7"/>
  <c r="X272" i="7"/>
  <c r="AB272" i="7"/>
  <c r="AC272" i="7" s="1"/>
  <c r="AE272" i="7"/>
  <c r="AD272" i="7"/>
  <c r="AH272" i="7" s="1"/>
  <c r="AB271" i="7"/>
  <c r="AC271" i="7" s="1"/>
  <c r="X271" i="7"/>
  <c r="AE271" i="7"/>
  <c r="AD271" i="7"/>
  <c r="AH271" i="7" s="1"/>
  <c r="AB270" i="7"/>
  <c r="AC270" i="7" s="1"/>
  <c r="X270" i="7"/>
  <c r="AE270" i="7"/>
  <c r="AD270" i="7"/>
  <c r="AH270" i="7" s="1"/>
  <c r="AB269" i="7"/>
  <c r="AC269" i="7" s="1"/>
  <c r="X269" i="7"/>
  <c r="AE269" i="7"/>
  <c r="AD269" i="7"/>
  <c r="AH269" i="7" s="1"/>
  <c r="AB268" i="7"/>
  <c r="AC268" i="7" s="1"/>
  <c r="X268" i="7"/>
  <c r="AE268" i="7"/>
  <c r="AD268" i="7"/>
  <c r="AH268" i="7" s="1"/>
  <c r="AB267" i="7"/>
  <c r="AC267" i="7" s="1"/>
  <c r="X267" i="7"/>
  <c r="AD267" i="7"/>
  <c r="AH267" i="7" s="1"/>
  <c r="AE267" i="7"/>
  <c r="X266" i="7"/>
  <c r="AB266" i="7"/>
  <c r="AC266" i="7" s="1"/>
  <c r="AD266" i="7"/>
  <c r="AH266" i="7" s="1"/>
  <c r="AE266" i="7"/>
  <c r="AB265" i="7"/>
  <c r="AC265" i="7"/>
  <c r="X265" i="7"/>
  <c r="AD265" i="7"/>
  <c r="AH265" i="7" s="1"/>
  <c r="AE265" i="7"/>
  <c r="AB264" i="7"/>
  <c r="AC264" i="7" s="1"/>
  <c r="X264" i="7"/>
  <c r="AE264" i="7"/>
  <c r="AD264" i="7"/>
  <c r="AH264" i="7" s="1"/>
  <c r="AB263" i="7"/>
  <c r="AC263" i="7" s="1"/>
  <c r="X263" i="7"/>
  <c r="AE263" i="7"/>
  <c r="AD263" i="7"/>
  <c r="AH263" i="7" s="1"/>
  <c r="AB262" i="7"/>
  <c r="X262" i="7"/>
  <c r="AC262" i="7"/>
  <c r="AD262" i="7"/>
  <c r="AH262" i="7" s="1"/>
  <c r="AE262" i="7"/>
  <c r="AB261" i="7"/>
  <c r="X261" i="7"/>
  <c r="AC261" i="7"/>
  <c r="AD261" i="7"/>
  <c r="AH261" i="7" s="1"/>
  <c r="AE261" i="7"/>
  <c r="X260" i="7"/>
  <c r="AB260" i="7"/>
  <c r="AC260" i="7" s="1"/>
  <c r="AE260" i="7"/>
  <c r="AD260" i="7"/>
  <c r="AH260" i="7" s="1"/>
  <c r="X259" i="7"/>
  <c r="AB259" i="7"/>
  <c r="AC259" i="7" s="1"/>
  <c r="AE259" i="7"/>
  <c r="AD259" i="7"/>
  <c r="AH259" i="7" s="1"/>
  <c r="AB258" i="7"/>
  <c r="AC258" i="7" s="1"/>
  <c r="X258" i="7"/>
  <c r="AE258" i="7"/>
  <c r="AD258" i="7"/>
  <c r="AH258" i="7" s="1"/>
  <c r="AB257" i="7"/>
  <c r="AC257" i="7" s="1"/>
  <c r="X257" i="7"/>
  <c r="AE257" i="7"/>
  <c r="AD257" i="7"/>
  <c r="AH257" i="7" s="1"/>
  <c r="AB256" i="7"/>
  <c r="AC256" i="7" s="1"/>
  <c r="X256" i="7"/>
  <c r="AE256" i="7"/>
  <c r="AD256" i="7"/>
  <c r="AH256" i="7" s="1"/>
  <c r="AB255" i="7"/>
  <c r="X255" i="7"/>
  <c r="AC255" i="7"/>
  <c r="AD255" i="7"/>
  <c r="AH255" i="7" s="1"/>
  <c r="AE255" i="7"/>
  <c r="AB254" i="7"/>
  <c r="X254" i="7"/>
  <c r="AC254" i="7"/>
  <c r="AD254" i="7"/>
  <c r="AH254" i="7" s="1"/>
  <c r="AE254" i="7"/>
  <c r="X253" i="7"/>
  <c r="AB253" i="7"/>
  <c r="AC253" i="7" s="1"/>
  <c r="AE253" i="7"/>
  <c r="AD253" i="7"/>
  <c r="AH253" i="7" s="1"/>
  <c r="AB252" i="7"/>
  <c r="AC252" i="7"/>
  <c r="X252" i="7"/>
  <c r="AE252" i="7"/>
  <c r="AD252" i="7"/>
  <c r="AH252" i="7" s="1"/>
  <c r="AB251" i="7"/>
  <c r="AC251" i="7" s="1"/>
  <c r="X251" i="7"/>
  <c r="AE251" i="7"/>
  <c r="AD251" i="7"/>
  <c r="AH251" i="7" s="1"/>
  <c r="AB250" i="7"/>
  <c r="AC250" i="7" s="1"/>
  <c r="X250" i="7"/>
  <c r="AE250" i="7"/>
  <c r="AD250" i="7"/>
  <c r="AH250" i="7" s="1"/>
  <c r="AB249" i="7"/>
  <c r="X249" i="7"/>
  <c r="AC249" i="7"/>
  <c r="AD249" i="7"/>
  <c r="AH249" i="7" s="1"/>
  <c r="AE249" i="7"/>
  <c r="AB248" i="7"/>
  <c r="X248" i="7"/>
  <c r="AC248" i="7"/>
  <c r="AD248" i="7"/>
  <c r="AH248" i="7" s="1"/>
  <c r="AE248" i="7"/>
  <c r="AB247" i="7"/>
  <c r="X247" i="7"/>
  <c r="AC247" i="7"/>
  <c r="AD247" i="7"/>
  <c r="AH247" i="7" s="1"/>
  <c r="AE247" i="7"/>
  <c r="X246" i="7"/>
  <c r="AB246" i="7"/>
  <c r="AC246" i="7" s="1"/>
  <c r="AD246" i="7"/>
  <c r="AH246" i="7" s="1"/>
  <c r="AE246" i="7"/>
  <c r="AB245" i="7"/>
  <c r="AC245" i="7" s="1"/>
  <c r="X245" i="7"/>
  <c r="AE245" i="7"/>
  <c r="AD245" i="7"/>
  <c r="AH245" i="7" s="1"/>
  <c r="AB244" i="7"/>
  <c r="AC244" i="7" s="1"/>
  <c r="X244" i="7"/>
  <c r="AE244" i="7"/>
  <c r="AD244" i="7"/>
  <c r="AH244" i="7" s="1"/>
  <c r="AB243" i="7"/>
  <c r="AC243" i="7" s="1"/>
  <c r="X243" i="7"/>
  <c r="AD243" i="7"/>
  <c r="AH243" i="7" s="1"/>
  <c r="AE243" i="7"/>
  <c r="AB242" i="7"/>
  <c r="X242" i="7"/>
  <c r="AC242" i="7"/>
  <c r="AD242" i="7"/>
  <c r="AH242" i="7" s="1"/>
  <c r="AE242" i="7"/>
  <c r="AB241" i="7"/>
  <c r="AC241" i="7" s="1"/>
  <c r="X241" i="7"/>
  <c r="AE241" i="7"/>
  <c r="AD241" i="7"/>
  <c r="AH241" i="7" s="1"/>
  <c r="X240" i="7"/>
  <c r="AB240" i="7"/>
  <c r="AC240" i="7" s="1"/>
  <c r="AD240" i="7"/>
  <c r="AH240" i="7" s="1"/>
  <c r="AE240" i="7"/>
  <c r="AB239" i="7"/>
  <c r="X239" i="7"/>
  <c r="AC239" i="7"/>
  <c r="AE239" i="7"/>
  <c r="AD239" i="7"/>
  <c r="AH239" i="7" s="1"/>
  <c r="AB238" i="7"/>
  <c r="AC238" i="7" s="1"/>
  <c r="X238" i="7"/>
  <c r="AE238" i="7"/>
  <c r="AD238" i="7"/>
  <c r="AH238" i="7" s="1"/>
  <c r="AB237" i="7"/>
  <c r="AC237" i="7"/>
  <c r="X237" i="7"/>
  <c r="AE237" i="7"/>
  <c r="AD237" i="7"/>
  <c r="AH237" i="7" s="1"/>
  <c r="AB236" i="7"/>
  <c r="AC236" i="7" s="1"/>
  <c r="X236" i="7"/>
  <c r="AE236" i="7"/>
  <c r="AD236" i="7"/>
  <c r="AH236" i="7" s="1"/>
  <c r="AB235" i="7"/>
  <c r="AC235" i="7"/>
  <c r="X235" i="7"/>
  <c r="AE235" i="7"/>
  <c r="AD235" i="7"/>
  <c r="AH235" i="7" s="1"/>
  <c r="AB234" i="7"/>
  <c r="AC234" i="7" s="1"/>
  <c r="X234" i="7"/>
  <c r="AE234" i="7"/>
  <c r="AD234" i="7"/>
  <c r="AH234" i="7" s="1"/>
  <c r="AB233" i="7"/>
  <c r="AC233" i="7" s="1"/>
  <c r="AF233" i="7" s="1"/>
  <c r="AG233" i="7" s="1"/>
  <c r="X233" i="7"/>
  <c r="AD233" i="7"/>
  <c r="AH233" i="7" s="1"/>
  <c r="AE233" i="7"/>
  <c r="AB232" i="7"/>
  <c r="AC232" i="7" s="1"/>
  <c r="X232" i="7"/>
  <c r="AE232" i="7"/>
  <c r="AD232" i="7"/>
  <c r="AH232" i="7" s="1"/>
  <c r="X231" i="7"/>
  <c r="AB231" i="7"/>
  <c r="AC231" i="7" s="1"/>
  <c r="AE231" i="7"/>
  <c r="AD231" i="7"/>
  <c r="AH231" i="7" s="1"/>
  <c r="AB230" i="7"/>
  <c r="AC230" i="7" s="1"/>
  <c r="X230" i="7"/>
  <c r="AE230" i="7"/>
  <c r="AD230" i="7"/>
  <c r="AH230" i="7" s="1"/>
  <c r="X229" i="7"/>
  <c r="AB229" i="7"/>
  <c r="AC229" i="7" s="1"/>
  <c r="AD229" i="7"/>
  <c r="AH229" i="7" s="1"/>
  <c r="AE229" i="7"/>
  <c r="AB228" i="7"/>
  <c r="AC228" i="7" s="1"/>
  <c r="X228" i="7"/>
  <c r="AE228" i="7"/>
  <c r="AD228" i="7"/>
  <c r="AH228" i="7" s="1"/>
  <c r="AB227" i="7"/>
  <c r="AC227" i="7" s="1"/>
  <c r="X227" i="7"/>
  <c r="AD227" i="7"/>
  <c r="AH227" i="7" s="1"/>
  <c r="AE227" i="7"/>
  <c r="AB226" i="7"/>
  <c r="AC226" i="7" s="1"/>
  <c r="X226" i="7"/>
  <c r="AE226" i="7"/>
  <c r="AD226" i="7"/>
  <c r="AH226" i="7" s="1"/>
  <c r="AB225" i="7"/>
  <c r="AC225" i="7" s="1"/>
  <c r="X225" i="7"/>
  <c r="AD225" i="7"/>
  <c r="AH225" i="7" s="1"/>
  <c r="AE225" i="7"/>
  <c r="X224" i="7"/>
  <c r="AB224" i="7"/>
  <c r="AC224" i="7"/>
  <c r="AD224" i="7"/>
  <c r="AH224" i="7" s="1"/>
  <c r="AE224" i="7"/>
  <c r="AB223" i="7"/>
  <c r="AC223" i="7" s="1"/>
  <c r="X223" i="7"/>
  <c r="AE223" i="7"/>
  <c r="AD223" i="7"/>
  <c r="AH223" i="7" s="1"/>
  <c r="AB222" i="7"/>
  <c r="AC222" i="7" s="1"/>
  <c r="X222" i="7"/>
  <c r="AE222" i="7"/>
  <c r="AD222" i="7"/>
  <c r="AH222" i="7" s="1"/>
  <c r="AB221" i="7"/>
  <c r="AC221" i="7" s="1"/>
  <c r="X221" i="7"/>
  <c r="AD221" i="7"/>
  <c r="AH221" i="7" s="1"/>
  <c r="AE221" i="7"/>
  <c r="X220" i="7"/>
  <c r="AB220" i="7"/>
  <c r="AC220" i="7" s="1"/>
  <c r="AE220" i="7"/>
  <c r="AD220" i="7"/>
  <c r="AH220" i="7" s="1"/>
  <c r="AB219" i="7"/>
  <c r="AC219" i="7" s="1"/>
  <c r="X219" i="7"/>
  <c r="AD219" i="7"/>
  <c r="AH219" i="7" s="1"/>
  <c r="AE219" i="7"/>
  <c r="AB218" i="7"/>
  <c r="AC218" i="7" s="1"/>
  <c r="X218" i="7"/>
  <c r="AE218" i="7"/>
  <c r="AD218" i="7"/>
  <c r="AH218" i="7" s="1"/>
  <c r="AB217" i="7"/>
  <c r="AC217" i="7" s="1"/>
  <c r="X217" i="7"/>
  <c r="AE217" i="7"/>
  <c r="AD217" i="7"/>
  <c r="AH217" i="7" s="1"/>
  <c r="AB216" i="7"/>
  <c r="AC216" i="7"/>
  <c r="X216" i="7"/>
  <c r="AD216" i="7"/>
  <c r="AH216" i="7" s="1"/>
  <c r="AE216" i="7"/>
  <c r="AB215" i="7"/>
  <c r="AC215" i="7" s="1"/>
  <c r="X215" i="7"/>
  <c r="AE215" i="7"/>
  <c r="AD215" i="7"/>
  <c r="AH215" i="7" s="1"/>
  <c r="X214" i="7"/>
  <c r="AB214" i="7"/>
  <c r="AC214" i="7" s="1"/>
  <c r="AD214" i="7"/>
  <c r="AH214" i="7" s="1"/>
  <c r="AE214" i="7"/>
  <c r="AB213" i="7"/>
  <c r="AC213" i="7" s="1"/>
  <c r="X213" i="7"/>
  <c r="AE213" i="7"/>
  <c r="AD213" i="7"/>
  <c r="AH213" i="7" s="1"/>
  <c r="AB212" i="7"/>
  <c r="AC212" i="7" s="1"/>
  <c r="X212" i="7"/>
  <c r="AD212" i="7"/>
  <c r="AH212" i="7" s="1"/>
  <c r="AE212" i="7"/>
  <c r="AB211" i="7"/>
  <c r="AC211" i="7" s="1"/>
  <c r="X211" i="7"/>
  <c r="AE211" i="7"/>
  <c r="AD211" i="7"/>
  <c r="AH211" i="7" s="1"/>
  <c r="AB210" i="7"/>
  <c r="AC210" i="7"/>
  <c r="X210" i="7"/>
  <c r="AD210" i="7"/>
  <c r="AH210" i="7" s="1"/>
  <c r="AE210" i="7"/>
  <c r="AB209" i="7"/>
  <c r="X209" i="7"/>
  <c r="AC209" i="7"/>
  <c r="AD209" i="7"/>
  <c r="AH209" i="7" s="1"/>
  <c r="AE209" i="7"/>
  <c r="X208" i="7"/>
  <c r="AB208" i="7"/>
  <c r="AC208" i="7"/>
  <c r="AD208" i="7"/>
  <c r="AH208" i="7" s="1"/>
  <c r="AE208" i="7"/>
  <c r="AB207" i="7"/>
  <c r="AC207" i="7" s="1"/>
  <c r="X207" i="7"/>
  <c r="AD207" i="7"/>
  <c r="AH207" i="7" s="1"/>
  <c r="AE207" i="7"/>
  <c r="X206" i="7"/>
  <c r="AB206" i="7"/>
  <c r="AC206" i="7" s="1"/>
  <c r="AE206" i="7"/>
  <c r="AD206" i="7"/>
  <c r="AH206" i="7" s="1"/>
  <c r="AB205" i="7"/>
  <c r="AC205" i="7" s="1"/>
  <c r="X205" i="7"/>
  <c r="AD205" i="7"/>
  <c r="AH205" i="7" s="1"/>
  <c r="AE205" i="7"/>
  <c r="AB204" i="7"/>
  <c r="AC204" i="7" s="1"/>
  <c r="X204" i="7"/>
  <c r="AE204" i="7"/>
  <c r="AD204" i="7"/>
  <c r="AH204" i="7" s="1"/>
  <c r="AB203" i="7"/>
  <c r="AC203" i="7" s="1"/>
  <c r="X203" i="7"/>
  <c r="AE203" i="7"/>
  <c r="AD203" i="7"/>
  <c r="AH203" i="7" s="1"/>
  <c r="AB202" i="7"/>
  <c r="AC202" i="7" s="1"/>
  <c r="X202" i="7"/>
  <c r="AD202" i="7"/>
  <c r="AH202" i="7" s="1"/>
  <c r="AE202" i="7"/>
  <c r="AB201" i="7"/>
  <c r="AC201" i="7" s="1"/>
  <c r="X201" i="7"/>
  <c r="AE201" i="7"/>
  <c r="AD201" i="7"/>
  <c r="AH201" i="7" s="1"/>
  <c r="X200" i="7"/>
  <c r="AB200" i="7"/>
  <c r="AC200" i="7" s="1"/>
  <c r="AD200" i="7"/>
  <c r="AH200" i="7" s="1"/>
  <c r="AE200" i="7"/>
  <c r="X199" i="7"/>
  <c r="AB199" i="7"/>
  <c r="AC199" i="7"/>
  <c r="AD199" i="7"/>
  <c r="AH199" i="7" s="1"/>
  <c r="AE199" i="7"/>
  <c r="AB198" i="7"/>
  <c r="AC198" i="7" s="1"/>
  <c r="X198" i="7"/>
  <c r="AE198" i="7"/>
  <c r="AD198" i="7"/>
  <c r="AH198" i="7" s="1"/>
  <c r="AB197" i="7"/>
  <c r="AC197" i="7" s="1"/>
  <c r="X197" i="7"/>
  <c r="AE197" i="7"/>
  <c r="AD197" i="7"/>
  <c r="AH197" i="7" s="1"/>
  <c r="X196" i="7"/>
  <c r="AB196" i="7"/>
  <c r="AC196" i="7" s="1"/>
  <c r="AE196" i="7"/>
  <c r="AD196" i="7"/>
  <c r="AH196" i="7" s="1"/>
  <c r="X195" i="7"/>
  <c r="AB195" i="7"/>
  <c r="AC195" i="7" s="1"/>
  <c r="AD195" i="7"/>
  <c r="AH195" i="7" s="1"/>
  <c r="AE195" i="7"/>
  <c r="AB194" i="7"/>
  <c r="AC194" i="7" s="1"/>
  <c r="X194" i="7"/>
  <c r="AE194" i="7"/>
  <c r="AD194" i="7"/>
  <c r="AH194" i="7" s="1"/>
  <c r="X193" i="7"/>
  <c r="AB193" i="7"/>
  <c r="AC193" i="7" s="1"/>
  <c r="AD193" i="7"/>
  <c r="AH193" i="7" s="1"/>
  <c r="AE193" i="7"/>
  <c r="X192" i="7"/>
  <c r="AB192" i="7"/>
  <c r="AC192" i="7" s="1"/>
  <c r="AE192" i="7"/>
  <c r="AD192" i="7"/>
  <c r="AH192" i="7" s="1"/>
  <c r="AB191" i="7"/>
  <c r="X191" i="7"/>
  <c r="AC191" i="7"/>
  <c r="AE191" i="7"/>
  <c r="AD191" i="7"/>
  <c r="AH191" i="7" s="1"/>
  <c r="AB190" i="7"/>
  <c r="AC190" i="7" s="1"/>
  <c r="X190" i="7"/>
  <c r="AE190" i="7"/>
  <c r="AD190" i="7"/>
  <c r="AH190" i="7" s="1"/>
  <c r="AB189" i="7"/>
  <c r="AC189" i="7" s="1"/>
  <c r="X189" i="7"/>
  <c r="AE189" i="7"/>
  <c r="AD189" i="7"/>
  <c r="AH189" i="7" s="1"/>
  <c r="X188" i="7"/>
  <c r="AB188" i="7"/>
  <c r="AC188" i="7"/>
  <c r="AD188" i="7"/>
  <c r="AH188" i="7" s="1"/>
  <c r="AE188" i="7"/>
  <c r="X187" i="7"/>
  <c r="AB187" i="7"/>
  <c r="AC187" i="7" s="1"/>
  <c r="AD187" i="7"/>
  <c r="AH187" i="7" s="1"/>
  <c r="AE187" i="7"/>
  <c r="AB186" i="7"/>
  <c r="AC186" i="7" s="1"/>
  <c r="X186" i="7"/>
  <c r="AE186" i="7"/>
  <c r="AD186" i="7"/>
  <c r="AH186" i="7" s="1"/>
  <c r="AB185" i="7"/>
  <c r="AC185" i="7" s="1"/>
  <c r="X185" i="7"/>
  <c r="AE185" i="7"/>
  <c r="AD185" i="7"/>
  <c r="AH185" i="7" s="1"/>
  <c r="AB184" i="7"/>
  <c r="AC184" i="7" s="1"/>
  <c r="X184" i="7"/>
  <c r="AD184" i="7"/>
  <c r="AH184" i="7" s="1"/>
  <c r="AE184" i="7"/>
  <c r="X183" i="7"/>
  <c r="AB183" i="7"/>
  <c r="AC183" i="7" s="1"/>
  <c r="AE183" i="7"/>
  <c r="AD183" i="7"/>
  <c r="AH183" i="7" s="1"/>
  <c r="AB182" i="7"/>
  <c r="AC182" i="7" s="1"/>
  <c r="X182" i="7"/>
  <c r="AE182" i="7"/>
  <c r="AD182" i="7"/>
  <c r="AH182" i="7" s="1"/>
  <c r="AB181" i="7"/>
  <c r="AC181" i="7" s="1"/>
  <c r="X181" i="7"/>
  <c r="AD181" i="7"/>
  <c r="AH181" i="7" s="1"/>
  <c r="AE181" i="7"/>
  <c r="X180" i="7"/>
  <c r="AB180" i="7"/>
  <c r="AC180" i="7"/>
  <c r="AD180" i="7"/>
  <c r="AH180" i="7" s="1"/>
  <c r="AE180" i="7"/>
  <c r="X179" i="7"/>
  <c r="AB179" i="7"/>
  <c r="AB178" i="7"/>
  <c r="AC178" i="7" s="1"/>
  <c r="X178" i="7"/>
  <c r="AD178" i="7"/>
  <c r="AH178" i="7" s="1"/>
  <c r="AE178" i="7"/>
  <c r="AB177" i="7"/>
  <c r="AC177" i="7" s="1"/>
  <c r="X177" i="7"/>
  <c r="AE177" i="7"/>
  <c r="AD177" i="7"/>
  <c r="AH177" i="7" s="1"/>
  <c r="AB176" i="7"/>
  <c r="AC176" i="7" s="1"/>
  <c r="X176" i="7"/>
  <c r="AE176" i="7"/>
  <c r="AD176" i="7"/>
  <c r="AH176" i="7" s="1"/>
  <c r="X175" i="7"/>
  <c r="AB175" i="7"/>
  <c r="AC175" i="7" s="1"/>
  <c r="AD175" i="7"/>
  <c r="AH175" i="7" s="1"/>
  <c r="AE175" i="7"/>
  <c r="AB174" i="7"/>
  <c r="AC174" i="7" s="1"/>
  <c r="X174" i="7"/>
  <c r="AE174" i="7"/>
  <c r="AD174" i="7"/>
  <c r="AH174" i="7" s="1"/>
  <c r="X173" i="7"/>
  <c r="AB173" i="7"/>
  <c r="AC173" i="7" s="1"/>
  <c r="AE173" i="7"/>
  <c r="AD173" i="7"/>
  <c r="AH173" i="7" s="1"/>
  <c r="AB172" i="7"/>
  <c r="AC172" i="7" s="1"/>
  <c r="X172" i="7"/>
  <c r="AE172" i="7"/>
  <c r="AD172" i="7"/>
  <c r="AH172" i="7" s="1"/>
  <c r="AB171" i="7"/>
  <c r="AC171" i="7" s="1"/>
  <c r="X171" i="7"/>
  <c r="AE171" i="7"/>
  <c r="AD171" i="7"/>
  <c r="AH171" i="7" s="1"/>
  <c r="AB170" i="7"/>
  <c r="AC170" i="7" s="1"/>
  <c r="X170" i="7"/>
  <c r="AE170" i="7"/>
  <c r="AD170" i="7"/>
  <c r="AH170" i="7" s="1"/>
  <c r="AB169" i="7"/>
  <c r="AC169" i="7" s="1"/>
  <c r="X169" i="7"/>
  <c r="AE169" i="7"/>
  <c r="AD169" i="7"/>
  <c r="AH169" i="7" s="1"/>
  <c r="AB168" i="7"/>
  <c r="AC168" i="7" s="1"/>
  <c r="X168" i="7"/>
  <c r="AD168" i="7"/>
  <c r="AH168" i="7" s="1"/>
  <c r="AE168" i="7"/>
  <c r="AB167" i="7"/>
  <c r="X167" i="7"/>
  <c r="AC167" i="7"/>
  <c r="AD167" i="7"/>
  <c r="AH167" i="7" s="1"/>
  <c r="AE167" i="7"/>
  <c r="AB166" i="7"/>
  <c r="AC166" i="7" s="1"/>
  <c r="X166" i="7"/>
  <c r="AE166" i="7"/>
  <c r="AD166" i="7"/>
  <c r="AH166" i="7" s="1"/>
  <c r="AB165" i="7"/>
  <c r="AC165" i="7" s="1"/>
  <c r="X165" i="7"/>
  <c r="AD165" i="7"/>
  <c r="AH165" i="7" s="1"/>
  <c r="AE165" i="7"/>
  <c r="AB164" i="7"/>
  <c r="AC164" i="7" s="1"/>
  <c r="X164" i="7"/>
  <c r="AE164" i="7"/>
  <c r="AD164" i="7"/>
  <c r="AH164" i="7" s="1"/>
  <c r="AB163" i="7"/>
  <c r="AC163" i="7" s="1"/>
  <c r="X163" i="7"/>
  <c r="AE163" i="7"/>
  <c r="AD163" i="7"/>
  <c r="AH163" i="7" s="1"/>
  <c r="X162" i="7"/>
  <c r="AB162" i="7"/>
  <c r="AC162" i="7" s="1"/>
  <c r="AE162" i="7"/>
  <c r="AD162" i="7"/>
  <c r="AH162" i="7" s="1"/>
  <c r="X161" i="7"/>
  <c r="AB161" i="7"/>
  <c r="AC161" i="7"/>
  <c r="AE161" i="7"/>
  <c r="AD161" i="7"/>
  <c r="AH161" i="7" s="1"/>
  <c r="AB160" i="7"/>
  <c r="AC160" i="7" s="1"/>
  <c r="X160" i="7"/>
  <c r="AE160" i="7"/>
  <c r="AD160" i="7"/>
  <c r="AH160" i="7" s="1"/>
  <c r="AB159" i="7"/>
  <c r="AC159" i="7" s="1"/>
  <c r="X159" i="7"/>
  <c r="AE159" i="7"/>
  <c r="AD159" i="7"/>
  <c r="AH159" i="7" s="1"/>
  <c r="AB158" i="7"/>
  <c r="AC158" i="7" s="1"/>
  <c r="X158" i="7"/>
  <c r="AD158" i="7"/>
  <c r="AH158" i="7" s="1"/>
  <c r="AE158" i="7"/>
  <c r="AB157" i="7"/>
  <c r="AC157" i="7" s="1"/>
  <c r="X157" i="7"/>
  <c r="AE157" i="7"/>
  <c r="AD157" i="7"/>
  <c r="AH157" i="7" s="1"/>
  <c r="X156" i="7"/>
  <c r="AB156" i="7"/>
  <c r="AC156" i="7"/>
  <c r="AE156" i="7"/>
  <c r="AD156" i="7"/>
  <c r="AH156" i="7" s="1"/>
  <c r="X155" i="7"/>
  <c r="AB155" i="7"/>
  <c r="AC155" i="7" s="1"/>
  <c r="AE155" i="7"/>
  <c r="AD155" i="7"/>
  <c r="AH155" i="7" s="1"/>
  <c r="X154" i="7"/>
  <c r="AB154" i="7"/>
  <c r="AC154" i="7" s="1"/>
  <c r="AE154" i="7"/>
  <c r="AD154" i="7"/>
  <c r="AH154" i="7" s="1"/>
  <c r="AB153" i="7"/>
  <c r="AC153" i="7" s="1"/>
  <c r="X153" i="7"/>
  <c r="AE153" i="7"/>
  <c r="AD153" i="7"/>
  <c r="AH153" i="7" s="1"/>
  <c r="AB152" i="7"/>
  <c r="AC152" i="7" s="1"/>
  <c r="X152" i="7"/>
  <c r="AE152" i="7"/>
  <c r="AD152" i="7"/>
  <c r="AH152" i="7" s="1"/>
  <c r="X151" i="7"/>
  <c r="AB151" i="7"/>
  <c r="AC151" i="7" s="1"/>
  <c r="AE151" i="7"/>
  <c r="AD151" i="7"/>
  <c r="AH151" i="7" s="1"/>
  <c r="AB150" i="7"/>
  <c r="X150" i="7"/>
  <c r="AC150" i="7"/>
  <c r="AE150" i="7"/>
  <c r="AD150" i="7"/>
  <c r="AH150" i="7" s="1"/>
  <c r="AB149" i="7"/>
  <c r="AC149" i="7"/>
  <c r="X149" i="7"/>
  <c r="AE149" i="7"/>
  <c r="AD149" i="7"/>
  <c r="AH149" i="7" s="1"/>
  <c r="AB148" i="7"/>
  <c r="AC148" i="7" s="1"/>
  <c r="X148" i="7"/>
  <c r="AE148" i="7"/>
  <c r="AD148" i="7"/>
  <c r="AH148" i="7" s="1"/>
  <c r="X147" i="7"/>
  <c r="AB147" i="7"/>
  <c r="AC147" i="7" s="1"/>
  <c r="AD147" i="7"/>
  <c r="AH147" i="7" s="1"/>
  <c r="AE147" i="7"/>
  <c r="AB146" i="7"/>
  <c r="AC146" i="7" s="1"/>
  <c r="X146" i="7"/>
  <c r="AE146" i="7"/>
  <c r="AD146" i="7"/>
  <c r="AH146" i="7" s="1"/>
  <c r="AB145" i="7"/>
  <c r="X145" i="7"/>
  <c r="AC145" i="7"/>
  <c r="AE145" i="7"/>
  <c r="AD145" i="7"/>
  <c r="AH145" i="7" s="1"/>
  <c r="X144" i="7"/>
  <c r="AB144" i="7"/>
  <c r="AC144" i="7" s="1"/>
  <c r="AE144" i="7"/>
  <c r="AD144" i="7"/>
  <c r="AH144" i="7" s="1"/>
  <c r="X143" i="7"/>
  <c r="AB143" i="7"/>
  <c r="AC143" i="7" s="1"/>
  <c r="AD143" i="7"/>
  <c r="AH143" i="7" s="1"/>
  <c r="AE143" i="7"/>
  <c r="AB142" i="7"/>
  <c r="AC142" i="7" s="1"/>
  <c r="X142" i="7"/>
  <c r="AE142" i="7"/>
  <c r="AD142" i="7"/>
  <c r="AH142" i="7" s="1"/>
  <c r="AB141" i="7"/>
  <c r="X141" i="7"/>
  <c r="AC141" i="7"/>
  <c r="AE141" i="7"/>
  <c r="AD141" i="7"/>
  <c r="AH141" i="7" s="1"/>
  <c r="AB140" i="7"/>
  <c r="AC140" i="7" s="1"/>
  <c r="X140" i="7"/>
  <c r="AE140" i="7"/>
  <c r="AD140" i="7"/>
  <c r="AH140" i="7" s="1"/>
  <c r="X139" i="7"/>
  <c r="AB139" i="7"/>
  <c r="AC139" i="7"/>
  <c r="AE139" i="7"/>
  <c r="AD139" i="7"/>
  <c r="AH139" i="7" s="1"/>
  <c r="AB138" i="7"/>
  <c r="AC138" i="7" s="1"/>
  <c r="X138" i="7"/>
  <c r="AE138" i="7"/>
  <c r="AD138" i="7"/>
  <c r="AH138" i="7" s="1"/>
  <c r="X137" i="7"/>
  <c r="AB137" i="7"/>
  <c r="AC137" i="7" s="1"/>
  <c r="AD137" i="7"/>
  <c r="AH137" i="7" s="1"/>
  <c r="AE137" i="7"/>
  <c r="AB136" i="7"/>
  <c r="AC136" i="7" s="1"/>
  <c r="X136" i="7"/>
  <c r="AE136" i="7"/>
  <c r="AD136" i="7"/>
  <c r="AH136" i="7" s="1"/>
  <c r="AB135" i="7"/>
  <c r="AC135" i="7" s="1"/>
  <c r="X135" i="7"/>
  <c r="AE135" i="7"/>
  <c r="AD135" i="7"/>
  <c r="AH135" i="7" s="1"/>
  <c r="AB134" i="7"/>
  <c r="AC134" i="7" s="1"/>
  <c r="X134" i="7"/>
  <c r="AD134" i="7"/>
  <c r="AH134" i="7" s="1"/>
  <c r="AE134" i="7"/>
  <c r="AB133" i="7"/>
  <c r="AC133" i="7" s="1"/>
  <c r="X133" i="7"/>
  <c r="AE133" i="7"/>
  <c r="AD133" i="7"/>
  <c r="AH133" i="7" s="1"/>
  <c r="AB132" i="7"/>
  <c r="AC132" i="7" s="1"/>
  <c r="X132" i="7"/>
  <c r="AE132" i="7"/>
  <c r="AD132" i="7"/>
  <c r="AH132" i="7" s="1"/>
  <c r="AB131" i="7"/>
  <c r="AC131" i="7" s="1"/>
  <c r="X131" i="7"/>
  <c r="AE131" i="7"/>
  <c r="AD131" i="7"/>
  <c r="AH131" i="7" s="1"/>
  <c r="AB130" i="7"/>
  <c r="AC130" i="7" s="1"/>
  <c r="X130" i="7"/>
  <c r="AE130" i="7"/>
  <c r="AD130" i="7"/>
  <c r="AH130" i="7" s="1"/>
  <c r="AB129" i="7"/>
  <c r="X129" i="7"/>
  <c r="AC129" i="7"/>
  <c r="AD129" i="7"/>
  <c r="AH129" i="7" s="1"/>
  <c r="AE129" i="7"/>
  <c r="AB128" i="7"/>
  <c r="AC128" i="7" s="1"/>
  <c r="X128" i="7"/>
  <c r="AE128" i="7"/>
  <c r="AD128" i="7"/>
  <c r="AH128" i="7" s="1"/>
  <c r="AB127" i="7"/>
  <c r="AC127" i="7" s="1"/>
  <c r="X127" i="7"/>
  <c r="AE127" i="7"/>
  <c r="AD127" i="7"/>
  <c r="AH127" i="7" s="1"/>
  <c r="X126" i="7"/>
  <c r="AB126" i="7"/>
  <c r="AC126" i="7"/>
  <c r="AD126" i="7"/>
  <c r="AH126" i="7" s="1"/>
  <c r="AE126" i="7"/>
  <c r="AB125" i="7"/>
  <c r="AC125" i="7" s="1"/>
  <c r="X125" i="7"/>
  <c r="AE125" i="7"/>
  <c r="AD125" i="7"/>
  <c r="AH125" i="7" s="1"/>
  <c r="AB124" i="7"/>
  <c r="AC124" i="7" s="1"/>
  <c r="X124" i="7"/>
  <c r="AE124" i="7"/>
  <c r="AD124" i="7"/>
  <c r="AH124" i="7" s="1"/>
  <c r="AB123" i="7"/>
  <c r="AC123" i="7" s="1"/>
  <c r="X123" i="7"/>
  <c r="AE123" i="7"/>
  <c r="AD123" i="7"/>
  <c r="AH123" i="7" s="1"/>
  <c r="AB122" i="7"/>
  <c r="AC122" i="7" s="1"/>
  <c r="X122" i="7"/>
  <c r="AE122" i="7"/>
  <c r="AD122" i="7"/>
  <c r="AH122" i="7" s="1"/>
  <c r="AB121" i="7"/>
  <c r="AC121" i="7"/>
  <c r="X121" i="7"/>
  <c r="AD121" i="7"/>
  <c r="AH121" i="7" s="1"/>
  <c r="AE121" i="7"/>
  <c r="AB120" i="7"/>
  <c r="X120" i="7"/>
  <c r="AC120" i="7"/>
  <c r="AD120" i="7"/>
  <c r="AH120" i="7" s="1"/>
  <c r="AE120" i="7"/>
  <c r="AB119" i="7"/>
  <c r="AC119" i="7" s="1"/>
  <c r="X119" i="7"/>
  <c r="AE119" i="7"/>
  <c r="AD119" i="7"/>
  <c r="AH119" i="7" s="1"/>
  <c r="AB118" i="7"/>
  <c r="AC118" i="7" s="1"/>
  <c r="X118" i="7"/>
  <c r="AE118" i="7"/>
  <c r="AD118" i="7"/>
  <c r="AH118" i="7" s="1"/>
  <c r="AB117" i="7"/>
  <c r="AC117" i="7" s="1"/>
  <c r="X117" i="7"/>
  <c r="AD117" i="7"/>
  <c r="AH117" i="7" s="1"/>
  <c r="AE117" i="7"/>
  <c r="AB116" i="7"/>
  <c r="AC116" i="7" s="1"/>
  <c r="X116" i="7"/>
  <c r="AE116" i="7"/>
  <c r="AD116" i="7"/>
  <c r="AH116" i="7" s="1"/>
  <c r="X115" i="7"/>
  <c r="AB115" i="7"/>
  <c r="AC115" i="7" s="1"/>
  <c r="AE115" i="7"/>
  <c r="AD115" i="7"/>
  <c r="AH115" i="7" s="1"/>
  <c r="AB114" i="7"/>
  <c r="AC114" i="7" s="1"/>
  <c r="X114" i="7"/>
  <c r="AE114" i="7"/>
  <c r="AD114" i="7"/>
  <c r="AH114" i="7" s="1"/>
  <c r="AB113" i="7"/>
  <c r="AC113" i="7" s="1"/>
  <c r="X113" i="7"/>
  <c r="AD113" i="7"/>
  <c r="AH113" i="7" s="1"/>
  <c r="AE113" i="7"/>
  <c r="AB112" i="7"/>
  <c r="AC112" i="7" s="1"/>
  <c r="X112" i="7"/>
  <c r="AE112" i="7"/>
  <c r="AD112" i="7"/>
  <c r="AH112" i="7" s="1"/>
  <c r="X111" i="7"/>
  <c r="AB111" i="7"/>
  <c r="AE111" i="7"/>
  <c r="AD111" i="7"/>
  <c r="AH111" i="7" s="1"/>
  <c r="AB110" i="7"/>
  <c r="AC110" i="7" s="1"/>
  <c r="X110" i="7"/>
  <c r="AE110" i="7"/>
  <c r="AD110" i="7"/>
  <c r="AH110" i="7" s="1"/>
  <c r="AB109" i="7"/>
  <c r="AC109" i="7" s="1"/>
  <c r="X109" i="7"/>
  <c r="AE109" i="7"/>
  <c r="AD109" i="7"/>
  <c r="AH109" i="7" s="1"/>
  <c r="X108" i="7"/>
  <c r="AB108" i="7"/>
  <c r="AC108" i="7"/>
  <c r="AE108" i="7"/>
  <c r="AD108" i="7"/>
  <c r="AH108" i="7" s="1"/>
  <c r="X107" i="7"/>
  <c r="AB107" i="7"/>
  <c r="AC107" i="7"/>
  <c r="AE107" i="7"/>
  <c r="AD107" i="7"/>
  <c r="AH107" i="7" s="1"/>
  <c r="AB106" i="7"/>
  <c r="X106" i="7"/>
  <c r="AC106" i="7"/>
  <c r="AE106" i="7"/>
  <c r="AD106" i="7"/>
  <c r="AH106" i="7" s="1"/>
  <c r="AB105" i="7"/>
  <c r="AC105" i="7"/>
  <c r="X105" i="7"/>
  <c r="AD105" i="7"/>
  <c r="AH105" i="7" s="1"/>
  <c r="AE105" i="7"/>
  <c r="AB104" i="7"/>
  <c r="AC104" i="7" s="1"/>
  <c r="X104" i="7"/>
  <c r="AD104" i="7"/>
  <c r="AH104" i="7" s="1"/>
  <c r="AE104" i="7"/>
  <c r="AB103" i="7"/>
  <c r="AC103" i="7" s="1"/>
  <c r="X103" i="7"/>
  <c r="AE103" i="7"/>
  <c r="AD103" i="7"/>
  <c r="AH103" i="7" s="1"/>
  <c r="AB102" i="7"/>
  <c r="AC102" i="7"/>
  <c r="X102" i="7"/>
  <c r="AD102" i="7"/>
  <c r="AH102" i="7" s="1"/>
  <c r="AE102" i="7"/>
  <c r="AB101" i="7"/>
  <c r="AC101" i="7" s="1"/>
  <c r="X101" i="7"/>
  <c r="AE101" i="7"/>
  <c r="AD101" i="7"/>
  <c r="AH101" i="7" s="1"/>
  <c r="X100" i="7"/>
  <c r="AB100" i="7"/>
  <c r="AC100" i="7" s="1"/>
  <c r="AD100" i="7"/>
  <c r="AH100" i="7" s="1"/>
  <c r="AE100" i="7"/>
  <c r="AB99" i="7"/>
  <c r="AC99" i="7"/>
  <c r="X99" i="7"/>
  <c r="AE99" i="7"/>
  <c r="AD99" i="7"/>
  <c r="AH99" i="7" s="1"/>
  <c r="AB98" i="7"/>
  <c r="AC98" i="7" s="1"/>
  <c r="X98" i="7"/>
  <c r="AE98" i="7"/>
  <c r="AD98" i="7"/>
  <c r="AH98" i="7" s="1"/>
  <c r="AB97" i="7"/>
  <c r="AC97" i="7"/>
  <c r="X97" i="7"/>
  <c r="AE97" i="7"/>
  <c r="AD97" i="7"/>
  <c r="AH97" i="7" s="1"/>
  <c r="AB96" i="7"/>
  <c r="AC96" i="7" s="1"/>
  <c r="X96" i="7"/>
  <c r="AE96" i="7"/>
  <c r="AD96" i="7"/>
  <c r="AH96" i="7" s="1"/>
  <c r="AB95" i="7"/>
  <c r="AC95" i="7" s="1"/>
  <c r="X95" i="7"/>
  <c r="AD95" i="7"/>
  <c r="AH95" i="7" s="1"/>
  <c r="AE95" i="7"/>
  <c r="G32" i="9"/>
  <c r="X94" i="7"/>
  <c r="AB94" i="7"/>
  <c r="AC94" i="7" s="1"/>
  <c r="AE94" i="7"/>
  <c r="AD94" i="7"/>
  <c r="AH94" i="7" s="1"/>
  <c r="AB93" i="7"/>
  <c r="AC93" i="7" s="1"/>
  <c r="X93" i="7"/>
  <c r="AD93" i="7"/>
  <c r="AH93" i="7" s="1"/>
  <c r="AE93" i="7"/>
  <c r="AB92" i="7"/>
  <c r="AC92" i="7" s="1"/>
  <c r="X92" i="7"/>
  <c r="AE92" i="7"/>
  <c r="AD92" i="7"/>
  <c r="AH92" i="7" s="1"/>
  <c r="AB91" i="7"/>
  <c r="AC91" i="7" s="1"/>
  <c r="X91" i="7"/>
  <c r="AD91" i="7"/>
  <c r="AH91" i="7" s="1"/>
  <c r="AE91" i="7"/>
  <c r="AB90" i="7"/>
  <c r="AC90" i="7" s="1"/>
  <c r="X90" i="7"/>
  <c r="AE90" i="7"/>
  <c r="AD90" i="7"/>
  <c r="AH90" i="7" s="1"/>
  <c r="AB89" i="7"/>
  <c r="AC89" i="7" s="1"/>
  <c r="X89" i="7"/>
  <c r="AE89" i="7"/>
  <c r="AD89" i="7"/>
  <c r="AH89" i="7" s="1"/>
  <c r="AB88" i="7"/>
  <c r="AC88" i="7" s="1"/>
  <c r="X88" i="7"/>
  <c r="AD88" i="7"/>
  <c r="AH88" i="7" s="1"/>
  <c r="AE88" i="7"/>
  <c r="AB87" i="7"/>
  <c r="AC87" i="7" s="1"/>
  <c r="X87" i="7"/>
  <c r="AD87" i="7"/>
  <c r="AH87" i="7" s="1"/>
  <c r="AE87" i="7"/>
  <c r="AB86" i="7"/>
  <c r="AC86" i="7" s="1"/>
  <c r="X86" i="7"/>
  <c r="AE86" i="7"/>
  <c r="AD86" i="7"/>
  <c r="AH86" i="7" s="1"/>
  <c r="AB85" i="7"/>
  <c r="AC85" i="7" s="1"/>
  <c r="X85" i="7"/>
  <c r="AE85" i="7"/>
  <c r="AD85" i="7"/>
  <c r="AH85" i="7" s="1"/>
  <c r="X84" i="7"/>
  <c r="AB84" i="7"/>
  <c r="AC84" i="7" s="1"/>
  <c r="AE84" i="7"/>
  <c r="AD84" i="7"/>
  <c r="AH84" i="7" s="1"/>
  <c r="AB83" i="7"/>
  <c r="X83" i="7"/>
  <c r="AC83" i="7"/>
  <c r="AE83" i="7"/>
  <c r="AD83" i="7"/>
  <c r="AH83" i="7" s="1"/>
  <c r="AB82" i="7"/>
  <c r="AC82" i="7" s="1"/>
  <c r="X82" i="7"/>
  <c r="AD82" i="7"/>
  <c r="AH82" i="7" s="1"/>
  <c r="AE82" i="7"/>
  <c r="AB81" i="7"/>
  <c r="AC81" i="7" s="1"/>
  <c r="X81" i="7"/>
  <c r="AD81" i="7"/>
  <c r="AH81" i="7" s="1"/>
  <c r="AE81" i="7"/>
  <c r="AB80" i="7"/>
  <c r="AC80" i="7"/>
  <c r="X80" i="7"/>
  <c r="AD80" i="7"/>
  <c r="AH80" i="7" s="1"/>
  <c r="AE80" i="7"/>
  <c r="AB79" i="7"/>
  <c r="X79" i="7"/>
  <c r="AC79" i="7"/>
  <c r="AE79" i="7"/>
  <c r="AD79" i="7"/>
  <c r="AH79" i="7" s="1"/>
  <c r="AB78" i="7"/>
  <c r="AC78" i="7" s="1"/>
  <c r="X78" i="7"/>
  <c r="AE78" i="7"/>
  <c r="AD78" i="7"/>
  <c r="AH78" i="7" s="1"/>
  <c r="X77" i="7"/>
  <c r="AB77" i="7"/>
  <c r="AC77" i="7" s="1"/>
  <c r="AE77" i="7"/>
  <c r="AD77" i="7"/>
  <c r="AH77" i="7" s="1"/>
  <c r="X76" i="7"/>
  <c r="AB76" i="7"/>
  <c r="AC76" i="7" s="1"/>
  <c r="AE76" i="7"/>
  <c r="AD76" i="7"/>
  <c r="AH76" i="7" s="1"/>
  <c r="AB75" i="7"/>
  <c r="AC75" i="7" s="1"/>
  <c r="AF75" i="7" s="1"/>
  <c r="AG75" i="7" s="1"/>
  <c r="X75" i="7"/>
  <c r="AE75" i="7"/>
  <c r="AD75" i="7"/>
  <c r="AB74" i="7"/>
  <c r="AC74" i="7" s="1"/>
  <c r="X74" i="7"/>
  <c r="AE74" i="7"/>
  <c r="AD74" i="7"/>
  <c r="AH74" i="7" s="1"/>
  <c r="AB73" i="7"/>
  <c r="AC73" i="7" s="1"/>
  <c r="X73" i="7"/>
  <c r="AD73" i="7"/>
  <c r="AH73" i="7" s="1"/>
  <c r="AE73" i="7"/>
  <c r="AB72" i="7"/>
  <c r="AC72" i="7" s="1"/>
  <c r="X72" i="7"/>
  <c r="AE72" i="7"/>
  <c r="AD72" i="7"/>
  <c r="AH72" i="7" s="1"/>
  <c r="X71" i="7"/>
  <c r="AB71" i="7"/>
  <c r="AC71" i="7" s="1"/>
  <c r="AE71" i="7"/>
  <c r="AD71" i="7"/>
  <c r="AH71" i="7" s="1"/>
  <c r="G34" i="9"/>
  <c r="AB70" i="7"/>
  <c r="AC70" i="7" s="1"/>
  <c r="X70" i="7"/>
  <c r="AE70" i="7"/>
  <c r="AD70" i="7"/>
  <c r="AH70" i="7" s="1"/>
  <c r="AB69" i="7"/>
  <c r="AC69" i="7"/>
  <c r="X69" i="7"/>
  <c r="AE69" i="7"/>
  <c r="AD69" i="7"/>
  <c r="AH69" i="7" s="1"/>
  <c r="AB68" i="7"/>
  <c r="AC68" i="7" s="1"/>
  <c r="X68" i="7"/>
  <c r="AE68" i="7"/>
  <c r="AD68" i="7"/>
  <c r="AH68" i="7" s="1"/>
  <c r="X67" i="7"/>
  <c r="AB67" i="7"/>
  <c r="AC67" i="7" s="1"/>
  <c r="AE67" i="7"/>
  <c r="AD67" i="7"/>
  <c r="AH67" i="7" s="1"/>
  <c r="X66" i="7"/>
  <c r="AB66" i="7"/>
  <c r="AC66" i="7" s="1"/>
  <c r="AE66" i="7"/>
  <c r="AD66" i="7"/>
  <c r="AH66" i="7" s="1"/>
  <c r="AB65" i="7"/>
  <c r="AC65" i="7" s="1"/>
  <c r="X65" i="7"/>
  <c r="AE65" i="7"/>
  <c r="AD65" i="7"/>
  <c r="AH65" i="7" s="1"/>
  <c r="AB64" i="7"/>
  <c r="AC64" i="7" s="1"/>
  <c r="X64" i="7"/>
  <c r="AD64" i="7"/>
  <c r="AH64" i="7" s="1"/>
  <c r="AE64" i="7"/>
  <c r="AB63" i="7"/>
  <c r="AC63" i="7" s="1"/>
  <c r="X63" i="7"/>
  <c r="AE63" i="7"/>
  <c r="AD63" i="7"/>
  <c r="AH63" i="7" s="1"/>
  <c r="X62" i="7"/>
  <c r="AB62" i="7"/>
  <c r="AC62" i="7" s="1"/>
  <c r="AE62" i="7"/>
  <c r="AD62" i="7"/>
  <c r="AH62" i="7" s="1"/>
  <c r="X61" i="7"/>
  <c r="AB61" i="7"/>
  <c r="AC61" i="7"/>
  <c r="AD61" i="7"/>
  <c r="AH61" i="7" s="1"/>
  <c r="AE61" i="7"/>
  <c r="AB60" i="7"/>
  <c r="AC60" i="7" s="1"/>
  <c r="X60" i="7"/>
  <c r="AE60" i="7"/>
  <c r="AD60" i="7"/>
  <c r="AH60" i="7" s="1"/>
  <c r="AB59" i="7"/>
  <c r="AC59" i="7"/>
  <c r="X59" i="7"/>
  <c r="AD59" i="7"/>
  <c r="AH59" i="7" s="1"/>
  <c r="AE59" i="7"/>
  <c r="AB58" i="7"/>
  <c r="AC58" i="7" s="1"/>
  <c r="X58" i="7"/>
  <c r="AE58" i="7"/>
  <c r="AD58" i="7"/>
  <c r="AH58" i="7" s="1"/>
  <c r="AB57" i="7"/>
  <c r="AC57" i="7" s="1"/>
  <c r="X57" i="7"/>
  <c r="AD57" i="7"/>
  <c r="AH57" i="7" s="1"/>
  <c r="AE57" i="7"/>
  <c r="AB56" i="7"/>
  <c r="AC56" i="7" s="1"/>
  <c r="X56" i="7"/>
  <c r="AE56" i="7"/>
  <c r="AD56" i="7"/>
  <c r="AH56" i="7" s="1"/>
  <c r="X55" i="7"/>
  <c r="AB55" i="7"/>
  <c r="AC55" i="7"/>
  <c r="AD55" i="7"/>
  <c r="AH55" i="7" s="1"/>
  <c r="AE55" i="7"/>
  <c r="X54" i="7"/>
  <c r="AB54" i="7"/>
  <c r="AC54" i="7"/>
  <c r="AD54" i="7"/>
  <c r="AH54" i="7" s="1"/>
  <c r="AE54" i="7"/>
  <c r="X53" i="7"/>
  <c r="AB53" i="7"/>
  <c r="AC53" i="7"/>
  <c r="AD53" i="7"/>
  <c r="AH53" i="7" s="1"/>
  <c r="AE53" i="7"/>
  <c r="AB52" i="7"/>
  <c r="AC52" i="7" s="1"/>
  <c r="X52" i="7"/>
  <c r="AE52" i="7"/>
  <c r="AD52" i="7"/>
  <c r="AH52" i="7" s="1"/>
  <c r="AB51" i="7"/>
  <c r="AC51" i="7" s="1"/>
  <c r="X51" i="7"/>
  <c r="AE51" i="7"/>
  <c r="AD51" i="7"/>
  <c r="AH51" i="7" s="1"/>
  <c r="AB50" i="7"/>
  <c r="AC50" i="7" s="1"/>
  <c r="X50" i="7"/>
  <c r="AE50" i="7"/>
  <c r="AD50" i="7"/>
  <c r="AH50" i="7" s="1"/>
  <c r="AB49" i="7"/>
  <c r="AC49" i="7" s="1"/>
  <c r="X49" i="7"/>
  <c r="AE49" i="7"/>
  <c r="AD49" i="7"/>
  <c r="AH49" i="7" s="1"/>
  <c r="X48" i="7"/>
  <c r="AB48" i="7"/>
  <c r="AC48" i="7"/>
  <c r="AD48" i="7"/>
  <c r="AH48" i="7" s="1"/>
  <c r="AE48" i="7"/>
  <c r="AB47" i="7"/>
  <c r="AC47" i="7" s="1"/>
  <c r="X47" i="7"/>
  <c r="AD47" i="7"/>
  <c r="AH47" i="7" s="1"/>
  <c r="AE47" i="7"/>
  <c r="AB46" i="7"/>
  <c r="AC46" i="7" s="1"/>
  <c r="X46" i="7"/>
  <c r="AD46" i="7"/>
  <c r="AH46" i="7" s="1"/>
  <c r="AE46" i="7"/>
  <c r="AB45" i="7"/>
  <c r="AC45" i="7" s="1"/>
  <c r="X45" i="7"/>
  <c r="AE45" i="7"/>
  <c r="AD45" i="7"/>
  <c r="AH45" i="7" s="1"/>
  <c r="X44" i="7"/>
  <c r="AB44" i="7"/>
  <c r="AC44" i="7"/>
  <c r="AD44" i="7"/>
  <c r="AH44" i="7" s="1"/>
  <c r="AE44" i="7"/>
  <c r="AB43" i="7"/>
  <c r="AC43" i="7"/>
  <c r="X43" i="7"/>
  <c r="AE43" i="7"/>
  <c r="AD43" i="7"/>
  <c r="AH43" i="7" s="1"/>
  <c r="X42" i="7"/>
  <c r="AB42" i="7"/>
  <c r="AC42" i="7" s="1"/>
  <c r="AE42" i="7"/>
  <c r="AD42" i="7"/>
  <c r="AH42" i="7" s="1"/>
  <c r="AB41" i="7"/>
  <c r="AC41" i="7" s="1"/>
  <c r="X41" i="7"/>
  <c r="AD41" i="7"/>
  <c r="AH41" i="7" s="1"/>
  <c r="AE41" i="7"/>
  <c r="AB40" i="7"/>
  <c r="AC40" i="7" s="1"/>
  <c r="X40" i="7"/>
  <c r="AE40" i="7"/>
  <c r="AD40" i="7"/>
  <c r="AH40" i="7" s="1"/>
  <c r="G31" i="9"/>
  <c r="AB39" i="7"/>
  <c r="AC39" i="7"/>
  <c r="X39" i="7"/>
  <c r="AD39" i="7"/>
  <c r="AH39" i="7" s="1"/>
  <c r="AE39" i="7"/>
  <c r="AB38" i="7"/>
  <c r="X38" i="7"/>
  <c r="AC38" i="7"/>
  <c r="AD38" i="7"/>
  <c r="AH38" i="7" s="1"/>
  <c r="AE38" i="7"/>
  <c r="X37" i="7"/>
  <c r="AB37" i="7"/>
  <c r="AC37" i="7"/>
  <c r="AD37" i="7"/>
  <c r="AH37" i="7" s="1"/>
  <c r="AE37" i="7"/>
  <c r="AB36" i="7"/>
  <c r="AC36" i="7" s="1"/>
  <c r="X36" i="7"/>
  <c r="AD36" i="7"/>
  <c r="AH36" i="7" s="1"/>
  <c r="AE36" i="7"/>
  <c r="X35" i="7"/>
  <c r="AB35" i="7"/>
  <c r="AC35" i="7" s="1"/>
  <c r="AD35" i="7"/>
  <c r="AH35" i="7" s="1"/>
  <c r="AE35" i="7"/>
  <c r="X34" i="7"/>
  <c r="AB34" i="7"/>
  <c r="AC34" i="7"/>
  <c r="AE34" i="7"/>
  <c r="AD34" i="7"/>
  <c r="AH34" i="7" s="1"/>
  <c r="AB33" i="7"/>
  <c r="AC33" i="7"/>
  <c r="X33" i="7"/>
  <c r="AD33" i="7"/>
  <c r="AH33" i="7" s="1"/>
  <c r="AE33" i="7"/>
  <c r="X32" i="7"/>
  <c r="AB32" i="7"/>
  <c r="AC32" i="7"/>
  <c r="AD32" i="7"/>
  <c r="AH32" i="7" s="1"/>
  <c r="AE32" i="7"/>
  <c r="AB31" i="7"/>
  <c r="X31" i="7"/>
  <c r="AC31" i="7"/>
  <c r="AE31" i="7"/>
  <c r="AD31" i="7"/>
  <c r="AH31" i="7" s="1"/>
  <c r="X30" i="7"/>
  <c r="AB30" i="7"/>
  <c r="AC30" i="7" s="1"/>
  <c r="AE30" i="7"/>
  <c r="AD30" i="7"/>
  <c r="AH30" i="7" s="1"/>
  <c r="AB29" i="7"/>
  <c r="AC29" i="7" s="1"/>
  <c r="X29" i="7"/>
  <c r="AE29" i="7"/>
  <c r="AD29" i="7"/>
  <c r="AH29" i="7" s="1"/>
  <c r="X28" i="7"/>
  <c r="AB28" i="7"/>
  <c r="AC28" i="7"/>
  <c r="AE28" i="7"/>
  <c r="AD28" i="7"/>
  <c r="AH28" i="7" s="1"/>
  <c r="X27" i="7"/>
  <c r="AB27" i="7"/>
  <c r="AC27" i="7" s="1"/>
  <c r="AD27" i="7"/>
  <c r="AH27" i="7" s="1"/>
  <c r="AE27" i="7"/>
  <c r="X26" i="7"/>
  <c r="AB26" i="7"/>
  <c r="AC26" i="7" s="1"/>
  <c r="AE26" i="7"/>
  <c r="AD26" i="7"/>
  <c r="AH26" i="7" s="1"/>
  <c r="AB25" i="7"/>
  <c r="AC25" i="7" s="1"/>
  <c r="X25" i="7"/>
  <c r="AE25" i="7"/>
  <c r="AD25" i="7"/>
  <c r="AH25" i="7" s="1"/>
  <c r="X24" i="7"/>
  <c r="AB24" i="7"/>
  <c r="AC24" i="7" s="1"/>
  <c r="AE24" i="7"/>
  <c r="AD24" i="7"/>
  <c r="AH24" i="7" s="1"/>
  <c r="AB23" i="7"/>
  <c r="AC23" i="7" s="1"/>
  <c r="X23" i="7"/>
  <c r="AD23" i="7"/>
  <c r="AH23" i="7" s="1"/>
  <c r="AE23" i="7"/>
  <c r="X22" i="7"/>
  <c r="AB22" i="7"/>
  <c r="AC22" i="7" s="1"/>
  <c r="AD22" i="7"/>
  <c r="AH22" i="7" s="1"/>
  <c r="AE22" i="7"/>
  <c r="AB21" i="7"/>
  <c r="AC21" i="7"/>
  <c r="X21" i="7"/>
  <c r="AE21" i="7"/>
  <c r="AD21" i="7"/>
  <c r="AH21" i="7" s="1"/>
  <c r="X20" i="7"/>
  <c r="AB20" i="7"/>
  <c r="AC20" i="7" s="1"/>
  <c r="AD20" i="7"/>
  <c r="AH20" i="7" s="1"/>
  <c r="AE20" i="7"/>
  <c r="X19" i="7"/>
  <c r="AB19" i="7"/>
  <c r="AC19" i="7" s="1"/>
  <c r="AD19" i="7"/>
  <c r="AH19" i="7" s="1"/>
  <c r="AE19" i="7"/>
  <c r="AB18" i="7"/>
  <c r="AC18" i="7"/>
  <c r="X18" i="7"/>
  <c r="AD18" i="7"/>
  <c r="AH18" i="7" s="1"/>
  <c r="AE18" i="7"/>
  <c r="X17" i="7"/>
  <c r="AB17" i="7"/>
  <c r="AC17" i="7" s="1"/>
  <c r="AE17" i="7"/>
  <c r="AD17" i="7"/>
  <c r="AH17" i="7" s="1"/>
  <c r="X16" i="7"/>
  <c r="AB16" i="7"/>
  <c r="AC16" i="7"/>
  <c r="AD16" i="7"/>
  <c r="AH16" i="7" s="1"/>
  <c r="AE16" i="7"/>
  <c r="X15" i="7"/>
  <c r="AB15" i="7"/>
  <c r="AC15" i="7"/>
  <c r="AE15" i="7"/>
  <c r="AD15" i="7"/>
  <c r="AH15" i="7" s="1"/>
  <c r="AB14" i="7"/>
  <c r="AC14" i="7"/>
  <c r="X14" i="7"/>
  <c r="AE14" i="7"/>
  <c r="AD14" i="7"/>
  <c r="AH14" i="7" s="1"/>
  <c r="AB13" i="7"/>
  <c r="X13" i="7"/>
  <c r="AC13" i="7"/>
  <c r="AE13" i="7"/>
  <c r="AD13" i="7"/>
  <c r="AH13" i="7" s="1"/>
  <c r="I35" i="8"/>
  <c r="I17" i="8"/>
  <c r="AB12" i="7"/>
  <c r="AC12" i="7" s="1"/>
  <c r="X12" i="7"/>
  <c r="AD12" i="7"/>
  <c r="AH12" i="7" s="1"/>
  <c r="AE12" i="7"/>
  <c r="X11" i="7"/>
  <c r="AB11" i="7"/>
  <c r="AC11" i="7" s="1"/>
  <c r="AD11" i="7"/>
  <c r="AH11" i="7" s="1"/>
  <c r="AE11" i="7"/>
  <c r="AB10" i="7"/>
  <c r="AC10" i="7" s="1"/>
  <c r="X10" i="7"/>
  <c r="AD10" i="7"/>
  <c r="AH10" i="7" s="1"/>
  <c r="AE10" i="7"/>
  <c r="G33" i="9"/>
  <c r="X9" i="7"/>
  <c r="AB9" i="7"/>
  <c r="AC9" i="7" s="1"/>
  <c r="AD9" i="7"/>
  <c r="AH9" i="7" s="1"/>
  <c r="AE9" i="7"/>
  <c r="AB8" i="7"/>
  <c r="AC8" i="7" s="1"/>
  <c r="X8" i="7"/>
  <c r="AE8" i="7"/>
  <c r="AD8" i="7"/>
  <c r="AH8" i="7" s="1"/>
  <c r="I18" i="8"/>
  <c r="I34" i="8"/>
  <c r="AB7" i="7"/>
  <c r="AC7" i="7" s="1"/>
  <c r="X7" i="7"/>
  <c r="AE7" i="7"/>
  <c r="AD7" i="7"/>
  <c r="AH7" i="7" s="1"/>
  <c r="AB6" i="7"/>
  <c r="AC6" i="7"/>
  <c r="X6" i="7"/>
  <c r="AD6" i="7"/>
  <c r="AH6" i="7" s="1"/>
  <c r="AE6" i="7"/>
  <c r="I19" i="8"/>
  <c r="I33" i="8"/>
  <c r="I43" i="8"/>
  <c r="I26" i="8"/>
  <c r="B9" i="8"/>
  <c r="B36" i="1" s="1"/>
  <c r="X5" i="7"/>
  <c r="AB5" i="7"/>
  <c r="AC5" i="7" s="1"/>
  <c r="AE5" i="7"/>
  <c r="AD5" i="7"/>
  <c r="AH5" i="7" s="1"/>
  <c r="D29" i="5"/>
  <c r="C29" i="5"/>
  <c r="D20" i="5"/>
  <c r="C20" i="5"/>
  <c r="D27" i="5"/>
  <c r="D28" i="5"/>
  <c r="C27" i="5"/>
  <c r="D21" i="5"/>
  <c r="C28" i="5"/>
  <c r="C21" i="5"/>
  <c r="J154" i="4"/>
  <c r="S154" i="4"/>
  <c r="Q154" i="4"/>
  <c r="M154" i="4"/>
  <c r="K154" i="4"/>
  <c r="L154" i="4" s="1"/>
  <c r="J153" i="4"/>
  <c r="S153" i="4"/>
  <c r="Q153" i="4"/>
  <c r="M153" i="4"/>
  <c r="K153" i="4"/>
  <c r="J152" i="4"/>
  <c r="M152" i="4"/>
  <c r="K152" i="4"/>
  <c r="L152" i="4" s="1"/>
  <c r="Q152" i="4"/>
  <c r="J151" i="4"/>
  <c r="K151" i="4"/>
  <c r="M151" i="4"/>
  <c r="Q151" i="4"/>
  <c r="S151" i="4"/>
  <c r="J150" i="4"/>
  <c r="Q150" i="4"/>
  <c r="M150" i="4"/>
  <c r="K150" i="4"/>
  <c r="S150" i="4"/>
  <c r="J149" i="4"/>
  <c r="K149" i="4"/>
  <c r="M149" i="4"/>
  <c r="Q149" i="4"/>
  <c r="S149" i="4"/>
  <c r="J148" i="4"/>
  <c r="K148" i="4"/>
  <c r="L148" i="4" s="1"/>
  <c r="S148" i="4"/>
  <c r="M148" i="4"/>
  <c r="Q148" i="4"/>
  <c r="J147" i="4"/>
  <c r="K147" i="4"/>
  <c r="M147" i="4"/>
  <c r="Q147" i="4"/>
  <c r="S147" i="4"/>
  <c r="J146" i="4"/>
  <c r="K146" i="4"/>
  <c r="S146" i="4"/>
  <c r="M146" i="4"/>
  <c r="Q146" i="4"/>
  <c r="J145" i="4"/>
  <c r="S145" i="4"/>
  <c r="Q145" i="4"/>
  <c r="M145" i="4"/>
  <c r="K145" i="4"/>
  <c r="L145" i="4" s="1"/>
  <c r="J144" i="4"/>
  <c r="S144" i="4"/>
  <c r="Q144" i="4"/>
  <c r="M144" i="4"/>
  <c r="K144" i="4"/>
  <c r="J143" i="4"/>
  <c r="S143" i="4"/>
  <c r="Q143" i="4"/>
  <c r="M143" i="4"/>
  <c r="K143" i="4"/>
  <c r="L143" i="4" s="1"/>
  <c r="J142" i="4"/>
  <c r="K142" i="4"/>
  <c r="M142" i="4"/>
  <c r="Q142" i="4"/>
  <c r="S142" i="4"/>
  <c r="J141" i="4"/>
  <c r="S141" i="4"/>
  <c r="Q141" i="4"/>
  <c r="M141" i="4"/>
  <c r="K141" i="4"/>
  <c r="L141" i="4" s="1"/>
  <c r="J140" i="4"/>
  <c r="S140" i="4"/>
  <c r="Q140" i="4"/>
  <c r="M140" i="4"/>
  <c r="K140" i="4"/>
  <c r="J139" i="4"/>
  <c r="S139" i="4"/>
  <c r="Q139" i="4"/>
  <c r="M139" i="4"/>
  <c r="K139" i="4"/>
  <c r="J138" i="4"/>
  <c r="K138" i="4"/>
  <c r="S138" i="4"/>
  <c r="M138" i="4"/>
  <c r="Q138" i="4"/>
  <c r="J137" i="4"/>
  <c r="S137" i="4"/>
  <c r="M137" i="4"/>
  <c r="K137" i="4"/>
  <c r="L137" i="4" s="1"/>
  <c r="Q137" i="4"/>
  <c r="J136" i="4"/>
  <c r="S136" i="4"/>
  <c r="M136" i="4"/>
  <c r="Q136" i="4"/>
  <c r="K136" i="4"/>
  <c r="L136" i="4" s="1"/>
  <c r="J135" i="4"/>
  <c r="S135" i="4"/>
  <c r="Q135" i="4"/>
  <c r="M135" i="4"/>
  <c r="K135" i="4"/>
  <c r="J134" i="4"/>
  <c r="S134" i="4"/>
  <c r="Q134" i="4"/>
  <c r="M134" i="4"/>
  <c r="K134" i="4"/>
  <c r="L134" i="4" s="1"/>
  <c r="J133" i="4"/>
  <c r="S133" i="4"/>
  <c r="Q133" i="4"/>
  <c r="M133" i="4"/>
  <c r="K133" i="4"/>
  <c r="J132" i="4"/>
  <c r="S132" i="4"/>
  <c r="K132" i="4"/>
  <c r="M132" i="4"/>
  <c r="Q132" i="4"/>
  <c r="J131" i="4"/>
  <c r="Q131" i="4"/>
  <c r="M131" i="4"/>
  <c r="K131" i="4"/>
  <c r="S131" i="4"/>
  <c r="J130" i="4"/>
  <c r="S130" i="4"/>
  <c r="Q130" i="4"/>
  <c r="M130" i="4"/>
  <c r="K130" i="4"/>
  <c r="L130" i="4" s="1"/>
  <c r="J129" i="4"/>
  <c r="S129" i="4"/>
  <c r="Q129" i="4"/>
  <c r="M129" i="4"/>
  <c r="K129" i="4"/>
  <c r="J128" i="4"/>
  <c r="S128" i="4"/>
  <c r="Q128" i="4"/>
  <c r="M128" i="4"/>
  <c r="K128" i="4"/>
  <c r="J127" i="4"/>
  <c r="K127" i="4"/>
  <c r="S127" i="4"/>
  <c r="Q127" i="4"/>
  <c r="M127" i="4"/>
  <c r="J126" i="4"/>
  <c r="S126" i="4"/>
  <c r="M126" i="4"/>
  <c r="K126" i="4"/>
  <c r="Q126" i="4"/>
  <c r="J125" i="4"/>
  <c r="S125" i="4"/>
  <c r="Q125" i="4"/>
  <c r="M125" i="4"/>
  <c r="K125" i="4"/>
  <c r="J124" i="4"/>
  <c r="Q124" i="4"/>
  <c r="M124" i="4"/>
  <c r="K124" i="4"/>
  <c r="S124" i="4"/>
  <c r="J123" i="4"/>
  <c r="S123" i="4"/>
  <c r="Q123" i="4"/>
  <c r="M123" i="4"/>
  <c r="K123" i="4"/>
  <c r="J122" i="4"/>
  <c r="S122" i="4"/>
  <c r="K122" i="4"/>
  <c r="M122" i="4"/>
  <c r="Q122" i="4"/>
  <c r="J121" i="4"/>
  <c r="Q121" i="4"/>
  <c r="M121" i="4"/>
  <c r="K121" i="4"/>
  <c r="S121" i="4"/>
  <c r="J120" i="4"/>
  <c r="S120" i="4"/>
  <c r="K120" i="4"/>
  <c r="M120" i="4"/>
  <c r="Q120" i="4"/>
  <c r="J119" i="4"/>
  <c r="Q119" i="4"/>
  <c r="M119" i="4"/>
  <c r="K119" i="4"/>
  <c r="S119" i="4"/>
  <c r="J118" i="4"/>
  <c r="S118" i="4"/>
  <c r="Q118" i="4"/>
  <c r="M118" i="4"/>
  <c r="K118" i="4"/>
  <c r="J117" i="4"/>
  <c r="S117" i="4"/>
  <c r="Q117" i="4"/>
  <c r="M117" i="4"/>
  <c r="K117" i="4"/>
  <c r="J116" i="4"/>
  <c r="K116" i="4"/>
  <c r="S116" i="4"/>
  <c r="Q116" i="4"/>
  <c r="M116" i="4"/>
  <c r="J115" i="4"/>
  <c r="Q115" i="4"/>
  <c r="M115" i="4"/>
  <c r="K115" i="4"/>
  <c r="S115" i="4"/>
  <c r="J114" i="4"/>
  <c r="Q114" i="4"/>
  <c r="M114" i="4"/>
  <c r="K114" i="4"/>
  <c r="S114" i="4"/>
  <c r="J113" i="4"/>
  <c r="S113" i="4"/>
  <c r="Q113" i="4"/>
  <c r="M113" i="4"/>
  <c r="K113" i="4"/>
  <c r="J112" i="4"/>
  <c r="S112" i="4"/>
  <c r="Q112" i="4"/>
  <c r="M112" i="4"/>
  <c r="K112" i="4"/>
  <c r="L112" i="4" s="1"/>
  <c r="J111" i="4"/>
  <c r="K111" i="4"/>
  <c r="M111" i="4"/>
  <c r="Q111" i="4"/>
  <c r="S111" i="4"/>
  <c r="J110" i="4"/>
  <c r="Q110" i="4"/>
  <c r="M110" i="4"/>
  <c r="K110" i="4"/>
  <c r="L110" i="4" s="1"/>
  <c r="S110" i="4"/>
  <c r="J109" i="4"/>
  <c r="S109" i="4"/>
  <c r="Q109" i="4"/>
  <c r="M109" i="4"/>
  <c r="K109" i="4"/>
  <c r="S108" i="4"/>
  <c r="Q108" i="4"/>
  <c r="M108" i="4"/>
  <c r="K108" i="4"/>
  <c r="J107" i="4"/>
  <c r="M107" i="4"/>
  <c r="S107" i="4"/>
  <c r="Q107" i="4"/>
  <c r="K107" i="4"/>
  <c r="J106" i="4"/>
  <c r="S106" i="4"/>
  <c r="Q106" i="4"/>
  <c r="M106" i="4"/>
  <c r="K106" i="4"/>
  <c r="J105" i="4"/>
  <c r="S105" i="4"/>
  <c r="Q105" i="4"/>
  <c r="M105" i="4"/>
  <c r="K105" i="4"/>
  <c r="J104" i="4"/>
  <c r="K104" i="4"/>
  <c r="M104" i="4"/>
  <c r="Q104" i="4"/>
  <c r="S104" i="4"/>
  <c r="J103" i="4"/>
  <c r="S103" i="4"/>
  <c r="Q103" i="4"/>
  <c r="M103" i="4"/>
  <c r="K103" i="4"/>
  <c r="J102" i="4"/>
  <c r="S102" i="4"/>
  <c r="Q102" i="4"/>
  <c r="M102" i="4"/>
  <c r="K102" i="4"/>
  <c r="J101" i="4"/>
  <c r="K101" i="4"/>
  <c r="M101" i="4"/>
  <c r="Q101" i="4"/>
  <c r="S101" i="4"/>
  <c r="J100" i="4"/>
  <c r="S100" i="4"/>
  <c r="Q100" i="4"/>
  <c r="M100" i="4"/>
  <c r="K100" i="4"/>
  <c r="L100" i="4" s="1"/>
  <c r="J99" i="4"/>
  <c r="M99" i="4"/>
  <c r="S99" i="4"/>
  <c r="Q99" i="4"/>
  <c r="K99" i="4"/>
  <c r="J98" i="4"/>
  <c r="S98" i="4"/>
  <c r="Q98" i="4"/>
  <c r="M98" i="4"/>
  <c r="K98" i="4"/>
  <c r="J97" i="4"/>
  <c r="S97" i="4"/>
  <c r="Q97" i="4"/>
  <c r="M97" i="4"/>
  <c r="K97" i="4"/>
  <c r="L97" i="4" s="1"/>
  <c r="J96" i="4"/>
  <c r="M96" i="4"/>
  <c r="K96" i="4"/>
  <c r="Q96" i="4"/>
  <c r="S96" i="4"/>
  <c r="J95" i="4"/>
  <c r="S95" i="4"/>
  <c r="Q95" i="4"/>
  <c r="K95" i="4"/>
  <c r="M95" i="4"/>
  <c r="J94" i="4"/>
  <c r="S94" i="4"/>
  <c r="Q94" i="4"/>
  <c r="M94" i="4"/>
  <c r="K94" i="4"/>
  <c r="J93" i="4"/>
  <c r="S93" i="4"/>
  <c r="Q93" i="4"/>
  <c r="M93" i="4"/>
  <c r="K93" i="4"/>
  <c r="J92" i="4"/>
  <c r="S92" i="4"/>
  <c r="Q92" i="4"/>
  <c r="M92" i="4"/>
  <c r="K92" i="4"/>
  <c r="J91" i="4"/>
  <c r="K91" i="4"/>
  <c r="S91" i="4"/>
  <c r="Q91" i="4"/>
  <c r="M91" i="4"/>
  <c r="J90" i="4"/>
  <c r="S90" i="4"/>
  <c r="K90" i="4"/>
  <c r="L90" i="4" s="1"/>
  <c r="M90" i="4"/>
  <c r="Q90" i="4"/>
  <c r="J89" i="4"/>
  <c r="K89" i="4"/>
  <c r="M89" i="4"/>
  <c r="Q89" i="4"/>
  <c r="S89" i="4"/>
  <c r="J88" i="4"/>
  <c r="K88" i="4"/>
  <c r="S88" i="4"/>
  <c r="Q88" i="4"/>
  <c r="M88" i="4"/>
  <c r="J87" i="4"/>
  <c r="M87" i="4"/>
  <c r="S87" i="4"/>
  <c r="K87" i="4"/>
  <c r="Q87" i="4"/>
  <c r="J86" i="4"/>
  <c r="S86" i="4"/>
  <c r="Q86" i="4"/>
  <c r="M86" i="4"/>
  <c r="K86" i="4"/>
  <c r="J85" i="4"/>
  <c r="S85" i="4"/>
  <c r="Q85" i="4"/>
  <c r="M85" i="4"/>
  <c r="K85" i="4"/>
  <c r="J84" i="4"/>
  <c r="K84" i="4"/>
  <c r="M84" i="4"/>
  <c r="Q84" i="4"/>
  <c r="S84" i="4"/>
  <c r="J83" i="4"/>
  <c r="S83" i="4"/>
  <c r="Q83" i="4"/>
  <c r="M83" i="4"/>
  <c r="K83" i="4"/>
  <c r="J82" i="4"/>
  <c r="S82" i="4"/>
  <c r="Q82" i="4"/>
  <c r="M82" i="4"/>
  <c r="K82" i="4"/>
  <c r="J81" i="4"/>
  <c r="S81" i="4"/>
  <c r="Q81" i="4"/>
  <c r="M81" i="4"/>
  <c r="K81" i="4"/>
  <c r="J80" i="4"/>
  <c r="Q80" i="4"/>
  <c r="K80" i="4"/>
  <c r="S80" i="4"/>
  <c r="M80" i="4"/>
  <c r="J79" i="4"/>
  <c r="S79" i="4"/>
  <c r="Q79" i="4"/>
  <c r="M79" i="4"/>
  <c r="K79" i="4"/>
  <c r="J78" i="4"/>
  <c r="M78" i="4"/>
  <c r="Q78" i="4"/>
  <c r="S78" i="4"/>
  <c r="K78" i="4"/>
  <c r="J77" i="4"/>
  <c r="M77" i="4"/>
  <c r="S77" i="4"/>
  <c r="K77" i="4"/>
  <c r="Q77" i="4"/>
  <c r="J76" i="4"/>
  <c r="K76" i="4"/>
  <c r="L76" i="4" s="1"/>
  <c r="M76" i="4"/>
  <c r="Q76" i="4"/>
  <c r="S76" i="4"/>
  <c r="J75" i="4"/>
  <c r="K75" i="4"/>
  <c r="Q75" i="4"/>
  <c r="M75" i="4"/>
  <c r="S75" i="4"/>
  <c r="J74" i="4"/>
  <c r="K74" i="4"/>
  <c r="M74" i="4"/>
  <c r="Q74" i="4"/>
  <c r="S74" i="4"/>
  <c r="J73" i="4"/>
  <c r="M73" i="4"/>
  <c r="Q73" i="4"/>
  <c r="K73" i="4"/>
  <c r="S73" i="4"/>
  <c r="J72" i="4"/>
  <c r="M72" i="4"/>
  <c r="K72" i="4"/>
  <c r="S72" i="4"/>
  <c r="Q72" i="4"/>
  <c r="J71" i="4"/>
  <c r="Q71" i="4"/>
  <c r="S71" i="4"/>
  <c r="K71" i="4"/>
  <c r="L71" i="4" s="1"/>
  <c r="M71" i="4"/>
  <c r="J70" i="4"/>
  <c r="K70" i="4"/>
  <c r="L70" i="4" s="1"/>
  <c r="M70" i="4"/>
  <c r="Q70" i="4"/>
  <c r="S70" i="4"/>
  <c r="J69" i="4"/>
  <c r="Q69" i="4"/>
  <c r="K69" i="4"/>
  <c r="S69" i="4"/>
  <c r="M69" i="4"/>
  <c r="J68" i="4"/>
  <c r="Q68" i="4"/>
  <c r="M68" i="4"/>
  <c r="K68" i="4"/>
  <c r="S68" i="4"/>
  <c r="J67" i="4"/>
  <c r="M67" i="4"/>
  <c r="K67" i="4"/>
  <c r="Q67" i="4"/>
  <c r="S67" i="4"/>
  <c r="J66" i="4"/>
  <c r="M66" i="4"/>
  <c r="K66" i="4"/>
  <c r="S66" i="4"/>
  <c r="Q66" i="4"/>
  <c r="J65" i="4"/>
  <c r="K65" i="4"/>
  <c r="L65" i="4" s="1"/>
  <c r="M65" i="4"/>
  <c r="Q65" i="4"/>
  <c r="S65" i="4"/>
  <c r="J64" i="4"/>
  <c r="M64" i="4"/>
  <c r="S64" i="4"/>
  <c r="Q64" i="4"/>
  <c r="K64" i="4"/>
  <c r="J63" i="4"/>
  <c r="M63" i="4"/>
  <c r="K63" i="4"/>
  <c r="Q63" i="4"/>
  <c r="S63" i="4"/>
  <c r="J62" i="4"/>
  <c r="S62" i="4"/>
  <c r="K62" i="4"/>
  <c r="Q62" i="4"/>
  <c r="M62" i="4"/>
  <c r="J61" i="4"/>
  <c r="Q61" i="4"/>
  <c r="S61" i="4"/>
  <c r="K61" i="4"/>
  <c r="M61" i="4"/>
  <c r="J60" i="4"/>
  <c r="Q60" i="4"/>
  <c r="K60" i="4"/>
  <c r="S60" i="4"/>
  <c r="M60" i="4"/>
  <c r="J59" i="4"/>
  <c r="S59" i="4"/>
  <c r="Q59" i="4"/>
  <c r="K59" i="4"/>
  <c r="L59" i="4" s="1"/>
  <c r="M59" i="4"/>
  <c r="J58" i="4"/>
  <c r="K58" i="4"/>
  <c r="S58" i="4"/>
  <c r="M58" i="4"/>
  <c r="Q58" i="4"/>
  <c r="J57" i="4"/>
  <c r="K57" i="4"/>
  <c r="L57" i="4" s="1"/>
  <c r="Q57" i="4"/>
  <c r="S57" i="4"/>
  <c r="M57" i="4"/>
  <c r="J56" i="4"/>
  <c r="S56" i="4"/>
  <c r="M56" i="4"/>
  <c r="K56" i="4"/>
  <c r="Q56" i="4"/>
  <c r="J55" i="4"/>
  <c r="S55" i="4"/>
  <c r="K55" i="4"/>
  <c r="Q55" i="4"/>
  <c r="M55" i="4"/>
  <c r="J54" i="4"/>
  <c r="M54" i="4"/>
  <c r="K54" i="4"/>
  <c r="Q54" i="4"/>
  <c r="S54" i="4"/>
  <c r="J53" i="4"/>
  <c r="S53" i="4"/>
  <c r="K53" i="4"/>
  <c r="Q53" i="4"/>
  <c r="M53" i="4"/>
  <c r="J52" i="4"/>
  <c r="S52" i="4"/>
  <c r="M52" i="4"/>
  <c r="K52" i="4"/>
  <c r="Q52" i="4"/>
  <c r="J51" i="4"/>
  <c r="Q51" i="4"/>
  <c r="S51" i="4"/>
  <c r="M51" i="4"/>
  <c r="K51" i="4"/>
  <c r="J50" i="4"/>
  <c r="S50" i="4"/>
  <c r="K50" i="4"/>
  <c r="M50" i="4"/>
  <c r="Q50" i="4"/>
  <c r="J49" i="4"/>
  <c r="M49" i="4"/>
  <c r="Q49" i="4"/>
  <c r="K49" i="4"/>
  <c r="L49" i="4" s="1"/>
  <c r="S49" i="4"/>
  <c r="J48" i="4"/>
  <c r="S48" i="4"/>
  <c r="Q48" i="4"/>
  <c r="K48" i="4"/>
  <c r="M48" i="4"/>
  <c r="J47" i="4"/>
  <c r="M47" i="4"/>
  <c r="Q47" i="4"/>
  <c r="S47" i="4"/>
  <c r="K47" i="4"/>
  <c r="J46" i="4"/>
  <c r="Q46" i="4"/>
  <c r="M46" i="4"/>
  <c r="S46" i="4"/>
  <c r="K46" i="4"/>
  <c r="J45" i="4"/>
  <c r="S45" i="4"/>
  <c r="K45" i="4"/>
  <c r="M45" i="4"/>
  <c r="Q45" i="4"/>
  <c r="J44" i="4"/>
  <c r="M44" i="4"/>
  <c r="K44" i="4"/>
  <c r="L44" i="4" s="1"/>
  <c r="S44" i="4"/>
  <c r="Q44" i="4"/>
  <c r="J43" i="4"/>
  <c r="Q43" i="4"/>
  <c r="M43" i="4"/>
  <c r="S43" i="4"/>
  <c r="K43" i="4"/>
  <c r="J42" i="4"/>
  <c r="M42" i="4"/>
  <c r="Q42" i="4"/>
  <c r="S42" i="4"/>
  <c r="K42" i="4"/>
  <c r="J41" i="4"/>
  <c r="M41" i="4"/>
  <c r="S41" i="4"/>
  <c r="Q41" i="4"/>
  <c r="K41" i="4"/>
  <c r="J40" i="4"/>
  <c r="S40" i="4"/>
  <c r="K40" i="4"/>
  <c r="Q40" i="4"/>
  <c r="M40" i="4"/>
  <c r="J39" i="4"/>
  <c r="K39" i="4"/>
  <c r="Q39" i="4"/>
  <c r="M39" i="4"/>
  <c r="S39" i="4"/>
  <c r="J38" i="4"/>
  <c r="S38" i="4"/>
  <c r="Q38" i="4"/>
  <c r="M38" i="4"/>
  <c r="K38" i="4"/>
  <c r="J37" i="4"/>
  <c r="K37" i="4"/>
  <c r="M37" i="4"/>
  <c r="S37" i="4"/>
  <c r="Q37" i="4"/>
  <c r="J36" i="4"/>
  <c r="M36" i="4"/>
  <c r="K36" i="4"/>
  <c r="Q36" i="4"/>
  <c r="S36" i="4"/>
  <c r="J35" i="4"/>
  <c r="S35" i="4"/>
  <c r="Q35" i="4"/>
  <c r="M35" i="4"/>
  <c r="K35" i="4"/>
  <c r="J34" i="4"/>
  <c r="Q34" i="4"/>
  <c r="S34" i="4"/>
  <c r="M34" i="4"/>
  <c r="K34" i="4"/>
  <c r="J33" i="4"/>
  <c r="K33" i="4"/>
  <c r="L33" i="4" s="1"/>
  <c r="S33" i="4"/>
  <c r="Q33" i="4"/>
  <c r="M33" i="4"/>
  <c r="J32" i="4"/>
  <c r="S32" i="4"/>
  <c r="K32" i="4"/>
  <c r="M32" i="4"/>
  <c r="Q32" i="4"/>
  <c r="J31" i="4"/>
  <c r="M31" i="4"/>
  <c r="K31" i="4"/>
  <c r="L31" i="4" s="1"/>
  <c r="S31" i="4"/>
  <c r="Q31" i="4"/>
  <c r="J30" i="4"/>
  <c r="S30" i="4"/>
  <c r="M30" i="4"/>
  <c r="Q30" i="4"/>
  <c r="K30" i="4"/>
  <c r="J29" i="4"/>
  <c r="M29" i="4"/>
  <c r="Q29" i="4"/>
  <c r="S29" i="4"/>
  <c r="K29" i="4"/>
  <c r="J28" i="4"/>
  <c r="M28" i="4"/>
  <c r="S28" i="4"/>
  <c r="Q28" i="4"/>
  <c r="K28" i="4"/>
  <c r="J27" i="4"/>
  <c r="S27" i="4"/>
  <c r="K27" i="4"/>
  <c r="L27" i="4" s="1"/>
  <c r="M27" i="4"/>
  <c r="Q27" i="4"/>
  <c r="J26" i="4"/>
  <c r="K26" i="4"/>
  <c r="M26" i="4"/>
  <c r="S26" i="4"/>
  <c r="Q26" i="4"/>
  <c r="J25" i="4"/>
  <c r="Q25" i="4"/>
  <c r="S25" i="4"/>
  <c r="K25" i="4"/>
  <c r="M25" i="4"/>
  <c r="J24" i="4"/>
  <c r="S24" i="4"/>
  <c r="M24" i="4"/>
  <c r="Q24" i="4"/>
  <c r="K24" i="4"/>
  <c r="J23" i="4"/>
  <c r="K23" i="4"/>
  <c r="L23" i="4" s="1"/>
  <c r="S23" i="4"/>
  <c r="M23" i="4"/>
  <c r="Q23" i="4"/>
  <c r="J22" i="4"/>
  <c r="M22" i="4"/>
  <c r="Q22" i="4"/>
  <c r="S22" i="4"/>
  <c r="K22" i="4"/>
  <c r="J21" i="4"/>
  <c r="S21" i="4"/>
  <c r="Q21" i="4"/>
  <c r="M21" i="4"/>
  <c r="K21" i="4"/>
  <c r="J20" i="4"/>
  <c r="S20" i="4"/>
  <c r="K20" i="4"/>
  <c r="M20" i="4"/>
  <c r="Q20" i="4"/>
  <c r="J19" i="4"/>
  <c r="K19" i="4"/>
  <c r="M19" i="4"/>
  <c r="Q19" i="4"/>
  <c r="S19" i="4"/>
  <c r="J18" i="4"/>
  <c r="S18" i="4"/>
  <c r="M18" i="4"/>
  <c r="K18" i="4"/>
  <c r="Q18" i="4"/>
  <c r="J17" i="4"/>
  <c r="S17" i="4"/>
  <c r="K17" i="4"/>
  <c r="M17" i="4"/>
  <c r="Q17" i="4"/>
  <c r="J16" i="4"/>
  <c r="S16" i="4"/>
  <c r="Q16" i="4"/>
  <c r="K16" i="4"/>
  <c r="M16" i="4"/>
  <c r="J15" i="4"/>
  <c r="M15" i="4"/>
  <c r="Q15" i="4"/>
  <c r="S15" i="4"/>
  <c r="K15" i="4"/>
  <c r="J14" i="4"/>
  <c r="M14" i="4"/>
  <c r="K14" i="4"/>
  <c r="Q14" i="4"/>
  <c r="S14" i="4"/>
  <c r="J13" i="4"/>
  <c r="S13" i="4"/>
  <c r="M13" i="4"/>
  <c r="Q13" i="4"/>
  <c r="K13" i="4"/>
  <c r="J12" i="4"/>
  <c r="M12" i="4"/>
  <c r="K12" i="4"/>
  <c r="Q12" i="4"/>
  <c r="S12" i="4"/>
  <c r="J11" i="4"/>
  <c r="Q11" i="4"/>
  <c r="M11" i="4"/>
  <c r="K11" i="4"/>
  <c r="S11" i="4"/>
  <c r="J10" i="4"/>
  <c r="M10" i="4"/>
  <c r="Q10" i="4"/>
  <c r="K10" i="4"/>
  <c r="S10" i="4"/>
  <c r="J9" i="4"/>
  <c r="S9" i="4"/>
  <c r="M9" i="4"/>
  <c r="K9" i="4"/>
  <c r="Q9" i="4"/>
  <c r="J8" i="4"/>
  <c r="Q8" i="4"/>
  <c r="S8" i="4"/>
  <c r="K8" i="4"/>
  <c r="M8" i="4"/>
  <c r="J7" i="4"/>
  <c r="Q7" i="4"/>
  <c r="M7" i="4"/>
  <c r="K7" i="4"/>
  <c r="L7" i="4" s="1"/>
  <c r="S7" i="4"/>
  <c r="J6" i="4"/>
  <c r="K6" i="4"/>
  <c r="S6" i="4"/>
  <c r="M6" i="4"/>
  <c r="Q6" i="4"/>
  <c r="C9" i="6"/>
  <c r="C10" i="6"/>
  <c r="J5" i="4"/>
  <c r="S5" i="4"/>
  <c r="M5" i="4"/>
  <c r="Q5" i="4"/>
  <c r="K5" i="4"/>
  <c r="L5" i="4" s="1"/>
  <c r="I54" i="8"/>
  <c r="H54" i="8"/>
  <c r="I52" i="8"/>
  <c r="H52" i="8"/>
  <c r="I51" i="8"/>
  <c r="H51" i="8"/>
  <c r="I50" i="8"/>
  <c r="H50" i="8"/>
  <c r="I49" i="8"/>
  <c r="H49" i="8"/>
  <c r="I48" i="8"/>
  <c r="H48" i="8"/>
  <c r="AH728" i="7"/>
  <c r="I47" i="8"/>
  <c r="H47" i="8"/>
  <c r="H46" i="8"/>
  <c r="I45" i="8"/>
  <c r="H45" i="8"/>
  <c r="I20" i="8"/>
  <c r="I44" i="8"/>
  <c r="H44" i="8"/>
  <c r="H20" i="8"/>
  <c r="H36" i="8" l="1"/>
  <c r="AF1957" i="7"/>
  <c r="AG1957" i="7" s="1"/>
  <c r="AF1952" i="7"/>
  <c r="AG1952" i="7" s="1"/>
  <c r="AF1950" i="7"/>
  <c r="AG1950" i="7" s="1"/>
  <c r="AF1948" i="7"/>
  <c r="AG1948" i="7" s="1"/>
  <c r="AF1946" i="7"/>
  <c r="AG1946" i="7" s="1"/>
  <c r="AF1945" i="7"/>
  <c r="AG1945" i="7" s="1"/>
  <c r="AF1944" i="7"/>
  <c r="AG1944" i="7" s="1"/>
  <c r="AF1941" i="7"/>
  <c r="AG1941" i="7" s="1"/>
  <c r="AF1940" i="7"/>
  <c r="AG1940" i="7" s="1"/>
  <c r="AF1939" i="7"/>
  <c r="AG1939" i="7" s="1"/>
  <c r="AF1938" i="7"/>
  <c r="AG1938" i="7" s="1"/>
  <c r="AF1937" i="7"/>
  <c r="AG1937" i="7" s="1"/>
  <c r="AF1936" i="7"/>
  <c r="AG1936" i="7" s="1"/>
  <c r="AF1935" i="7"/>
  <c r="AG1935" i="7" s="1"/>
  <c r="AF1926" i="7"/>
  <c r="AG1926" i="7" s="1"/>
  <c r="AF1924" i="7"/>
  <c r="AG1924" i="7" s="1"/>
  <c r="AF1923" i="7"/>
  <c r="AG1923" i="7" s="1"/>
  <c r="AF1920" i="7"/>
  <c r="AG1920" i="7" s="1"/>
  <c r="AF1919" i="7"/>
  <c r="AG1919" i="7" s="1"/>
  <c r="AF1893" i="7"/>
  <c r="AG1893" i="7" s="1"/>
  <c r="AF1875" i="7"/>
  <c r="AG1875" i="7" s="1"/>
  <c r="AF1869" i="7"/>
  <c r="AG1869" i="7" s="1"/>
  <c r="AF1867" i="7"/>
  <c r="AG1867" i="7" s="1"/>
  <c r="AF1865" i="7"/>
  <c r="AG1865" i="7" s="1"/>
  <c r="AF1680" i="7"/>
  <c r="AG1680" i="7" s="1"/>
  <c r="AF1672" i="7"/>
  <c r="AG1672" i="7" s="1"/>
  <c r="AF1666" i="7"/>
  <c r="AG1666" i="7" s="1"/>
  <c r="AF1662" i="7"/>
  <c r="AG1662" i="7" s="1"/>
  <c r="AF1657" i="7"/>
  <c r="AG1657" i="7" s="1"/>
  <c r="AF1656" i="7"/>
  <c r="AG1656" i="7" s="1"/>
  <c r="AF1655" i="7"/>
  <c r="AG1655" i="7" s="1"/>
  <c r="AF1650" i="7"/>
  <c r="AG1650" i="7" s="1"/>
  <c r="AF1482" i="7"/>
  <c r="AG1482" i="7" s="1"/>
  <c r="AF1481" i="7"/>
  <c r="AG1481" i="7" s="1"/>
  <c r="AF1478" i="7"/>
  <c r="AG1478" i="7" s="1"/>
  <c r="H38" i="8"/>
  <c r="H21" i="8"/>
  <c r="H37" i="8"/>
  <c r="H28" i="8"/>
  <c r="H27" i="8"/>
  <c r="AF1965" i="7"/>
  <c r="AG1965" i="7" s="1"/>
  <c r="AF1960" i="7"/>
  <c r="AG1960" i="7" s="1"/>
  <c r="AF1951" i="7"/>
  <c r="AG1951" i="7" s="1"/>
  <c r="AF1949" i="7"/>
  <c r="AG1949" i="7" s="1"/>
  <c r="AF1947" i="7"/>
  <c r="AG1947" i="7" s="1"/>
  <c r="AF1934" i="7"/>
  <c r="AG1934" i="7" s="1"/>
  <c r="AF1933" i="7"/>
  <c r="AG1933" i="7" s="1"/>
  <c r="AF1932" i="7"/>
  <c r="AG1932" i="7" s="1"/>
  <c r="AF1931" i="7"/>
  <c r="AG1931" i="7" s="1"/>
  <c r="AF1930" i="7"/>
  <c r="AG1930" i="7" s="1"/>
  <c r="AF1929" i="7"/>
  <c r="AG1929" i="7" s="1"/>
  <c r="AF1928" i="7"/>
  <c r="AG1928" i="7" s="1"/>
  <c r="AF1927" i="7"/>
  <c r="AG1927" i="7" s="1"/>
  <c r="AF1918" i="7"/>
  <c r="AG1918" i="7" s="1"/>
  <c r="AF1916" i="7"/>
  <c r="AG1916" i="7" s="1"/>
  <c r="AF1913" i="7"/>
  <c r="AG1913" i="7" s="1"/>
  <c r="AF1907" i="7"/>
  <c r="AG1907" i="7" s="1"/>
  <c r="AF1906" i="7"/>
  <c r="AG1906" i="7" s="1"/>
  <c r="AF1872" i="7"/>
  <c r="AG1872" i="7" s="1"/>
  <c r="AF1868" i="7"/>
  <c r="AG1868" i="7" s="1"/>
  <c r="AF1866" i="7"/>
  <c r="AG1866" i="7" s="1"/>
  <c r="AF1862" i="7"/>
  <c r="AG1862" i="7" s="1"/>
  <c r="AF1857" i="7"/>
  <c r="AG1857" i="7" s="1"/>
  <c r="AF1842" i="7"/>
  <c r="AG1842" i="7" s="1"/>
  <c r="AF1838" i="7"/>
  <c r="AG1838" i="7" s="1"/>
  <c r="AF1834" i="7"/>
  <c r="AG1834" i="7" s="1"/>
  <c r="AF1833" i="7"/>
  <c r="AG1833" i="7" s="1"/>
  <c r="AF1832" i="7"/>
  <c r="AG1832" i="7" s="1"/>
  <c r="AF1831" i="7"/>
  <c r="AG1831" i="7" s="1"/>
  <c r="AF1826" i="7"/>
  <c r="AG1826" i="7" s="1"/>
  <c r="AH1644" i="7"/>
  <c r="AF1643" i="7"/>
  <c r="AG1643" i="7" s="1"/>
  <c r="AF1642" i="7"/>
  <c r="AG1642" i="7" s="1"/>
  <c r="AF1641" i="7"/>
  <c r="AG1641" i="7" s="1"/>
  <c r="AF1640" i="7"/>
  <c r="AG1640" i="7" s="1"/>
  <c r="AF1638" i="7"/>
  <c r="AG1638" i="7" s="1"/>
  <c r="AF1636" i="7"/>
  <c r="AG1636" i="7" s="1"/>
  <c r="AF1634" i="7"/>
  <c r="AG1634" i="7" s="1"/>
  <c r="AF1632" i="7"/>
  <c r="AG1632" i="7" s="1"/>
  <c r="AF1631" i="7"/>
  <c r="AG1631" i="7" s="1"/>
  <c r="AF1630" i="7"/>
  <c r="AG1630" i="7" s="1"/>
  <c r="AF1629" i="7"/>
  <c r="AG1629" i="7" s="1"/>
  <c r="AF1628" i="7"/>
  <c r="AG1628" i="7" s="1"/>
  <c r="AF1627" i="7"/>
  <c r="AG1627" i="7" s="1"/>
  <c r="AF1626" i="7"/>
  <c r="AG1626" i="7" s="1"/>
  <c r="AF1624" i="7"/>
  <c r="AG1624" i="7" s="1"/>
  <c r="AF1623" i="7"/>
  <c r="AG1623" i="7" s="1"/>
  <c r="AF1621" i="7"/>
  <c r="AG1621" i="7" s="1"/>
  <c r="AF1620" i="7"/>
  <c r="AG1620" i="7" s="1"/>
  <c r="AF1618" i="7"/>
  <c r="AG1618" i="7" s="1"/>
  <c r="AF1617" i="7"/>
  <c r="AG1617" i="7" s="1"/>
  <c r="AF1613" i="7"/>
  <c r="AG1613" i="7" s="1"/>
  <c r="AF1612" i="7"/>
  <c r="AG1612" i="7" s="1"/>
  <c r="AF1611" i="7"/>
  <c r="AG1611" i="7" s="1"/>
  <c r="AF1610" i="7"/>
  <c r="AG1610" i="7" s="1"/>
  <c r="AF1608" i="7"/>
  <c r="AG1608" i="7" s="1"/>
  <c r="AF1606" i="7"/>
  <c r="AG1606" i="7" s="1"/>
  <c r="AF1605" i="7"/>
  <c r="AG1605" i="7" s="1"/>
  <c r="AF1604" i="7"/>
  <c r="AG1604" i="7" s="1"/>
  <c r="AF1603" i="7"/>
  <c r="AG1603" i="7" s="1"/>
  <c r="AF1602" i="7"/>
  <c r="AG1602" i="7" s="1"/>
  <c r="AF1601" i="7"/>
  <c r="AG1601" i="7" s="1"/>
  <c r="AF1600" i="7"/>
  <c r="AG1600" i="7" s="1"/>
  <c r="AF1599" i="7"/>
  <c r="AG1599" i="7" s="1"/>
  <c r="AF1598" i="7"/>
  <c r="AG1598" i="7" s="1"/>
  <c r="AF1597" i="7"/>
  <c r="AG1597" i="7" s="1"/>
  <c r="AF1595" i="7"/>
  <c r="AG1595" i="7" s="1"/>
  <c r="AF1594" i="7"/>
  <c r="AG1594" i="7" s="1"/>
  <c r="AF1593" i="7"/>
  <c r="AG1593" i="7" s="1"/>
  <c r="AF1592" i="7"/>
  <c r="AG1592" i="7" s="1"/>
  <c r="AF1591" i="7"/>
  <c r="AG1591" i="7" s="1"/>
  <c r="AF1590" i="7"/>
  <c r="AG1590" i="7" s="1"/>
  <c r="AF1588" i="7"/>
  <c r="AG1588" i="7" s="1"/>
  <c r="AF1587" i="7"/>
  <c r="AG1587" i="7" s="1"/>
  <c r="AF1586" i="7"/>
  <c r="AG1586" i="7" s="1"/>
  <c r="AF1585" i="7"/>
  <c r="AG1585" i="7" s="1"/>
  <c r="AF1584" i="7"/>
  <c r="AG1584" i="7" s="1"/>
  <c r="AF1582" i="7"/>
  <c r="AG1582" i="7" s="1"/>
  <c r="AF1580" i="7"/>
  <c r="AG1580" i="7" s="1"/>
  <c r="AF1579" i="7"/>
  <c r="AG1579" i="7" s="1"/>
  <c r="AF1578" i="7"/>
  <c r="AG1578" i="7" s="1"/>
  <c r="AF1577" i="7"/>
  <c r="AG1577" i="7" s="1"/>
  <c r="AF1575" i="7"/>
  <c r="AG1575" i="7" s="1"/>
  <c r="AF1574" i="7"/>
  <c r="AG1574" i="7" s="1"/>
  <c r="AF1573" i="7"/>
  <c r="AG1573" i="7" s="1"/>
  <c r="AF1572" i="7"/>
  <c r="AG1572" i="7" s="1"/>
  <c r="AF1571" i="7"/>
  <c r="AG1571" i="7" s="1"/>
  <c r="AF1570" i="7"/>
  <c r="AG1570" i="7" s="1"/>
  <c r="AF1569" i="7"/>
  <c r="AG1569" i="7" s="1"/>
  <c r="AF1567" i="7"/>
  <c r="AG1567" i="7" s="1"/>
  <c r="AF1566" i="7"/>
  <c r="AG1566" i="7" s="1"/>
  <c r="AF1565" i="7"/>
  <c r="AG1565" i="7" s="1"/>
  <c r="AF1564" i="7"/>
  <c r="AG1564" i="7" s="1"/>
  <c r="AF1563" i="7"/>
  <c r="AG1563" i="7" s="1"/>
  <c r="AF1559" i="7"/>
  <c r="AG1559" i="7" s="1"/>
  <c r="AF1558" i="7"/>
  <c r="AG1558" i="7" s="1"/>
  <c r="AF1556" i="7"/>
  <c r="AG1556" i="7" s="1"/>
  <c r="AF1555" i="7"/>
  <c r="AG1555" i="7" s="1"/>
  <c r="AF1554" i="7"/>
  <c r="AG1554" i="7" s="1"/>
  <c r="AF1552" i="7"/>
  <c r="AG1552" i="7" s="1"/>
  <c r="AF1546" i="7"/>
  <c r="AG1546" i="7" s="1"/>
  <c r="AF1545" i="7"/>
  <c r="AG1545" i="7" s="1"/>
  <c r="AF1543" i="7"/>
  <c r="AG1543" i="7" s="1"/>
  <c r="AF1542" i="7"/>
  <c r="AG1542" i="7" s="1"/>
  <c r="AF1541" i="7"/>
  <c r="AG1541" i="7" s="1"/>
  <c r="AF1540" i="7"/>
  <c r="AG1540" i="7" s="1"/>
  <c r="AF1539" i="7"/>
  <c r="AG1539" i="7" s="1"/>
  <c r="AF1538" i="7"/>
  <c r="AG1538" i="7" s="1"/>
  <c r="AF1537" i="7"/>
  <c r="AG1537" i="7" s="1"/>
  <c r="AF1536" i="7"/>
  <c r="AG1536" i="7" s="1"/>
  <c r="AF1533" i="7"/>
  <c r="AG1533" i="7" s="1"/>
  <c r="AF1532" i="7"/>
  <c r="AG1532" i="7" s="1"/>
  <c r="AF1529" i="7"/>
  <c r="AG1529" i="7" s="1"/>
  <c r="AF1528" i="7"/>
  <c r="AG1528" i="7" s="1"/>
  <c r="AF1526" i="7"/>
  <c r="AG1526" i="7" s="1"/>
  <c r="AF1525" i="7"/>
  <c r="AG1525" i="7" s="1"/>
  <c r="AF1524" i="7"/>
  <c r="AG1524" i="7" s="1"/>
  <c r="AF1523" i="7"/>
  <c r="AG1523" i="7" s="1"/>
  <c r="AF1522" i="7"/>
  <c r="AG1522" i="7" s="1"/>
  <c r="AF1521" i="7"/>
  <c r="AG1521" i="7" s="1"/>
  <c r="AF1519" i="7"/>
  <c r="AG1519" i="7" s="1"/>
  <c r="AF1518" i="7"/>
  <c r="AG1518" i="7" s="1"/>
  <c r="AF1517" i="7"/>
  <c r="AG1517" i="7" s="1"/>
  <c r="AF1516" i="7"/>
  <c r="AG1516" i="7" s="1"/>
  <c r="AF1514" i="7"/>
  <c r="AG1514" i="7" s="1"/>
  <c r="AF1513" i="7"/>
  <c r="AG1513" i="7" s="1"/>
  <c r="AF1512" i="7"/>
  <c r="AG1512" i="7" s="1"/>
  <c r="AF1510" i="7"/>
  <c r="AG1510" i="7" s="1"/>
  <c r="AF1509" i="7"/>
  <c r="AG1509" i="7" s="1"/>
  <c r="AF1508" i="7"/>
  <c r="AG1508" i="7" s="1"/>
  <c r="AF1507" i="7"/>
  <c r="AG1507" i="7" s="1"/>
  <c r="AF1505" i="7"/>
  <c r="AF1504" i="7"/>
  <c r="AG1504" i="7" s="1"/>
  <c r="AF1503" i="7"/>
  <c r="AG1503" i="7" s="1"/>
  <c r="AF1502" i="7"/>
  <c r="AG1502" i="7" s="1"/>
  <c r="AF1500" i="7"/>
  <c r="AG1500" i="7" s="1"/>
  <c r="AF1499" i="7"/>
  <c r="AG1499" i="7" s="1"/>
  <c r="AF1497" i="7"/>
  <c r="AG1497" i="7" s="1"/>
  <c r="AF1496" i="7"/>
  <c r="AG1496" i="7" s="1"/>
  <c r="AF1495" i="7"/>
  <c r="AG1495" i="7" s="1"/>
  <c r="AF1493" i="7"/>
  <c r="AG1493" i="7" s="1"/>
  <c r="AF1491" i="7"/>
  <c r="AG1491" i="7" s="1"/>
  <c r="AF1487" i="7"/>
  <c r="AG1487" i="7" s="1"/>
  <c r="AF1486" i="7"/>
  <c r="AG1486" i="7" s="1"/>
  <c r="AF1477" i="7"/>
  <c r="AG1477" i="7" s="1"/>
  <c r="AF1464" i="7"/>
  <c r="AG1464" i="7" s="1"/>
  <c r="AF1461" i="7"/>
  <c r="AG1461" i="7" s="1"/>
  <c r="AF1456" i="7"/>
  <c r="AG1456" i="7" s="1"/>
  <c r="AH1446" i="7"/>
  <c r="AF1441" i="7"/>
  <c r="AG1441" i="7" s="1"/>
  <c r="AF1440" i="7"/>
  <c r="AG1440" i="7" s="1"/>
  <c r="AF1439" i="7"/>
  <c r="AG1439" i="7" s="1"/>
  <c r="AF1438" i="7"/>
  <c r="AG1438" i="7" s="1"/>
  <c r="AF1437" i="7"/>
  <c r="AG1437" i="7" s="1"/>
  <c r="AF1436" i="7"/>
  <c r="AG1436" i="7" s="1"/>
  <c r="AF1435" i="7"/>
  <c r="AG1435" i="7" s="1"/>
  <c r="AF1434" i="7"/>
  <c r="AG1434" i="7" s="1"/>
  <c r="AF1433" i="7"/>
  <c r="AG1433" i="7" s="1"/>
  <c r="AF1432" i="7"/>
  <c r="AG1432" i="7" s="1"/>
  <c r="AF1430" i="7"/>
  <c r="AG1430" i="7" s="1"/>
  <c r="AF1428" i="7"/>
  <c r="AG1428" i="7" s="1"/>
  <c r="AF1427" i="7"/>
  <c r="AG1427" i="7" s="1"/>
  <c r="AF1426" i="7"/>
  <c r="AG1426" i="7" s="1"/>
  <c r="AF1425" i="7"/>
  <c r="AG1425" i="7" s="1"/>
  <c r="AF1424" i="7"/>
  <c r="AG1424" i="7" s="1"/>
  <c r="AF1423" i="7"/>
  <c r="AG1423" i="7" s="1"/>
  <c r="AF1422" i="7"/>
  <c r="AG1422" i="7" s="1"/>
  <c r="AF1421" i="7"/>
  <c r="AG1421" i="7" s="1"/>
  <c r="AF1420" i="7"/>
  <c r="AG1420" i="7" s="1"/>
  <c r="AF1419" i="7"/>
  <c r="AG1419" i="7" s="1"/>
  <c r="AF1418" i="7"/>
  <c r="AG1418" i="7" s="1"/>
  <c r="AF1417" i="7"/>
  <c r="AG1417" i="7" s="1"/>
  <c r="AF1416" i="7"/>
  <c r="AG1416" i="7" s="1"/>
  <c r="AF1415" i="7"/>
  <c r="AG1415" i="7" s="1"/>
  <c r="AF1414" i="7"/>
  <c r="AG1414" i="7" s="1"/>
  <c r="AF1413" i="7"/>
  <c r="AG1413" i="7" s="1"/>
  <c r="AF1412" i="7"/>
  <c r="AG1412" i="7" s="1"/>
  <c r="AF1411" i="7"/>
  <c r="AG1411" i="7" s="1"/>
  <c r="AF1410" i="7"/>
  <c r="AG1410" i="7" s="1"/>
  <c r="AF1409" i="7"/>
  <c r="AG1409" i="7" s="1"/>
  <c r="AF1408" i="7"/>
  <c r="AG1408" i="7" s="1"/>
  <c r="AF1407" i="7"/>
  <c r="AG1407" i="7" s="1"/>
  <c r="AF1406" i="7"/>
  <c r="AG1406" i="7" s="1"/>
  <c r="AF1405" i="7"/>
  <c r="AG1405" i="7" s="1"/>
  <c r="AF1404" i="7"/>
  <c r="AG1404" i="7" s="1"/>
  <c r="AF1403" i="7"/>
  <c r="AG1403" i="7" s="1"/>
  <c r="AF1402" i="7"/>
  <c r="AG1402" i="7" s="1"/>
  <c r="AF1401" i="7"/>
  <c r="AG1401" i="7" s="1"/>
  <c r="AF1400" i="7"/>
  <c r="AG1400" i="7" s="1"/>
  <c r="AF1399" i="7"/>
  <c r="AG1399" i="7" s="1"/>
  <c r="AF1398" i="7"/>
  <c r="AG1398" i="7" s="1"/>
  <c r="AF1397" i="7"/>
  <c r="AG1397" i="7" s="1"/>
  <c r="AF1396" i="7"/>
  <c r="AG1396" i="7" s="1"/>
  <c r="AF1395" i="7"/>
  <c r="AG1395" i="7" s="1"/>
  <c r="AF1394" i="7"/>
  <c r="AG1394" i="7" s="1"/>
  <c r="AF1393" i="7"/>
  <c r="AG1393" i="7" s="1"/>
  <c r="AF1392" i="7"/>
  <c r="AG1392" i="7" s="1"/>
  <c r="AF1391" i="7"/>
  <c r="AG1391" i="7" s="1"/>
  <c r="AF1390" i="7"/>
  <c r="AG1390" i="7" s="1"/>
  <c r="AF1389" i="7"/>
  <c r="AG1389" i="7" s="1"/>
  <c r="AF1388" i="7"/>
  <c r="AG1388" i="7" s="1"/>
  <c r="AF1387" i="7"/>
  <c r="AG1387" i="7" s="1"/>
  <c r="AF1386" i="7"/>
  <c r="AG1386" i="7" s="1"/>
  <c r="AF1385" i="7"/>
  <c r="AG1385" i="7" s="1"/>
  <c r="AF1384" i="7"/>
  <c r="AG1384" i="7" s="1"/>
  <c r="AF1382" i="7"/>
  <c r="AG1382" i="7" s="1"/>
  <c r="AF1381" i="7"/>
  <c r="AG1381" i="7" s="1"/>
  <c r="AF1380" i="7"/>
  <c r="AG1380" i="7" s="1"/>
  <c r="AF1379" i="7"/>
  <c r="AG1379" i="7" s="1"/>
  <c r="AF1377" i="7"/>
  <c r="AG1377" i="7" s="1"/>
  <c r="AF1376" i="7"/>
  <c r="AG1376" i="7" s="1"/>
  <c r="AF1375" i="7"/>
  <c r="AG1375" i="7" s="1"/>
  <c r="AF1374" i="7"/>
  <c r="AG1374" i="7" s="1"/>
  <c r="AF1373" i="7"/>
  <c r="AG1373" i="7" s="1"/>
  <c r="AF1371" i="7"/>
  <c r="AG1371" i="7" s="1"/>
  <c r="AF1370" i="7"/>
  <c r="AG1370" i="7" s="1"/>
  <c r="AF1369" i="7"/>
  <c r="AG1369" i="7" s="1"/>
  <c r="AF1368" i="7"/>
  <c r="AG1368" i="7" s="1"/>
  <c r="AF1367" i="7"/>
  <c r="AG1367" i="7" s="1"/>
  <c r="AF1366" i="7"/>
  <c r="AG1366" i="7" s="1"/>
  <c r="AF1365" i="7"/>
  <c r="AG1365" i="7" s="1"/>
  <c r="AF1364" i="7"/>
  <c r="AG1364" i="7" s="1"/>
  <c r="AF1363" i="7"/>
  <c r="AG1363" i="7" s="1"/>
  <c r="AF1361" i="7"/>
  <c r="AG1361" i="7" s="1"/>
  <c r="AF1360" i="7"/>
  <c r="AG1360" i="7" s="1"/>
  <c r="AF1359" i="7"/>
  <c r="AG1359" i="7" s="1"/>
  <c r="AF1358" i="7"/>
  <c r="AG1358" i="7" s="1"/>
  <c r="AF1357" i="7"/>
  <c r="AG1357" i="7" s="1"/>
  <c r="AF1356" i="7"/>
  <c r="AG1356" i="7" s="1"/>
  <c r="AF1355" i="7"/>
  <c r="AG1355" i="7" s="1"/>
  <c r="AF1354" i="7"/>
  <c r="AG1354" i="7" s="1"/>
  <c r="AF1349" i="7"/>
  <c r="AG1349" i="7" s="1"/>
  <c r="AF1348" i="7"/>
  <c r="AG1348" i="7" s="1"/>
  <c r="AF1346" i="7"/>
  <c r="AG1346" i="7" s="1"/>
  <c r="AF1343" i="7"/>
  <c r="AF1342" i="7"/>
  <c r="AG1342" i="7" s="1"/>
  <c r="AF1341" i="7"/>
  <c r="AG1341" i="7" s="1"/>
  <c r="AF1340" i="7"/>
  <c r="AG1340" i="7" s="1"/>
  <c r="AF1339" i="7"/>
  <c r="AG1339" i="7" s="1"/>
  <c r="AF1338" i="7"/>
  <c r="AG1338" i="7" s="1"/>
  <c r="AF1334" i="7"/>
  <c r="AG1334" i="7" s="1"/>
  <c r="AF1332" i="7"/>
  <c r="AG1332" i="7" s="1"/>
  <c r="AF1331" i="7"/>
  <c r="AG1331" i="7" s="1"/>
  <c r="AF1328" i="7"/>
  <c r="AG1328" i="7" s="1"/>
  <c r="AF1325" i="7"/>
  <c r="AG1325" i="7" s="1"/>
  <c r="AF1323" i="7"/>
  <c r="AG1323" i="7" s="1"/>
  <c r="AF1321" i="7"/>
  <c r="AG1321" i="7" s="1"/>
  <c r="AF1320" i="7"/>
  <c r="AG1320" i="7" s="1"/>
  <c r="AF1318" i="7"/>
  <c r="AG1318" i="7" s="1"/>
  <c r="AF1317" i="7"/>
  <c r="AG1317" i="7" s="1"/>
  <c r="AF1316" i="7"/>
  <c r="AG1316" i="7" s="1"/>
  <c r="AF1315" i="7"/>
  <c r="AG1315" i="7" s="1"/>
  <c r="AF1314" i="7"/>
  <c r="AG1314" i="7" s="1"/>
  <c r="AF1313" i="7"/>
  <c r="AG1313" i="7" s="1"/>
  <c r="AF1312" i="7"/>
  <c r="AG1312" i="7" s="1"/>
  <c r="AF1310" i="7"/>
  <c r="AG1310" i="7" s="1"/>
  <c r="AF1309" i="7"/>
  <c r="AG1309" i="7" s="1"/>
  <c r="AF1307" i="7"/>
  <c r="AG1307" i="7" s="1"/>
  <c r="AF1306" i="7"/>
  <c r="AG1306" i="7" s="1"/>
  <c r="AF1305" i="7"/>
  <c r="AG1305" i="7" s="1"/>
  <c r="AF1304" i="7"/>
  <c r="AG1304" i="7" s="1"/>
  <c r="AF1303" i="7"/>
  <c r="AG1303" i="7" s="1"/>
  <c r="AF1301" i="7"/>
  <c r="AG1301" i="7" s="1"/>
  <c r="AF1300" i="7"/>
  <c r="AG1300" i="7" s="1"/>
  <c r="AF1298" i="7"/>
  <c r="AG1298" i="7" s="1"/>
  <c r="AF1297" i="7"/>
  <c r="AG1297" i="7" s="1"/>
  <c r="AF1296" i="7"/>
  <c r="AG1296" i="7" s="1"/>
  <c r="AF1294" i="7"/>
  <c r="AG1294" i="7" s="1"/>
  <c r="AF1292" i="7"/>
  <c r="AG1292" i="7" s="1"/>
  <c r="AF1291" i="7"/>
  <c r="AG1291" i="7" s="1"/>
  <c r="AF1289" i="7"/>
  <c r="AG1289" i="7" s="1"/>
  <c r="AF1287" i="7"/>
  <c r="AG1287" i="7" s="1"/>
  <c r="AF1286" i="7"/>
  <c r="AG1286" i="7" s="1"/>
  <c r="AF1284" i="7"/>
  <c r="AG1284" i="7" s="1"/>
  <c r="AF1282" i="7"/>
  <c r="AG1282" i="7" s="1"/>
  <c r="AF1281" i="7"/>
  <c r="AG1281" i="7" s="1"/>
  <c r="AF1280" i="7"/>
  <c r="AG1280" i="7" s="1"/>
  <c r="AF1279" i="7"/>
  <c r="AG1279" i="7" s="1"/>
  <c r="AF1278" i="7"/>
  <c r="AG1278" i="7" s="1"/>
  <c r="AF1276" i="7"/>
  <c r="AG1276" i="7" s="1"/>
  <c r="AF1275" i="7"/>
  <c r="AG1275" i="7" s="1"/>
  <c r="AF1274" i="7"/>
  <c r="AG1274" i="7" s="1"/>
  <c r="AF1269" i="7"/>
  <c r="AG1269" i="7" s="1"/>
  <c r="AF1267" i="7"/>
  <c r="AG1267" i="7" s="1"/>
  <c r="AF1266" i="7"/>
  <c r="AG1266" i="7" s="1"/>
  <c r="AF1265" i="7"/>
  <c r="AG1265" i="7" s="1"/>
  <c r="AF1264" i="7"/>
  <c r="AG1264" i="7" s="1"/>
  <c r="AF1263" i="7"/>
  <c r="AG1263" i="7" s="1"/>
  <c r="AF1262" i="7"/>
  <c r="AG1262" i="7" s="1"/>
  <c r="AF1261" i="7"/>
  <c r="AG1261" i="7" s="1"/>
  <c r="AF1260" i="7"/>
  <c r="AG1260" i="7" s="1"/>
  <c r="AF1259" i="7"/>
  <c r="AG1259" i="7" s="1"/>
  <c r="AF1258" i="7"/>
  <c r="AG1258" i="7" s="1"/>
  <c r="AF1257" i="7"/>
  <c r="AG1257" i="7" s="1"/>
  <c r="AF1256" i="7"/>
  <c r="AG1256" i="7" s="1"/>
  <c r="AF1254" i="7"/>
  <c r="AG1254" i="7" s="1"/>
  <c r="AF1253" i="7"/>
  <c r="AG1253" i="7" s="1"/>
  <c r="AF1252" i="7"/>
  <c r="AG1252" i="7" s="1"/>
  <c r="AF1244" i="7"/>
  <c r="AG1244" i="7" s="1"/>
  <c r="AF1243" i="7"/>
  <c r="AG1243" i="7" s="1"/>
  <c r="AF1240" i="7"/>
  <c r="AG1240" i="7" s="1"/>
  <c r="AF1239" i="7"/>
  <c r="AG1239" i="7" s="1"/>
  <c r="AF1238" i="7"/>
  <c r="AG1238" i="7" s="1"/>
  <c r="AF1237" i="7"/>
  <c r="AG1237" i="7" s="1"/>
  <c r="AF1236" i="7"/>
  <c r="AG1236" i="7" s="1"/>
  <c r="AF1235" i="7"/>
  <c r="AG1235" i="7" s="1"/>
  <c r="AF1234" i="7"/>
  <c r="AG1234" i="7" s="1"/>
  <c r="AF1232" i="7"/>
  <c r="AG1232" i="7" s="1"/>
  <c r="AF1231" i="7"/>
  <c r="AG1231" i="7" s="1"/>
  <c r="AF1230" i="7"/>
  <c r="AG1230" i="7" s="1"/>
  <c r="AF1229" i="7"/>
  <c r="AG1229" i="7" s="1"/>
  <c r="AF1228" i="7"/>
  <c r="AG1228" i="7" s="1"/>
  <c r="AF1227" i="7"/>
  <c r="AG1227" i="7" s="1"/>
  <c r="AF1226" i="7"/>
  <c r="AG1226" i="7" s="1"/>
  <c r="AF1225" i="7"/>
  <c r="AG1225" i="7" s="1"/>
  <c r="AF1224" i="7"/>
  <c r="AG1224" i="7" s="1"/>
  <c r="AF1223" i="7"/>
  <c r="AG1223" i="7" s="1"/>
  <c r="AF1222" i="7"/>
  <c r="AG1222" i="7" s="1"/>
  <c r="AF1221" i="7"/>
  <c r="AG1221" i="7" s="1"/>
  <c r="AF1220" i="7"/>
  <c r="AG1220" i="7" s="1"/>
  <c r="AF1219" i="7"/>
  <c r="AG1219" i="7" s="1"/>
  <c r="AF1218" i="7"/>
  <c r="AG1218" i="7" s="1"/>
  <c r="AF1217" i="7"/>
  <c r="AG1217" i="7" s="1"/>
  <c r="AF1216" i="7"/>
  <c r="AG1216" i="7" s="1"/>
  <c r="AF1215" i="7"/>
  <c r="AG1215" i="7" s="1"/>
  <c r="AF1214" i="7"/>
  <c r="AG1214" i="7" s="1"/>
  <c r="AF1213" i="7"/>
  <c r="AG1213" i="7" s="1"/>
  <c r="AF1212" i="7"/>
  <c r="AG1212" i="7" s="1"/>
  <c r="AF1211" i="7"/>
  <c r="AG1211" i="7" s="1"/>
  <c r="AF1210" i="7"/>
  <c r="AG1210" i="7" s="1"/>
  <c r="AF1209" i="7"/>
  <c r="AG1209" i="7" s="1"/>
  <c r="AF1208" i="7"/>
  <c r="AG1208" i="7" s="1"/>
  <c r="AF1207" i="7"/>
  <c r="AG1207" i="7" s="1"/>
  <c r="AF1206" i="7"/>
  <c r="AG1206" i="7" s="1"/>
  <c r="AF1205" i="7"/>
  <c r="AG1205" i="7" s="1"/>
  <c r="AF1204" i="7"/>
  <c r="AG1204" i="7" s="1"/>
  <c r="AF1203" i="7"/>
  <c r="AG1203" i="7" s="1"/>
  <c r="AF1202" i="7"/>
  <c r="AG1202" i="7" s="1"/>
  <c r="AF1201" i="7"/>
  <c r="AG1201" i="7" s="1"/>
  <c r="AF1200" i="7"/>
  <c r="AG1200" i="7" s="1"/>
  <c r="AF1199" i="7"/>
  <c r="AG1199" i="7" s="1"/>
  <c r="AF1198" i="7"/>
  <c r="AG1198" i="7" s="1"/>
  <c r="AF1197" i="7"/>
  <c r="AG1197" i="7" s="1"/>
  <c r="AF1196" i="7"/>
  <c r="AG1196" i="7" s="1"/>
  <c r="AF1195" i="7"/>
  <c r="AG1195" i="7" s="1"/>
  <c r="AF1191" i="7"/>
  <c r="AG1191" i="7" s="1"/>
  <c r="AF1190" i="7"/>
  <c r="AG1190" i="7" s="1"/>
  <c r="AF1189" i="7"/>
  <c r="AG1189" i="7" s="1"/>
  <c r="AF1188" i="7"/>
  <c r="AG1188" i="7" s="1"/>
  <c r="AF1187" i="7"/>
  <c r="AG1187" i="7" s="1"/>
  <c r="AF1185" i="7"/>
  <c r="AG1185" i="7" s="1"/>
  <c r="AF1184" i="7"/>
  <c r="AG1184" i="7" s="1"/>
  <c r="AF1182" i="7"/>
  <c r="AG1182" i="7" s="1"/>
  <c r="AF1179" i="7"/>
  <c r="AG1179" i="7" s="1"/>
  <c r="AF1178" i="7"/>
  <c r="AG1178" i="7" s="1"/>
  <c r="AF1177" i="7"/>
  <c r="AG1177" i="7" s="1"/>
  <c r="AF1176" i="7"/>
  <c r="AG1176" i="7" s="1"/>
  <c r="AF1174" i="7"/>
  <c r="AG1174" i="7" s="1"/>
  <c r="AF1173" i="7"/>
  <c r="AG1173" i="7" s="1"/>
  <c r="AF1172" i="7"/>
  <c r="AG1172" i="7" s="1"/>
  <c r="AF1171" i="7"/>
  <c r="AG1171" i="7" s="1"/>
  <c r="AF1170" i="7"/>
  <c r="AG1170" i="7" s="1"/>
  <c r="AF1169" i="7"/>
  <c r="AG1169" i="7" s="1"/>
  <c r="AF1168" i="7"/>
  <c r="AG1168" i="7" s="1"/>
  <c r="AF1167" i="7"/>
  <c r="AG1167" i="7" s="1"/>
  <c r="AF1166" i="7"/>
  <c r="AG1166" i="7" s="1"/>
  <c r="AF1165" i="7"/>
  <c r="AG1165" i="7" s="1"/>
  <c r="AF1164" i="7"/>
  <c r="AG1164" i="7" s="1"/>
  <c r="AF1163" i="7"/>
  <c r="AG1163" i="7" s="1"/>
  <c r="AF1162" i="7"/>
  <c r="AG1162" i="7" s="1"/>
  <c r="AF1161" i="7"/>
  <c r="AG1161" i="7" s="1"/>
  <c r="AF1160" i="7"/>
  <c r="AG1160" i="7" s="1"/>
  <c r="AF1159" i="7"/>
  <c r="AG1159" i="7" s="1"/>
  <c r="AF1158" i="7"/>
  <c r="AG1158" i="7" s="1"/>
  <c r="AF1157" i="7"/>
  <c r="AG1157" i="7" s="1"/>
  <c r="AF1156" i="7"/>
  <c r="AG1156" i="7" s="1"/>
  <c r="AF1155" i="7"/>
  <c r="AG1155" i="7" s="1"/>
  <c r="AF1154" i="7"/>
  <c r="AG1154" i="7" s="1"/>
  <c r="AF1153" i="7"/>
  <c r="AG1153" i="7" s="1"/>
  <c r="AF1152" i="7"/>
  <c r="AG1152" i="7" s="1"/>
  <c r="AF1151" i="7"/>
  <c r="AG1151" i="7" s="1"/>
  <c r="AF1150" i="7"/>
  <c r="AG1150" i="7" s="1"/>
  <c r="AF1148" i="7"/>
  <c r="AG1148" i="7" s="1"/>
  <c r="AF1147" i="7"/>
  <c r="AG1147" i="7" s="1"/>
  <c r="AF1146" i="7"/>
  <c r="AG1146" i="7" s="1"/>
  <c r="AF1145" i="7"/>
  <c r="AG1145" i="7" s="1"/>
  <c r="AF1144" i="7"/>
  <c r="AG1144" i="7" s="1"/>
  <c r="AF1143" i="7"/>
  <c r="AG1143" i="7" s="1"/>
  <c r="AF1142" i="7"/>
  <c r="AG1142" i="7" s="1"/>
  <c r="AF1141" i="7"/>
  <c r="AG1141" i="7" s="1"/>
  <c r="AF1140" i="7"/>
  <c r="AG1140" i="7" s="1"/>
  <c r="AF1139" i="7"/>
  <c r="AG1139" i="7" s="1"/>
  <c r="AF1138" i="7"/>
  <c r="AG1138" i="7" s="1"/>
  <c r="AF1137" i="7"/>
  <c r="AG1137" i="7" s="1"/>
  <c r="AF1136" i="7"/>
  <c r="AG1136" i="7" s="1"/>
  <c r="AF1135" i="7"/>
  <c r="AG1135" i="7" s="1"/>
  <c r="AF1134" i="7"/>
  <c r="AG1134" i="7" s="1"/>
  <c r="AF1132" i="7"/>
  <c r="AG1132" i="7" s="1"/>
  <c r="AF1131" i="7"/>
  <c r="AG1131" i="7" s="1"/>
  <c r="AF1130" i="7"/>
  <c r="AG1130" i="7" s="1"/>
  <c r="AF1129" i="7"/>
  <c r="AG1129" i="7" s="1"/>
  <c r="AF1128" i="7"/>
  <c r="AG1128" i="7" s="1"/>
  <c r="AF1127" i="7"/>
  <c r="AG1127" i="7" s="1"/>
  <c r="AF1125" i="7"/>
  <c r="AG1125" i="7" s="1"/>
  <c r="AF1123" i="7"/>
  <c r="AG1123" i="7" s="1"/>
  <c r="AF1122" i="7"/>
  <c r="AG1122" i="7" s="1"/>
  <c r="AF1120" i="7"/>
  <c r="AG1120" i="7" s="1"/>
  <c r="AF1119" i="7"/>
  <c r="AG1119" i="7" s="1"/>
  <c r="AF1118" i="7"/>
  <c r="AG1118" i="7" s="1"/>
  <c r="AF1116" i="7"/>
  <c r="AG1116" i="7" s="1"/>
  <c r="AF1115" i="7"/>
  <c r="AG1115" i="7" s="1"/>
  <c r="AF1108" i="7"/>
  <c r="AG1108" i="7" s="1"/>
  <c r="AF1107" i="7"/>
  <c r="AG1107" i="7" s="1"/>
  <c r="AF1106" i="7"/>
  <c r="AG1106" i="7" s="1"/>
  <c r="AF1104" i="7"/>
  <c r="AG1104" i="7" s="1"/>
  <c r="AF1102" i="7"/>
  <c r="AG1102" i="7" s="1"/>
  <c r="AF1100" i="7"/>
  <c r="AG1100" i="7" s="1"/>
  <c r="AF1099" i="7"/>
  <c r="AG1099" i="7" s="1"/>
  <c r="AF1098" i="7"/>
  <c r="AG1098" i="7" s="1"/>
  <c r="AF1096" i="7"/>
  <c r="AG1096" i="7" s="1"/>
  <c r="AF1095" i="7"/>
  <c r="AG1095" i="7" s="1"/>
  <c r="AF1092" i="7"/>
  <c r="AG1092" i="7" s="1"/>
  <c r="AF1091" i="7"/>
  <c r="AG1091" i="7" s="1"/>
  <c r="AF1084" i="7"/>
  <c r="AG1084" i="7" s="1"/>
  <c r="AF1082" i="7"/>
  <c r="AG1082" i="7" s="1"/>
  <c r="AF1080" i="7"/>
  <c r="AG1080" i="7" s="1"/>
  <c r="AF1077" i="7"/>
  <c r="AG1077" i="7" s="1"/>
  <c r="AF1074" i="7"/>
  <c r="AG1074" i="7" s="1"/>
  <c r="AF1067" i="7"/>
  <c r="AG1067" i="7" s="1"/>
  <c r="AF1066" i="7"/>
  <c r="AG1066" i="7" s="1"/>
  <c r="AF1063" i="7"/>
  <c r="AG1063" i="7" s="1"/>
  <c r="AF1059" i="7"/>
  <c r="AG1059" i="7" s="1"/>
  <c r="AF1032" i="7"/>
  <c r="AF1028" i="7"/>
  <c r="AG1028" i="7" s="1"/>
  <c r="AF1025" i="7"/>
  <c r="AG1025" i="7" s="1"/>
  <c r="AF1023" i="7"/>
  <c r="AG1023" i="7" s="1"/>
  <c r="AF1022" i="7"/>
  <c r="AG1022" i="7" s="1"/>
  <c r="AF1018" i="7"/>
  <c r="AG1018" i="7" s="1"/>
  <c r="AF1015" i="7"/>
  <c r="AG1015" i="7" s="1"/>
  <c r="AF1013" i="7"/>
  <c r="AG1013" i="7" s="1"/>
  <c r="AF1011" i="7"/>
  <c r="AG1011" i="7" s="1"/>
  <c r="AF1008" i="7"/>
  <c r="AG1008" i="7" s="1"/>
  <c r="AF1005" i="7"/>
  <c r="AG1005" i="7" s="1"/>
  <c r="AF1002" i="7"/>
  <c r="AG1002" i="7" s="1"/>
  <c r="AF1001" i="7"/>
  <c r="AG1001" i="7" s="1"/>
  <c r="AF996" i="7"/>
  <c r="AG996" i="7" s="1"/>
  <c r="AF995" i="7"/>
  <c r="AG995" i="7" s="1"/>
  <c r="AF992" i="7"/>
  <c r="AG992" i="7" s="1"/>
  <c r="AF990" i="7"/>
  <c r="AG990" i="7" s="1"/>
  <c r="AF988" i="7"/>
  <c r="AG988" i="7" s="1"/>
  <c r="AF986" i="7"/>
  <c r="AG986" i="7" s="1"/>
  <c r="AF984" i="7"/>
  <c r="AG984" i="7" s="1"/>
  <c r="AF981" i="7"/>
  <c r="AG981" i="7" s="1"/>
  <c r="AF978" i="7"/>
  <c r="AG978" i="7" s="1"/>
  <c r="AF975" i="7"/>
  <c r="AG975" i="7" s="1"/>
  <c r="AF969" i="7"/>
  <c r="AG969" i="7" s="1"/>
  <c r="AF967" i="7"/>
  <c r="AG967" i="7" s="1"/>
  <c r="AF964" i="7"/>
  <c r="AG964" i="7" s="1"/>
  <c r="AF962" i="7"/>
  <c r="AG962" i="7" s="1"/>
  <c r="AF957" i="7"/>
  <c r="AG957" i="7" s="1"/>
  <c r="AF952" i="7"/>
  <c r="AG952" i="7" s="1"/>
  <c r="AF948" i="7"/>
  <c r="AG948" i="7" s="1"/>
  <c r="AF944" i="7"/>
  <c r="AG944" i="7" s="1"/>
  <c r="AF942" i="7"/>
  <c r="AG942" i="7" s="1"/>
  <c r="AF936" i="7"/>
  <c r="AG936" i="7" s="1"/>
  <c r="AF933" i="7"/>
  <c r="AG933" i="7" s="1"/>
  <c r="AF929" i="7"/>
  <c r="AG929" i="7" s="1"/>
  <c r="AF927" i="7"/>
  <c r="AG927" i="7" s="1"/>
  <c r="AF921" i="7"/>
  <c r="AG921" i="7" s="1"/>
  <c r="AF915" i="7"/>
  <c r="AG915" i="7" s="1"/>
  <c r="AF913" i="7"/>
  <c r="AG913" i="7" s="1"/>
  <c r="AF909" i="7"/>
  <c r="AG909" i="7" s="1"/>
  <c r="AF906" i="7"/>
  <c r="AG906" i="7" s="1"/>
  <c r="AF901" i="7"/>
  <c r="AG901" i="7" s="1"/>
  <c r="AF893" i="7"/>
  <c r="AG893" i="7" s="1"/>
  <c r="AF890" i="7"/>
  <c r="AG890" i="7" s="1"/>
  <c r="AF888" i="7"/>
  <c r="AG888" i="7" s="1"/>
  <c r="AF886" i="7"/>
  <c r="AG886" i="7" s="1"/>
  <c r="AF881" i="7"/>
  <c r="AG881" i="7" s="1"/>
  <c r="AF878" i="7"/>
  <c r="AG878" i="7" s="1"/>
  <c r="AF876" i="7"/>
  <c r="AG876" i="7" s="1"/>
  <c r="AF1852" i="7"/>
  <c r="AG1852" i="7" s="1"/>
  <c r="AF1850" i="7"/>
  <c r="AG1850" i="7" s="1"/>
  <c r="AF1848" i="7"/>
  <c r="AG1848" i="7" s="1"/>
  <c r="AF1847" i="7"/>
  <c r="AG1847" i="7" s="1"/>
  <c r="AF1845" i="7"/>
  <c r="AG1845" i="7" s="1"/>
  <c r="AF1844" i="7"/>
  <c r="AG1844" i="7" s="1"/>
  <c r="AF1843" i="7"/>
  <c r="AG1843" i="7" s="1"/>
  <c r="AF1821" i="7"/>
  <c r="AG1821" i="7" s="1"/>
  <c r="AF1815" i="7"/>
  <c r="AG1815" i="7" s="1"/>
  <c r="AF1813" i="7"/>
  <c r="AG1813" i="7" s="1"/>
  <c r="AF1811" i="7"/>
  <c r="AG1811" i="7" s="1"/>
  <c r="AF1806" i="7"/>
  <c r="AG1806" i="7" s="1"/>
  <c r="AF1790" i="7"/>
  <c r="AG1790" i="7" s="1"/>
  <c r="AF1786" i="7"/>
  <c r="AG1786" i="7" s="1"/>
  <c r="AF1784" i="7"/>
  <c r="AG1784" i="7" s="1"/>
  <c r="AF1773" i="7"/>
  <c r="AG1773" i="7" s="1"/>
  <c r="AF1770" i="7"/>
  <c r="AG1770" i="7" s="1"/>
  <c r="AF1767" i="7"/>
  <c r="AG1767" i="7" s="1"/>
  <c r="AF1763" i="7"/>
  <c r="AG1763" i="7" s="1"/>
  <c r="AF1751" i="7"/>
  <c r="AG1751" i="7" s="1"/>
  <c r="AF1750" i="7"/>
  <c r="AG1750" i="7" s="1"/>
  <c r="AF1742" i="7"/>
  <c r="AG1742" i="7" s="1"/>
  <c r="AF1734" i="7"/>
  <c r="AG1734" i="7" s="1"/>
  <c r="AF1710" i="7"/>
  <c r="AG1710" i="7" s="1"/>
  <c r="AF1702" i="7"/>
  <c r="AG1702" i="7" s="1"/>
  <c r="AF1684" i="7"/>
  <c r="AG1684" i="7" s="1"/>
  <c r="AF1683" i="7"/>
  <c r="AG1683" i="7" s="1"/>
  <c r="AF1679" i="7"/>
  <c r="AG1679" i="7" s="1"/>
  <c r="AF1674" i="7"/>
  <c r="AG1674" i="7" s="1"/>
  <c r="AF1103" i="7"/>
  <c r="AG1103" i="7" s="1"/>
  <c r="AF1101" i="7"/>
  <c r="AG1101" i="7" s="1"/>
  <c r="AF1097" i="7"/>
  <c r="AG1097" i="7" s="1"/>
  <c r="AF1083" i="7"/>
  <c r="AG1083" i="7" s="1"/>
  <c r="AF1081" i="7"/>
  <c r="AG1081" i="7" s="1"/>
  <c r="AF1079" i="7"/>
  <c r="AG1079" i="7" s="1"/>
  <c r="AF1078" i="7"/>
  <c r="AG1078" i="7" s="1"/>
  <c r="AF1075" i="7"/>
  <c r="AG1075" i="7" s="1"/>
  <c r="AF1068" i="7"/>
  <c r="AG1068" i="7" s="1"/>
  <c r="AF1062" i="7"/>
  <c r="AG1062" i="7" s="1"/>
  <c r="AF1060" i="7"/>
  <c r="AG1060" i="7" s="1"/>
  <c r="AF1058" i="7"/>
  <c r="AG1058" i="7" s="1"/>
  <c r="AF1057" i="7"/>
  <c r="AG1057" i="7" s="1"/>
  <c r="AF1031" i="7"/>
  <c r="AG1031" i="7" s="1"/>
  <c r="AF1029" i="7"/>
  <c r="AG1029" i="7" s="1"/>
  <c r="AF1026" i="7"/>
  <c r="AG1026" i="7" s="1"/>
  <c r="AF1024" i="7"/>
  <c r="AG1024" i="7" s="1"/>
  <c r="AF1019" i="7"/>
  <c r="AG1019" i="7" s="1"/>
  <c r="AF1017" i="7"/>
  <c r="AG1017" i="7" s="1"/>
  <c r="AF1014" i="7"/>
  <c r="AG1014" i="7" s="1"/>
  <c r="AF1012" i="7"/>
  <c r="AG1012" i="7" s="1"/>
  <c r="AF1010" i="7"/>
  <c r="AG1010" i="7" s="1"/>
  <c r="AF998" i="7"/>
  <c r="AG998" i="7" s="1"/>
  <c r="AF994" i="7"/>
  <c r="AG994" i="7" s="1"/>
  <c r="AF989" i="7"/>
  <c r="AG989" i="7" s="1"/>
  <c r="AF987" i="7"/>
  <c r="AG987" i="7" s="1"/>
  <c r="AF985" i="7"/>
  <c r="AG985" i="7" s="1"/>
  <c r="AF983" i="7"/>
  <c r="AG983" i="7" s="1"/>
  <c r="AF979" i="7"/>
  <c r="AG979" i="7" s="1"/>
  <c r="AF974" i="7"/>
  <c r="AG974" i="7" s="1"/>
  <c r="AF968" i="7"/>
  <c r="AG968" i="7" s="1"/>
  <c r="AF965" i="7"/>
  <c r="AG965" i="7" s="1"/>
  <c r="AF963" i="7"/>
  <c r="AG963" i="7" s="1"/>
  <c r="AF961" i="7"/>
  <c r="AG961" i="7" s="1"/>
  <c r="AF955" i="7"/>
  <c r="AG955" i="7" s="1"/>
  <c r="AF953" i="7"/>
  <c r="AG953" i="7" s="1"/>
  <c r="AF947" i="7"/>
  <c r="AG947" i="7" s="1"/>
  <c r="AF945" i="7"/>
  <c r="AG945" i="7" s="1"/>
  <c r="AF943" i="7"/>
  <c r="AG943" i="7" s="1"/>
  <c r="AF937" i="7"/>
  <c r="AG937" i="7" s="1"/>
  <c r="AF935" i="7"/>
  <c r="AG935" i="7" s="1"/>
  <c r="AF932" i="7"/>
  <c r="AG932" i="7" s="1"/>
  <c r="AF928" i="7"/>
  <c r="AG928" i="7" s="1"/>
  <c r="AF924" i="7"/>
  <c r="AG924" i="7" s="1"/>
  <c r="AF918" i="7"/>
  <c r="AG918" i="7" s="1"/>
  <c r="AF916" i="7"/>
  <c r="AG916" i="7" s="1"/>
  <c r="AF910" i="7"/>
  <c r="AG910" i="7" s="1"/>
  <c r="AF907" i="7"/>
  <c r="AG907" i="7" s="1"/>
  <c r="AF905" i="7"/>
  <c r="AG905" i="7" s="1"/>
  <c r="AF902" i="7"/>
  <c r="AG902" i="7" s="1"/>
  <c r="AF899" i="7"/>
  <c r="AG899" i="7" s="1"/>
  <c r="AF897" i="7"/>
  <c r="AG897" i="7" s="1"/>
  <c r="AF894" i="7"/>
  <c r="AG894" i="7" s="1"/>
  <c r="AF892" i="7"/>
  <c r="AG892" i="7" s="1"/>
  <c r="AF889" i="7"/>
  <c r="AG889" i="7" s="1"/>
  <c r="AF884" i="7"/>
  <c r="AG884" i="7" s="1"/>
  <c r="AF880" i="7"/>
  <c r="AG880" i="7" s="1"/>
  <c r="AF877" i="7"/>
  <c r="AG877" i="7" s="1"/>
  <c r="AF869" i="7"/>
  <c r="AG869" i="7" s="1"/>
  <c r="AF867" i="7"/>
  <c r="AG867" i="7" s="1"/>
  <c r="AF863" i="7"/>
  <c r="AG863" i="7" s="1"/>
  <c r="AF1898" i="7"/>
  <c r="AG1898" i="7" s="1"/>
  <c r="AF1894" i="7"/>
  <c r="AG1894" i="7" s="1"/>
  <c r="AF1891" i="7"/>
  <c r="AG1891" i="7" s="1"/>
  <c r="AF1890" i="7"/>
  <c r="AG1890" i="7" s="1"/>
  <c r="AF1882" i="7"/>
  <c r="AG1882" i="7" s="1"/>
  <c r="AF1881" i="7"/>
  <c r="AG1881" i="7" s="1"/>
  <c r="AF1797" i="7"/>
  <c r="AG1797" i="7" s="1"/>
  <c r="AF1796" i="7"/>
  <c r="AG1796" i="7" s="1"/>
  <c r="AF1787" i="7"/>
  <c r="AG1787" i="7" s="1"/>
  <c r="AF1785" i="7"/>
  <c r="AG1785" i="7" s="1"/>
  <c r="AF1782" i="7"/>
  <c r="AG1782" i="7" s="1"/>
  <c r="AF1772" i="7"/>
  <c r="AG1772" i="7" s="1"/>
  <c r="AF1771" i="7"/>
  <c r="AG1771" i="7" s="1"/>
  <c r="AF1752" i="7"/>
  <c r="AG1752" i="7" s="1"/>
  <c r="AF1743" i="7"/>
  <c r="AG1743" i="7" s="1"/>
  <c r="AF1697" i="7"/>
  <c r="AG1697" i="7" s="1"/>
  <c r="AF1696" i="7"/>
  <c r="AG1696" i="7" s="1"/>
  <c r="AF1678" i="7"/>
  <c r="AG1678" i="7" s="1"/>
  <c r="AF1661" i="7"/>
  <c r="AG1661" i="7" s="1"/>
  <c r="AH1054" i="7"/>
  <c r="AF1053" i="7"/>
  <c r="AG1053" i="7" s="1"/>
  <c r="AF1051" i="7"/>
  <c r="AG1051" i="7" s="1"/>
  <c r="AF1050" i="7"/>
  <c r="AG1050" i="7" s="1"/>
  <c r="AF1049" i="7"/>
  <c r="AG1049" i="7" s="1"/>
  <c r="AF1048" i="7"/>
  <c r="AG1048" i="7" s="1"/>
  <c r="AF1047" i="7"/>
  <c r="AG1047" i="7" s="1"/>
  <c r="AF1046" i="7"/>
  <c r="AG1046" i="7" s="1"/>
  <c r="AF1045" i="7"/>
  <c r="AG1045" i="7" s="1"/>
  <c r="AF1044" i="7"/>
  <c r="AG1044" i="7" s="1"/>
  <c r="AF1043" i="7"/>
  <c r="AG1043" i="7" s="1"/>
  <c r="AF1042" i="7"/>
  <c r="AG1042" i="7" s="1"/>
  <c r="AF1040" i="7"/>
  <c r="AG1040" i="7" s="1"/>
  <c r="AF1039" i="7"/>
  <c r="AG1039" i="7" s="1"/>
  <c r="AF1038" i="7"/>
  <c r="AG1038" i="7" s="1"/>
  <c r="AF1037" i="7"/>
  <c r="AG1037" i="7" s="1"/>
  <c r="AF1036" i="7"/>
  <c r="AG1036" i="7" s="1"/>
  <c r="AF1035" i="7"/>
  <c r="AG1035" i="7" s="1"/>
  <c r="AF1034" i="7"/>
  <c r="AG1034" i="7" s="1"/>
  <c r="AF1033" i="7"/>
  <c r="AG1033" i="7" s="1"/>
  <c r="AF1027" i="7"/>
  <c r="AG1027" i="7" s="1"/>
  <c r="AF1021" i="7"/>
  <c r="AG1021" i="7" s="1"/>
  <c r="AF1020" i="7"/>
  <c r="AG1020" i="7" s="1"/>
  <c r="AF1016" i="7"/>
  <c r="AG1016" i="7" s="1"/>
  <c r="AF1009" i="7"/>
  <c r="AG1009" i="7" s="1"/>
  <c r="AF1007" i="7"/>
  <c r="AG1007" i="7" s="1"/>
  <c r="AF1004" i="7"/>
  <c r="AG1004" i="7" s="1"/>
  <c r="AF1003" i="7"/>
  <c r="AG1003" i="7" s="1"/>
  <c r="AF1000" i="7"/>
  <c r="AG1000" i="7" s="1"/>
  <c r="AF999" i="7"/>
  <c r="AG999" i="7" s="1"/>
  <c r="AF997" i="7"/>
  <c r="AG997" i="7" s="1"/>
  <c r="AF991" i="7"/>
  <c r="AG991" i="7" s="1"/>
  <c r="AF982" i="7"/>
  <c r="AG982" i="7" s="1"/>
  <c r="AF980" i="7"/>
  <c r="AG980" i="7" s="1"/>
  <c r="AF977" i="7"/>
  <c r="AG977" i="7" s="1"/>
  <c r="AF973" i="7"/>
  <c r="AG973" i="7" s="1"/>
  <c r="AF971" i="7"/>
  <c r="AG971" i="7" s="1"/>
  <c r="AF966" i="7"/>
  <c r="AG966" i="7" s="1"/>
  <c r="AF958" i="7"/>
  <c r="AG958" i="7" s="1"/>
  <c r="AF956" i="7"/>
  <c r="AG956" i="7" s="1"/>
  <c r="AF954" i="7"/>
  <c r="AG954" i="7" s="1"/>
  <c r="AF951" i="7"/>
  <c r="AG951" i="7" s="1"/>
  <c r="AF946" i="7"/>
  <c r="AG946" i="7" s="1"/>
  <c r="AF940" i="7"/>
  <c r="AG940" i="7" s="1"/>
  <c r="AF938" i="7"/>
  <c r="AG938" i="7" s="1"/>
  <c r="AF934" i="7"/>
  <c r="AG934" i="7" s="1"/>
  <c r="AF925" i="7"/>
  <c r="AG925" i="7" s="1"/>
  <c r="AF922" i="7"/>
  <c r="AG922" i="7" s="1"/>
  <c r="AF919" i="7"/>
  <c r="AG919" i="7" s="1"/>
  <c r="AF917" i="7"/>
  <c r="AG917" i="7" s="1"/>
  <c r="AF914" i="7"/>
  <c r="AG914" i="7" s="1"/>
  <c r="AF908" i="7"/>
  <c r="AG908" i="7" s="1"/>
  <c r="AF904" i="7"/>
  <c r="AG904" i="7" s="1"/>
  <c r="AF900" i="7"/>
  <c r="AG900" i="7" s="1"/>
  <c r="AF898" i="7"/>
  <c r="AG898" i="7" s="1"/>
  <c r="AF896" i="7"/>
  <c r="AG896" i="7" s="1"/>
  <c r="AF887" i="7"/>
  <c r="AG887" i="7" s="1"/>
  <c r="AF885" i="7"/>
  <c r="AG885" i="7" s="1"/>
  <c r="AF883" i="7"/>
  <c r="AG883" i="7" s="1"/>
  <c r="AF879" i="7"/>
  <c r="AG879" i="7" s="1"/>
  <c r="AF875" i="7"/>
  <c r="AG875" i="7" s="1"/>
  <c r="AF873" i="7"/>
  <c r="AG873" i="7" s="1"/>
  <c r="AF866" i="7"/>
  <c r="AG866" i="7" s="1"/>
  <c r="AF865" i="7"/>
  <c r="AG865" i="7" s="1"/>
  <c r="AF864" i="7"/>
  <c r="AG864" i="7" s="1"/>
  <c r="AF1901" i="7"/>
  <c r="AG1901" i="7" s="1"/>
  <c r="AF1900" i="7"/>
  <c r="AG1900" i="7" s="1"/>
  <c r="AF1892" i="7"/>
  <c r="AG1892" i="7" s="1"/>
  <c r="AF862" i="7"/>
  <c r="AG862" i="7" s="1"/>
  <c r="AF860" i="7"/>
  <c r="AG860" i="7" s="1"/>
  <c r="AF859" i="7"/>
  <c r="AG859" i="7" s="1"/>
  <c r="AF858" i="7"/>
  <c r="AG858" i="7" s="1"/>
  <c r="AF857" i="7"/>
  <c r="AG857" i="7" s="1"/>
  <c r="AF856" i="7"/>
  <c r="AG856" i="7" s="1"/>
  <c r="AF855" i="7"/>
  <c r="AG855" i="7" s="1"/>
  <c r="AF853" i="7"/>
  <c r="AG853" i="7" s="1"/>
  <c r="AF851" i="7"/>
  <c r="AG851" i="7" s="1"/>
  <c r="AF850" i="7"/>
  <c r="AG850" i="7" s="1"/>
  <c r="AF849" i="7"/>
  <c r="AG849" i="7" s="1"/>
  <c r="AF847" i="7"/>
  <c r="AG847" i="7" s="1"/>
  <c r="AF846" i="7"/>
  <c r="AG846" i="7" s="1"/>
  <c r="AF845" i="7"/>
  <c r="AG845" i="7" s="1"/>
  <c r="AF844" i="7"/>
  <c r="AG844" i="7" s="1"/>
  <c r="AF843" i="7"/>
  <c r="AG843" i="7" s="1"/>
  <c r="AF842" i="7"/>
  <c r="AF841" i="7"/>
  <c r="AG841" i="7" s="1"/>
  <c r="AF840" i="7"/>
  <c r="AG840" i="7" s="1"/>
  <c r="AF839" i="7"/>
  <c r="AG839" i="7" s="1"/>
  <c r="AF838" i="7"/>
  <c r="AG838" i="7" s="1"/>
  <c r="AF837" i="7"/>
  <c r="AG837" i="7" s="1"/>
  <c r="AF836" i="7"/>
  <c r="AG836" i="7" s="1"/>
  <c r="AF835" i="7"/>
  <c r="AG835" i="7" s="1"/>
  <c r="AF833" i="7"/>
  <c r="AG833" i="7" s="1"/>
  <c r="AF832" i="7"/>
  <c r="AG832" i="7" s="1"/>
  <c r="AF831" i="7"/>
  <c r="AG831" i="7" s="1"/>
  <c r="AF830" i="7"/>
  <c r="AG830" i="7" s="1"/>
  <c r="AF829" i="7"/>
  <c r="AG829" i="7" s="1"/>
  <c r="AF826" i="7"/>
  <c r="AG826" i="7" s="1"/>
  <c r="AF825" i="7"/>
  <c r="AG825" i="7" s="1"/>
  <c r="AF824" i="7"/>
  <c r="AG824" i="7" s="1"/>
  <c r="AF823" i="7"/>
  <c r="AG823" i="7" s="1"/>
  <c r="AF822" i="7"/>
  <c r="AG822" i="7" s="1"/>
  <c r="AF821" i="7"/>
  <c r="AG821" i="7" s="1"/>
  <c r="AF820" i="7"/>
  <c r="AG820" i="7" s="1"/>
  <c r="AF819" i="7"/>
  <c r="AG819" i="7" s="1"/>
  <c r="AF818" i="7"/>
  <c r="AG818" i="7" s="1"/>
  <c r="AF817" i="7"/>
  <c r="AG817" i="7" s="1"/>
  <c r="AF816" i="7"/>
  <c r="AG816" i="7" s="1"/>
  <c r="AF813" i="7"/>
  <c r="AG813" i="7" s="1"/>
  <c r="AF812" i="7"/>
  <c r="AG812" i="7" s="1"/>
  <c r="AF811" i="7"/>
  <c r="AG811" i="7" s="1"/>
  <c r="AF810" i="7"/>
  <c r="AG810" i="7" s="1"/>
  <c r="AF809" i="7"/>
  <c r="AG809" i="7" s="1"/>
  <c r="AF808" i="7"/>
  <c r="AG808" i="7" s="1"/>
  <c r="AF807" i="7"/>
  <c r="AG807" i="7" s="1"/>
  <c r="AF806" i="7"/>
  <c r="AG806" i="7" s="1"/>
  <c r="AF805" i="7"/>
  <c r="AG805" i="7" s="1"/>
  <c r="AF804" i="7"/>
  <c r="AG804" i="7" s="1"/>
  <c r="AF803" i="7"/>
  <c r="AG803" i="7" s="1"/>
  <c r="AF801" i="7"/>
  <c r="AG801" i="7" s="1"/>
  <c r="AF800" i="7"/>
  <c r="AG800" i="7" s="1"/>
  <c r="AF798" i="7"/>
  <c r="AG798" i="7" s="1"/>
  <c r="AF797" i="7"/>
  <c r="AG797" i="7" s="1"/>
  <c r="AF796" i="7"/>
  <c r="AG796" i="7" s="1"/>
  <c r="AF795" i="7"/>
  <c r="AG795" i="7" s="1"/>
  <c r="AF794" i="7"/>
  <c r="AG794" i="7" s="1"/>
  <c r="AF793" i="7"/>
  <c r="AG793" i="7" s="1"/>
  <c r="AF792" i="7"/>
  <c r="AG792" i="7" s="1"/>
  <c r="AF791" i="7"/>
  <c r="AG791" i="7" s="1"/>
  <c r="AF790" i="7"/>
  <c r="AG790" i="7" s="1"/>
  <c r="AF789" i="7"/>
  <c r="AG789" i="7" s="1"/>
  <c r="AF788" i="7"/>
  <c r="AG788" i="7" s="1"/>
  <c r="AF787" i="7"/>
  <c r="AG787" i="7" s="1"/>
  <c r="AF786" i="7"/>
  <c r="AG786" i="7" s="1"/>
  <c r="AF784" i="7"/>
  <c r="AG784" i="7" s="1"/>
  <c r="AF782" i="7"/>
  <c r="AG782" i="7" s="1"/>
  <c r="AF781" i="7"/>
  <c r="AG781" i="7" s="1"/>
  <c r="AF780" i="7"/>
  <c r="AG780" i="7" s="1"/>
  <c r="AF779" i="7"/>
  <c r="AG779" i="7" s="1"/>
  <c r="AF778" i="7"/>
  <c r="AG778" i="7" s="1"/>
  <c r="AF777" i="7"/>
  <c r="AG777" i="7" s="1"/>
  <c r="AF776" i="7"/>
  <c r="AG776" i="7" s="1"/>
  <c r="AF775" i="7"/>
  <c r="AG775" i="7" s="1"/>
  <c r="AF774" i="7"/>
  <c r="AG774" i="7" s="1"/>
  <c r="AF773" i="7"/>
  <c r="AG773" i="7" s="1"/>
  <c r="AF770" i="7"/>
  <c r="AG770" i="7" s="1"/>
  <c r="AF769" i="7"/>
  <c r="AG769" i="7" s="1"/>
  <c r="AF768" i="7"/>
  <c r="AG768" i="7" s="1"/>
  <c r="AF767" i="7"/>
  <c r="AG767" i="7" s="1"/>
  <c r="AF766" i="7"/>
  <c r="AG766" i="7" s="1"/>
  <c r="AF764" i="7"/>
  <c r="AG764" i="7" s="1"/>
  <c r="AF763" i="7"/>
  <c r="AG763" i="7" s="1"/>
  <c r="AF762" i="7"/>
  <c r="AG762" i="7" s="1"/>
  <c r="AF761" i="7"/>
  <c r="AG761" i="7" s="1"/>
  <c r="AF760" i="7"/>
  <c r="AG760" i="7" s="1"/>
  <c r="AF758" i="7"/>
  <c r="AG758" i="7" s="1"/>
  <c r="AF757" i="7"/>
  <c r="AG757" i="7" s="1"/>
  <c r="AF755" i="7"/>
  <c r="AG755" i="7" s="1"/>
  <c r="AF754" i="7"/>
  <c r="AG754" i="7" s="1"/>
  <c r="AF753" i="7"/>
  <c r="AG753" i="7" s="1"/>
  <c r="AF752" i="7"/>
  <c r="AG752" i="7" s="1"/>
  <c r="AF751" i="7"/>
  <c r="AG751" i="7" s="1"/>
  <c r="AF750" i="7"/>
  <c r="AG750" i="7" s="1"/>
  <c r="AF749" i="7"/>
  <c r="AG749" i="7" s="1"/>
  <c r="AF748" i="7"/>
  <c r="AG748" i="7" s="1"/>
  <c r="AF747" i="7"/>
  <c r="AG747" i="7" s="1"/>
  <c r="AF746" i="7"/>
  <c r="AG746" i="7" s="1"/>
  <c r="AF745" i="7"/>
  <c r="AG745" i="7" s="1"/>
  <c r="AF744" i="7"/>
  <c r="AG744" i="7" s="1"/>
  <c r="AF743" i="7"/>
  <c r="AG743" i="7" s="1"/>
  <c r="AF741" i="7"/>
  <c r="AG741" i="7" s="1"/>
  <c r="AF740" i="7"/>
  <c r="AG740" i="7" s="1"/>
  <c r="AF739" i="7"/>
  <c r="AG739" i="7" s="1"/>
  <c r="AF738" i="7"/>
  <c r="AG738" i="7" s="1"/>
  <c r="AF737" i="7"/>
  <c r="AG737" i="7" s="1"/>
  <c r="AF736" i="7"/>
  <c r="AG736" i="7" s="1"/>
  <c r="AF735" i="7"/>
  <c r="AG735" i="7" s="1"/>
  <c r="AF734" i="7"/>
  <c r="AG734" i="7" s="1"/>
  <c r="AF733" i="7"/>
  <c r="AG733" i="7" s="1"/>
  <c r="AF729" i="7"/>
  <c r="AG729" i="7" s="1"/>
  <c r="AF727" i="7"/>
  <c r="AG727" i="7" s="1"/>
  <c r="AF726" i="7"/>
  <c r="AG726" i="7" s="1"/>
  <c r="AF725" i="7"/>
  <c r="AG725" i="7" s="1"/>
  <c r="AF724" i="7"/>
  <c r="AG724" i="7" s="1"/>
  <c r="AF723" i="7"/>
  <c r="AG723" i="7" s="1"/>
  <c r="AF722" i="7"/>
  <c r="AG722" i="7" s="1"/>
  <c r="AF721" i="7"/>
  <c r="AG721" i="7" s="1"/>
  <c r="AF720" i="7"/>
  <c r="AG720" i="7" s="1"/>
  <c r="AF719" i="7"/>
  <c r="AG719" i="7" s="1"/>
  <c r="AF718" i="7"/>
  <c r="AG718" i="7" s="1"/>
  <c r="AF717" i="7"/>
  <c r="AG717" i="7" s="1"/>
  <c r="AF716" i="7"/>
  <c r="AG716" i="7" s="1"/>
  <c r="AF715" i="7"/>
  <c r="AG715" i="7" s="1"/>
  <c r="AF713" i="7"/>
  <c r="AG713" i="7" s="1"/>
  <c r="AF712" i="7"/>
  <c r="AG712" i="7" s="1"/>
  <c r="AF711" i="7"/>
  <c r="AG711" i="7" s="1"/>
  <c r="AF710" i="7"/>
  <c r="AG710" i="7" s="1"/>
  <c r="AF709" i="7"/>
  <c r="AG709" i="7" s="1"/>
  <c r="AF708" i="7"/>
  <c r="AG708" i="7" s="1"/>
  <c r="AF707" i="7"/>
  <c r="AG707" i="7" s="1"/>
  <c r="AF706" i="7"/>
  <c r="AG706" i="7" s="1"/>
  <c r="AF705" i="7"/>
  <c r="AG705" i="7" s="1"/>
  <c r="AF704" i="7"/>
  <c r="AG704" i="7" s="1"/>
  <c r="AF703" i="7"/>
  <c r="AG703" i="7" s="1"/>
  <c r="AF701" i="7"/>
  <c r="AG701" i="7" s="1"/>
  <c r="AF699" i="7"/>
  <c r="AG699" i="7" s="1"/>
  <c r="AF698" i="7"/>
  <c r="AG698" i="7" s="1"/>
  <c r="AF696" i="7"/>
  <c r="AG696" i="7" s="1"/>
  <c r="AF695" i="7"/>
  <c r="AG695" i="7" s="1"/>
  <c r="AF694" i="7"/>
  <c r="AG694" i="7" s="1"/>
  <c r="AF692" i="7"/>
  <c r="AG692" i="7" s="1"/>
  <c r="AF691" i="7"/>
  <c r="AG691" i="7" s="1"/>
  <c r="AF689" i="7"/>
  <c r="AG689" i="7" s="1"/>
  <c r="AF688" i="7"/>
  <c r="AG688" i="7" s="1"/>
  <c r="AF686" i="7"/>
  <c r="AG686" i="7" s="1"/>
  <c r="AF685" i="7"/>
  <c r="AG685" i="7" s="1"/>
  <c r="AF684" i="7"/>
  <c r="AG684" i="7" s="1"/>
  <c r="AF683" i="7"/>
  <c r="AG683" i="7" s="1"/>
  <c r="AF681" i="7"/>
  <c r="AG681" i="7" s="1"/>
  <c r="AF680" i="7"/>
  <c r="AG680" i="7" s="1"/>
  <c r="AF679" i="7"/>
  <c r="AG679" i="7" s="1"/>
  <c r="AF678" i="7"/>
  <c r="AG678" i="7" s="1"/>
  <c r="AF677" i="7"/>
  <c r="AG677" i="7" s="1"/>
  <c r="AF675" i="7"/>
  <c r="AF674" i="7"/>
  <c r="AG674" i="7" s="1"/>
  <c r="AF673" i="7"/>
  <c r="AG673" i="7" s="1"/>
  <c r="AF671" i="7"/>
  <c r="AG671" i="7" s="1"/>
  <c r="AF670" i="7"/>
  <c r="AG670" i="7" s="1"/>
  <c r="AF203" i="7"/>
  <c r="AG203" i="7" s="1"/>
  <c r="AF196" i="7"/>
  <c r="AG196" i="7" s="1"/>
  <c r="AF195" i="7"/>
  <c r="AG195" i="7" s="1"/>
  <c r="AF194" i="7"/>
  <c r="AG194" i="7" s="1"/>
  <c r="AF186" i="7"/>
  <c r="AG186" i="7" s="1"/>
  <c r="AF184" i="7"/>
  <c r="AG184" i="7" s="1"/>
  <c r="AF182" i="7"/>
  <c r="AG182" i="7" s="1"/>
  <c r="AF178" i="7"/>
  <c r="AG178" i="7" s="1"/>
  <c r="AF177" i="7"/>
  <c r="AG177" i="7" s="1"/>
  <c r="AF171" i="7"/>
  <c r="AG171" i="7" s="1"/>
  <c r="AF169" i="7"/>
  <c r="AG169" i="7" s="1"/>
  <c r="AF166" i="7"/>
  <c r="AF163" i="7"/>
  <c r="AG163" i="7" s="1"/>
  <c r="AF159" i="7"/>
  <c r="AG159" i="7" s="1"/>
  <c r="AF147" i="7"/>
  <c r="AG147" i="7" s="1"/>
  <c r="AF146" i="7"/>
  <c r="AG146" i="7" s="1"/>
  <c r="AF135" i="7"/>
  <c r="AG135" i="7" s="1"/>
  <c r="AF131" i="7"/>
  <c r="AG131" i="7" s="1"/>
  <c r="AF119" i="7"/>
  <c r="AG119" i="7" s="1"/>
  <c r="AF117" i="7"/>
  <c r="AG117" i="7" s="1"/>
  <c r="AF115" i="7"/>
  <c r="AG115" i="7" s="1"/>
  <c r="AF103" i="7"/>
  <c r="AG103" i="7" s="1"/>
  <c r="AF100" i="7"/>
  <c r="AG100" i="7" s="1"/>
  <c r="AF98" i="7"/>
  <c r="AG98" i="7" s="1"/>
  <c r="AF94" i="7"/>
  <c r="AG94" i="7" s="1"/>
  <c r="AF92" i="7"/>
  <c r="AG92" i="7" s="1"/>
  <c r="AF90" i="7"/>
  <c r="AG90" i="7" s="1"/>
  <c r="AF87" i="7"/>
  <c r="AG87" i="7" s="1"/>
  <c r="AF86" i="7"/>
  <c r="AG86" i="7" s="1"/>
  <c r="AF78" i="7"/>
  <c r="AG78" i="7" s="1"/>
  <c r="AF76" i="7"/>
  <c r="AG76" i="7" s="1"/>
  <c r="AF7" i="7"/>
  <c r="L153" i="4"/>
  <c r="L151" i="4"/>
  <c r="L144" i="4"/>
  <c r="L138" i="4"/>
  <c r="L135" i="4"/>
  <c r="L132" i="4"/>
  <c r="L120" i="4"/>
  <c r="L113" i="4"/>
  <c r="L94" i="4"/>
  <c r="L75" i="4"/>
  <c r="L67" i="4"/>
  <c r="L64" i="4"/>
  <c r="L62" i="4"/>
  <c r="L50" i="4"/>
  <c r="L32" i="4"/>
  <c r="L22" i="4"/>
  <c r="L18" i="4"/>
  <c r="L12" i="4"/>
  <c r="AF1899" i="7"/>
  <c r="AG1899" i="7" s="1"/>
  <c r="AF1889" i="7"/>
  <c r="AG1889" i="7" s="1"/>
  <c r="AF1886" i="7"/>
  <c r="AG1886" i="7" s="1"/>
  <c r="AF1822" i="7"/>
  <c r="AG1822" i="7" s="1"/>
  <c r="AF1817" i="7"/>
  <c r="AG1817" i="7" s="1"/>
  <c r="AF1814" i="7"/>
  <c r="AG1814" i="7" s="1"/>
  <c r="AF1812" i="7"/>
  <c r="AG1812" i="7" s="1"/>
  <c r="AF1808" i="7"/>
  <c r="AG1808" i="7" s="1"/>
  <c r="AF1794" i="7"/>
  <c r="AG1794" i="7" s="1"/>
  <c r="AF1789" i="7"/>
  <c r="AG1789" i="7" s="1"/>
  <c r="AF1788" i="7"/>
  <c r="AG1788" i="7" s="1"/>
  <c r="AF1783" i="7"/>
  <c r="AG1783" i="7" s="1"/>
  <c r="AF1778" i="7"/>
  <c r="AG1778" i="7" s="1"/>
  <c r="AF1759" i="7"/>
  <c r="AG1759" i="7" s="1"/>
  <c r="AF1756" i="7"/>
  <c r="AG1756" i="7" s="1"/>
  <c r="AF1747" i="7"/>
  <c r="AG1747" i="7" s="1"/>
  <c r="AF1736" i="7"/>
  <c r="AG1736" i="7" s="1"/>
  <c r="AF1735" i="7"/>
  <c r="AG1735" i="7" s="1"/>
  <c r="AF1729" i="7"/>
  <c r="AG1729" i="7" s="1"/>
  <c r="AF1727" i="7"/>
  <c r="AG1727" i="7" s="1"/>
  <c r="AF1682" i="7"/>
  <c r="AG1682" i="7" s="1"/>
  <c r="AF1677" i="7"/>
  <c r="AG1677" i="7" s="1"/>
  <c r="AF1648" i="7"/>
  <c r="AG1648" i="7" s="1"/>
  <c r="AF1645" i="7"/>
  <c r="AG1645" i="7" s="1"/>
  <c r="AF1485" i="7"/>
  <c r="AG1485" i="7" s="1"/>
  <c r="AF1484" i="7"/>
  <c r="AG1484" i="7" s="1"/>
  <c r="AF1475" i="7"/>
  <c r="AG1475" i="7" s="1"/>
  <c r="AF1474" i="7"/>
  <c r="AG1474" i="7" s="1"/>
  <c r="AF1459" i="7"/>
  <c r="AG1459" i="7" s="1"/>
  <c r="AF1458" i="7"/>
  <c r="AG1458" i="7" s="1"/>
  <c r="AF1457" i="7"/>
  <c r="AG1457" i="7" s="1"/>
  <c r="AH669" i="7"/>
  <c r="AF668" i="7"/>
  <c r="AG668" i="7" s="1"/>
  <c r="AF666" i="7"/>
  <c r="AG666" i="7" s="1"/>
  <c r="AF665" i="7"/>
  <c r="AG665" i="7" s="1"/>
  <c r="AF664" i="7"/>
  <c r="AG664" i="7" s="1"/>
  <c r="AF663" i="7"/>
  <c r="AG663" i="7" s="1"/>
  <c r="AF662" i="7"/>
  <c r="AG662" i="7" s="1"/>
  <c r="AF661" i="7"/>
  <c r="AG661" i="7" s="1"/>
  <c r="AF660" i="7"/>
  <c r="AG660" i="7" s="1"/>
  <c r="AF659" i="7"/>
  <c r="AG659" i="7" s="1"/>
  <c r="AF658" i="7"/>
  <c r="AG658" i="7" s="1"/>
  <c r="AF656" i="7"/>
  <c r="AG656" i="7" s="1"/>
  <c r="AF655" i="7"/>
  <c r="AG655" i="7" s="1"/>
  <c r="AF653" i="7"/>
  <c r="AG653" i="7" s="1"/>
  <c r="AF652" i="7"/>
  <c r="AG652" i="7" s="1"/>
  <c r="AF651" i="7"/>
  <c r="AG651" i="7" s="1"/>
  <c r="AF649" i="7"/>
  <c r="AG649" i="7" s="1"/>
  <c r="AF648" i="7"/>
  <c r="AG648" i="7" s="1"/>
  <c r="AF647" i="7"/>
  <c r="AG647" i="7" s="1"/>
  <c r="AF646" i="7"/>
  <c r="AG646" i="7" s="1"/>
  <c r="AF645" i="7"/>
  <c r="AG645" i="7" s="1"/>
  <c r="AF644" i="7"/>
  <c r="AG644" i="7" s="1"/>
  <c r="AF643" i="7"/>
  <c r="AG643" i="7" s="1"/>
  <c r="AF642" i="7"/>
  <c r="AG642" i="7" s="1"/>
  <c r="AF640" i="7"/>
  <c r="AG640" i="7" s="1"/>
  <c r="AF639" i="7"/>
  <c r="AG639" i="7" s="1"/>
  <c r="AF638" i="7"/>
  <c r="AG638" i="7" s="1"/>
  <c r="AF637" i="7"/>
  <c r="AG637" i="7" s="1"/>
  <c r="AF636" i="7"/>
  <c r="AG636" i="7" s="1"/>
  <c r="AF633" i="7"/>
  <c r="AG633" i="7" s="1"/>
  <c r="AF632" i="7"/>
  <c r="AG632" i="7" s="1"/>
  <c r="AF631" i="7"/>
  <c r="AG631" i="7" s="1"/>
  <c r="AF629" i="7"/>
  <c r="AG629" i="7" s="1"/>
  <c r="AF628" i="7"/>
  <c r="AG628" i="7" s="1"/>
  <c r="AF627" i="7"/>
  <c r="AG627" i="7" s="1"/>
  <c r="AF626" i="7"/>
  <c r="AG626" i="7" s="1"/>
  <c r="AF625" i="7"/>
  <c r="AG625" i="7" s="1"/>
  <c r="AF624" i="7"/>
  <c r="AG624" i="7" s="1"/>
  <c r="AF623" i="7"/>
  <c r="AG623" i="7" s="1"/>
  <c r="AF622" i="7"/>
  <c r="AG622" i="7" s="1"/>
  <c r="AF621" i="7"/>
  <c r="AG621" i="7" s="1"/>
  <c r="AF620" i="7"/>
  <c r="AG620" i="7" s="1"/>
  <c r="AF619" i="7"/>
  <c r="AG619" i="7" s="1"/>
  <c r="AF616" i="7"/>
  <c r="AG616" i="7" s="1"/>
  <c r="AF615" i="7"/>
  <c r="AG615" i="7" s="1"/>
  <c r="AF614" i="7"/>
  <c r="AG614" i="7" s="1"/>
  <c r="AF613" i="7"/>
  <c r="AG613" i="7" s="1"/>
  <c r="AF611" i="7"/>
  <c r="AG611" i="7" s="1"/>
  <c r="AF610" i="7"/>
  <c r="AG610" i="7" s="1"/>
  <c r="AF609" i="7"/>
  <c r="AG609" i="7" s="1"/>
  <c r="AF608" i="7"/>
  <c r="AG608" i="7" s="1"/>
  <c r="AF607" i="7"/>
  <c r="AG607" i="7" s="1"/>
  <c r="AF606" i="7"/>
  <c r="AG606" i="7" s="1"/>
  <c r="AF605" i="7"/>
  <c r="AG605" i="7" s="1"/>
  <c r="AF604" i="7"/>
  <c r="AG604" i="7" s="1"/>
  <c r="AF603" i="7"/>
  <c r="AG603" i="7" s="1"/>
  <c r="AF602" i="7"/>
  <c r="AG602" i="7" s="1"/>
  <c r="AF601" i="7"/>
  <c r="AG601" i="7" s="1"/>
  <c r="AF600" i="7"/>
  <c r="AG600" i="7" s="1"/>
  <c r="AF599" i="7"/>
  <c r="AG599" i="7" s="1"/>
  <c r="AF598" i="7"/>
  <c r="AG598" i="7" s="1"/>
  <c r="AF597" i="7"/>
  <c r="AG597" i="7" s="1"/>
  <c r="AF596" i="7"/>
  <c r="AG596" i="7" s="1"/>
  <c r="AF594" i="7"/>
  <c r="AG594" i="7" s="1"/>
  <c r="AF593" i="7"/>
  <c r="AG593" i="7" s="1"/>
  <c r="AF592" i="7"/>
  <c r="AG592" i="7" s="1"/>
  <c r="AF591" i="7"/>
  <c r="AG591" i="7" s="1"/>
  <c r="AF590" i="7"/>
  <c r="AG590" i="7" s="1"/>
  <c r="AF589" i="7"/>
  <c r="AG589" i="7" s="1"/>
  <c r="AF588" i="7"/>
  <c r="AG588" i="7" s="1"/>
  <c r="AF585" i="7"/>
  <c r="AG585" i="7" s="1"/>
  <c r="AF584" i="7"/>
  <c r="AG584" i="7" s="1"/>
  <c r="AF583" i="7"/>
  <c r="AG583" i="7" s="1"/>
  <c r="AF582" i="7"/>
  <c r="AG582" i="7" s="1"/>
  <c r="AF581" i="7"/>
  <c r="AG581" i="7" s="1"/>
  <c r="AF579" i="7"/>
  <c r="AG579" i="7" s="1"/>
  <c r="AF577" i="7"/>
  <c r="AG577" i="7" s="1"/>
  <c r="AF576" i="7"/>
  <c r="AG576" i="7" s="1"/>
  <c r="AF574" i="7"/>
  <c r="AG574" i="7" s="1"/>
  <c r="AF573" i="7"/>
  <c r="AG573" i="7" s="1"/>
  <c r="AF570" i="7"/>
  <c r="AG570" i="7" s="1"/>
  <c r="AF569" i="7"/>
  <c r="AG569" i="7" s="1"/>
  <c r="AF568" i="7"/>
  <c r="AG568" i="7" s="1"/>
  <c r="AF564" i="7"/>
  <c r="AG564" i="7" s="1"/>
  <c r="AF557" i="7"/>
  <c r="AG557" i="7" s="1"/>
  <c r="AF556" i="7"/>
  <c r="AG556" i="7" s="1"/>
  <c r="AF555" i="7"/>
  <c r="AG555" i="7" s="1"/>
  <c r="AF553" i="7"/>
  <c r="AG553" i="7" s="1"/>
  <c r="AF548" i="7"/>
  <c r="AG548" i="7" s="1"/>
  <c r="AF547" i="7"/>
  <c r="AG547" i="7" s="1"/>
  <c r="AF542" i="7"/>
  <c r="AG542" i="7" s="1"/>
  <c r="AF541" i="7"/>
  <c r="AG541" i="7" s="1"/>
  <c r="AF539" i="7"/>
  <c r="AG539" i="7" s="1"/>
  <c r="AF538" i="7"/>
  <c r="AG538" i="7" s="1"/>
  <c r="AF537" i="7"/>
  <c r="AG537" i="7" s="1"/>
  <c r="AF530" i="7"/>
  <c r="AG530" i="7" s="1"/>
  <c r="AF529" i="7"/>
  <c r="AG529" i="7" s="1"/>
  <c r="AF528" i="7"/>
  <c r="AG528" i="7" s="1"/>
  <c r="AF527" i="7"/>
  <c r="AG527" i="7" s="1"/>
  <c r="AF526" i="7"/>
  <c r="AG526" i="7" s="1"/>
  <c r="AF525" i="7"/>
  <c r="AG525" i="7" s="1"/>
  <c r="AF521" i="7"/>
  <c r="AG521" i="7" s="1"/>
  <c r="AF520" i="7"/>
  <c r="AG520" i="7" s="1"/>
  <c r="AF519" i="7"/>
  <c r="AG519" i="7" s="1"/>
  <c r="AF518" i="7"/>
  <c r="AG518" i="7" s="1"/>
  <c r="AF517" i="7"/>
  <c r="AG517" i="7" s="1"/>
  <c r="AF516" i="7"/>
  <c r="AG516" i="7" s="1"/>
  <c r="AF515" i="7"/>
  <c r="AG515" i="7" s="1"/>
  <c r="AF514" i="7"/>
  <c r="AG514" i="7" s="1"/>
  <c r="AF513" i="7"/>
  <c r="AG513" i="7" s="1"/>
  <c r="AF512" i="7"/>
  <c r="AG512" i="7" s="1"/>
  <c r="AF511" i="7"/>
  <c r="AG511" i="7" s="1"/>
  <c r="AF510" i="7"/>
  <c r="AG510" i="7" s="1"/>
  <c r="AF506" i="7"/>
  <c r="AF505" i="7"/>
  <c r="AG505" i="7" s="1"/>
  <c r="AF504" i="7"/>
  <c r="AG504" i="7" s="1"/>
  <c r="AF503" i="7"/>
  <c r="AG503" i="7" s="1"/>
  <c r="AF502" i="7"/>
  <c r="AG502" i="7" s="1"/>
  <c r="AF501" i="7"/>
  <c r="AG501" i="7" s="1"/>
  <c r="AF500" i="7"/>
  <c r="AG500" i="7" s="1"/>
  <c r="AF499" i="7"/>
  <c r="AG499" i="7" s="1"/>
  <c r="AF498" i="7"/>
  <c r="AG498" i="7" s="1"/>
  <c r="AF497" i="7"/>
  <c r="AG497" i="7" s="1"/>
  <c r="AF496" i="7"/>
  <c r="AG496" i="7" s="1"/>
  <c r="AF495" i="7"/>
  <c r="AG495" i="7" s="1"/>
  <c r="AF494" i="7"/>
  <c r="AG494" i="7" s="1"/>
  <c r="AF493" i="7"/>
  <c r="AG493" i="7" s="1"/>
  <c r="AF492" i="7"/>
  <c r="AG492" i="7" s="1"/>
  <c r="AF491" i="7"/>
  <c r="AG491" i="7" s="1"/>
  <c r="AF490" i="7"/>
  <c r="AG490" i="7" s="1"/>
  <c r="AF489" i="7"/>
  <c r="AG489" i="7" s="1"/>
  <c r="AF488" i="7"/>
  <c r="AG488" i="7" s="1"/>
  <c r="AF487" i="7"/>
  <c r="AG487" i="7" s="1"/>
  <c r="AF485" i="7"/>
  <c r="AG485" i="7" s="1"/>
  <c r="AF484" i="7"/>
  <c r="AG484" i="7" s="1"/>
  <c r="AF483" i="7"/>
  <c r="AG483" i="7" s="1"/>
  <c r="AF481" i="7"/>
  <c r="AG481" i="7" s="1"/>
  <c r="AF479" i="7"/>
  <c r="AG479" i="7" s="1"/>
  <c r="AF478" i="7"/>
  <c r="AG478" i="7" s="1"/>
  <c r="AF476" i="7"/>
  <c r="AG476" i="7" s="1"/>
  <c r="AF474" i="7"/>
  <c r="AG474" i="7" s="1"/>
  <c r="AF473" i="7"/>
  <c r="AG473" i="7" s="1"/>
  <c r="AF472" i="7"/>
  <c r="AG472" i="7" s="1"/>
  <c r="AF347" i="7"/>
  <c r="AG347" i="7" s="1"/>
  <c r="AF346" i="7"/>
  <c r="AG346" i="7" s="1"/>
  <c r="AF345" i="7"/>
  <c r="AG345" i="7" s="1"/>
  <c r="AF344" i="7"/>
  <c r="AG344" i="7" s="1"/>
  <c r="AF343" i="7"/>
  <c r="AG343" i="7" s="1"/>
  <c r="AF342" i="7"/>
  <c r="AG342" i="7" s="1"/>
  <c r="AF341" i="7"/>
  <c r="AG341" i="7" s="1"/>
  <c r="AF338" i="7"/>
  <c r="AG338" i="7" s="1"/>
  <c r="AF337" i="7"/>
  <c r="AG337" i="7" s="1"/>
  <c r="AF335" i="7"/>
  <c r="AG335" i="7" s="1"/>
  <c r="AF334" i="7"/>
  <c r="AG334" i="7" s="1"/>
  <c r="AF333" i="7"/>
  <c r="AG333" i="7" s="1"/>
  <c r="AF331" i="7"/>
  <c r="AG331" i="7" s="1"/>
  <c r="AF330" i="7"/>
  <c r="AG330" i="7" s="1"/>
  <c r="AF328" i="7"/>
  <c r="AG328" i="7" s="1"/>
  <c r="AF327" i="7"/>
  <c r="AG327" i="7" s="1"/>
  <c r="AF326" i="7"/>
  <c r="AG326" i="7" s="1"/>
  <c r="AF324" i="7"/>
  <c r="AG324" i="7" s="1"/>
  <c r="AF323" i="7"/>
  <c r="AG323" i="7" s="1"/>
  <c r="AF321" i="7"/>
  <c r="AG321" i="7" s="1"/>
  <c r="AF320" i="7"/>
  <c r="AG320" i="7" s="1"/>
  <c r="AF318" i="7"/>
  <c r="AG318" i="7" s="1"/>
  <c r="AF317" i="7"/>
  <c r="AG317" i="7" s="1"/>
  <c r="AF316" i="7"/>
  <c r="AG316" i="7" s="1"/>
  <c r="AF315" i="7"/>
  <c r="AG315" i="7" s="1"/>
  <c r="AF314" i="7"/>
  <c r="AG314" i="7" s="1"/>
  <c r="AF312" i="7"/>
  <c r="AG312" i="7" s="1"/>
  <c r="AF311" i="7"/>
  <c r="AG311" i="7" s="1"/>
  <c r="AF308" i="7"/>
  <c r="AG308" i="7" s="1"/>
  <c r="AF307" i="7"/>
  <c r="AG307" i="7" s="1"/>
  <c r="AF305" i="7"/>
  <c r="AG305" i="7" s="1"/>
  <c r="AF304" i="7"/>
  <c r="AG304" i="7" s="1"/>
  <c r="AF303" i="7"/>
  <c r="AG303" i="7" s="1"/>
  <c r="AF302" i="7"/>
  <c r="AG302" i="7" s="1"/>
  <c r="AF301" i="7"/>
  <c r="AG301" i="7" s="1"/>
  <c r="AF299" i="7"/>
  <c r="AG299" i="7" s="1"/>
  <c r="AF298" i="7"/>
  <c r="AG298" i="7" s="1"/>
  <c r="AF297" i="7"/>
  <c r="AG297" i="7" s="1"/>
  <c r="AF293" i="7"/>
  <c r="AG293" i="7" s="1"/>
  <c r="AF292" i="7"/>
  <c r="AG292" i="7" s="1"/>
  <c r="AF290" i="7"/>
  <c r="AG290" i="7" s="1"/>
  <c r="AF289" i="7"/>
  <c r="AG289" i="7" s="1"/>
  <c r="AF287" i="7"/>
  <c r="AG287" i="7" s="1"/>
  <c r="AF285" i="7"/>
  <c r="AG285" i="7" s="1"/>
  <c r="AF284" i="7"/>
  <c r="AG284" i="7" s="1"/>
  <c r="AF283" i="7"/>
  <c r="AG283" i="7" s="1"/>
  <c r="AF282" i="7"/>
  <c r="AG282" i="7" s="1"/>
  <c r="AF281" i="7"/>
  <c r="AG281" i="7" s="1"/>
  <c r="AF279" i="7"/>
  <c r="AG279" i="7" s="1"/>
  <c r="AF276" i="7"/>
  <c r="AG276" i="7" s="1"/>
  <c r="AF275" i="7"/>
  <c r="AG275" i="7" s="1"/>
  <c r="AF272" i="7"/>
  <c r="AG272" i="7" s="1"/>
  <c r="AF271" i="7"/>
  <c r="AG271" i="7" s="1"/>
  <c r="AF269" i="7"/>
  <c r="AG269" i="7" s="1"/>
  <c r="AF268" i="7"/>
  <c r="AG268" i="7" s="1"/>
  <c r="AF266" i="7"/>
  <c r="AG266" i="7" s="1"/>
  <c r="AF264" i="7"/>
  <c r="AG264" i="7" s="1"/>
  <c r="AF263" i="7"/>
  <c r="AG263" i="7" s="1"/>
  <c r="AF261" i="7"/>
  <c r="AG261" i="7" s="1"/>
  <c r="AF260" i="7"/>
  <c r="AG260" i="7" s="1"/>
  <c r="AF258" i="7"/>
  <c r="AG258" i="7" s="1"/>
  <c r="AF256" i="7"/>
  <c r="AG256" i="7" s="1"/>
  <c r="AF253" i="7"/>
  <c r="AG253" i="7" s="1"/>
  <c r="AF250" i="7"/>
  <c r="AG250" i="7" s="1"/>
  <c r="AF246" i="7"/>
  <c r="AG246" i="7" s="1"/>
  <c r="AF245" i="7"/>
  <c r="AG245" i="7" s="1"/>
  <c r="AF244" i="7"/>
  <c r="AG244" i="7" s="1"/>
  <c r="AF242" i="7"/>
  <c r="AG242" i="7" s="1"/>
  <c r="AF241" i="7"/>
  <c r="AG241" i="7" s="1"/>
  <c r="AF240" i="7"/>
  <c r="AG240" i="7" s="1"/>
  <c r="AF238" i="7"/>
  <c r="AG238" i="7" s="1"/>
  <c r="AF236" i="7"/>
  <c r="AG236" i="7" s="1"/>
  <c r="AF234" i="7"/>
  <c r="AG234" i="7" s="1"/>
  <c r="AF232" i="7"/>
  <c r="AG232" i="7" s="1"/>
  <c r="AF231" i="7"/>
  <c r="AG231" i="7" s="1"/>
  <c r="AF230" i="7"/>
  <c r="AG230" i="7" s="1"/>
  <c r="AF228" i="7"/>
  <c r="AG228" i="7" s="1"/>
  <c r="AF227" i="7"/>
  <c r="AG227" i="7" s="1"/>
  <c r="AF226" i="7"/>
  <c r="AG226" i="7" s="1"/>
  <c r="AF223" i="7"/>
  <c r="AG223" i="7" s="1"/>
  <c r="AF222" i="7"/>
  <c r="AG222" i="7" s="1"/>
  <c r="AF220" i="7"/>
  <c r="AG220" i="7" s="1"/>
  <c r="AF219" i="7"/>
  <c r="AG219" i="7" s="1"/>
  <c r="AF218" i="7"/>
  <c r="AG218" i="7" s="1"/>
  <c r="AF215" i="7"/>
  <c r="AG215" i="7" s="1"/>
  <c r="AF214" i="7"/>
  <c r="AG214" i="7" s="1"/>
  <c r="AF212" i="7"/>
  <c r="AG212" i="7" s="1"/>
  <c r="AF211" i="7"/>
  <c r="AG211" i="7" s="1"/>
  <c r="AF207" i="7"/>
  <c r="AG207" i="7" s="1"/>
  <c r="AF206" i="7"/>
  <c r="AG206" i="7" s="1"/>
  <c r="AF205" i="7"/>
  <c r="AG205" i="7" s="1"/>
  <c r="AF202" i="7"/>
  <c r="AG202" i="7" s="1"/>
  <c r="AF201" i="7"/>
  <c r="AG201" i="7" s="1"/>
  <c r="AF200" i="7"/>
  <c r="AG200" i="7" s="1"/>
  <c r="AF197" i="7"/>
  <c r="AG197" i="7" s="1"/>
  <c r="AF189" i="7"/>
  <c r="AG189" i="7" s="1"/>
  <c r="AF187" i="7"/>
  <c r="AG187" i="7" s="1"/>
  <c r="AF183" i="7"/>
  <c r="AG183" i="7" s="1"/>
  <c r="AF174" i="7"/>
  <c r="AG174" i="7" s="1"/>
  <c r="AF157" i="7"/>
  <c r="AG157" i="7" s="1"/>
  <c r="AF155" i="7"/>
  <c r="AG155" i="7" s="1"/>
  <c r="AF152" i="7"/>
  <c r="AG152" i="7" s="1"/>
  <c r="AF148" i="7"/>
  <c r="AG148" i="7" s="1"/>
  <c r="AF143" i="7"/>
  <c r="AG143" i="7" s="1"/>
  <c r="AF137" i="7"/>
  <c r="AG137" i="7" s="1"/>
  <c r="AF134" i="7"/>
  <c r="AG134" i="7" s="1"/>
  <c r="AF133" i="7"/>
  <c r="AG133" i="7" s="1"/>
  <c r="AF130" i="7"/>
  <c r="AG130" i="7" s="1"/>
  <c r="AF123" i="7"/>
  <c r="AG123" i="7" s="1"/>
  <c r="AF122" i="7"/>
  <c r="AG122" i="7" s="1"/>
  <c r="AF118" i="7"/>
  <c r="AG118" i="7" s="1"/>
  <c r="AF114" i="7"/>
  <c r="AG114" i="7" s="1"/>
  <c r="AF113" i="7"/>
  <c r="AG113" i="7" s="1"/>
  <c r="AF112" i="7"/>
  <c r="AG112" i="7" s="1"/>
  <c r="AF109" i="7"/>
  <c r="AG109" i="7" s="1"/>
  <c r="AF104" i="7"/>
  <c r="AG104" i="7" s="1"/>
  <c r="AF82" i="7"/>
  <c r="AG82" i="7" s="1"/>
  <c r="L126" i="4"/>
  <c r="L125" i="4"/>
  <c r="L124" i="4"/>
  <c r="L122" i="4"/>
  <c r="L121" i="4"/>
  <c r="L118" i="4"/>
  <c r="L117" i="4"/>
  <c r="L115" i="4"/>
  <c r="L114" i="4"/>
  <c r="L106" i="4"/>
  <c r="T106" i="4" s="1"/>
  <c r="U106" i="4" s="1"/>
  <c r="L104" i="4"/>
  <c r="L103" i="4"/>
  <c r="L102" i="4"/>
  <c r="L101" i="4"/>
  <c r="L99" i="4"/>
  <c r="L91" i="4"/>
  <c r="L89" i="4"/>
  <c r="L88" i="4"/>
  <c r="L87" i="4"/>
  <c r="L86" i="4"/>
  <c r="L84" i="4"/>
  <c r="L83" i="4"/>
  <c r="L80" i="4"/>
  <c r="L74" i="4"/>
  <c r="L73" i="4"/>
  <c r="L68" i="4"/>
  <c r="L63" i="4"/>
  <c r="L55" i="4"/>
  <c r="L47" i="4"/>
  <c r="L41" i="4"/>
  <c r="L38" i="4"/>
  <c r="L35" i="4"/>
  <c r="L34" i="4"/>
  <c r="L20" i="4"/>
  <c r="L19" i="4"/>
  <c r="L17" i="4"/>
  <c r="L15" i="4"/>
  <c r="L14" i="4"/>
  <c r="L10" i="4"/>
  <c r="L9" i="4"/>
  <c r="AF1909" i="7"/>
  <c r="AG1909" i="7" s="1"/>
  <c r="AF1905" i="7"/>
  <c r="AG1905" i="7" s="1"/>
  <c r="AF1903" i="7"/>
  <c r="AG1903" i="7" s="1"/>
  <c r="AF1896" i="7"/>
  <c r="AG1896" i="7" s="1"/>
  <c r="AF1888" i="7"/>
  <c r="AG1888" i="7" s="1"/>
  <c r="AF1887" i="7"/>
  <c r="AG1887" i="7" s="1"/>
  <c r="AF1879" i="7"/>
  <c r="AG1879" i="7" s="1"/>
  <c r="AF1878" i="7"/>
  <c r="AG1878" i="7" s="1"/>
  <c r="AF1870" i="7"/>
  <c r="AG1870" i="7" s="1"/>
  <c r="AF1864" i="7"/>
  <c r="AG1864" i="7" s="1"/>
  <c r="AF1860" i="7"/>
  <c r="AG1860" i="7" s="1"/>
  <c r="AF1859" i="7"/>
  <c r="AG1859" i="7" s="1"/>
  <c r="AF1854" i="7"/>
  <c r="AG1854" i="7" s="1"/>
  <c r="AF471" i="7"/>
  <c r="AG471" i="7" s="1"/>
  <c r="AF469" i="7"/>
  <c r="AG469" i="7" s="1"/>
  <c r="AF468" i="7"/>
  <c r="AG468" i="7" s="1"/>
  <c r="AF467" i="7"/>
  <c r="AG467" i="7" s="1"/>
  <c r="AF465" i="7"/>
  <c r="AG465" i="7" s="1"/>
  <c r="AF464" i="7"/>
  <c r="AG464" i="7" s="1"/>
  <c r="AF463" i="7"/>
  <c r="AG463" i="7" s="1"/>
  <c r="AF462" i="7"/>
  <c r="AG462" i="7" s="1"/>
  <c r="AF461" i="7"/>
  <c r="AG461" i="7" s="1"/>
  <c r="AF460" i="7"/>
  <c r="AG460" i="7" s="1"/>
  <c r="AF457" i="7"/>
  <c r="AG457" i="7" s="1"/>
  <c r="AF455" i="7"/>
  <c r="AG455" i="7" s="1"/>
  <c r="AF454" i="7"/>
  <c r="AG454" i="7" s="1"/>
  <c r="AF453" i="7"/>
  <c r="AG453" i="7" s="1"/>
  <c r="AF452" i="7"/>
  <c r="AG452" i="7" s="1"/>
  <c r="AF451" i="7"/>
  <c r="AG451" i="7" s="1"/>
  <c r="AF450" i="7"/>
  <c r="AG450" i="7" s="1"/>
  <c r="AF444" i="7"/>
  <c r="AG444" i="7" s="1"/>
  <c r="AF443" i="7"/>
  <c r="AG443" i="7" s="1"/>
  <c r="AF442" i="7"/>
  <c r="AG442" i="7" s="1"/>
  <c r="AF441" i="7"/>
  <c r="AG441" i="7" s="1"/>
  <c r="AF439" i="7"/>
  <c r="AG439" i="7" s="1"/>
  <c r="AF438" i="7"/>
  <c r="AG438" i="7" s="1"/>
  <c r="AF436" i="7"/>
  <c r="AG436" i="7" s="1"/>
  <c r="AF434" i="7"/>
  <c r="AG434" i="7" s="1"/>
  <c r="AF433" i="7"/>
  <c r="AG433" i="7" s="1"/>
  <c r="AF432" i="7"/>
  <c r="AG432" i="7" s="1"/>
  <c r="AF431" i="7"/>
  <c r="AG431" i="7" s="1"/>
  <c r="AF430" i="7"/>
  <c r="AG430" i="7" s="1"/>
  <c r="AF421" i="7"/>
  <c r="AG421" i="7" s="1"/>
  <c r="AF420" i="7"/>
  <c r="AG420" i="7" s="1"/>
  <c r="AF419" i="7"/>
  <c r="AG419" i="7" s="1"/>
  <c r="AF418" i="7"/>
  <c r="AG418" i="7" s="1"/>
  <c r="AF415" i="7"/>
  <c r="AG415" i="7" s="1"/>
  <c r="AF414" i="7"/>
  <c r="AG414" i="7" s="1"/>
  <c r="AF412" i="7"/>
  <c r="AG412" i="7" s="1"/>
  <c r="AF409" i="7"/>
  <c r="AG409" i="7" s="1"/>
  <c r="AF407" i="7"/>
  <c r="AG407" i="7" s="1"/>
  <c r="AF406" i="7"/>
  <c r="AG406" i="7" s="1"/>
  <c r="AF401" i="7"/>
  <c r="AG401" i="7" s="1"/>
  <c r="AF398" i="7"/>
  <c r="AG398" i="7" s="1"/>
  <c r="AF397" i="7"/>
  <c r="AG397" i="7" s="1"/>
  <c r="AF395" i="7"/>
  <c r="AG395" i="7" s="1"/>
  <c r="AF394" i="7"/>
  <c r="AG394" i="7" s="1"/>
  <c r="AF386" i="7"/>
  <c r="AG386" i="7" s="1"/>
  <c r="AF385" i="7"/>
  <c r="AG385" i="7" s="1"/>
  <c r="AF384" i="7"/>
  <c r="AG384" i="7" s="1"/>
  <c r="AF381" i="7"/>
  <c r="AG381" i="7" s="1"/>
  <c r="AF378" i="7"/>
  <c r="AG378" i="7" s="1"/>
  <c r="AF374" i="7"/>
  <c r="AG374" i="7" s="1"/>
  <c r="AF369" i="7"/>
  <c r="AG369" i="7" s="1"/>
  <c r="AF367" i="7"/>
  <c r="AG367" i="7" s="1"/>
  <c r="AF366" i="7"/>
  <c r="AG366" i="7" s="1"/>
  <c r="AF364" i="7"/>
  <c r="AG364" i="7" s="1"/>
  <c r="AF363" i="7"/>
  <c r="AG363" i="7" s="1"/>
  <c r="AF361" i="7"/>
  <c r="AG361" i="7" s="1"/>
  <c r="AF360" i="7"/>
  <c r="AG360" i="7" s="1"/>
  <c r="AF359" i="7"/>
  <c r="AG359" i="7" s="1"/>
  <c r="AF358" i="7"/>
  <c r="AG358" i="7" s="1"/>
  <c r="AF357" i="7"/>
  <c r="AG357" i="7" s="1"/>
  <c r="AF356" i="7"/>
  <c r="AG356" i="7" s="1"/>
  <c r="AF354" i="7"/>
  <c r="AG354" i="7" s="1"/>
  <c r="AF353" i="7"/>
  <c r="AG353" i="7" s="1"/>
  <c r="AF352" i="7"/>
  <c r="AG352" i="7" s="1"/>
  <c r="AF351" i="7"/>
  <c r="AG351" i="7" s="1"/>
  <c r="AF350" i="7"/>
  <c r="AG350" i="7" s="1"/>
  <c r="AF348" i="7"/>
  <c r="AG348" i="7" s="1"/>
  <c r="AF336" i="7"/>
  <c r="AG336" i="7" s="1"/>
  <c r="AF329" i="7"/>
  <c r="AG329" i="7" s="1"/>
  <c r="AF313" i="7"/>
  <c r="AG313" i="7" s="1"/>
  <c r="AF309" i="7"/>
  <c r="AG309" i="7" s="1"/>
  <c r="AF306" i="7"/>
  <c r="AG306" i="7" s="1"/>
  <c r="AF300" i="7"/>
  <c r="AG300" i="7" s="1"/>
  <c r="AF296" i="7"/>
  <c r="AG296" i="7" s="1"/>
  <c r="AF291" i="7"/>
  <c r="AG291" i="7" s="1"/>
  <c r="AF286" i="7"/>
  <c r="AG286" i="7" s="1"/>
  <c r="AF280" i="7"/>
  <c r="AG280" i="7" s="1"/>
  <c r="AF277" i="7"/>
  <c r="AG277" i="7" s="1"/>
  <c r="AF274" i="7"/>
  <c r="AG274" i="7" s="1"/>
  <c r="AF270" i="7"/>
  <c r="AG270" i="7" s="1"/>
  <c r="AF267" i="7"/>
  <c r="AG267" i="7" s="1"/>
  <c r="AF259" i="7"/>
  <c r="AG259" i="7" s="1"/>
  <c r="AF257" i="7"/>
  <c r="AG257" i="7" s="1"/>
  <c r="AF251" i="7"/>
  <c r="AG251" i="7" s="1"/>
  <c r="AF243" i="7"/>
  <c r="AG243" i="7" s="1"/>
  <c r="AF237" i="7"/>
  <c r="AG237" i="7" s="1"/>
  <c r="AF229" i="7"/>
  <c r="AG229" i="7" s="1"/>
  <c r="AF225" i="7"/>
  <c r="AG225" i="7" s="1"/>
  <c r="AF221" i="7"/>
  <c r="AG221" i="7" s="1"/>
  <c r="AF217" i="7"/>
  <c r="AG217" i="7" s="1"/>
  <c r="AF213" i="7"/>
  <c r="AG213" i="7" s="1"/>
  <c r="AF204" i="7"/>
  <c r="AG204" i="7" s="1"/>
  <c r="AF198" i="7"/>
  <c r="AG198" i="7" s="1"/>
  <c r="AF193" i="7"/>
  <c r="AG193" i="7" s="1"/>
  <c r="AF192" i="7"/>
  <c r="AG192" i="7" s="1"/>
  <c r="AF190" i="7"/>
  <c r="AG190" i="7" s="1"/>
  <c r="AF185" i="7"/>
  <c r="AG185" i="7" s="1"/>
  <c r="AF181" i="7"/>
  <c r="AG181" i="7" s="1"/>
  <c r="AF176" i="7"/>
  <c r="AG176" i="7" s="1"/>
  <c r="AF175" i="7"/>
  <c r="AG175" i="7" s="1"/>
  <c r="AF173" i="7"/>
  <c r="AG173" i="7" s="1"/>
  <c r="AF172" i="7"/>
  <c r="AG172" i="7" s="1"/>
  <c r="AF170" i="7"/>
  <c r="AG170" i="7" s="1"/>
  <c r="AF168" i="7"/>
  <c r="AG168" i="7" s="1"/>
  <c r="AF165" i="7"/>
  <c r="AG165" i="7" s="1"/>
  <c r="AF164" i="7"/>
  <c r="AG164" i="7" s="1"/>
  <c r="AF162" i="7"/>
  <c r="AG162" i="7" s="1"/>
  <c r="AF160" i="7"/>
  <c r="AG160" i="7" s="1"/>
  <c r="AF158" i="7"/>
  <c r="AG158" i="7" s="1"/>
  <c r="AF154" i="7"/>
  <c r="AG154" i="7" s="1"/>
  <c r="AF153" i="7"/>
  <c r="AG153" i="7" s="1"/>
  <c r="AF151" i="7"/>
  <c r="AG151" i="7" s="1"/>
  <c r="AF144" i="7"/>
  <c r="AG144" i="7" s="1"/>
  <c r="AF142" i="7"/>
  <c r="AG142" i="7" s="1"/>
  <c r="AF140" i="7"/>
  <c r="AG140" i="7" s="1"/>
  <c r="AF138" i="7"/>
  <c r="AG138" i="7" s="1"/>
  <c r="AF136" i="7"/>
  <c r="AG136" i="7" s="1"/>
  <c r="AF132" i="7"/>
  <c r="AG132" i="7" s="1"/>
  <c r="AF128" i="7"/>
  <c r="AG128" i="7" s="1"/>
  <c r="AF127" i="7"/>
  <c r="AG127" i="7" s="1"/>
  <c r="AF125" i="7"/>
  <c r="AG125" i="7" s="1"/>
  <c r="AF124" i="7"/>
  <c r="AG124" i="7" s="1"/>
  <c r="AF116" i="7"/>
  <c r="AG116" i="7" s="1"/>
  <c r="AF110" i="7"/>
  <c r="AG110" i="7" s="1"/>
  <c r="AF101" i="7"/>
  <c r="AG101" i="7" s="1"/>
  <c r="AF96" i="7"/>
  <c r="AG96" i="7" s="1"/>
  <c r="AF95" i="7"/>
  <c r="AG95" i="7" s="1"/>
  <c r="AF93" i="7"/>
  <c r="AG93" i="7" s="1"/>
  <c r="AF91" i="7"/>
  <c r="AG91" i="7" s="1"/>
  <c r="AF89" i="7"/>
  <c r="AG89" i="7" s="1"/>
  <c r="AF88" i="7"/>
  <c r="AG88" i="7" s="1"/>
  <c r="AF85" i="7"/>
  <c r="AG85" i="7" s="1"/>
  <c r="AF84" i="7"/>
  <c r="AG84" i="7" s="1"/>
  <c r="AF81" i="7"/>
  <c r="AG81" i="7" s="1"/>
  <c r="AF77" i="7"/>
  <c r="AG77" i="7" s="1"/>
  <c r="C22" i="5"/>
  <c r="C25" i="5" s="1"/>
  <c r="L147" i="4"/>
  <c r="L142" i="4"/>
  <c r="L139" i="4"/>
  <c r="L133" i="4"/>
  <c r="L131" i="4"/>
  <c r="L129" i="4"/>
  <c r="L127" i="4"/>
  <c r="L116" i="4"/>
  <c r="L109" i="4"/>
  <c r="L95" i="4"/>
  <c r="L85" i="4"/>
  <c r="L78" i="4"/>
  <c r="L72" i="4"/>
  <c r="L69" i="4"/>
  <c r="L61" i="4"/>
  <c r="L48" i="4"/>
  <c r="L36" i="4"/>
  <c r="L28" i="4"/>
  <c r="L26" i="4"/>
  <c r="L25" i="4"/>
  <c r="L21" i="4"/>
  <c r="L13" i="4"/>
  <c r="AF1917" i="7"/>
  <c r="AG1917" i="7" s="1"/>
  <c r="AF1915" i="7"/>
  <c r="AG1915" i="7" s="1"/>
  <c r="AF1914" i="7"/>
  <c r="AG1914" i="7" s="1"/>
  <c r="AF1912" i="7"/>
  <c r="AG1912" i="7" s="1"/>
  <c r="AF1911" i="7"/>
  <c r="AG1911" i="7" s="1"/>
  <c r="AF1908" i="7"/>
  <c r="AG1908" i="7" s="1"/>
  <c r="AF1904" i="7"/>
  <c r="AG1904" i="7" s="1"/>
  <c r="AF1884" i="7"/>
  <c r="AG1884" i="7" s="1"/>
  <c r="AF1880" i="7"/>
  <c r="AG1880" i="7" s="1"/>
  <c r="AF1873" i="7"/>
  <c r="AG1873" i="7" s="1"/>
  <c r="AF1871" i="7"/>
  <c r="AG1871" i="7" s="1"/>
  <c r="AF1863" i="7"/>
  <c r="AG1863" i="7" s="1"/>
  <c r="AF1861" i="7"/>
  <c r="AG1861" i="7" s="1"/>
  <c r="AF1858" i="7"/>
  <c r="AG1858" i="7" s="1"/>
  <c r="AF1856" i="7"/>
  <c r="AG1856" i="7" s="1"/>
  <c r="AF1855" i="7"/>
  <c r="AG1855" i="7" s="1"/>
  <c r="AF1853" i="7"/>
  <c r="AG1853" i="7" s="1"/>
  <c r="AF1851" i="7"/>
  <c r="AG1851" i="7" s="1"/>
  <c r="AF1849" i="7"/>
  <c r="AG1849" i="7" s="1"/>
  <c r="AF1706" i="7"/>
  <c r="AG1706" i="7" s="1"/>
  <c r="AF1705" i="7"/>
  <c r="AG1705" i="7" s="1"/>
  <c r="AF1701" i="7"/>
  <c r="AG1701" i="7" s="1"/>
  <c r="AF1700" i="7"/>
  <c r="AG1700" i="7" s="1"/>
  <c r="AF1698" i="7"/>
  <c r="AG1698" i="7" s="1"/>
  <c r="AF1695" i="7"/>
  <c r="AG1695" i="7" s="1"/>
  <c r="AF1676" i="7"/>
  <c r="AG1676" i="7" s="1"/>
  <c r="AF1665" i="7"/>
  <c r="AG1665" i="7" s="1"/>
  <c r="AF1664" i="7"/>
  <c r="AG1664" i="7" s="1"/>
  <c r="AF1489" i="7"/>
  <c r="AG1489" i="7" s="1"/>
  <c r="AF1483" i="7"/>
  <c r="AG1483" i="7" s="1"/>
  <c r="AF1480" i="7"/>
  <c r="AG1480" i="7" s="1"/>
  <c r="AF1479" i="7"/>
  <c r="AG1479" i="7" s="1"/>
  <c r="AF1470" i="7"/>
  <c r="AG1470" i="7" s="1"/>
  <c r="AF1462" i="7"/>
  <c r="AG1462" i="7" s="1"/>
  <c r="AF1769" i="7"/>
  <c r="AG1769" i="7" s="1"/>
  <c r="AF1765" i="7"/>
  <c r="AG1765" i="7" s="1"/>
  <c r="AF1741" i="7"/>
  <c r="AG1741" i="7" s="1"/>
  <c r="AF1740" i="7"/>
  <c r="AG1740" i="7" s="1"/>
  <c r="AF1739" i="7"/>
  <c r="AG1739" i="7" s="1"/>
  <c r="AF1738" i="7"/>
  <c r="AG1738" i="7" s="1"/>
  <c r="AF1686" i="7"/>
  <c r="AG1686" i="7" s="1"/>
  <c r="AF1685" i="7"/>
  <c r="AG1685" i="7" s="1"/>
  <c r="AF1671" i="7"/>
  <c r="AG1671" i="7" s="1"/>
  <c r="AF1670" i="7"/>
  <c r="AG1670" i="7" s="1"/>
  <c r="AF1669" i="7"/>
  <c r="AG1669" i="7" s="1"/>
  <c r="AF1668" i="7"/>
  <c r="AG1668" i="7" s="1"/>
  <c r="AF1667" i="7"/>
  <c r="AG1667" i="7" s="1"/>
  <c r="AF1663" i="7"/>
  <c r="AG1663" i="7" s="1"/>
  <c r="AF1660" i="7"/>
  <c r="AG1660" i="7" s="1"/>
  <c r="AF1654" i="7"/>
  <c r="AG1654" i="7" s="1"/>
  <c r="AF1653" i="7"/>
  <c r="AG1653" i="7" s="1"/>
  <c r="AF1647" i="7"/>
  <c r="AG1647" i="7" s="1"/>
  <c r="AF1646" i="7"/>
  <c r="AG1646" i="7" s="1"/>
  <c r="AF1488" i="7"/>
  <c r="AG1488" i="7" s="1"/>
  <c r="AF1476" i="7"/>
  <c r="AG1476" i="7" s="1"/>
  <c r="AF1468" i="7"/>
  <c r="AG1468" i="7" s="1"/>
  <c r="AH75" i="7"/>
  <c r="AF74" i="7"/>
  <c r="AG74" i="7" s="1"/>
  <c r="AF73" i="7"/>
  <c r="AG73" i="7" s="1"/>
  <c r="AF72" i="7"/>
  <c r="AG72" i="7" s="1"/>
  <c r="AF71" i="7"/>
  <c r="AG71" i="7" s="1"/>
  <c r="AF70" i="7"/>
  <c r="AG70" i="7" s="1"/>
  <c r="AF68" i="7"/>
  <c r="AG68" i="7" s="1"/>
  <c r="AF67" i="7"/>
  <c r="AG67" i="7" s="1"/>
  <c r="AF66" i="7"/>
  <c r="AG66" i="7" s="1"/>
  <c r="AF65" i="7"/>
  <c r="AG65" i="7" s="1"/>
  <c r="AF64" i="7"/>
  <c r="AG64" i="7" s="1"/>
  <c r="AF63" i="7"/>
  <c r="AG63" i="7" s="1"/>
  <c r="AF62" i="7"/>
  <c r="AG62" i="7" s="1"/>
  <c r="AF60" i="7"/>
  <c r="AG60" i="7" s="1"/>
  <c r="AF58" i="7"/>
  <c r="AG58" i="7" s="1"/>
  <c r="AF57" i="7"/>
  <c r="AG57" i="7" s="1"/>
  <c r="AF56" i="7"/>
  <c r="AG56" i="7" s="1"/>
  <c r="AF52" i="7"/>
  <c r="AG52" i="7" s="1"/>
  <c r="AF51" i="7"/>
  <c r="AG51" i="7" s="1"/>
  <c r="AF50" i="7"/>
  <c r="AG50" i="7" s="1"/>
  <c r="AF49" i="7"/>
  <c r="AG49" i="7" s="1"/>
  <c r="AF47" i="7"/>
  <c r="AG47" i="7" s="1"/>
  <c r="AF46" i="7"/>
  <c r="AG46" i="7" s="1"/>
  <c r="AF45" i="7"/>
  <c r="AG45" i="7" s="1"/>
  <c r="AF42" i="7"/>
  <c r="AG42" i="7" s="1"/>
  <c r="AF41" i="7"/>
  <c r="AG41" i="7" s="1"/>
  <c r="AF40" i="7"/>
  <c r="AG40" i="7" s="1"/>
  <c r="AF36" i="7"/>
  <c r="AG36" i="7" s="1"/>
  <c r="AF35" i="7"/>
  <c r="AG35" i="7" s="1"/>
  <c r="AF30" i="7"/>
  <c r="AG30" i="7" s="1"/>
  <c r="AF29" i="7"/>
  <c r="AF27" i="7"/>
  <c r="AG27" i="7" s="1"/>
  <c r="AF26" i="7"/>
  <c r="AG26" i="7" s="1"/>
  <c r="AF25" i="7"/>
  <c r="AG25" i="7" s="1"/>
  <c r="AF24" i="7"/>
  <c r="AF23" i="7"/>
  <c r="AF22" i="7"/>
  <c r="AG22" i="7" s="1"/>
  <c r="AF20" i="7"/>
  <c r="AF19" i="7"/>
  <c r="AG19" i="7" s="1"/>
  <c r="AF17" i="7"/>
  <c r="AG17" i="7" s="1"/>
  <c r="AF12" i="7"/>
  <c r="AF11" i="7"/>
  <c r="AG11" i="7" s="1"/>
  <c r="AF10" i="7"/>
  <c r="AG10" i="7" s="1"/>
  <c r="AF9" i="7"/>
  <c r="AF8" i="7"/>
  <c r="AG8" i="7" s="1"/>
  <c r="AF5" i="7"/>
  <c r="D22" i="5"/>
  <c r="D25" i="5" s="1"/>
  <c r="L150" i="4"/>
  <c r="L149" i="4"/>
  <c r="L146" i="4"/>
  <c r="L140" i="4"/>
  <c r="L128" i="4"/>
  <c r="L123" i="4"/>
  <c r="L119" i="4"/>
  <c r="L111" i="4"/>
  <c r="L107" i="4"/>
  <c r="L105" i="4"/>
  <c r="L98" i="4"/>
  <c r="L96" i="4"/>
  <c r="L93" i="4"/>
  <c r="L92" i="4"/>
  <c r="L82" i="4"/>
  <c r="L81" i="4"/>
  <c r="L79" i="4"/>
  <c r="L77" i="4"/>
  <c r="L66" i="4"/>
  <c r="L60" i="4"/>
  <c r="L58" i="4"/>
  <c r="L56" i="4"/>
  <c r="L54" i="4"/>
  <c r="L53" i="4"/>
  <c r="L52" i="4"/>
  <c r="L51" i="4"/>
  <c r="L46" i="4"/>
  <c r="L45" i="4"/>
  <c r="L43" i="4"/>
  <c r="L42" i="4"/>
  <c r="L40" i="4"/>
  <c r="L39" i="4"/>
  <c r="L37" i="4"/>
  <c r="L30" i="4"/>
  <c r="L29" i="4"/>
  <c r="L24" i="4"/>
  <c r="L16" i="4"/>
  <c r="L11" i="4"/>
  <c r="L8" i="4"/>
  <c r="L6" i="4"/>
  <c r="AF1846" i="7"/>
  <c r="AG1846" i="7" s="1"/>
  <c r="AF1825" i="7"/>
  <c r="AG1825" i="7" s="1"/>
  <c r="AF1823" i="7"/>
  <c r="AG1823" i="7" s="1"/>
  <c r="AF1819" i="7"/>
  <c r="AG1819" i="7" s="1"/>
  <c r="AF1816" i="7"/>
  <c r="AG1816" i="7" s="1"/>
  <c r="AF1809" i="7"/>
  <c r="AG1809" i="7" s="1"/>
  <c r="AF1807" i="7"/>
  <c r="AG1807" i="7" s="1"/>
  <c r="AF1795" i="7"/>
  <c r="AG1795" i="7" s="1"/>
  <c r="AF1793" i="7"/>
  <c r="AG1793" i="7" s="1"/>
  <c r="AF1781" i="7"/>
  <c r="AG1781" i="7" s="1"/>
  <c r="AF1780" i="7"/>
  <c r="AG1780" i="7" s="1"/>
  <c r="AF1777" i="7"/>
  <c r="AG1777" i="7" s="1"/>
  <c r="AF1774" i="7"/>
  <c r="AG1774" i="7" s="1"/>
  <c r="AF1762" i="7"/>
  <c r="AG1762" i="7" s="1"/>
  <c r="AF1749" i="7"/>
  <c r="AG1749" i="7" s="1"/>
  <c r="AF1745" i="7"/>
  <c r="AG1745" i="7" s="1"/>
  <c r="AF1744" i="7"/>
  <c r="AG1744" i="7" s="1"/>
  <c r="AF1730" i="7"/>
  <c r="AG1730" i="7" s="1"/>
  <c r="AF1722" i="7"/>
  <c r="AG1722" i="7" s="1"/>
  <c r="AF1712" i="7"/>
  <c r="AG1712" i="7" s="1"/>
  <c r="AF1711" i="7"/>
  <c r="AG1711" i="7" s="1"/>
  <c r="AF1708" i="7"/>
  <c r="AG1708" i="7" s="1"/>
  <c r="AF1693" i="7"/>
  <c r="AG1693" i="7" s="1"/>
  <c r="AF1692" i="7"/>
  <c r="AG1692" i="7" s="1"/>
  <c r="AF1688" i="7"/>
  <c r="AG1688" i="7" s="1"/>
  <c r="AF1652" i="7"/>
  <c r="AG1652" i="7" s="1"/>
  <c r="AF1651" i="7"/>
  <c r="AG1651" i="7" s="1"/>
  <c r="AF1473" i="7"/>
  <c r="AG1473" i="7" s="1"/>
  <c r="AF1472" i="7"/>
  <c r="AG1472" i="7" s="1"/>
  <c r="AF1466" i="7"/>
  <c r="AG1466" i="7" s="1"/>
  <c r="AF1463" i="7"/>
  <c r="AG1463" i="7" s="1"/>
  <c r="H19" i="8"/>
  <c r="H26" i="8"/>
  <c r="B7" i="8"/>
  <c r="H43" i="8"/>
  <c r="H33" i="8"/>
  <c r="E21" i="8"/>
  <c r="E19" i="8"/>
  <c r="E38" i="8"/>
  <c r="E34" i="8"/>
  <c r="E18" i="8"/>
  <c r="E33" i="8"/>
  <c r="E37" i="8"/>
  <c r="E17" i="8"/>
  <c r="F8" i="8"/>
  <c r="B33" i="1" s="1"/>
  <c r="B31" i="1"/>
  <c r="E35" i="8"/>
  <c r="D20" i="8"/>
  <c r="E20" i="8"/>
  <c r="D54" i="8"/>
  <c r="E54" i="8"/>
  <c r="E26" i="8"/>
  <c r="E28" i="8"/>
  <c r="E27" i="8"/>
  <c r="AG1505" i="7"/>
  <c r="L52" i="8" s="1"/>
  <c r="K52" i="8"/>
  <c r="AG1343" i="7"/>
  <c r="L51" i="8" s="1"/>
  <c r="K51" i="8"/>
  <c r="AG1032" i="7"/>
  <c r="L49" i="8" s="1"/>
  <c r="K49" i="8"/>
  <c r="AG842" i="7"/>
  <c r="AG675" i="7"/>
  <c r="AH545" i="7"/>
  <c r="G46" i="8" s="1"/>
  <c r="AC545" i="7"/>
  <c r="AF545" i="7" s="1"/>
  <c r="AG545" i="7" s="1"/>
  <c r="AG506" i="7"/>
  <c r="L46" i="8" s="1"/>
  <c r="K46" i="8"/>
  <c r="AH179" i="7"/>
  <c r="AC179" i="7"/>
  <c r="AF179" i="7" s="1"/>
  <c r="AG179" i="7" s="1"/>
  <c r="AG166" i="7"/>
  <c r="L44" i="8" s="1"/>
  <c r="K44" i="8"/>
  <c r="AG29" i="7"/>
  <c r="K20" i="8"/>
  <c r="AG24" i="7"/>
  <c r="L21" i="8" s="1"/>
  <c r="K21" i="8"/>
  <c r="H9" i="9"/>
  <c r="I9" i="9" s="1"/>
  <c r="C21" i="8"/>
  <c r="D21" i="8" s="1"/>
  <c r="F21" i="8" s="1"/>
  <c r="AG23" i="7"/>
  <c r="AG20" i="7"/>
  <c r="AG12" i="7"/>
  <c r="C35" i="8"/>
  <c r="D35" i="8" s="1"/>
  <c r="F35" i="8" s="1"/>
  <c r="H12" i="9"/>
  <c r="I12" i="9" s="1"/>
  <c r="C17" i="8"/>
  <c r="D17" i="8" s="1"/>
  <c r="F17" i="8" s="1"/>
  <c r="J35" i="8"/>
  <c r="J17" i="8"/>
  <c r="AG9" i="7"/>
  <c r="L28" i="8" s="1"/>
  <c r="K28" i="8"/>
  <c r="H33" i="9"/>
  <c r="I33" i="9" s="1"/>
  <c r="C28" i="8"/>
  <c r="D28" i="8" s="1"/>
  <c r="F28" i="8" s="1"/>
  <c r="AG7" i="7"/>
  <c r="C34" i="8"/>
  <c r="D34" i="8" s="1"/>
  <c r="F34" i="8" s="1"/>
  <c r="C18" i="8"/>
  <c r="D18" i="8" s="1"/>
  <c r="F18" i="8" s="1"/>
  <c r="H13" i="9"/>
  <c r="I13" i="9" s="1"/>
  <c r="G18" i="8"/>
  <c r="J18" i="8"/>
  <c r="J34" i="8"/>
  <c r="H20" i="9"/>
  <c r="I20" i="9" s="1"/>
  <c r="C27" i="8"/>
  <c r="D27" i="8" s="1"/>
  <c r="F27" i="8" s="1"/>
  <c r="J43" i="8"/>
  <c r="J26" i="8"/>
  <c r="B10" i="8"/>
  <c r="J19" i="8"/>
  <c r="J33" i="8"/>
  <c r="AG5" i="7"/>
  <c r="K33" i="8"/>
  <c r="G19" i="8"/>
  <c r="G33" i="8"/>
  <c r="G43" i="8"/>
  <c r="C43" i="8"/>
  <c r="D43" i="8" s="1"/>
  <c r="H7" i="9"/>
  <c r="I7" i="9" s="1"/>
  <c r="C19" i="8"/>
  <c r="D19" i="8" s="1"/>
  <c r="F19" i="8" s="1"/>
  <c r="C26" i="8"/>
  <c r="D26" i="8" s="1"/>
  <c r="F26" i="8" s="1"/>
  <c r="C33" i="8"/>
  <c r="D33" i="8" s="1"/>
  <c r="F33" i="8" s="1"/>
  <c r="F6" i="8"/>
  <c r="F7" i="8" s="1"/>
  <c r="B32" i="1" s="1"/>
  <c r="D32" i="5"/>
  <c r="D33" i="5"/>
  <c r="C32" i="5"/>
  <c r="C33" i="5"/>
  <c r="T154" i="4"/>
  <c r="U154" i="4" s="1"/>
  <c r="N154" i="4"/>
  <c r="R154" i="4" s="1"/>
  <c r="V154" i="4" s="1"/>
  <c r="N153" i="4"/>
  <c r="R153" i="4" s="1"/>
  <c r="V153" i="4" s="1"/>
  <c r="T153" i="4"/>
  <c r="U153" i="4" s="1"/>
  <c r="N152" i="4"/>
  <c r="R152" i="4" s="1"/>
  <c r="V152" i="4" s="1"/>
  <c r="T152" i="4"/>
  <c r="U152" i="4" s="1"/>
  <c r="N151" i="4"/>
  <c r="R151" i="4" s="1"/>
  <c r="V151" i="4" s="1"/>
  <c r="T151" i="4"/>
  <c r="U151" i="4" s="1"/>
  <c r="N150" i="4"/>
  <c r="R150" i="4" s="1"/>
  <c r="V150" i="4" s="1"/>
  <c r="T150" i="4"/>
  <c r="U150" i="4" s="1"/>
  <c r="N149" i="4"/>
  <c r="R149" i="4" s="1"/>
  <c r="V149" i="4" s="1"/>
  <c r="T149" i="4"/>
  <c r="U149" i="4" s="1"/>
  <c r="N148" i="4"/>
  <c r="R148" i="4" s="1"/>
  <c r="V148" i="4" s="1"/>
  <c r="T148" i="4"/>
  <c r="U148" i="4" s="1"/>
  <c r="N147" i="4"/>
  <c r="R147" i="4" s="1"/>
  <c r="V147" i="4" s="1"/>
  <c r="T147" i="4"/>
  <c r="U147" i="4" s="1"/>
  <c r="N146" i="4"/>
  <c r="R146" i="4" s="1"/>
  <c r="V146" i="4" s="1"/>
  <c r="T146" i="4"/>
  <c r="U146" i="4" s="1"/>
  <c r="N145" i="4"/>
  <c r="R145" i="4" s="1"/>
  <c r="V145" i="4" s="1"/>
  <c r="T145" i="4"/>
  <c r="U145" i="4" s="1"/>
  <c r="N144" i="4"/>
  <c r="R144" i="4" s="1"/>
  <c r="V144" i="4" s="1"/>
  <c r="T144" i="4"/>
  <c r="U144" i="4" s="1"/>
  <c r="N143" i="4"/>
  <c r="R143" i="4" s="1"/>
  <c r="V143" i="4" s="1"/>
  <c r="T143" i="4"/>
  <c r="U143" i="4" s="1"/>
  <c r="N142" i="4"/>
  <c r="R142" i="4" s="1"/>
  <c r="V142" i="4" s="1"/>
  <c r="T142" i="4"/>
  <c r="U142" i="4" s="1"/>
  <c r="N141" i="4"/>
  <c r="R141" i="4" s="1"/>
  <c r="V141" i="4" s="1"/>
  <c r="T141" i="4"/>
  <c r="U141" i="4" s="1"/>
  <c r="N140" i="4"/>
  <c r="R140" i="4" s="1"/>
  <c r="V140" i="4" s="1"/>
  <c r="T140" i="4"/>
  <c r="U140" i="4" s="1"/>
  <c r="N139" i="4"/>
  <c r="R139" i="4" s="1"/>
  <c r="V139" i="4" s="1"/>
  <c r="T139" i="4"/>
  <c r="U139" i="4" s="1"/>
  <c r="N138" i="4"/>
  <c r="R138" i="4" s="1"/>
  <c r="V138" i="4" s="1"/>
  <c r="T138" i="4"/>
  <c r="U138" i="4" s="1"/>
  <c r="N137" i="4"/>
  <c r="R137" i="4" s="1"/>
  <c r="V137" i="4" s="1"/>
  <c r="T137" i="4"/>
  <c r="U137" i="4" s="1"/>
  <c r="N136" i="4"/>
  <c r="R136" i="4" s="1"/>
  <c r="V136" i="4" s="1"/>
  <c r="T136" i="4"/>
  <c r="U136" i="4" s="1"/>
  <c r="N135" i="4"/>
  <c r="R135" i="4" s="1"/>
  <c r="V135" i="4" s="1"/>
  <c r="T135" i="4"/>
  <c r="U135" i="4" s="1"/>
  <c r="N134" i="4"/>
  <c r="R134" i="4" s="1"/>
  <c r="V134" i="4" s="1"/>
  <c r="T134" i="4"/>
  <c r="U134" i="4" s="1"/>
  <c r="N133" i="4"/>
  <c r="R133" i="4" s="1"/>
  <c r="V133" i="4" s="1"/>
  <c r="T133" i="4"/>
  <c r="U133" i="4" s="1"/>
  <c r="N132" i="4"/>
  <c r="R132" i="4" s="1"/>
  <c r="V132" i="4" s="1"/>
  <c r="T132" i="4"/>
  <c r="U132" i="4" s="1"/>
  <c r="N131" i="4"/>
  <c r="R131" i="4" s="1"/>
  <c r="V131" i="4" s="1"/>
  <c r="T131" i="4"/>
  <c r="U131" i="4" s="1"/>
  <c r="N130" i="4"/>
  <c r="R130" i="4" s="1"/>
  <c r="V130" i="4" s="1"/>
  <c r="T130" i="4"/>
  <c r="U130" i="4" s="1"/>
  <c r="N129" i="4"/>
  <c r="R129" i="4" s="1"/>
  <c r="V129" i="4" s="1"/>
  <c r="T129" i="4"/>
  <c r="U129" i="4" s="1"/>
  <c r="N128" i="4"/>
  <c r="R128" i="4" s="1"/>
  <c r="V128" i="4" s="1"/>
  <c r="T128" i="4"/>
  <c r="U128" i="4" s="1"/>
  <c r="N127" i="4"/>
  <c r="R127" i="4" s="1"/>
  <c r="V127" i="4" s="1"/>
  <c r="T127" i="4"/>
  <c r="U127" i="4" s="1"/>
  <c r="N126" i="4"/>
  <c r="R126" i="4" s="1"/>
  <c r="V126" i="4" s="1"/>
  <c r="T126" i="4"/>
  <c r="U126" i="4" s="1"/>
  <c r="N125" i="4"/>
  <c r="R125" i="4" s="1"/>
  <c r="V125" i="4" s="1"/>
  <c r="T125" i="4"/>
  <c r="U125" i="4" s="1"/>
  <c r="N124" i="4"/>
  <c r="R124" i="4" s="1"/>
  <c r="V124" i="4" s="1"/>
  <c r="T124" i="4"/>
  <c r="U124" i="4" s="1"/>
  <c r="N123" i="4"/>
  <c r="R123" i="4" s="1"/>
  <c r="V123" i="4" s="1"/>
  <c r="T123" i="4"/>
  <c r="U123" i="4" s="1"/>
  <c r="N122" i="4"/>
  <c r="R122" i="4" s="1"/>
  <c r="V122" i="4" s="1"/>
  <c r="T122" i="4"/>
  <c r="U122" i="4" s="1"/>
  <c r="N121" i="4"/>
  <c r="R121" i="4" s="1"/>
  <c r="V121" i="4" s="1"/>
  <c r="T121" i="4"/>
  <c r="U121" i="4" s="1"/>
  <c r="N120" i="4"/>
  <c r="R120" i="4" s="1"/>
  <c r="V120" i="4" s="1"/>
  <c r="T120" i="4"/>
  <c r="U120" i="4" s="1"/>
  <c r="N119" i="4"/>
  <c r="R119" i="4" s="1"/>
  <c r="V119" i="4" s="1"/>
  <c r="T119" i="4"/>
  <c r="U119" i="4" s="1"/>
  <c r="N118" i="4"/>
  <c r="R118" i="4" s="1"/>
  <c r="V118" i="4" s="1"/>
  <c r="T118" i="4"/>
  <c r="U118" i="4" s="1"/>
  <c r="N117" i="4"/>
  <c r="R117" i="4" s="1"/>
  <c r="V117" i="4" s="1"/>
  <c r="T117" i="4"/>
  <c r="U117" i="4" s="1"/>
  <c r="N116" i="4"/>
  <c r="R116" i="4" s="1"/>
  <c r="V116" i="4" s="1"/>
  <c r="T116" i="4"/>
  <c r="U116" i="4" s="1"/>
  <c r="N115" i="4"/>
  <c r="R115" i="4" s="1"/>
  <c r="V115" i="4" s="1"/>
  <c r="T115" i="4"/>
  <c r="U115" i="4" s="1"/>
  <c r="N114" i="4"/>
  <c r="R114" i="4" s="1"/>
  <c r="V114" i="4" s="1"/>
  <c r="T114" i="4"/>
  <c r="U114" i="4" s="1"/>
  <c r="N113" i="4"/>
  <c r="R113" i="4" s="1"/>
  <c r="V113" i="4" s="1"/>
  <c r="T113" i="4"/>
  <c r="U113" i="4" s="1"/>
  <c r="N112" i="4"/>
  <c r="R112" i="4" s="1"/>
  <c r="V112" i="4" s="1"/>
  <c r="T112" i="4"/>
  <c r="U112" i="4" s="1"/>
  <c r="N111" i="4"/>
  <c r="R111" i="4" s="1"/>
  <c r="V111" i="4" s="1"/>
  <c r="T111" i="4"/>
  <c r="U111" i="4" s="1"/>
  <c r="N110" i="4"/>
  <c r="R110" i="4" s="1"/>
  <c r="V110" i="4" s="1"/>
  <c r="T110" i="4"/>
  <c r="U110" i="4" s="1"/>
  <c r="N109" i="4"/>
  <c r="R109" i="4" s="1"/>
  <c r="V109" i="4" s="1"/>
  <c r="T109" i="4"/>
  <c r="U109" i="4" s="1"/>
  <c r="N108" i="4"/>
  <c r="R108" i="4" s="1"/>
  <c r="V108" i="4" s="1"/>
  <c r="T108" i="4"/>
  <c r="U108" i="4" s="1"/>
  <c r="N107" i="4"/>
  <c r="R107" i="4" s="1"/>
  <c r="V107" i="4" s="1"/>
  <c r="T107" i="4"/>
  <c r="U107" i="4" s="1"/>
  <c r="N106" i="4"/>
  <c r="R106" i="4" s="1"/>
  <c r="V106" i="4" s="1"/>
  <c r="N100" i="4"/>
  <c r="R100" i="4" s="1"/>
  <c r="V100" i="4" s="1"/>
  <c r="T100" i="4"/>
  <c r="U100" i="4" s="1"/>
  <c r="N97" i="4"/>
  <c r="R97" i="4" s="1"/>
  <c r="V97" i="4" s="1"/>
  <c r="T97" i="4"/>
  <c r="U97" i="4" s="1"/>
  <c r="N90" i="4"/>
  <c r="R90" i="4" s="1"/>
  <c r="V90" i="4" s="1"/>
  <c r="T90" i="4"/>
  <c r="U90" i="4" s="1"/>
  <c r="N76" i="4"/>
  <c r="R76" i="4" s="1"/>
  <c r="V76" i="4" s="1"/>
  <c r="T76" i="4"/>
  <c r="U76" i="4" s="1"/>
  <c r="T71" i="4"/>
  <c r="U71" i="4" s="1"/>
  <c r="N71" i="4"/>
  <c r="R71" i="4" s="1"/>
  <c r="V71" i="4" s="1"/>
  <c r="N70" i="4"/>
  <c r="R70" i="4" s="1"/>
  <c r="V70" i="4" s="1"/>
  <c r="T70" i="4"/>
  <c r="U70" i="4" s="1"/>
  <c r="N65" i="4"/>
  <c r="R65" i="4" s="1"/>
  <c r="V65" i="4" s="1"/>
  <c r="T65" i="4"/>
  <c r="U65" i="4" s="1"/>
  <c r="N59" i="4"/>
  <c r="R59" i="4" s="1"/>
  <c r="V59" i="4" s="1"/>
  <c r="T59" i="4"/>
  <c r="U59" i="4" s="1"/>
  <c r="N57" i="4"/>
  <c r="R57" i="4" s="1"/>
  <c r="V57" i="4" s="1"/>
  <c r="T57" i="4"/>
  <c r="U57" i="4" s="1"/>
  <c r="N49" i="4"/>
  <c r="R49" i="4" s="1"/>
  <c r="V49" i="4" s="1"/>
  <c r="T49" i="4"/>
  <c r="U49" i="4" s="1"/>
  <c r="N44" i="4"/>
  <c r="R44" i="4" s="1"/>
  <c r="V44" i="4" s="1"/>
  <c r="T44" i="4"/>
  <c r="U44" i="4" s="1"/>
  <c r="N33" i="4"/>
  <c r="R33" i="4" s="1"/>
  <c r="V33" i="4" s="1"/>
  <c r="T33" i="4"/>
  <c r="U33" i="4" s="1"/>
  <c r="N31" i="4"/>
  <c r="R31" i="4" s="1"/>
  <c r="V31" i="4" s="1"/>
  <c r="T31" i="4"/>
  <c r="U31" i="4" s="1"/>
  <c r="T27" i="4"/>
  <c r="U27" i="4" s="1"/>
  <c r="N27" i="4"/>
  <c r="R27" i="4" s="1"/>
  <c r="V27" i="4" s="1"/>
  <c r="N23" i="4"/>
  <c r="R23" i="4" s="1"/>
  <c r="V23" i="4" s="1"/>
  <c r="T23" i="4"/>
  <c r="U23" i="4" s="1"/>
  <c r="N7" i="4"/>
  <c r="R7" i="4" s="1"/>
  <c r="V7" i="4" s="1"/>
  <c r="T7" i="4"/>
  <c r="U7" i="4" s="1"/>
  <c r="C15" i="6"/>
  <c r="C20" i="6"/>
  <c r="C16" i="6"/>
  <c r="C17" i="6"/>
  <c r="C23" i="6"/>
  <c r="C18" i="6"/>
  <c r="C19" i="6"/>
  <c r="C21" i="6"/>
  <c r="C22" i="6"/>
  <c r="N5" i="4"/>
  <c r="R5" i="4" s="1"/>
  <c r="V5" i="4" s="1"/>
  <c r="T5" i="4"/>
  <c r="U5" i="4" s="1"/>
  <c r="AF1925" i="7"/>
  <c r="AG1925" i="7" s="1"/>
  <c r="AF1837" i="7"/>
  <c r="AG1837" i="7" s="1"/>
  <c r="AF1820" i="7"/>
  <c r="AG1820" i="7" s="1"/>
  <c r="AF1818" i="7"/>
  <c r="AG1818" i="7" s="1"/>
  <c r="AF1810" i="7"/>
  <c r="AG1810" i="7" s="1"/>
  <c r="AF1805" i="7"/>
  <c r="AG1805" i="7" s="1"/>
  <c r="AF1804" i="7"/>
  <c r="AG1804" i="7" s="1"/>
  <c r="AF1803" i="7"/>
  <c r="AG1803" i="7" s="1"/>
  <c r="AF1802" i="7"/>
  <c r="AG1802" i="7" s="1"/>
  <c r="C54" i="8"/>
  <c r="J54" i="8"/>
  <c r="AF1801" i="7"/>
  <c r="AF1800" i="7"/>
  <c r="AG1800" i="7" s="1"/>
  <c r="AF1799" i="7"/>
  <c r="AG1799" i="7" s="1"/>
  <c r="AF1798" i="7"/>
  <c r="AG1798" i="7" s="1"/>
  <c r="AF1792" i="7"/>
  <c r="AG1792" i="7" s="1"/>
  <c r="AF1791" i="7"/>
  <c r="AG1791" i="7" s="1"/>
  <c r="AF1779" i="7"/>
  <c r="AG1779" i="7" s="1"/>
  <c r="AF1776" i="7"/>
  <c r="AG1776" i="7" s="1"/>
  <c r="AF1775" i="7"/>
  <c r="AG1775" i="7" s="1"/>
  <c r="AF1768" i="7"/>
  <c r="AG1768" i="7" s="1"/>
  <c r="AF1766" i="7"/>
  <c r="AG1766" i="7" s="1"/>
  <c r="AF1764" i="7"/>
  <c r="AG1764" i="7" s="1"/>
  <c r="AF1761" i="7"/>
  <c r="AG1761" i="7" s="1"/>
  <c r="AF1760" i="7"/>
  <c r="AG1760" i="7" s="1"/>
  <c r="AF1758" i="7"/>
  <c r="AG1758" i="7" s="1"/>
  <c r="AF1757" i="7"/>
  <c r="AG1757" i="7" s="1"/>
  <c r="AF1755" i="7"/>
  <c r="AG1755" i="7" s="1"/>
  <c r="AF1754" i="7"/>
  <c r="AG1754" i="7" s="1"/>
  <c r="AF1753" i="7"/>
  <c r="AG1753" i="7" s="1"/>
  <c r="AF1748" i="7"/>
  <c r="AG1748" i="7" s="1"/>
  <c r="AF1746" i="7"/>
  <c r="AG1746" i="7" s="1"/>
  <c r="AF1737" i="7"/>
  <c r="AG1737" i="7" s="1"/>
  <c r="AF1733" i="7"/>
  <c r="AG1733" i="7" s="1"/>
  <c r="AF1732" i="7"/>
  <c r="AG1732" i="7" s="1"/>
  <c r="AF1731" i="7"/>
  <c r="AG1731" i="7" s="1"/>
  <c r="AF1728" i="7"/>
  <c r="AG1728" i="7" s="1"/>
  <c r="AF1726" i="7"/>
  <c r="AG1726" i="7" s="1"/>
  <c r="AF1725" i="7"/>
  <c r="AG1725" i="7" s="1"/>
  <c r="AF1724" i="7"/>
  <c r="AG1724" i="7" s="1"/>
  <c r="AF1723" i="7"/>
  <c r="AG1723" i="7" s="1"/>
  <c r="AF1721" i="7"/>
  <c r="AG1721" i="7" s="1"/>
  <c r="AF1720" i="7"/>
  <c r="AG1720" i="7" s="1"/>
  <c r="AF1719" i="7"/>
  <c r="AG1719" i="7" s="1"/>
  <c r="AF1718" i="7"/>
  <c r="AG1718" i="7" s="1"/>
  <c r="AF1717" i="7"/>
  <c r="AG1717" i="7" s="1"/>
  <c r="AF1716" i="7"/>
  <c r="AG1716" i="7" s="1"/>
  <c r="AF1715" i="7"/>
  <c r="AG1715" i="7" s="1"/>
  <c r="AF1714" i="7"/>
  <c r="AG1714" i="7" s="1"/>
  <c r="AF1713" i="7"/>
  <c r="AG1713" i="7" s="1"/>
  <c r="AF1709" i="7"/>
  <c r="AG1709" i="7" s="1"/>
  <c r="AF1707" i="7"/>
  <c r="AG1707" i="7" s="1"/>
  <c r="AF1704" i="7"/>
  <c r="AG1704" i="7" s="1"/>
  <c r="AF1703" i="7"/>
  <c r="AG1703" i="7" s="1"/>
  <c r="AF1699" i="7"/>
  <c r="AG1699" i="7" s="1"/>
  <c r="AF1694" i="7"/>
  <c r="AG1694" i="7" s="1"/>
  <c r="AF1691" i="7"/>
  <c r="AG1691" i="7" s="1"/>
  <c r="AF1690" i="7"/>
  <c r="AG1690" i="7" s="1"/>
  <c r="AF1689" i="7"/>
  <c r="AG1689" i="7" s="1"/>
  <c r="AF1687" i="7"/>
  <c r="AG1687" i="7" s="1"/>
  <c r="AF1681" i="7"/>
  <c r="AG1681" i="7" s="1"/>
  <c r="AF1675" i="7"/>
  <c r="AG1675" i="7" s="1"/>
  <c r="AF1673" i="7"/>
  <c r="AG1673" i="7" s="1"/>
  <c r="AF1659" i="7"/>
  <c r="AG1659" i="7" s="1"/>
  <c r="AF1649" i="7"/>
  <c r="AG1649" i="7" s="1"/>
  <c r="AF1639" i="7"/>
  <c r="AG1639" i="7" s="1"/>
  <c r="AF1637" i="7"/>
  <c r="AG1637" i="7" s="1"/>
  <c r="AF1635" i="7"/>
  <c r="AG1635" i="7" s="1"/>
  <c r="AF1633" i="7"/>
  <c r="AG1633" i="7" s="1"/>
  <c r="AF1625" i="7"/>
  <c r="AG1625" i="7" s="1"/>
  <c r="AF1622" i="7"/>
  <c r="AG1622" i="7" s="1"/>
  <c r="AF1619" i="7"/>
  <c r="AG1619" i="7" s="1"/>
  <c r="AF1616" i="7"/>
  <c r="AG1616" i="7" s="1"/>
  <c r="AF1615" i="7"/>
  <c r="AG1615" i="7" s="1"/>
  <c r="AF1614" i="7"/>
  <c r="AG1614" i="7" s="1"/>
  <c r="AF1609" i="7"/>
  <c r="AG1609" i="7" s="1"/>
  <c r="AF1607" i="7"/>
  <c r="AG1607" i="7" s="1"/>
  <c r="AF1596" i="7"/>
  <c r="AG1596" i="7" s="1"/>
  <c r="AF1589" i="7"/>
  <c r="AG1589" i="7" s="1"/>
  <c r="AF1583" i="7"/>
  <c r="AG1583" i="7" s="1"/>
  <c r="AF1581" i="7"/>
  <c r="AG1581" i="7" s="1"/>
  <c r="AF1576" i="7"/>
  <c r="AG1576" i="7" s="1"/>
  <c r="AF1568" i="7"/>
  <c r="AG1568" i="7" s="1"/>
  <c r="AF1562" i="7"/>
  <c r="AG1562" i="7" s="1"/>
  <c r="AF1561" i="7"/>
  <c r="AG1561" i="7" s="1"/>
  <c r="AF1560" i="7"/>
  <c r="AG1560" i="7" s="1"/>
  <c r="AF1557" i="7"/>
  <c r="AG1557" i="7" s="1"/>
  <c r="AF1553" i="7"/>
  <c r="AG1553" i="7" s="1"/>
  <c r="AF1551" i="7"/>
  <c r="AG1551" i="7" s="1"/>
  <c r="AF1550" i="7"/>
  <c r="AG1550" i="7" s="1"/>
  <c r="AF1549" i="7"/>
  <c r="AG1549" i="7" s="1"/>
  <c r="AF1548" i="7"/>
  <c r="AG1548" i="7" s="1"/>
  <c r="AF1547" i="7"/>
  <c r="AG1547" i="7" s="1"/>
  <c r="AF1544" i="7"/>
  <c r="AG1544" i="7" s="1"/>
  <c r="AF1535" i="7"/>
  <c r="AG1535" i="7" s="1"/>
  <c r="AF1534" i="7"/>
  <c r="AG1534" i="7" s="1"/>
  <c r="AF1531" i="7"/>
  <c r="AG1531" i="7" s="1"/>
  <c r="AF1530" i="7"/>
  <c r="AG1530" i="7" s="1"/>
  <c r="AF1527" i="7"/>
  <c r="AG1527" i="7" s="1"/>
  <c r="AF1520" i="7"/>
  <c r="AG1520" i="7" s="1"/>
  <c r="AF1515" i="7"/>
  <c r="AG1515" i="7" s="1"/>
  <c r="AF1511" i="7"/>
  <c r="AG1511" i="7" s="1"/>
  <c r="AF1506" i="7"/>
  <c r="AG1506" i="7" s="1"/>
  <c r="C52" i="8"/>
  <c r="D52" i="8" s="1"/>
  <c r="J52" i="8"/>
  <c r="AF1501" i="7"/>
  <c r="AG1501" i="7" s="1"/>
  <c r="AF1498" i="7"/>
  <c r="AG1498" i="7" s="1"/>
  <c r="AF1494" i="7"/>
  <c r="AG1494" i="7" s="1"/>
  <c r="AF1492" i="7"/>
  <c r="AG1492" i="7" s="1"/>
  <c r="AF1490" i="7"/>
  <c r="AG1490" i="7" s="1"/>
  <c r="AF1311" i="7"/>
  <c r="AG1311" i="7" s="1"/>
  <c r="AF1308" i="7"/>
  <c r="AG1308" i="7" s="1"/>
  <c r="AF1299" i="7"/>
  <c r="AG1299" i="7" s="1"/>
  <c r="AF1295" i="7"/>
  <c r="AG1295" i="7" s="1"/>
  <c r="AF1180" i="7"/>
  <c r="AG1180" i="7" s="1"/>
  <c r="AF1175" i="7"/>
  <c r="AG1175" i="7" s="1"/>
  <c r="AF1133" i="7"/>
  <c r="AG1133" i="7" s="1"/>
  <c r="AF1126" i="7"/>
  <c r="AG1126" i="7" s="1"/>
  <c r="AF1121" i="7"/>
  <c r="AG1121" i="7" s="1"/>
  <c r="AF1964" i="7"/>
  <c r="AG1964" i="7" s="1"/>
  <c r="AF1963" i="7"/>
  <c r="AG1963" i="7" s="1"/>
  <c r="AF1962" i="7"/>
  <c r="AG1962" i="7" s="1"/>
  <c r="AF1961" i="7"/>
  <c r="AG1961" i="7" s="1"/>
  <c r="AF1959" i="7"/>
  <c r="AG1959" i="7" s="1"/>
  <c r="AF1958" i="7"/>
  <c r="AG1958" i="7" s="1"/>
  <c r="AF1956" i="7"/>
  <c r="AG1956" i="7" s="1"/>
  <c r="AF1955" i="7"/>
  <c r="AG1955" i="7" s="1"/>
  <c r="AF1954" i="7"/>
  <c r="AG1954" i="7" s="1"/>
  <c r="AF1953" i="7"/>
  <c r="AG1953" i="7" s="1"/>
  <c r="AF1943" i="7"/>
  <c r="AG1943" i="7" s="1"/>
  <c r="AF1942" i="7"/>
  <c r="AG1942" i="7" s="1"/>
  <c r="AF1922" i="7"/>
  <c r="AG1922" i="7" s="1"/>
  <c r="AF1836" i="7"/>
  <c r="AG1836" i="7" s="1"/>
  <c r="AF1835" i="7"/>
  <c r="AG1835" i="7" s="1"/>
  <c r="AF1830" i="7"/>
  <c r="AG1830" i="7" s="1"/>
  <c r="AF1471" i="7"/>
  <c r="AG1471" i="7" s="1"/>
  <c r="AF1469" i="7"/>
  <c r="AG1469" i="7" s="1"/>
  <c r="AF1467" i="7"/>
  <c r="AG1467" i="7" s="1"/>
  <c r="AF1465" i="7"/>
  <c r="AG1465" i="7" s="1"/>
  <c r="AF1455" i="7"/>
  <c r="AG1455" i="7" s="1"/>
  <c r="AF1454" i="7"/>
  <c r="AG1454" i="7" s="1"/>
  <c r="AF1453" i="7"/>
  <c r="AG1453" i="7" s="1"/>
  <c r="AF1452" i="7"/>
  <c r="AG1452" i="7" s="1"/>
  <c r="AF1451" i="7"/>
  <c r="AG1451" i="7" s="1"/>
  <c r="AF1450" i="7"/>
  <c r="AG1450" i="7" s="1"/>
  <c r="AF1449" i="7"/>
  <c r="AG1449" i="7" s="1"/>
  <c r="AF1448" i="7"/>
  <c r="AG1448" i="7" s="1"/>
  <c r="AF1447" i="7"/>
  <c r="AG1447" i="7" s="1"/>
  <c r="AF1446" i="7"/>
  <c r="AG1446" i="7" s="1"/>
  <c r="AF1445" i="7"/>
  <c r="AG1445" i="7" s="1"/>
  <c r="AF1444" i="7"/>
  <c r="AG1444" i="7" s="1"/>
  <c r="AF1443" i="7"/>
  <c r="AG1443" i="7" s="1"/>
  <c r="AF1442" i="7"/>
  <c r="AG1442" i="7" s="1"/>
  <c r="AF1431" i="7"/>
  <c r="AG1431" i="7" s="1"/>
  <c r="AF1429" i="7"/>
  <c r="AG1429" i="7" s="1"/>
  <c r="AF1383" i="7"/>
  <c r="AG1383" i="7" s="1"/>
  <c r="AF1378" i="7"/>
  <c r="AG1378" i="7" s="1"/>
  <c r="AF1372" i="7"/>
  <c r="AG1372" i="7" s="1"/>
  <c r="AF1362" i="7"/>
  <c r="AG1362" i="7" s="1"/>
  <c r="AF1353" i="7"/>
  <c r="AG1353" i="7" s="1"/>
  <c r="AF1352" i="7"/>
  <c r="AG1352" i="7" s="1"/>
  <c r="AF1351" i="7"/>
  <c r="AG1351" i="7" s="1"/>
  <c r="AF1350" i="7"/>
  <c r="AG1350" i="7" s="1"/>
  <c r="AF1347" i="7"/>
  <c r="AG1347" i="7" s="1"/>
  <c r="AF1345" i="7"/>
  <c r="AG1345" i="7" s="1"/>
  <c r="AF1344" i="7"/>
  <c r="AG1344" i="7" s="1"/>
  <c r="C51" i="8"/>
  <c r="D51" i="8" s="1"/>
  <c r="J51" i="8"/>
  <c r="AF1337" i="7"/>
  <c r="AG1337" i="7" s="1"/>
  <c r="AF1336" i="7"/>
  <c r="AG1336" i="7" s="1"/>
  <c r="AF1335" i="7"/>
  <c r="AG1335" i="7" s="1"/>
  <c r="AF1333" i="7"/>
  <c r="AG1333" i="7" s="1"/>
  <c r="AF1330" i="7"/>
  <c r="AG1330" i="7" s="1"/>
  <c r="AF1329" i="7"/>
  <c r="AG1329" i="7" s="1"/>
  <c r="AF1327" i="7"/>
  <c r="AG1327" i="7" s="1"/>
  <c r="AF1326" i="7"/>
  <c r="AG1326" i="7" s="1"/>
  <c r="AF1324" i="7"/>
  <c r="AG1324" i="7" s="1"/>
  <c r="AF1322" i="7"/>
  <c r="AG1322" i="7" s="1"/>
  <c r="AF1319" i="7"/>
  <c r="AG1319" i="7" s="1"/>
  <c r="AF1302" i="7"/>
  <c r="AG1302" i="7" s="1"/>
  <c r="AF1149" i="7"/>
  <c r="AG1149" i="7" s="1"/>
  <c r="AF1124" i="7"/>
  <c r="AG1124" i="7" s="1"/>
  <c r="AF1910" i="7"/>
  <c r="AG1910" i="7" s="1"/>
  <c r="AF1841" i="7"/>
  <c r="AG1841" i="7" s="1"/>
  <c r="AF1840" i="7"/>
  <c r="AG1840" i="7" s="1"/>
  <c r="AF1839" i="7"/>
  <c r="AG1839" i="7" s="1"/>
  <c r="AF1293" i="7"/>
  <c r="AG1293" i="7" s="1"/>
  <c r="AF1290" i="7"/>
  <c r="AG1290" i="7" s="1"/>
  <c r="AF1288" i="7"/>
  <c r="AG1288" i="7" s="1"/>
  <c r="AF1285" i="7"/>
  <c r="AG1285" i="7" s="1"/>
  <c r="AF1283" i="7"/>
  <c r="AG1283" i="7" s="1"/>
  <c r="AF1273" i="7"/>
  <c r="AG1273" i="7" s="1"/>
  <c r="AF1272" i="7"/>
  <c r="AG1272" i="7" s="1"/>
  <c r="AF1271" i="7"/>
  <c r="AG1271" i="7" s="1"/>
  <c r="AF1270" i="7"/>
  <c r="AG1270" i="7" s="1"/>
  <c r="AF1268" i="7"/>
  <c r="AG1268" i="7" s="1"/>
  <c r="AF1255" i="7"/>
  <c r="AG1255" i="7" s="1"/>
  <c r="AF1251" i="7"/>
  <c r="AG1251" i="7" s="1"/>
  <c r="AF1250" i="7"/>
  <c r="AG1250" i="7" s="1"/>
  <c r="AF1249" i="7"/>
  <c r="AG1249" i="7" s="1"/>
  <c r="AF1248" i="7"/>
  <c r="AG1248" i="7" s="1"/>
  <c r="AF1247" i="7"/>
  <c r="AG1247" i="7" s="1"/>
  <c r="AF1246" i="7"/>
  <c r="AG1246" i="7" s="1"/>
  <c r="AF1245" i="7"/>
  <c r="AG1245" i="7" s="1"/>
  <c r="AF1242" i="7"/>
  <c r="AG1242" i="7" s="1"/>
  <c r="AF1241" i="7"/>
  <c r="AG1241" i="7" s="1"/>
  <c r="AF1233" i="7"/>
  <c r="AG1233" i="7" s="1"/>
  <c r="AF1194" i="7"/>
  <c r="AG1194" i="7" s="1"/>
  <c r="AF1193" i="7"/>
  <c r="AG1193" i="7" s="1"/>
  <c r="AF1192" i="7"/>
  <c r="AG1192" i="7" s="1"/>
  <c r="AF1186" i="7"/>
  <c r="AG1186" i="7" s="1"/>
  <c r="AF1183" i="7"/>
  <c r="AG1183" i="7" s="1"/>
  <c r="AF1117" i="7"/>
  <c r="AG1117" i="7" s="1"/>
  <c r="AF1114" i="7"/>
  <c r="AG1114" i="7" s="1"/>
  <c r="AF1113" i="7"/>
  <c r="AG1113" i="7" s="1"/>
  <c r="AF1112" i="7"/>
  <c r="AG1112" i="7" s="1"/>
  <c r="AF1111" i="7"/>
  <c r="AG1111" i="7" s="1"/>
  <c r="AF1110" i="7"/>
  <c r="AG1110" i="7" s="1"/>
  <c r="AF1109" i="7"/>
  <c r="AG1109" i="7" s="1"/>
  <c r="AF1093" i="7"/>
  <c r="AG1093" i="7" s="1"/>
  <c r="AF1090" i="7"/>
  <c r="AG1090" i="7" s="1"/>
  <c r="AF1089" i="7"/>
  <c r="AG1089" i="7" s="1"/>
  <c r="AF1088" i="7"/>
  <c r="AG1088" i="7" s="1"/>
  <c r="AF1087" i="7"/>
  <c r="AG1087" i="7" s="1"/>
  <c r="AF1086" i="7"/>
  <c r="AG1086" i="7" s="1"/>
  <c r="AF1085" i="7"/>
  <c r="AG1085" i="7" s="1"/>
  <c r="H18" i="9"/>
  <c r="I18" i="9" s="1"/>
  <c r="AF1076" i="7"/>
  <c r="AG1076" i="7" s="1"/>
  <c r="AF1073" i="7"/>
  <c r="AG1073" i="7" s="1"/>
  <c r="AF1072" i="7"/>
  <c r="AG1072" i="7" s="1"/>
  <c r="AF1071" i="7"/>
  <c r="AG1071" i="7" s="1"/>
  <c r="AF1070" i="7"/>
  <c r="AG1070" i="7" s="1"/>
  <c r="AF1069" i="7"/>
  <c r="AG1069" i="7" s="1"/>
  <c r="AF1065" i="7"/>
  <c r="AG1065" i="7" s="1"/>
  <c r="AF1064" i="7"/>
  <c r="AG1064" i="7" s="1"/>
  <c r="AF1061" i="7"/>
  <c r="AG1061" i="7" s="1"/>
  <c r="AF1056" i="7"/>
  <c r="AG1056" i="7" s="1"/>
  <c r="AF1055" i="7"/>
  <c r="AG1055" i="7" s="1"/>
  <c r="AF1052" i="7"/>
  <c r="AG1052" i="7" s="1"/>
  <c r="AF1041" i="7"/>
  <c r="AG1041" i="7" s="1"/>
  <c r="C49" i="8"/>
  <c r="D49" i="8" s="1"/>
  <c r="J49" i="8"/>
  <c r="AF1030" i="7"/>
  <c r="AG1030" i="7" s="1"/>
  <c r="AF1006" i="7"/>
  <c r="AG1006" i="7" s="1"/>
  <c r="AF993" i="7"/>
  <c r="AG993" i="7" s="1"/>
  <c r="AF976" i="7"/>
  <c r="AG976" i="7" s="1"/>
  <c r="AF972" i="7"/>
  <c r="AG972" i="7" s="1"/>
  <c r="AF970" i="7"/>
  <c r="AG970" i="7" s="1"/>
  <c r="AF960" i="7"/>
  <c r="AG960" i="7" s="1"/>
  <c r="AF959" i="7"/>
  <c r="AG959" i="7" s="1"/>
  <c r="AF950" i="7"/>
  <c r="AG950" i="7" s="1"/>
  <c r="AF949" i="7"/>
  <c r="AG949" i="7" s="1"/>
  <c r="AF252" i="7"/>
  <c r="AG252" i="7" s="1"/>
  <c r="AF59" i="7"/>
  <c r="AG59" i="7" s="1"/>
  <c r="AF1895" i="7"/>
  <c r="AG1895" i="7" s="1"/>
  <c r="AF1885" i="7"/>
  <c r="AG1885" i="7" s="1"/>
  <c r="AF1827" i="7"/>
  <c r="AG1827" i="7" s="1"/>
  <c r="AF941" i="7"/>
  <c r="AG941" i="7" s="1"/>
  <c r="AF939" i="7"/>
  <c r="AG939" i="7" s="1"/>
  <c r="AF931" i="7"/>
  <c r="AG931" i="7" s="1"/>
  <c r="AF930" i="7"/>
  <c r="AG930" i="7" s="1"/>
  <c r="AF926" i="7"/>
  <c r="AG926" i="7" s="1"/>
  <c r="AF923" i="7"/>
  <c r="AG923" i="7" s="1"/>
  <c r="AF920" i="7"/>
  <c r="AG920" i="7" s="1"/>
  <c r="AF912" i="7"/>
  <c r="AG912" i="7" s="1"/>
  <c r="AF903" i="7"/>
  <c r="AG903" i="7" s="1"/>
  <c r="AF895" i="7"/>
  <c r="AG895" i="7" s="1"/>
  <c r="AF891" i="7"/>
  <c r="AG891" i="7" s="1"/>
  <c r="AF882" i="7"/>
  <c r="AG882" i="7" s="1"/>
  <c r="AF874" i="7"/>
  <c r="AG874" i="7" s="1"/>
  <c r="AF872" i="7"/>
  <c r="AG872" i="7" s="1"/>
  <c r="AF871" i="7"/>
  <c r="AG871" i="7" s="1"/>
  <c r="AF870" i="7"/>
  <c r="AG870" i="7" s="1"/>
  <c r="AF868" i="7"/>
  <c r="AG868" i="7" s="1"/>
  <c r="AF861" i="7"/>
  <c r="AG861" i="7" s="1"/>
  <c r="AF854" i="7"/>
  <c r="AG854" i="7" s="1"/>
  <c r="AF852" i="7"/>
  <c r="AG852" i="7" s="1"/>
  <c r="AF848" i="7"/>
  <c r="AG848" i="7" s="1"/>
  <c r="C48" i="8"/>
  <c r="D48" i="8" s="1"/>
  <c r="J48" i="8"/>
  <c r="AF834" i="7"/>
  <c r="AG834" i="7" s="1"/>
  <c r="AF828" i="7"/>
  <c r="AG828" i="7" s="1"/>
  <c r="AF827" i="7"/>
  <c r="AG827" i="7" s="1"/>
  <c r="AF815" i="7"/>
  <c r="AG815" i="7" s="1"/>
  <c r="AF814" i="7"/>
  <c r="AG814" i="7" s="1"/>
  <c r="AF802" i="7"/>
  <c r="AG802" i="7" s="1"/>
  <c r="AF799" i="7"/>
  <c r="AG799" i="7" s="1"/>
  <c r="AF785" i="7"/>
  <c r="AG785" i="7" s="1"/>
  <c r="AF783" i="7"/>
  <c r="AG783" i="7" s="1"/>
  <c r="AF772" i="7"/>
  <c r="AG772" i="7" s="1"/>
  <c r="AF771" i="7"/>
  <c r="AG771" i="7" s="1"/>
  <c r="AF635" i="7"/>
  <c r="AG635" i="7" s="1"/>
  <c r="AF634" i="7"/>
  <c r="AG634" i="7" s="1"/>
  <c r="AF630" i="7"/>
  <c r="AG630" i="7" s="1"/>
  <c r="AF617" i="7"/>
  <c r="AG617" i="7" s="1"/>
  <c r="AF612" i="7"/>
  <c r="AG612" i="7" s="1"/>
  <c r="AF254" i="7"/>
  <c r="AG254" i="7" s="1"/>
  <c r="AF249" i="7"/>
  <c r="AG249" i="7" s="1"/>
  <c r="AF759" i="7"/>
  <c r="AG759" i="7" s="1"/>
  <c r="AF756" i="7"/>
  <c r="AG756" i="7" s="1"/>
  <c r="AF742" i="7"/>
  <c r="AG742" i="7" s="1"/>
  <c r="AF732" i="7"/>
  <c r="AG732" i="7" s="1"/>
  <c r="AF731" i="7"/>
  <c r="AG731" i="7" s="1"/>
  <c r="AF730" i="7"/>
  <c r="AG730" i="7" s="1"/>
  <c r="AF714" i="7"/>
  <c r="AG714" i="7" s="1"/>
  <c r="AF702" i="7"/>
  <c r="AG702" i="7" s="1"/>
  <c r="AF700" i="7"/>
  <c r="AG700" i="7" s="1"/>
  <c r="AF697" i="7"/>
  <c r="AG697" i="7" s="1"/>
  <c r="AF693" i="7"/>
  <c r="AG693" i="7" s="1"/>
  <c r="AF690" i="7"/>
  <c r="AG690" i="7" s="1"/>
  <c r="AF687" i="7"/>
  <c r="AG687" i="7" s="1"/>
  <c r="AF682" i="7"/>
  <c r="AG682" i="7" s="1"/>
  <c r="AF676" i="7"/>
  <c r="AG676" i="7" s="1"/>
  <c r="C47" i="8"/>
  <c r="D47" i="8" s="1"/>
  <c r="J47" i="8"/>
  <c r="AF672" i="7"/>
  <c r="AG672" i="7" s="1"/>
  <c r="AF667" i="7"/>
  <c r="AG667" i="7" s="1"/>
  <c r="AF657" i="7"/>
  <c r="AG657" i="7" s="1"/>
  <c r="AF654" i="7"/>
  <c r="AG654" i="7" s="1"/>
  <c r="AF650" i="7"/>
  <c r="AG650" i="7" s="1"/>
  <c r="AF641" i="7"/>
  <c r="AG641" i="7" s="1"/>
  <c r="AF618" i="7"/>
  <c r="AG618" i="7" s="1"/>
  <c r="AF595" i="7"/>
  <c r="AG595" i="7" s="1"/>
  <c r="AF235" i="7"/>
  <c r="AG235" i="7" s="1"/>
  <c r="H22" i="9"/>
  <c r="I22" i="9" s="1"/>
  <c r="AF586" i="7"/>
  <c r="AG586" i="7" s="1"/>
  <c r="AF580" i="7"/>
  <c r="AG580" i="7" s="1"/>
  <c r="AF578" i="7"/>
  <c r="AG578" i="7" s="1"/>
  <c r="AF575" i="7"/>
  <c r="AG575" i="7" s="1"/>
  <c r="AF572" i="7"/>
  <c r="AG572" i="7" s="1"/>
  <c r="AF571" i="7"/>
  <c r="AG571" i="7" s="1"/>
  <c r="AF567" i="7"/>
  <c r="AG567" i="7" s="1"/>
  <c r="AF566" i="7"/>
  <c r="AG566" i="7" s="1"/>
  <c r="AF565" i="7"/>
  <c r="AG565" i="7" s="1"/>
  <c r="AF563" i="7"/>
  <c r="AG563" i="7" s="1"/>
  <c r="AF562" i="7"/>
  <c r="AG562" i="7" s="1"/>
  <c r="AF561" i="7"/>
  <c r="AG561" i="7" s="1"/>
  <c r="AF560" i="7"/>
  <c r="AG560" i="7" s="1"/>
  <c r="AF559" i="7"/>
  <c r="AG559" i="7" s="1"/>
  <c r="AF558" i="7"/>
  <c r="AG558" i="7" s="1"/>
  <c r="AF554" i="7"/>
  <c r="AG554" i="7" s="1"/>
  <c r="AF552" i="7"/>
  <c r="AG552" i="7" s="1"/>
  <c r="AF551" i="7"/>
  <c r="AG551" i="7" s="1"/>
  <c r="AF550" i="7"/>
  <c r="AG550" i="7" s="1"/>
  <c r="AF549" i="7"/>
  <c r="AG549" i="7" s="1"/>
  <c r="AF546" i="7"/>
  <c r="AG546" i="7" s="1"/>
  <c r="AF544" i="7"/>
  <c r="AG544" i="7" s="1"/>
  <c r="AF543" i="7"/>
  <c r="AG543" i="7" s="1"/>
  <c r="AF540" i="7"/>
  <c r="AG540" i="7" s="1"/>
  <c r="AF536" i="7"/>
  <c r="AG536" i="7" s="1"/>
  <c r="AF535" i="7"/>
  <c r="AG535" i="7" s="1"/>
  <c r="AF534" i="7"/>
  <c r="AG534" i="7" s="1"/>
  <c r="AF533" i="7"/>
  <c r="AG533" i="7" s="1"/>
  <c r="AF532" i="7"/>
  <c r="AG532" i="7" s="1"/>
  <c r="AF531" i="7"/>
  <c r="AG531" i="7" s="1"/>
  <c r="AF524" i="7"/>
  <c r="AG524" i="7" s="1"/>
  <c r="AF523" i="7"/>
  <c r="AG523" i="7" s="1"/>
  <c r="AF522" i="7"/>
  <c r="AG522" i="7" s="1"/>
  <c r="AF509" i="7"/>
  <c r="AG509" i="7" s="1"/>
  <c r="AF508" i="7"/>
  <c r="AG508" i="7" s="1"/>
  <c r="AF507" i="7"/>
  <c r="AG507" i="7" s="1"/>
  <c r="C46" i="8"/>
  <c r="D46" i="8" s="1"/>
  <c r="J46" i="8"/>
  <c r="AF486" i="7"/>
  <c r="AG486" i="7" s="1"/>
  <c r="AF482" i="7"/>
  <c r="AG482" i="7" s="1"/>
  <c r="AF480" i="7"/>
  <c r="AG480" i="7" s="1"/>
  <c r="AF477" i="7"/>
  <c r="AG477" i="7" s="1"/>
  <c r="AF475" i="7"/>
  <c r="AG475" i="7" s="1"/>
  <c r="AF470" i="7"/>
  <c r="AG470" i="7" s="1"/>
  <c r="AF466" i="7"/>
  <c r="AG466" i="7" s="1"/>
  <c r="AF458" i="7"/>
  <c r="AG458" i="7" s="1"/>
  <c r="AF456" i="7"/>
  <c r="AG456" i="7" s="1"/>
  <c r="AF449" i="7"/>
  <c r="AG449" i="7" s="1"/>
  <c r="AF448" i="7"/>
  <c r="AG448" i="7" s="1"/>
  <c r="AF447" i="7"/>
  <c r="AG447" i="7" s="1"/>
  <c r="AF446" i="7"/>
  <c r="AG446" i="7" s="1"/>
  <c r="AF445" i="7"/>
  <c r="AG445" i="7" s="1"/>
  <c r="AF440" i="7"/>
  <c r="AG440" i="7" s="1"/>
  <c r="AF437" i="7"/>
  <c r="AG437" i="7" s="1"/>
  <c r="AF435" i="7"/>
  <c r="AG435" i="7" s="1"/>
  <c r="AF429" i="7"/>
  <c r="AG429" i="7" s="1"/>
  <c r="AF428" i="7"/>
  <c r="AG428" i="7" s="1"/>
  <c r="AF427" i="7"/>
  <c r="AG427" i="7" s="1"/>
  <c r="AF426" i="7"/>
  <c r="AG426" i="7" s="1"/>
  <c r="AF425" i="7"/>
  <c r="AG425" i="7" s="1"/>
  <c r="AF424" i="7"/>
  <c r="AG424" i="7" s="1"/>
  <c r="AF423" i="7"/>
  <c r="AG423" i="7" s="1"/>
  <c r="AF422" i="7"/>
  <c r="AG422" i="7" s="1"/>
  <c r="AF417" i="7"/>
  <c r="AG417" i="7" s="1"/>
  <c r="AF416" i="7"/>
  <c r="AG416" i="7" s="1"/>
  <c r="AF413" i="7"/>
  <c r="AG413" i="7" s="1"/>
  <c r="AF411" i="7"/>
  <c r="AG411" i="7" s="1"/>
  <c r="AF255" i="7"/>
  <c r="AG255" i="7" s="1"/>
  <c r="AF248" i="7"/>
  <c r="AG248" i="7" s="1"/>
  <c r="AF247" i="7"/>
  <c r="AG247" i="7" s="1"/>
  <c r="AF239" i="7"/>
  <c r="AG239" i="7" s="1"/>
  <c r="AF69" i="7"/>
  <c r="AG69" i="7" s="1"/>
  <c r="AF61" i="7"/>
  <c r="AG61" i="7" s="1"/>
  <c r="AF408" i="7"/>
  <c r="AG408" i="7" s="1"/>
  <c r="AF405" i="7"/>
  <c r="AG405" i="7" s="1"/>
  <c r="AF404" i="7"/>
  <c r="AG404" i="7" s="1"/>
  <c r="AF403" i="7"/>
  <c r="AG403" i="7" s="1"/>
  <c r="AF402" i="7"/>
  <c r="AG402" i="7" s="1"/>
  <c r="AF400" i="7"/>
  <c r="AG400" i="7" s="1"/>
  <c r="AF399" i="7"/>
  <c r="AG399" i="7" s="1"/>
  <c r="AF396" i="7"/>
  <c r="AG396" i="7" s="1"/>
  <c r="AF393" i="7"/>
  <c r="AG393" i="7" s="1"/>
  <c r="AF392" i="7"/>
  <c r="AG392" i="7" s="1"/>
  <c r="AF391" i="7"/>
  <c r="AG391" i="7" s="1"/>
  <c r="AF390" i="7"/>
  <c r="AG390" i="7" s="1"/>
  <c r="AF389" i="7"/>
  <c r="AG389" i="7" s="1"/>
  <c r="AF388" i="7"/>
  <c r="AG388" i="7" s="1"/>
  <c r="AF387" i="7"/>
  <c r="AG387" i="7" s="1"/>
  <c r="AF383" i="7"/>
  <c r="AG383" i="7" s="1"/>
  <c r="AF382" i="7"/>
  <c r="AG382" i="7" s="1"/>
  <c r="AF380" i="7"/>
  <c r="AG380" i="7" s="1"/>
  <c r="AF379" i="7"/>
  <c r="AG379" i="7" s="1"/>
  <c r="AF377" i="7"/>
  <c r="AG377" i="7" s="1"/>
  <c r="AF376" i="7"/>
  <c r="AG376" i="7" s="1"/>
  <c r="AF375" i="7"/>
  <c r="AG375" i="7" s="1"/>
  <c r="AF373" i="7"/>
  <c r="AG373" i="7" s="1"/>
  <c r="AF372" i="7"/>
  <c r="AG372" i="7" s="1"/>
  <c r="AF371" i="7"/>
  <c r="AG371" i="7" s="1"/>
  <c r="AF370" i="7"/>
  <c r="AG370" i="7" s="1"/>
  <c r="AF368" i="7"/>
  <c r="AG368" i="7" s="1"/>
  <c r="AF365" i="7"/>
  <c r="AG365" i="7" s="1"/>
  <c r="AF355" i="7"/>
  <c r="AG355" i="7" s="1"/>
  <c r="H19" i="9"/>
  <c r="I19" i="9" s="1"/>
  <c r="AF349" i="7"/>
  <c r="AG349" i="7" s="1"/>
  <c r="AF340" i="7"/>
  <c r="AG340" i="7" s="1"/>
  <c r="AF339" i="7"/>
  <c r="AG339" i="7" s="1"/>
  <c r="J45" i="8"/>
  <c r="C45" i="8"/>
  <c r="D45" i="8" s="1"/>
  <c r="AF332" i="7"/>
  <c r="AF325" i="7"/>
  <c r="AG325" i="7" s="1"/>
  <c r="AF322" i="7"/>
  <c r="AG322" i="7" s="1"/>
  <c r="AF319" i="7"/>
  <c r="AG319" i="7" s="1"/>
  <c r="AF310" i="7"/>
  <c r="AG310" i="7" s="1"/>
  <c r="AF295" i="7"/>
  <c r="AG295" i="7" s="1"/>
  <c r="AF294" i="7"/>
  <c r="AG294" i="7" s="1"/>
  <c r="AF288" i="7"/>
  <c r="AG288" i="7" s="1"/>
  <c r="AF278" i="7"/>
  <c r="AG278" i="7" s="1"/>
  <c r="AF273" i="7"/>
  <c r="AG273" i="7" s="1"/>
  <c r="AF265" i="7"/>
  <c r="AG265" i="7" s="1"/>
  <c r="AF262" i="7"/>
  <c r="AG262" i="7" s="1"/>
  <c r="H30" i="9"/>
  <c r="I30" i="9" s="1"/>
  <c r="AF224" i="7"/>
  <c r="AG224" i="7" s="1"/>
  <c r="AF216" i="7"/>
  <c r="AG216" i="7" s="1"/>
  <c r="AF210" i="7"/>
  <c r="AG210" i="7" s="1"/>
  <c r="AF209" i="7"/>
  <c r="AG209" i="7" s="1"/>
  <c r="AF208" i="7"/>
  <c r="AG208" i="7" s="1"/>
  <c r="H17" i="9"/>
  <c r="I17" i="9" s="1"/>
  <c r="AF199" i="7"/>
  <c r="AG199" i="7" s="1"/>
  <c r="AF191" i="7"/>
  <c r="AG191" i="7" s="1"/>
  <c r="AF188" i="7"/>
  <c r="AG188" i="7" s="1"/>
  <c r="AF180" i="7"/>
  <c r="AG180" i="7" s="1"/>
  <c r="AF167" i="7"/>
  <c r="AG167" i="7" s="1"/>
  <c r="C44" i="8"/>
  <c r="D44" i="8" s="1"/>
  <c r="J44" i="8"/>
  <c r="AF161" i="7"/>
  <c r="AG161" i="7" s="1"/>
  <c r="AF156" i="7"/>
  <c r="AG156" i="7" s="1"/>
  <c r="AF150" i="7"/>
  <c r="AG150" i="7" s="1"/>
  <c r="AF149" i="7"/>
  <c r="AG149" i="7" s="1"/>
  <c r="AF145" i="7"/>
  <c r="AG145" i="7" s="1"/>
  <c r="AF141" i="7"/>
  <c r="AG141" i="7" s="1"/>
  <c r="AF139" i="7"/>
  <c r="AG139" i="7" s="1"/>
  <c r="AF129" i="7"/>
  <c r="AG129" i="7" s="1"/>
  <c r="AF126" i="7"/>
  <c r="AG126" i="7" s="1"/>
  <c r="AF121" i="7"/>
  <c r="AG121" i="7" s="1"/>
  <c r="AF120" i="7"/>
  <c r="AG120" i="7" s="1"/>
  <c r="AF108" i="7"/>
  <c r="AG108" i="7" s="1"/>
  <c r="AF107" i="7"/>
  <c r="AG107" i="7" s="1"/>
  <c r="AF106" i="7"/>
  <c r="AG106" i="7" s="1"/>
  <c r="AF105" i="7"/>
  <c r="AG105" i="7" s="1"/>
  <c r="AF102" i="7"/>
  <c r="AG102" i="7" s="1"/>
  <c r="AF99" i="7"/>
  <c r="AG99" i="7" s="1"/>
  <c r="AF97" i="7"/>
  <c r="AG97" i="7" s="1"/>
  <c r="H32" i="9"/>
  <c r="I32" i="9" s="1"/>
  <c r="H6" i="9"/>
  <c r="I6" i="9" s="1"/>
  <c r="H23" i="9"/>
  <c r="I23" i="9" s="1"/>
  <c r="AF83" i="7"/>
  <c r="AG83" i="7" s="1"/>
  <c r="AF80" i="7"/>
  <c r="AG80" i="7" s="1"/>
  <c r="AF79" i="7"/>
  <c r="AG79" i="7" s="1"/>
  <c r="H34" i="9"/>
  <c r="I34" i="9" s="1"/>
  <c r="H10" i="9"/>
  <c r="I10" i="9" s="1"/>
  <c r="AF1902" i="7"/>
  <c r="AG1902" i="7" s="1"/>
  <c r="AF1883" i="7"/>
  <c r="AG1883" i="7" s="1"/>
  <c r="AF1874" i="7"/>
  <c r="AG1874" i="7" s="1"/>
  <c r="AF1829" i="7"/>
  <c r="AG1829" i="7" s="1"/>
  <c r="AF55" i="7"/>
  <c r="AG55" i="7" s="1"/>
  <c r="AF54" i="7"/>
  <c r="AG54" i="7" s="1"/>
  <c r="AF53" i="7"/>
  <c r="AG53" i="7" s="1"/>
  <c r="AF48" i="7"/>
  <c r="AG48" i="7" s="1"/>
  <c r="AF44" i="7"/>
  <c r="AG44" i="7" s="1"/>
  <c r="H8" i="9"/>
  <c r="I8" i="9" s="1"/>
  <c r="AF43" i="7"/>
  <c r="AG43" i="7" s="1"/>
  <c r="H31" i="9"/>
  <c r="I31" i="9" s="1"/>
  <c r="AF39" i="7"/>
  <c r="AG39" i="7" s="1"/>
  <c r="AF38" i="7"/>
  <c r="AG38" i="7" s="1"/>
  <c r="AF37" i="7"/>
  <c r="AG37" i="7" s="1"/>
  <c r="AF34" i="7"/>
  <c r="AG34" i="7" s="1"/>
  <c r="AF33" i="7"/>
  <c r="AG33" i="7" s="1"/>
  <c r="AF32" i="7"/>
  <c r="AG32" i="7" s="1"/>
  <c r="H14" i="9"/>
  <c r="I14" i="9" s="1"/>
  <c r="AF31" i="7"/>
  <c r="AG31" i="7" s="1"/>
  <c r="C20" i="8"/>
  <c r="J20" i="8"/>
  <c r="AF28" i="7"/>
  <c r="AG28" i="7" s="1"/>
  <c r="H15" i="9"/>
  <c r="I15" i="9" s="1"/>
  <c r="H28" i="9"/>
  <c r="I28" i="9" s="1"/>
  <c r="J21" i="8"/>
  <c r="C37" i="8"/>
  <c r="D37" i="8" s="1"/>
  <c r="J37" i="8"/>
  <c r="AF21" i="7"/>
  <c r="AG21" i="7" s="1"/>
  <c r="J36" i="8"/>
  <c r="C36" i="8"/>
  <c r="D36" i="8" s="1"/>
  <c r="H21" i="9"/>
  <c r="I21" i="9" s="1"/>
  <c r="C38" i="8"/>
  <c r="D38" i="8" s="1"/>
  <c r="AF18" i="7"/>
  <c r="J38" i="8"/>
  <c r="H27" i="9"/>
  <c r="I27" i="9" s="1"/>
  <c r="H11" i="9"/>
  <c r="I11" i="9" s="1"/>
  <c r="AF16" i="7"/>
  <c r="AG16" i="7" s="1"/>
  <c r="H24" i="9"/>
  <c r="I24" i="9" s="1"/>
  <c r="AF15" i="7"/>
  <c r="AG15" i="7" s="1"/>
  <c r="H5" i="9"/>
  <c r="I5" i="9" s="1"/>
  <c r="AF14" i="7"/>
  <c r="AG14" i="7" s="1"/>
  <c r="H29" i="9"/>
  <c r="I29" i="9" s="1"/>
  <c r="AF13" i="7"/>
  <c r="AG13" i="7" s="1"/>
  <c r="H26" i="9"/>
  <c r="I26" i="9" s="1"/>
  <c r="J28" i="8"/>
  <c r="AF6" i="7"/>
  <c r="J27" i="8"/>
  <c r="AF1921" i="7"/>
  <c r="AG1921" i="7" s="1"/>
  <c r="AF1897" i="7"/>
  <c r="AG1897" i="7" s="1"/>
  <c r="AF1877" i="7"/>
  <c r="AG1877" i="7" s="1"/>
  <c r="AF1876" i="7"/>
  <c r="AG1876" i="7" s="1"/>
  <c r="AF1828" i="7"/>
  <c r="AG1828" i="7" s="1"/>
  <c r="K25" i="9"/>
  <c r="L25" i="9" s="1"/>
  <c r="O25" i="9" s="1"/>
  <c r="K20" i="9"/>
  <c r="L20" i="9" s="1"/>
  <c r="K21" i="9"/>
  <c r="L21" i="9" s="1"/>
  <c r="K22" i="9"/>
  <c r="L22" i="9" s="1"/>
  <c r="O22" i="9" s="1"/>
  <c r="K23" i="9"/>
  <c r="L23" i="9" s="1"/>
  <c r="K24" i="9"/>
  <c r="L24" i="9" s="1"/>
  <c r="K29" i="9"/>
  <c r="L29" i="9" s="1"/>
  <c r="O29" i="9" s="1"/>
  <c r="K32" i="9"/>
  <c r="L32" i="9" s="1"/>
  <c r="O32" i="9" s="1"/>
  <c r="K28" i="9"/>
  <c r="L28" i="9" s="1"/>
  <c r="O28" i="9" s="1"/>
  <c r="K34" i="9"/>
  <c r="L34" i="9" s="1"/>
  <c r="O34" i="9" s="1"/>
  <c r="K30" i="9"/>
  <c r="L30" i="9" s="1"/>
  <c r="O30" i="9" s="1"/>
  <c r="K27" i="9"/>
  <c r="L27" i="9" s="1"/>
  <c r="O27" i="9" s="1"/>
  <c r="K26" i="9"/>
  <c r="L26" i="9" s="1"/>
  <c r="O26" i="9" s="1"/>
  <c r="K31" i="9"/>
  <c r="L31" i="9" s="1"/>
  <c r="O31" i="9" s="1"/>
  <c r="K33" i="9"/>
  <c r="L33" i="9" s="1"/>
  <c r="K13" i="9"/>
  <c r="L13" i="9" s="1"/>
  <c r="K14" i="9"/>
  <c r="L14" i="9" s="1"/>
  <c r="O14" i="9" s="1"/>
  <c r="K15" i="9"/>
  <c r="L15" i="9" s="1"/>
  <c r="O15" i="9" s="1"/>
  <c r="K16" i="9"/>
  <c r="L16" i="9" s="1"/>
  <c r="K17" i="9"/>
  <c r="L17" i="9" s="1"/>
  <c r="O17" i="9" s="1"/>
  <c r="K18" i="9"/>
  <c r="L18" i="9" s="1"/>
  <c r="O18" i="9" s="1"/>
  <c r="K19" i="9"/>
  <c r="L19" i="9" s="1"/>
  <c r="O19" i="9" s="1"/>
  <c r="K12" i="9"/>
  <c r="L12" i="9" s="1"/>
  <c r="K10" i="9"/>
  <c r="L10" i="9" s="1"/>
  <c r="O10" i="9" s="1"/>
  <c r="K9" i="9"/>
  <c r="L9" i="9" s="1"/>
  <c r="K8" i="9"/>
  <c r="L8" i="9" s="1"/>
  <c r="O8" i="9" s="1"/>
  <c r="K7" i="9"/>
  <c r="L7" i="9" s="1"/>
  <c r="K6" i="9"/>
  <c r="L6" i="9" s="1"/>
  <c r="O6" i="9" s="1"/>
  <c r="K5" i="9"/>
  <c r="L5" i="9" s="1"/>
  <c r="O5" i="9" s="1"/>
  <c r="K11" i="9"/>
  <c r="L11" i="9" s="1"/>
  <c r="O11" i="9" s="1"/>
  <c r="AH1825" i="7"/>
  <c r="E47" i="8"/>
  <c r="E49" i="8"/>
  <c r="E43" i="8"/>
  <c r="E50" i="8"/>
  <c r="E46" i="8"/>
  <c r="E48" i="8"/>
  <c r="E52" i="8"/>
  <c r="E45" i="8"/>
  <c r="E44" i="8"/>
  <c r="E51" i="8"/>
  <c r="E36" i="8"/>
  <c r="C53" i="8"/>
  <c r="D53" i="8" s="1"/>
  <c r="AC1658" i="7"/>
  <c r="AF1658" i="7" s="1"/>
  <c r="K37" i="8" s="1"/>
  <c r="E53" i="8"/>
  <c r="AH1649" i="7"/>
  <c r="G34" i="8" s="1"/>
  <c r="AC1277" i="7"/>
  <c r="AF1277" i="7" s="1"/>
  <c r="AG1277" i="7" s="1"/>
  <c r="AH1277" i="7"/>
  <c r="G50" i="8" s="1"/>
  <c r="C50" i="8"/>
  <c r="D50" i="8" s="1"/>
  <c r="F50" i="8" s="1"/>
  <c r="AC1181" i="7"/>
  <c r="AF1181" i="7" s="1"/>
  <c r="AH911" i="7"/>
  <c r="G48" i="8" s="1"/>
  <c r="AC911" i="7"/>
  <c r="AF911" i="7" s="1"/>
  <c r="AC765" i="7"/>
  <c r="AF765" i="7" s="1"/>
  <c r="AH765" i="7"/>
  <c r="H25" i="9"/>
  <c r="I25" i="9" s="1"/>
  <c r="AC459" i="7"/>
  <c r="AF459" i="7" s="1"/>
  <c r="H16" i="9"/>
  <c r="I16" i="9" s="1"/>
  <c r="AC111" i="7"/>
  <c r="AF111" i="7" s="1"/>
  <c r="D26" i="5"/>
  <c r="D31" i="5" s="1"/>
  <c r="D30" i="5"/>
  <c r="C26" i="5"/>
  <c r="C30" i="5"/>
  <c r="G54" i="8"/>
  <c r="G52" i="8"/>
  <c r="G51" i="8"/>
  <c r="G49" i="8"/>
  <c r="G45" i="8"/>
  <c r="G20" i="8"/>
  <c r="G21" i="8"/>
  <c r="G37" i="8"/>
  <c r="G36" i="8"/>
  <c r="G28" i="8"/>
  <c r="G27" i="8"/>
  <c r="C7" i="8" l="1"/>
  <c r="B35" i="1"/>
  <c r="F43" i="8"/>
  <c r="N94" i="4"/>
  <c r="R94" i="4" s="1"/>
  <c r="V94" i="4" s="1"/>
  <c r="T94" i="4"/>
  <c r="U94" i="4" s="1"/>
  <c r="T75" i="4"/>
  <c r="U75" i="4" s="1"/>
  <c r="N75" i="4"/>
  <c r="R75" i="4" s="1"/>
  <c r="V75" i="4" s="1"/>
  <c r="T67" i="4"/>
  <c r="U67" i="4" s="1"/>
  <c r="N67" i="4"/>
  <c r="R67" i="4" s="1"/>
  <c r="V67" i="4" s="1"/>
  <c r="N64" i="4"/>
  <c r="R64" i="4" s="1"/>
  <c r="V64" i="4" s="1"/>
  <c r="T64" i="4"/>
  <c r="U64" i="4" s="1"/>
  <c r="T62" i="4"/>
  <c r="U62" i="4" s="1"/>
  <c r="N62" i="4"/>
  <c r="R62" i="4" s="1"/>
  <c r="V62" i="4" s="1"/>
  <c r="T50" i="4"/>
  <c r="U50" i="4" s="1"/>
  <c r="N50" i="4"/>
  <c r="R50" i="4" s="1"/>
  <c r="V50" i="4" s="1"/>
  <c r="T32" i="4"/>
  <c r="U32" i="4" s="1"/>
  <c r="N32" i="4"/>
  <c r="R32" i="4" s="1"/>
  <c r="V32" i="4" s="1"/>
  <c r="T22" i="4"/>
  <c r="U22" i="4" s="1"/>
  <c r="N22" i="4"/>
  <c r="R22" i="4" s="1"/>
  <c r="V22" i="4" s="1"/>
  <c r="T18" i="4"/>
  <c r="U18" i="4" s="1"/>
  <c r="N18" i="4"/>
  <c r="R18" i="4" s="1"/>
  <c r="V18" i="4" s="1"/>
  <c r="T12" i="4"/>
  <c r="U12" i="4" s="1"/>
  <c r="N12" i="4"/>
  <c r="R12" i="4" s="1"/>
  <c r="V12" i="4" s="1"/>
  <c r="N104" i="4"/>
  <c r="R104" i="4" s="1"/>
  <c r="V104" i="4" s="1"/>
  <c r="T104" i="4"/>
  <c r="U104" i="4" s="1"/>
  <c r="N103" i="4"/>
  <c r="R103" i="4" s="1"/>
  <c r="V103" i="4" s="1"/>
  <c r="T103" i="4"/>
  <c r="U103" i="4" s="1"/>
  <c r="N102" i="4"/>
  <c r="R102" i="4" s="1"/>
  <c r="V102" i="4" s="1"/>
  <c r="T102" i="4"/>
  <c r="U102" i="4" s="1"/>
  <c r="N101" i="4"/>
  <c r="R101" i="4" s="1"/>
  <c r="V101" i="4" s="1"/>
  <c r="T101" i="4"/>
  <c r="U101" i="4" s="1"/>
  <c r="N99" i="4"/>
  <c r="R99" i="4" s="1"/>
  <c r="V99" i="4" s="1"/>
  <c r="T99" i="4"/>
  <c r="U99" i="4" s="1"/>
  <c r="T91" i="4"/>
  <c r="U91" i="4" s="1"/>
  <c r="N91" i="4"/>
  <c r="R91" i="4" s="1"/>
  <c r="V91" i="4" s="1"/>
  <c r="N89" i="4"/>
  <c r="R89" i="4" s="1"/>
  <c r="V89" i="4" s="1"/>
  <c r="T89" i="4"/>
  <c r="U89" i="4" s="1"/>
  <c r="T88" i="4"/>
  <c r="U88" i="4" s="1"/>
  <c r="N88" i="4"/>
  <c r="R88" i="4" s="1"/>
  <c r="V88" i="4" s="1"/>
  <c r="T87" i="4"/>
  <c r="U87" i="4" s="1"/>
  <c r="N87" i="4"/>
  <c r="R87" i="4" s="1"/>
  <c r="V87" i="4" s="1"/>
  <c r="T86" i="4"/>
  <c r="U86" i="4" s="1"/>
  <c r="N86" i="4"/>
  <c r="R86" i="4" s="1"/>
  <c r="V86" i="4" s="1"/>
  <c r="T84" i="4"/>
  <c r="U84" i="4" s="1"/>
  <c r="N84" i="4"/>
  <c r="R84" i="4" s="1"/>
  <c r="V84" i="4" s="1"/>
  <c r="T83" i="4"/>
  <c r="U83" i="4" s="1"/>
  <c r="N83" i="4"/>
  <c r="R83" i="4" s="1"/>
  <c r="V83" i="4" s="1"/>
  <c r="T80" i="4"/>
  <c r="U80" i="4" s="1"/>
  <c r="N80" i="4"/>
  <c r="R80" i="4" s="1"/>
  <c r="V80" i="4" s="1"/>
  <c r="N74" i="4"/>
  <c r="R74" i="4" s="1"/>
  <c r="V74" i="4" s="1"/>
  <c r="T74" i="4"/>
  <c r="U74" i="4" s="1"/>
  <c r="N73" i="4"/>
  <c r="R73" i="4" s="1"/>
  <c r="V73" i="4" s="1"/>
  <c r="T73" i="4"/>
  <c r="U73" i="4" s="1"/>
  <c r="N68" i="4"/>
  <c r="R68" i="4" s="1"/>
  <c r="V68" i="4" s="1"/>
  <c r="T68" i="4"/>
  <c r="U68" i="4" s="1"/>
  <c r="N63" i="4"/>
  <c r="R63" i="4" s="1"/>
  <c r="V63" i="4" s="1"/>
  <c r="T63" i="4"/>
  <c r="U63" i="4" s="1"/>
  <c r="T55" i="4"/>
  <c r="U55" i="4" s="1"/>
  <c r="N55" i="4"/>
  <c r="R55" i="4" s="1"/>
  <c r="V55" i="4" s="1"/>
  <c r="N47" i="4"/>
  <c r="R47" i="4" s="1"/>
  <c r="V47" i="4" s="1"/>
  <c r="T47" i="4"/>
  <c r="U47" i="4" s="1"/>
  <c r="T41" i="4"/>
  <c r="U41" i="4" s="1"/>
  <c r="N41" i="4"/>
  <c r="R41" i="4" s="1"/>
  <c r="V41" i="4" s="1"/>
  <c r="T38" i="4"/>
  <c r="U38" i="4" s="1"/>
  <c r="N38" i="4"/>
  <c r="R38" i="4" s="1"/>
  <c r="V38" i="4" s="1"/>
  <c r="T35" i="4"/>
  <c r="U35" i="4" s="1"/>
  <c r="N35" i="4"/>
  <c r="R35" i="4" s="1"/>
  <c r="V35" i="4" s="1"/>
  <c r="N34" i="4"/>
  <c r="R34" i="4" s="1"/>
  <c r="V34" i="4" s="1"/>
  <c r="T34" i="4"/>
  <c r="U34" i="4" s="1"/>
  <c r="N20" i="4"/>
  <c r="R20" i="4" s="1"/>
  <c r="V20" i="4" s="1"/>
  <c r="T20" i="4"/>
  <c r="U20" i="4" s="1"/>
  <c r="T19" i="4"/>
  <c r="U19" i="4" s="1"/>
  <c r="N19" i="4"/>
  <c r="R19" i="4" s="1"/>
  <c r="V19" i="4" s="1"/>
  <c r="T17" i="4"/>
  <c r="U17" i="4" s="1"/>
  <c r="N17" i="4"/>
  <c r="R17" i="4" s="1"/>
  <c r="V17" i="4" s="1"/>
  <c r="T15" i="4"/>
  <c r="U15" i="4" s="1"/>
  <c r="N15" i="4"/>
  <c r="R15" i="4" s="1"/>
  <c r="V15" i="4" s="1"/>
  <c r="T14" i="4"/>
  <c r="U14" i="4" s="1"/>
  <c r="N14" i="4"/>
  <c r="R14" i="4" s="1"/>
  <c r="V14" i="4" s="1"/>
  <c r="N10" i="4"/>
  <c r="R10" i="4" s="1"/>
  <c r="V10" i="4" s="1"/>
  <c r="T10" i="4"/>
  <c r="U10" i="4" s="1"/>
  <c r="N9" i="4"/>
  <c r="R9" i="4" s="1"/>
  <c r="V9" i="4" s="1"/>
  <c r="T9" i="4"/>
  <c r="U9" i="4" s="1"/>
  <c r="T95" i="4"/>
  <c r="U95" i="4" s="1"/>
  <c r="N95" i="4"/>
  <c r="R95" i="4" s="1"/>
  <c r="V95" i="4" s="1"/>
  <c r="T85" i="4"/>
  <c r="U85" i="4" s="1"/>
  <c r="N85" i="4"/>
  <c r="R85" i="4" s="1"/>
  <c r="V85" i="4" s="1"/>
  <c r="T78" i="4"/>
  <c r="U78" i="4" s="1"/>
  <c r="N78" i="4"/>
  <c r="R78" i="4" s="1"/>
  <c r="V78" i="4" s="1"/>
  <c r="N72" i="4"/>
  <c r="R72" i="4" s="1"/>
  <c r="V72" i="4" s="1"/>
  <c r="T72" i="4"/>
  <c r="U72" i="4" s="1"/>
  <c r="T69" i="4"/>
  <c r="U69" i="4" s="1"/>
  <c r="N69" i="4"/>
  <c r="R69" i="4" s="1"/>
  <c r="V69" i="4" s="1"/>
  <c r="T61" i="4"/>
  <c r="U61" i="4" s="1"/>
  <c r="N61" i="4"/>
  <c r="R61" i="4" s="1"/>
  <c r="V61" i="4" s="1"/>
  <c r="T48" i="4"/>
  <c r="U48" i="4" s="1"/>
  <c r="N48" i="4"/>
  <c r="R48" i="4" s="1"/>
  <c r="V48" i="4" s="1"/>
  <c r="T36" i="4"/>
  <c r="U36" i="4" s="1"/>
  <c r="N36" i="4"/>
  <c r="R36" i="4" s="1"/>
  <c r="V36" i="4" s="1"/>
  <c r="N28" i="4"/>
  <c r="R28" i="4" s="1"/>
  <c r="V28" i="4" s="1"/>
  <c r="T28" i="4"/>
  <c r="U28" i="4" s="1"/>
  <c r="T26" i="4"/>
  <c r="U26" i="4" s="1"/>
  <c r="N26" i="4"/>
  <c r="R26" i="4" s="1"/>
  <c r="V26" i="4" s="1"/>
  <c r="N25" i="4"/>
  <c r="R25" i="4" s="1"/>
  <c r="V25" i="4" s="1"/>
  <c r="T25" i="4"/>
  <c r="U25" i="4" s="1"/>
  <c r="N21" i="4"/>
  <c r="R21" i="4" s="1"/>
  <c r="V21" i="4" s="1"/>
  <c r="T21" i="4"/>
  <c r="U21" i="4" s="1"/>
  <c r="N13" i="4"/>
  <c r="R13" i="4" s="1"/>
  <c r="V13" i="4" s="1"/>
  <c r="T13" i="4"/>
  <c r="U13" i="4" s="1"/>
  <c r="N105" i="4"/>
  <c r="R105" i="4" s="1"/>
  <c r="V105" i="4" s="1"/>
  <c r="T105" i="4"/>
  <c r="U105" i="4" s="1"/>
  <c r="T98" i="4"/>
  <c r="U98" i="4" s="1"/>
  <c r="N98" i="4"/>
  <c r="R98" i="4" s="1"/>
  <c r="V98" i="4" s="1"/>
  <c r="N96" i="4"/>
  <c r="R96" i="4" s="1"/>
  <c r="V96" i="4" s="1"/>
  <c r="T96" i="4"/>
  <c r="U96" i="4" s="1"/>
  <c r="N93" i="4"/>
  <c r="R93" i="4" s="1"/>
  <c r="V93" i="4" s="1"/>
  <c r="T93" i="4"/>
  <c r="U93" i="4" s="1"/>
  <c r="T92" i="4"/>
  <c r="U92" i="4" s="1"/>
  <c r="N92" i="4"/>
  <c r="R92" i="4" s="1"/>
  <c r="V92" i="4" s="1"/>
  <c r="T82" i="4"/>
  <c r="U82" i="4" s="1"/>
  <c r="N82" i="4"/>
  <c r="R82" i="4" s="1"/>
  <c r="V82" i="4" s="1"/>
  <c r="T81" i="4"/>
  <c r="U81" i="4" s="1"/>
  <c r="N81" i="4"/>
  <c r="R81" i="4" s="1"/>
  <c r="V81" i="4" s="1"/>
  <c r="N79" i="4"/>
  <c r="R79" i="4" s="1"/>
  <c r="V79" i="4" s="1"/>
  <c r="T79" i="4"/>
  <c r="U79" i="4" s="1"/>
  <c r="N77" i="4"/>
  <c r="R77" i="4" s="1"/>
  <c r="V77" i="4" s="1"/>
  <c r="T77" i="4"/>
  <c r="U77" i="4" s="1"/>
  <c r="N66" i="4"/>
  <c r="R66" i="4" s="1"/>
  <c r="V66" i="4" s="1"/>
  <c r="T66" i="4"/>
  <c r="U66" i="4" s="1"/>
  <c r="T60" i="4"/>
  <c r="U60" i="4" s="1"/>
  <c r="N60" i="4"/>
  <c r="R60" i="4" s="1"/>
  <c r="V60" i="4" s="1"/>
  <c r="T58" i="4"/>
  <c r="U58" i="4" s="1"/>
  <c r="N58" i="4"/>
  <c r="R58" i="4" s="1"/>
  <c r="V58" i="4" s="1"/>
  <c r="T56" i="4"/>
  <c r="U56" i="4" s="1"/>
  <c r="N56" i="4"/>
  <c r="R56" i="4" s="1"/>
  <c r="V56" i="4" s="1"/>
  <c r="N54" i="4"/>
  <c r="R54" i="4" s="1"/>
  <c r="V54" i="4" s="1"/>
  <c r="T54" i="4"/>
  <c r="U54" i="4" s="1"/>
  <c r="T53" i="4"/>
  <c r="U53" i="4" s="1"/>
  <c r="N53" i="4"/>
  <c r="R53" i="4" s="1"/>
  <c r="V53" i="4" s="1"/>
  <c r="T52" i="4"/>
  <c r="U52" i="4" s="1"/>
  <c r="N52" i="4"/>
  <c r="R52" i="4" s="1"/>
  <c r="V52" i="4" s="1"/>
  <c r="T51" i="4"/>
  <c r="U51" i="4" s="1"/>
  <c r="N51" i="4"/>
  <c r="R51" i="4" s="1"/>
  <c r="V51" i="4" s="1"/>
  <c r="T46" i="4"/>
  <c r="U46" i="4" s="1"/>
  <c r="N46" i="4"/>
  <c r="R46" i="4" s="1"/>
  <c r="V46" i="4" s="1"/>
  <c r="N45" i="4"/>
  <c r="R45" i="4" s="1"/>
  <c r="V45" i="4" s="1"/>
  <c r="T45" i="4"/>
  <c r="U45" i="4" s="1"/>
  <c r="T43" i="4"/>
  <c r="U43" i="4" s="1"/>
  <c r="N43" i="4"/>
  <c r="R43" i="4" s="1"/>
  <c r="V43" i="4" s="1"/>
  <c r="T42" i="4"/>
  <c r="U42" i="4" s="1"/>
  <c r="N42" i="4"/>
  <c r="R42" i="4" s="1"/>
  <c r="V42" i="4" s="1"/>
  <c r="N40" i="4"/>
  <c r="R40" i="4" s="1"/>
  <c r="V40" i="4" s="1"/>
  <c r="T40" i="4"/>
  <c r="U40" i="4" s="1"/>
  <c r="T39" i="4"/>
  <c r="U39" i="4" s="1"/>
  <c r="N39" i="4"/>
  <c r="R39" i="4" s="1"/>
  <c r="V39" i="4" s="1"/>
  <c r="T37" i="4"/>
  <c r="U37" i="4" s="1"/>
  <c r="N37" i="4"/>
  <c r="R37" i="4" s="1"/>
  <c r="V37" i="4" s="1"/>
  <c r="N30" i="4"/>
  <c r="R30" i="4" s="1"/>
  <c r="V30" i="4" s="1"/>
  <c r="T30" i="4"/>
  <c r="U30" i="4" s="1"/>
  <c r="N29" i="4"/>
  <c r="R29" i="4" s="1"/>
  <c r="V29" i="4" s="1"/>
  <c r="T29" i="4"/>
  <c r="U29" i="4" s="1"/>
  <c r="T24" i="4"/>
  <c r="U24" i="4" s="1"/>
  <c r="N24" i="4"/>
  <c r="R24" i="4" s="1"/>
  <c r="V24" i="4" s="1"/>
  <c r="T16" i="4"/>
  <c r="U16" i="4" s="1"/>
  <c r="N16" i="4"/>
  <c r="R16" i="4" s="1"/>
  <c r="V16" i="4" s="1"/>
  <c r="N11" i="4"/>
  <c r="R11" i="4" s="1"/>
  <c r="V11" i="4" s="1"/>
  <c r="T11" i="4"/>
  <c r="U11" i="4" s="1"/>
  <c r="T8" i="4"/>
  <c r="U8" i="4" s="1"/>
  <c r="N8" i="4"/>
  <c r="R8" i="4" s="1"/>
  <c r="V8" i="4" s="1"/>
  <c r="C8" i="6"/>
  <c r="N6" i="4"/>
  <c r="R6" i="4" s="1"/>
  <c r="T6" i="4"/>
  <c r="U6" i="4" s="1"/>
  <c r="AG911" i="7"/>
  <c r="L48" i="8" s="1"/>
  <c r="K48" i="8"/>
  <c r="AG765" i="7"/>
  <c r="L47" i="8" s="1"/>
  <c r="K35" i="8"/>
  <c r="K47" i="8"/>
  <c r="K17" i="8"/>
  <c r="G47" i="8"/>
  <c r="G17" i="8"/>
  <c r="G35" i="8"/>
  <c r="F9" i="8"/>
  <c r="B34" i="1" s="1"/>
  <c r="G26" i="8"/>
  <c r="AG459" i="7"/>
  <c r="K19" i="8"/>
  <c r="K36" i="8"/>
  <c r="AG111" i="7"/>
  <c r="K34" i="8"/>
  <c r="F10" i="8"/>
  <c r="K26" i="8"/>
  <c r="K18" i="8"/>
  <c r="K43" i="8"/>
  <c r="L35" i="8"/>
  <c r="L18" i="8"/>
  <c r="L34" i="8"/>
  <c r="B11" i="8"/>
  <c r="C10" i="8"/>
  <c r="B37" i="1"/>
  <c r="L43" i="8"/>
  <c r="D16" i="5"/>
  <c r="C16" i="5"/>
  <c r="C7" i="6"/>
  <c r="V6" i="4"/>
  <c r="K54" i="8"/>
  <c r="AG1801" i="7"/>
  <c r="K45" i="8"/>
  <c r="AG332" i="7"/>
  <c r="AG18" i="7"/>
  <c r="K38" i="8"/>
  <c r="AG6" i="7"/>
  <c r="K27" i="8"/>
  <c r="K53" i="8"/>
  <c r="AG1658" i="7"/>
  <c r="K50" i="8"/>
  <c r="AG1181" i="7"/>
  <c r="B37" i="5"/>
  <c r="C31" i="5"/>
  <c r="F38" i="8"/>
  <c r="F49" i="8"/>
  <c r="O9" i="9"/>
  <c r="F53" i="8"/>
  <c r="F37" i="8"/>
  <c r="F20" i="8"/>
  <c r="O13" i="9"/>
  <c r="O7" i="9"/>
  <c r="F52" i="8"/>
  <c r="F51" i="8"/>
  <c r="F48" i="8"/>
  <c r="F47" i="8"/>
  <c r="F46" i="8"/>
  <c r="F45" i="8"/>
  <c r="F44" i="8"/>
  <c r="F36" i="8"/>
  <c r="F54" i="8"/>
  <c r="O20" i="9"/>
  <c r="O21" i="9"/>
  <c r="O23" i="9"/>
  <c r="O24" i="9"/>
  <c r="O33" i="9"/>
  <c r="O12" i="9"/>
  <c r="G44" i="8"/>
  <c r="G38" i="8"/>
  <c r="C11" i="8" l="1"/>
  <c r="B12" i="8"/>
  <c r="C12" i="8" s="1"/>
  <c r="D17" i="5"/>
  <c r="D34" i="5"/>
  <c r="C34" i="5"/>
  <c r="C17" i="5"/>
  <c r="D17" i="6"/>
  <c r="D18" i="6"/>
  <c r="D23" i="6"/>
  <c r="D21" i="6"/>
  <c r="D15" i="6"/>
  <c r="D20" i="6"/>
  <c r="D19" i="6"/>
  <c r="D22" i="6"/>
  <c r="D16" i="6"/>
  <c r="C11" i="6"/>
  <c r="C12" i="6" s="1"/>
  <c r="L20" i="8"/>
  <c r="L54" i="8"/>
  <c r="L36" i="8"/>
  <c r="L45" i="8"/>
  <c r="L37" i="8"/>
  <c r="L53" i="8"/>
  <c r="L38" i="8"/>
  <c r="L26" i="8"/>
  <c r="B8" i="8"/>
  <c r="C8" i="8" s="1"/>
  <c r="L27" i="8"/>
  <c r="F11" i="8"/>
  <c r="L33" i="8"/>
  <c r="F12" i="8"/>
  <c r="L19" i="8"/>
  <c r="L50" i="8"/>
  <c r="L17" i="8"/>
  <c r="F17" i="6" l="1"/>
  <c r="G17" i="6" s="1"/>
  <c r="E17" i="6"/>
  <c r="E18" i="6"/>
  <c r="F18" i="6" s="1"/>
  <c r="G18" i="6" s="1"/>
  <c r="E23" i="6"/>
  <c r="F23" i="6"/>
  <c r="G23" i="6" s="1"/>
  <c r="E21" i="6"/>
  <c r="F21" i="6" s="1"/>
  <c r="G21" i="6" s="1"/>
  <c r="E15" i="6"/>
  <c r="F15" i="6" s="1"/>
  <c r="G15" i="6" s="1"/>
  <c r="E20" i="6"/>
  <c r="F20" i="6"/>
  <c r="G20" i="6" s="1"/>
  <c r="E19" i="6"/>
  <c r="F19" i="6" s="1"/>
  <c r="G19" i="6" s="1"/>
  <c r="E22" i="6"/>
  <c r="F22" i="6" s="1"/>
  <c r="G22" i="6" s="1"/>
  <c r="E16" i="6"/>
  <c r="F16" i="6"/>
  <c r="G16" i="6" s="1"/>
</calcChain>
</file>

<file path=xl/sharedStrings.xml><?xml version="1.0" encoding="utf-8"?>
<sst xmlns="http://schemas.openxmlformats.org/spreadsheetml/2006/main" count="18499" uniqueCount="1580">
  <si>
    <t>B2B Tech Hardware: SKU Pricing, Deal Desk &amp; Margin Leakage Model</t>
  </si>
  <si>
    <t>Practice project by Chaewon Shin. ALL DATA IS SIMULATED for illustration; not real OEM, distributor, or company data.</t>
  </si>
  <si>
    <t>Business question</t>
  </si>
  <si>
    <t>We resell laptops, monitors and accessories to companies in 5 countries. What should each SKU cost, what should we charge, how low can Sales go on a big deal, and where are we losing margin?</t>
  </si>
  <si>
    <t>SHEET GUIDE</t>
  </si>
  <si>
    <t>Assumptions</t>
  </si>
  <si>
    <t>Inputs: FX, import duty, FX buffer, freight per unit by region; target and floor margin by category.</t>
  </si>
  <si>
    <t>SKU_Master</t>
  </si>
  <si>
    <t>30 SKUs: OEM, category, tier, lifecycle, vendor cost, base OEM rebate.</t>
  </si>
  <si>
    <t>Price_Book</t>
  </si>
  <si>
    <t>150 SKU x region rows: landed cost -&gt; target price (USD) -&gt; list price in local currency, plus floor price.</t>
  </si>
  <si>
    <t>Deal_Desk</t>
  </si>
  <si>
    <t>Quote checker for one big deal. Compares 'as requested' vs 'with deal-registration rebate' and returns the approval tier.</t>
  </si>
  <si>
    <t>FX_Scenario</t>
  </si>
  <si>
    <t>How much FX movement a list price can absorb before it breaks the margin floor.</t>
  </si>
  <si>
    <t>Orders</t>
  </si>
  <si>
    <t>12 months of simulated order lines (Oct 2025 - Sep 2026) with realized margin per line.</t>
  </si>
  <si>
    <t>Margin_Leakage</t>
  </si>
  <si>
    <t>Margin bridge (list -&gt; discounts -&gt; cost drift -&gt; FX -&gt; actual) and cuts by region, category, rep, month.</t>
  </si>
  <si>
    <t>Assortment</t>
  </si>
  <si>
    <t>ABC class per category and a keep / preferred / consolidate / phase-out recommendation per SKU.</t>
  </si>
  <si>
    <t>COLOR LEGEND</t>
  </si>
  <si>
    <t>Blue text</t>
  </si>
  <si>
    <t>Hard-coded input you can change.</t>
  </si>
  <si>
    <t>Yellow fill</t>
  </si>
  <si>
    <t>Key lever to try first (e.g. Deal_Desk inputs, FX shock, target margins).</t>
  </si>
  <si>
    <t>Green text</t>
  </si>
  <si>
    <t>Formula pulling from another sheet.</t>
  </si>
  <si>
    <t>Black text</t>
  </si>
  <si>
    <t>Formula on the same sheet.</t>
  </si>
  <si>
    <t>CORE FORMULAS</t>
  </si>
  <si>
    <t>Landed cost (USD)</t>
  </si>
  <si>
    <t>Vendor cost x (1 - OEM rebate) x (1 + import duty) + freight per unit</t>
  </si>
  <si>
    <t>Target price (USD)</t>
  </si>
  <si>
    <t>Landed cost / (1 - target margin)      (margin is on price, not markup on cost)</t>
  </si>
  <si>
    <t>List price (local)</t>
  </si>
  <si>
    <t>Round up to 5 of: target price x (1 + list headroom) x (1 + FX buffer) x FX rate</t>
  </si>
  <si>
    <t>Floor price</t>
  </si>
  <si>
    <t>Landed cost / (1 - floor margin). Below floor needs Finance approval.</t>
  </si>
  <si>
    <t>Approval tiers</t>
  </si>
  <si>
    <t>Margin &gt;= target: auto-approve | floor &lt;= margin &lt; target: Sales Lead | 0 &lt;= margin &lt; floor: Finance (VP) | margin &lt; 0: reject</t>
  </si>
  <si>
    <t>VAT / GST</t>
  </si>
  <si>
    <t>Excluded. B2B prices are quoted ex-VAT and business buyers reclaim VAT, so it does not change our margin.</t>
  </si>
  <si>
    <t>HEADLINE NUMBERS (live)</t>
  </si>
  <si>
    <t>Revenue (USD)</t>
  </si>
  <si>
    <t>Gross margin %</t>
  </si>
  <si>
    <t>Target margin % (weighted)</t>
  </si>
  <si>
    <t>Shortfall vs target (USD)</t>
  </si>
  <si>
    <t>Discount impact (USD)</t>
  </si>
  <si>
    <t>Cost increases not repriced (USD)</t>
  </si>
  <si>
    <t>FX impact (USD)</t>
  </si>
  <si>
    <t>Blue = input. Rates are illustrative (simulated). FX = units of local currency per 1 USD.</t>
  </si>
  <si>
    <t>Region economics</t>
  </si>
  <si>
    <t>Freight &amp; handling per unit (USD)</t>
  </si>
  <si>
    <t>Region</t>
  </si>
  <si>
    <t>Currency</t>
  </si>
  <si>
    <t>FX (local per USD)</t>
  </si>
  <si>
    <t>Import duty %</t>
  </si>
  <si>
    <t>FX buffer %</t>
  </si>
  <si>
    <t>Laptop</t>
  </si>
  <si>
    <t>Monitor</t>
  </si>
  <si>
    <t>Accessory</t>
  </si>
  <si>
    <t>US</t>
  </si>
  <si>
    <t>USD</t>
  </si>
  <si>
    <t>UK</t>
  </si>
  <si>
    <t>GBP</t>
  </si>
  <si>
    <t>DE</t>
  </si>
  <si>
    <t>EUR</t>
  </si>
  <si>
    <t>CA</t>
  </si>
  <si>
    <t>CAD</t>
  </si>
  <si>
    <t>IN</t>
  </si>
  <si>
    <t>INR</t>
  </si>
  <si>
    <t>FX buffer = extra cushion built into non-USD list prices so a small currency move does not erase margin. Duty for IN is an illustrative 11% on IT hardware.</t>
  </si>
  <si>
    <t>Category margin policy</t>
  </si>
  <si>
    <t>Category</t>
  </si>
  <si>
    <t>Target margin</t>
  </si>
  <si>
    <t>Floor margin</t>
  </si>
  <si>
    <t>List headroom %</t>
  </si>
  <si>
    <t>Laptops carry thin margins (commoditized, price-transparent); accessories carry the margin. Gross margin on price. List headroom = room for normal negotiation built into list price, so a standard discount still lands on target.</t>
  </si>
  <si>
    <t>Assortment rules</t>
  </si>
  <si>
    <t>Class A = top cumulative revenue share up to</t>
  </si>
  <si>
    <t>Class B = up to</t>
  </si>
  <si>
    <t>Low-volume threshold (share of category units)</t>
  </si>
  <si>
    <t>Margin tolerance below target before flagging (pts)</t>
  </si>
  <si>
    <t>SKU Master</t>
  </si>
  <si>
    <t>Vendor cost = price we pay the OEM/distributor per unit (USD, illustrative). Base rebate = standing OEM partner rebate.</t>
  </si>
  <si>
    <t>SKU</t>
  </si>
  <si>
    <t>OEM</t>
  </si>
  <si>
    <t>Model</t>
  </si>
  <si>
    <t>Tier</t>
  </si>
  <si>
    <t>Lifecycle</t>
  </si>
  <si>
    <t>Vendor cost (USD)</t>
  </si>
  <si>
    <t>Base OEM rebate %</t>
  </si>
  <si>
    <t>L01</t>
  </si>
  <si>
    <t>Apple</t>
  </si>
  <si>
    <t>MacBook Air 13 M3 16GB/512GB</t>
  </si>
  <si>
    <t>Mainstream</t>
  </si>
  <si>
    <t>Active</t>
  </si>
  <si>
    <t>L02</t>
  </si>
  <si>
    <t>MacBook Pro 14 M3 Pro 18GB/512GB</t>
  </si>
  <si>
    <t>Premium</t>
  </si>
  <si>
    <t>L03</t>
  </si>
  <si>
    <t>MacBook Pro 16 M3 Max 36GB/1TB</t>
  </si>
  <si>
    <t>L04</t>
  </si>
  <si>
    <t>Dell</t>
  </si>
  <si>
    <t>Latitude 5450 i5/16GB/512GB</t>
  </si>
  <si>
    <t>L05</t>
  </si>
  <si>
    <t>Latitude 7450 i7/16GB/512GB</t>
  </si>
  <si>
    <t>L06</t>
  </si>
  <si>
    <t>XPS 13 9340 Ultra 7/16GB/512GB</t>
  </si>
  <si>
    <t>L07</t>
  </si>
  <si>
    <t>Lenovo</t>
  </si>
  <si>
    <t>ThinkPad T14 Gen 5 i5/16GB/512GB</t>
  </si>
  <si>
    <t>L08</t>
  </si>
  <si>
    <t>ThinkPad X1 Carbon Gen 12 i7/32GB/1TB</t>
  </si>
  <si>
    <t>L09</t>
  </si>
  <si>
    <t>ThinkPad E14 Gen 6 i5/16GB/256GB</t>
  </si>
  <si>
    <t>Entry</t>
  </si>
  <si>
    <t>L10</t>
  </si>
  <si>
    <t>HP</t>
  </si>
  <si>
    <t>EliteBook 840 G11 Ultra 5/16GB/512GB</t>
  </si>
  <si>
    <t>L11</t>
  </si>
  <si>
    <t>ProBook 450 G10 i5/16GB/256GB</t>
  </si>
  <si>
    <t>L12</t>
  </si>
  <si>
    <t>Microsoft</t>
  </si>
  <si>
    <t>Surface Laptop 6 Ultra 5/16GB/256GB</t>
  </si>
  <si>
    <t>L13</t>
  </si>
  <si>
    <t>Acer</t>
  </si>
  <si>
    <t>TravelMate P4 i5/16GB/512GB</t>
  </si>
  <si>
    <t>L14</t>
  </si>
  <si>
    <t>ASUS</t>
  </si>
  <si>
    <t>ExpertBook B5 i5/16GB/512GB</t>
  </si>
  <si>
    <t>L15</t>
  </si>
  <si>
    <t>Latitude 5440 i5/16GB/512GB (prev. gen)</t>
  </si>
  <si>
    <t>EOL</t>
  </si>
  <si>
    <t>M01</t>
  </si>
  <si>
    <t>P2425H 24in FHD</t>
  </si>
  <si>
    <t>24in</t>
  </si>
  <si>
    <t>M02</t>
  </si>
  <si>
    <t>U2724D 27in QHD</t>
  </si>
  <si>
    <t>27in</t>
  </si>
  <si>
    <t>M03</t>
  </si>
  <si>
    <t>LG</t>
  </si>
  <si>
    <t>27UP850-W 27in 4K</t>
  </si>
  <si>
    <t>M04</t>
  </si>
  <si>
    <t>ThinkVision T27h-30 27in QHD</t>
  </si>
  <si>
    <t>M05</t>
  </si>
  <si>
    <t>E24 G5 24in FHD</t>
  </si>
  <si>
    <t>M06</t>
  </si>
  <si>
    <t>Samsung</t>
  </si>
  <si>
    <t>ViewFinity S6 27in QHD</t>
  </si>
  <si>
    <t>A01</t>
  </si>
  <si>
    <t>WD22TB4 Thunderbolt Dock</t>
  </si>
  <si>
    <t>Dock</t>
  </si>
  <si>
    <t>A02</t>
  </si>
  <si>
    <t>CalDigit</t>
  </si>
  <si>
    <t>TS4 Thunderbolt Dock</t>
  </si>
  <si>
    <t>A03</t>
  </si>
  <si>
    <t>Logitech</t>
  </si>
  <si>
    <t>MX Keys S Keyboard</t>
  </si>
  <si>
    <t>Keyboard</t>
  </si>
  <si>
    <t>A04</t>
  </si>
  <si>
    <t>MX Master 3S Mouse</t>
  </si>
  <si>
    <t>Mouse</t>
  </si>
  <si>
    <t>A05</t>
  </si>
  <si>
    <t>Magic Keyboard with Touch ID</t>
  </si>
  <si>
    <t>A06</t>
  </si>
  <si>
    <t>Jabra</t>
  </si>
  <si>
    <t>Evolve2 65 Headset</t>
  </si>
  <si>
    <t>Headset</t>
  </si>
  <si>
    <t>A07</t>
  </si>
  <si>
    <t>Poly</t>
  </si>
  <si>
    <t>Voyager 4320 Headset</t>
  </si>
  <si>
    <t>A08</t>
  </si>
  <si>
    <t>Generic</t>
  </si>
  <si>
    <t>15in Laptop Backpack</t>
  </si>
  <si>
    <t>Bag</t>
  </si>
  <si>
    <t>A09</t>
  </si>
  <si>
    <t>Anker</t>
  </si>
  <si>
    <t>100W USB-C Charger</t>
  </si>
  <si>
    <t>Power</t>
  </si>
  <si>
    <t>Price Book (SKU x Region)</t>
  </si>
  <si>
    <t>All formulas. Change Assumptions or SKU_Master and every price updates.</t>
  </si>
  <si>
    <t>OEM rebate %</t>
  </si>
  <si>
    <t>Net cost after rebate</t>
  </si>
  <si>
    <t>Duty %</t>
  </si>
  <si>
    <t>Duty (USD)</t>
  </si>
  <si>
    <t>Freight (USD)</t>
  </si>
  <si>
    <t>FX (book)</t>
  </si>
  <si>
    <t>Floor price (USD)</t>
  </si>
  <si>
    <t>Floor price (local)</t>
  </si>
  <si>
    <t>List margin at book FX</t>
  </si>
  <si>
    <t>Lookup key</t>
  </si>
  <si>
    <t>List price is in local currency, ex-VAT. 'List margin at book FX' is above target by design: list headroom, FX buffer and rounding leave room to negotiate.</t>
  </si>
  <si>
    <t>Deal Desk: special-pricing check</t>
  </si>
  <si>
    <t>Yellow cells are inputs. Example: a customer asks for 500 ThinkPad X1 Carbon at $1,600 each.</t>
  </si>
  <si>
    <t>Deal inputs</t>
  </si>
  <si>
    <t>Quantity (units)</t>
  </si>
  <si>
    <t>Requested unit price (local currency, ex-VAT)</t>
  </si>
  <si>
    <t>Scenario</t>
  </si>
  <si>
    <t>A: As requested</t>
  </si>
  <si>
    <t>B: + deal registration</t>
  </si>
  <si>
    <t>What it means</t>
  </si>
  <si>
    <t>Extra OEM deal-registration rebate %</t>
  </si>
  <si>
    <t>OEMs give extra rebate when a big deal is registered with them first.</t>
  </si>
  <si>
    <t>Volume freight discount %</t>
  </si>
  <si>
    <t>Consolidated shipment of 500 units is cheaper per unit.</t>
  </si>
  <si>
    <t>Price book list price (local)</t>
  </si>
  <si>
    <t>Standard price before any discount.</t>
  </si>
  <si>
    <t>Discount vs list</t>
  </si>
  <si>
    <t>Net cost after base + extra rebate (USD)</t>
  </si>
  <si>
    <t>Effective vendor cost.</t>
  </si>
  <si>
    <t>Import duty (USD)</t>
  </si>
  <si>
    <t>Freight per unit (USD)</t>
  </si>
  <si>
    <t>Landed cost per unit (USD)</t>
  </si>
  <si>
    <t>FX (book, local per USD)</t>
  </si>
  <si>
    <t>Requested price (USD)</t>
  </si>
  <si>
    <t>Gross profit per unit (USD)</t>
  </si>
  <si>
    <t>Deal margin %</t>
  </si>
  <si>
    <t>Gross margin on price.</t>
  </si>
  <si>
    <t>Total deal revenue (USD)</t>
  </si>
  <si>
    <t>Total deal gross profit (USD)</t>
  </si>
  <si>
    <t>APPROVAL</t>
  </si>
  <si>
    <t>Guardrail tier from the margin policy.</t>
  </si>
  <si>
    <t>Lowest price at floor margin (local)</t>
  </si>
  <si>
    <t>Walk-away price without Finance.</t>
  </si>
  <si>
    <t>Counter-offer at target margin (local)</t>
  </si>
  <si>
    <t>Price that keeps target margin.</t>
  </si>
  <si>
    <t>Max discount vs list at floor</t>
  </si>
  <si>
    <t>Take-away</t>
  </si>
  <si>
    <t>Note: deal desk prices at book FX with no FX buffer; for non-USD deals, add the region's buffer or set a short quote validity.</t>
  </si>
  <si>
    <t>FX Scenario: how much currency movement can a list price absorb?</t>
  </si>
  <si>
    <t>Positive shock = local currency weakens (more local units per USD), so each local price is worth fewer dollars.</t>
  </si>
  <si>
    <t>Book FX (local per USD)</t>
  </si>
  <si>
    <t>Break-even FX at floor margin</t>
  </si>
  <si>
    <t>FX move absorbed before hitting floor</t>
  </si>
  <si>
    <t>FX shock</t>
  </si>
  <si>
    <t>FX rate</t>
  </si>
  <si>
    <t>Price in USD</t>
  </si>
  <si>
    <t>Gross profit / unit (USD)</t>
  </si>
  <si>
    <t>Margin %</t>
  </si>
  <si>
    <t>Status</t>
  </si>
  <si>
    <t>Order lines (simulated, Oct 2025 - Sep 2026)</t>
  </si>
  <si>
    <t>Columns A-Q = raw data from the 'ERP'. Columns R-AH = formulas.</t>
  </si>
  <si>
    <t>Order ID</t>
  </si>
  <si>
    <t>Line</t>
  </si>
  <si>
    <t>Order date</t>
  </si>
  <si>
    <t>Month</t>
  </si>
  <si>
    <t>Customer</t>
  </si>
  <si>
    <t>Segment</t>
  </si>
  <si>
    <t>Rep</t>
  </si>
  <si>
    <t>Qty</t>
  </si>
  <si>
    <t>Quoted price (local)</t>
  </si>
  <si>
    <t>Approval logged</t>
  </si>
  <si>
    <t>FX book</t>
  </si>
  <si>
    <t>FX actual</t>
  </si>
  <si>
    <t>Book landed cost (USD)</t>
  </si>
  <si>
    <t>Actual landed cost (USD)</t>
  </si>
  <si>
    <t>Discount %</t>
  </si>
  <si>
    <t>Revenue at list, book FX</t>
  </si>
  <si>
    <t>Revenue at book FX</t>
  </si>
  <si>
    <t>Discount impact</t>
  </si>
  <si>
    <t>FX impact</t>
  </si>
  <si>
    <t>Book COGS</t>
  </si>
  <si>
    <t>Actual COGS</t>
  </si>
  <si>
    <t>Cost variance</t>
  </si>
  <si>
    <t>Gross profit</t>
  </si>
  <si>
    <t>Below floor</t>
  </si>
  <si>
    <t>Unapproved below floor</t>
  </si>
  <si>
    <t>Shortfall vs target</t>
  </si>
  <si>
    <t>SO-00001</t>
  </si>
  <si>
    <t>2025-10-19</t>
  </si>
  <si>
    <t>2025-10</t>
  </si>
  <si>
    <t>C025</t>
  </si>
  <si>
    <t>SMB</t>
  </si>
  <si>
    <t>R01</t>
  </si>
  <si>
    <t>N</t>
  </si>
  <si>
    <t>SO-00002</t>
  </si>
  <si>
    <t>2025-10-05</t>
  </si>
  <si>
    <t>C020</t>
  </si>
  <si>
    <t>Mid-market</t>
  </si>
  <si>
    <t>R02</t>
  </si>
  <si>
    <t>SO-00003</t>
  </si>
  <si>
    <t>2025-10-04</t>
  </si>
  <si>
    <t>C013</t>
  </si>
  <si>
    <t>SO-00004</t>
  </si>
  <si>
    <t>2025-10-08</t>
  </si>
  <si>
    <t>C027</t>
  </si>
  <si>
    <t>R03</t>
  </si>
  <si>
    <t>SO-00005</t>
  </si>
  <si>
    <t>2025-10-16</t>
  </si>
  <si>
    <t>SO-00006</t>
  </si>
  <si>
    <t>2025-10-27</t>
  </si>
  <si>
    <t>C007</t>
  </si>
  <si>
    <t>SO-00007</t>
  </si>
  <si>
    <t>2025-10-24</t>
  </si>
  <si>
    <t>C030</t>
  </si>
  <si>
    <t>Enterprise</t>
  </si>
  <si>
    <t>R06</t>
  </si>
  <si>
    <t>SO-00008</t>
  </si>
  <si>
    <t>2025-10-23</t>
  </si>
  <si>
    <t>C010</t>
  </si>
  <si>
    <t>R04</t>
  </si>
  <si>
    <t>SO-00009</t>
  </si>
  <si>
    <t>2025-10-25</t>
  </si>
  <si>
    <t>C035</t>
  </si>
  <si>
    <t>R05</t>
  </si>
  <si>
    <t>SO-00010</t>
  </si>
  <si>
    <t>2025-10-03</t>
  </si>
  <si>
    <t>C006</t>
  </si>
  <si>
    <t>SO-00011</t>
  </si>
  <si>
    <t>C029</t>
  </si>
  <si>
    <t>Y</t>
  </si>
  <si>
    <t>SO-00012</t>
  </si>
  <si>
    <t>C024</t>
  </si>
  <si>
    <t>SO-00013</t>
  </si>
  <si>
    <t>2025-10-15</t>
  </si>
  <si>
    <t>C011</t>
  </si>
  <si>
    <t>SO-00014</t>
  </si>
  <si>
    <t>2025-10-29</t>
  </si>
  <si>
    <t>SO-00015</t>
  </si>
  <si>
    <t>2025-10-13</t>
  </si>
  <si>
    <t>C033</t>
  </si>
  <si>
    <t>SO-00016</t>
  </si>
  <si>
    <t>2025-10-01</t>
  </si>
  <si>
    <t>C036</t>
  </si>
  <si>
    <t>SO-00017</t>
  </si>
  <si>
    <t>SO-00018</t>
  </si>
  <si>
    <t>2025-10-30</t>
  </si>
  <si>
    <t>SO-00019</t>
  </si>
  <si>
    <t>2025-10-11</t>
  </si>
  <si>
    <t>SO-00020</t>
  </si>
  <si>
    <t>2025-10-18</t>
  </si>
  <si>
    <t>C012</t>
  </si>
  <si>
    <t>SO-00021</t>
  </si>
  <si>
    <t>SO-00022</t>
  </si>
  <si>
    <t>C039</t>
  </si>
  <si>
    <t>SO-00023</t>
  </si>
  <si>
    <t>2025-10-17</t>
  </si>
  <si>
    <t>C028</t>
  </si>
  <si>
    <t>SO-00024</t>
  </si>
  <si>
    <t>SO-00025</t>
  </si>
  <si>
    <t>2025-10-09</t>
  </si>
  <si>
    <t>C026</t>
  </si>
  <si>
    <t>SO-00026</t>
  </si>
  <si>
    <t>SO-00027</t>
  </si>
  <si>
    <t>C005</t>
  </si>
  <si>
    <t>SO-00028</t>
  </si>
  <si>
    <t>2025-10-02</t>
  </si>
  <si>
    <t>C001</t>
  </si>
  <si>
    <t>SO-00029</t>
  </si>
  <si>
    <t>2025-10-28</t>
  </si>
  <si>
    <t>SO-00030</t>
  </si>
  <si>
    <t>2025-10-31</t>
  </si>
  <si>
    <t>SO-00031</t>
  </si>
  <si>
    <t>C022</t>
  </si>
  <si>
    <t>SO-00032</t>
  </si>
  <si>
    <t>SO-00033</t>
  </si>
  <si>
    <t>C015</t>
  </si>
  <si>
    <t>SO-00034</t>
  </si>
  <si>
    <t>C019</t>
  </si>
  <si>
    <t>SO-00035</t>
  </si>
  <si>
    <t>C037</t>
  </si>
  <si>
    <t>SO-00036</t>
  </si>
  <si>
    <t>SO-00037</t>
  </si>
  <si>
    <t>SO-00038</t>
  </si>
  <si>
    <t>C021</t>
  </si>
  <si>
    <t>SO-00039</t>
  </si>
  <si>
    <t>C003</t>
  </si>
  <si>
    <t>SO-00040</t>
  </si>
  <si>
    <t>SO-00041</t>
  </si>
  <si>
    <t>2025-10-22</t>
  </si>
  <si>
    <t>SO-00042</t>
  </si>
  <si>
    <t>SO-00043</t>
  </si>
  <si>
    <t>C038</t>
  </si>
  <si>
    <t>SO-00044</t>
  </si>
  <si>
    <t>SO-00045</t>
  </si>
  <si>
    <t>SO-00046</t>
  </si>
  <si>
    <t>SO-00047</t>
  </si>
  <si>
    <t>2025-10-20</t>
  </si>
  <si>
    <t>SO-00048</t>
  </si>
  <si>
    <t>2025-10-26</t>
  </si>
  <si>
    <t>SO-00049</t>
  </si>
  <si>
    <t>SO-00050</t>
  </si>
  <si>
    <t>C032</t>
  </si>
  <si>
    <t>SO-00051</t>
  </si>
  <si>
    <t>SO-00052</t>
  </si>
  <si>
    <t>2025-10-14</t>
  </si>
  <si>
    <t>SO-00053</t>
  </si>
  <si>
    <t>2025-10-06</t>
  </si>
  <si>
    <t>SO-00054</t>
  </si>
  <si>
    <t>SO-00055</t>
  </si>
  <si>
    <t>SO-00056</t>
  </si>
  <si>
    <t>C031</t>
  </si>
  <si>
    <t>SO-00057</t>
  </si>
  <si>
    <t>C008</t>
  </si>
  <si>
    <t>SO-00058</t>
  </si>
  <si>
    <t>C023</t>
  </si>
  <si>
    <t>SO-00059</t>
  </si>
  <si>
    <t>SO-00060</t>
  </si>
  <si>
    <t>SO-00061</t>
  </si>
  <si>
    <t>SO-00062</t>
  </si>
  <si>
    <t>SO-00063</t>
  </si>
  <si>
    <t>SO-00064</t>
  </si>
  <si>
    <t>SO-00065</t>
  </si>
  <si>
    <t>SO-00066</t>
  </si>
  <si>
    <t>SO-00067</t>
  </si>
  <si>
    <t>C016</t>
  </si>
  <si>
    <t>SO-00068</t>
  </si>
  <si>
    <t>SO-00069</t>
  </si>
  <si>
    <t>C017</t>
  </si>
  <si>
    <t>SO-00070</t>
  </si>
  <si>
    <t>SO-00071</t>
  </si>
  <si>
    <t>SO-00072</t>
  </si>
  <si>
    <t>SO-00073</t>
  </si>
  <si>
    <t>2025-11-04</t>
  </si>
  <si>
    <t>2025-11</t>
  </si>
  <si>
    <t>C018</t>
  </si>
  <si>
    <t>SO-00074</t>
  </si>
  <si>
    <t>2025-11-13</t>
  </si>
  <si>
    <t>SO-00075</t>
  </si>
  <si>
    <t>2025-11-19</t>
  </si>
  <si>
    <t>C014</t>
  </si>
  <si>
    <t>SO-00076</t>
  </si>
  <si>
    <t>2025-11-24</t>
  </si>
  <si>
    <t>SO-00077</t>
  </si>
  <si>
    <t>2025-11-06</t>
  </si>
  <si>
    <t>C040</t>
  </si>
  <si>
    <t>SO-00078</t>
  </si>
  <si>
    <t>SO-00079</t>
  </si>
  <si>
    <t>SO-00080</t>
  </si>
  <si>
    <t>2025-11-01</t>
  </si>
  <si>
    <t>SO-00081</t>
  </si>
  <si>
    <t>SO-00082</t>
  </si>
  <si>
    <t>2025-11-02</t>
  </si>
  <si>
    <t>SO-00083</t>
  </si>
  <si>
    <t>2025-11-14</t>
  </si>
  <si>
    <t>C034</t>
  </si>
  <si>
    <t>SO-00084</t>
  </si>
  <si>
    <t>2025-11-20</t>
  </si>
  <si>
    <t>SO-00085</t>
  </si>
  <si>
    <t>2025-11-05</t>
  </si>
  <si>
    <t>SO-00086</t>
  </si>
  <si>
    <t>2025-11-16</t>
  </si>
  <si>
    <t>SO-00087</t>
  </si>
  <si>
    <t>SO-00088</t>
  </si>
  <si>
    <t>2025-11-03</t>
  </si>
  <si>
    <t>SO-00089</t>
  </si>
  <si>
    <t>2025-11-27</t>
  </si>
  <si>
    <t>SO-00090</t>
  </si>
  <si>
    <t>2025-11-22</t>
  </si>
  <si>
    <t>SO-00091</t>
  </si>
  <si>
    <t>SO-00092</t>
  </si>
  <si>
    <t>2025-11-23</t>
  </si>
  <si>
    <t>SO-00093</t>
  </si>
  <si>
    <t>2025-11-10</t>
  </si>
  <si>
    <t>SO-00094</t>
  </si>
  <si>
    <t>SO-00095</t>
  </si>
  <si>
    <t>2025-11-26</t>
  </si>
  <si>
    <t>SO-00096</t>
  </si>
  <si>
    <t>SO-00097</t>
  </si>
  <si>
    <t>SO-00098</t>
  </si>
  <si>
    <t>2025-11-09</t>
  </si>
  <si>
    <t>SO-00099</t>
  </si>
  <si>
    <t>2025-11-17</t>
  </si>
  <si>
    <t>SO-00100</t>
  </si>
  <si>
    <t>2025-11-21</t>
  </si>
  <si>
    <t>SO-00101</t>
  </si>
  <si>
    <t>SO-00102</t>
  </si>
  <si>
    <t>SO-00103</t>
  </si>
  <si>
    <t>2025-11-12</t>
  </si>
  <si>
    <t>SO-00104</t>
  </si>
  <si>
    <t>2025-11-11</t>
  </si>
  <si>
    <t>SO-00105</t>
  </si>
  <si>
    <t>SO-00106</t>
  </si>
  <si>
    <t>2025-11-15</t>
  </si>
  <si>
    <t>SO-00107</t>
  </si>
  <si>
    <t>SO-00108</t>
  </si>
  <si>
    <t>SO-00109</t>
  </si>
  <si>
    <t>SO-00110</t>
  </si>
  <si>
    <t>2025-11-08</t>
  </si>
  <si>
    <t>SO-00111</t>
  </si>
  <si>
    <t>SO-00112</t>
  </si>
  <si>
    <t>SO-00113</t>
  </si>
  <si>
    <t>SO-00114</t>
  </si>
  <si>
    <t>2025-11-30</t>
  </si>
  <si>
    <t>SO-00115</t>
  </si>
  <si>
    <t>2025-11-18</t>
  </si>
  <si>
    <t>SO-00116</t>
  </si>
  <si>
    <t>SO-00117</t>
  </si>
  <si>
    <t>2025-11-29</t>
  </si>
  <si>
    <t>SO-00118</t>
  </si>
  <si>
    <t>SO-00119</t>
  </si>
  <si>
    <t>SO-00120</t>
  </si>
  <si>
    <t>SO-00121</t>
  </si>
  <si>
    <t>SO-00122</t>
  </si>
  <si>
    <t>SO-00123</t>
  </si>
  <si>
    <t>SO-00124</t>
  </si>
  <si>
    <t>C004</t>
  </si>
  <si>
    <t>SO-00125</t>
  </si>
  <si>
    <t>SO-00126</t>
  </si>
  <si>
    <t>SO-00127</t>
  </si>
  <si>
    <t>SO-00128</t>
  </si>
  <si>
    <t>SO-00129</t>
  </si>
  <si>
    <t>SO-00130</t>
  </si>
  <si>
    <t>SO-00131</t>
  </si>
  <si>
    <t>2025-11-07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</si>
  <si>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</si>
  <si>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</si>
  <si>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</si>
  <si>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</si>
  <si>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</si>
  <si>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</si>
  <si>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</si>
  <si>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</si>
  <si>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</si>
  <si>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</si>
  <si>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</si>
  <si>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</si>
  <si>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</si>
  <si>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</si>
  <si>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</si>
  <si>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</si>
  <si>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</si>
  <si>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</si>
  <si>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</si>
  <si>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2025-12-13</t>
  </si>
  <si>
    <t>2025-12</t>
  </si>
  <si>
    <t>SO-00151</t>
  </si>
  <si>
    <t>SO-00152</t>
  </si>
  <si>
    <t>2025-12-17</t>
  </si>
  <si>
    <t>SO-00153</t>
  </si>
  <si>
    <t>2025-12-30</t>
  </si>
  <si>
    <t>SO-00154</t>
  </si>
  <si>
    <t>2025-12-14</t>
  </si>
  <si>
    <t>SO-00155</t>
  </si>
  <si>
    <t>SO-00156</t>
  </si>
  <si>
    <t>2025-12-21</t>
  </si>
  <si>
    <t>SO-00157</t>
  </si>
  <si>
    <t>2025-12-31</t>
  </si>
  <si>
    <t>SO-00158</t>
  </si>
  <si>
    <t>2025-12-15</t>
  </si>
  <si>
    <t>SO-00159</t>
  </si>
  <si>
    <t>SO-00160</t>
  </si>
  <si>
    <t>2025-12-25</t>
  </si>
  <si>
    <t>SO-00161</t>
  </si>
  <si>
    <t>2025-12-07</t>
  </si>
  <si>
    <t>SO-00162</t>
  </si>
  <si>
    <t>2025-12-09</t>
  </si>
  <si>
    <t>SO-00163</t>
  </si>
  <si>
    <t>SO-00164</t>
  </si>
  <si>
    <t>2025-12-06</t>
  </si>
  <si>
    <t>SO-00165</t>
  </si>
  <si>
    <t>2025-12-22</t>
  </si>
  <si>
    <t>SO-00166</t>
  </si>
  <si>
    <t>SO-00167</t>
  </si>
  <si>
    <t>SO-00168</t>
  </si>
  <si>
    <t>2025-12-03</t>
  </si>
  <si>
    <t>C009</t>
  </si>
  <si>
    <t>SO-00169</t>
  </si>
  <si>
    <t>SO-00170</t>
  </si>
  <si>
    <t>2025-12-19</t>
  </si>
  <si>
    <t>SO-00171</t>
  </si>
  <si>
    <t>SO-00172</t>
  </si>
  <si>
    <t>2025-12-05</t>
  </si>
  <si>
    <t>SO-00173</t>
  </si>
  <si>
    <t>2025-12-08</t>
  </si>
  <si>
    <t>SO-00174</t>
  </si>
  <si>
    <t>SO-00175</t>
  </si>
  <si>
    <t>2025-12-20</t>
  </si>
  <si>
    <t>SO-00176</t>
  </si>
  <si>
    <t>2025-12-02</t>
  </si>
  <si>
    <t>SO-00177</t>
  </si>
  <si>
    <t>SO-00178</t>
  </si>
  <si>
    <t>2025-12-11</t>
  </si>
  <si>
    <t>SO-00179</t>
  </si>
  <si>
    <t>SO-00180</t>
  </si>
  <si>
    <t>2025-12-27</t>
  </si>
  <si>
    <t>SO-00181</t>
  </si>
  <si>
    <t>2025-12-01</t>
  </si>
  <si>
    <t>SO-00182</t>
  </si>
  <si>
    <t>SO-00183</t>
  </si>
  <si>
    <t>SO-00184</t>
  </si>
  <si>
    <t>2025-12-23</t>
  </si>
  <si>
    <t>SO-00185</t>
  </si>
  <si>
    <t>2025-12-12</t>
  </si>
  <si>
    <t>SO-00186</t>
  </si>
  <si>
    <t>SO-00187</t>
  </si>
  <si>
    <t>C002</t>
  </si>
  <si>
    <t>SO-00188</t>
  </si>
  <si>
    <t>SO-00189</t>
  </si>
  <si>
    <t>SO-00190</t>
  </si>
  <si>
    <t>2025-12-26</t>
  </si>
  <si>
    <t>SO-00191</t>
  </si>
  <si>
    <t>SO-00192</t>
  </si>
  <si>
    <t>SO-00193</t>
  </si>
  <si>
    <t>SO-00194</t>
  </si>
  <si>
    <t>SO-00195</t>
  </si>
  <si>
    <t>2025-12-16</t>
  </si>
  <si>
    <t>SO-00196</t>
  </si>
  <si>
    <t>SO-00197</t>
  </si>
  <si>
    <t>SO-00198</t>
  </si>
  <si>
    <t>SO-00199</t>
  </si>
  <si>
    <t>2025-12-28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</si>
  <si>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</si>
  <si>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</si>
  <si>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</si>
  <si>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</si>
  <si>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</si>
  <si>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</si>
  <si>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</si>
  <si>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</si>
  <si>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2025-12-10</t>
  </si>
  <si>
    <t>SO-00208</t>
  </si>
  <si>
    <t>SO-00209</t>
  </si>
  <si>
    <t>SO-00210</t>
  </si>
  <si>
    <t>SO-00211</t>
  </si>
  <si>
    <t>SO-00212</t>
  </si>
  <si>
    <t>2025-12-24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</si>
  <si>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</si>
  <si>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</si>
  <si>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</si>
  <si>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</si>
  <si>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</si>
  <si>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</si>
  <si>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</si>
  <si>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</si>
  <si>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2025-12-04</t>
  </si>
  <si>
    <t>SO-00221</t>
  </si>
  <si>
    <t>SO-00222</t>
  </si>
  <si>
    <t>SO-00223</t>
  </si>
  <si>
    <t>SO-00224</t>
  </si>
  <si>
    <t>SO-00225</t>
  </si>
  <si>
    <t>SO-00226</t>
  </si>
  <si>
    <t>SO-00227</t>
  </si>
  <si>
    <t>2026-01-26</t>
  </si>
  <si>
    <t>2026-01</t>
  </si>
  <si>
    <t>SO-00228</t>
  </si>
  <si>
    <t>2026-01-21</t>
  </si>
  <si>
    <t>SO-00229</t>
  </si>
  <si>
    <t>2026-01-13</t>
  </si>
  <si>
    <t>SO-00230</t>
  </si>
  <si>
    <t>2026-01-01</t>
  </si>
  <si>
    <t>SO-00231</t>
  </si>
  <si>
    <t>2026-01-19</t>
  </si>
  <si>
    <t>SO-00232</t>
  </si>
  <si>
    <t>2026-01-12</t>
  </si>
  <si>
    <t>SO-00233</t>
  </si>
  <si>
    <t>SO-00234</t>
  </si>
  <si>
    <t>2026-01-07</t>
  </si>
  <si>
    <t>SO-00235</t>
  </si>
  <si>
    <t>2026-01-02</t>
  </si>
  <si>
    <t>SO-00236</t>
  </si>
  <si>
    <t>2026-01-08</t>
  </si>
  <si>
    <t>SO-00237</t>
  </si>
  <si>
    <t>2026-01-29</t>
  </si>
  <si>
    <t>SO-00238</t>
  </si>
  <si>
    <t>SO-00239</t>
  </si>
  <si>
    <t>SO-00240</t>
  </si>
  <si>
    <t>2026-01-20</t>
  </si>
  <si>
    <t>SO-00241</t>
  </si>
  <si>
    <t>2026-01-31</t>
  </si>
  <si>
    <t>SO-00242</t>
  </si>
  <si>
    <t>SO-00243</t>
  </si>
  <si>
    <t>2026-01-03</t>
  </si>
  <si>
    <t>SO-00244</t>
  </si>
  <si>
    <t>2026-01-04</t>
  </si>
  <si>
    <t>SO-00245</t>
  </si>
  <si>
    <t>2026-01-24</t>
  </si>
  <si>
    <t>SO-00246</t>
  </si>
  <si>
    <t>2026-01-05</t>
  </si>
  <si>
    <t>SO-00247</t>
  </si>
  <si>
    <t>SO-00248</t>
  </si>
  <si>
    <t>SO-00249</t>
  </si>
  <si>
    <t>SO-00250</t>
  </si>
  <si>
    <t>2026-01-18</t>
  </si>
  <si>
    <t>SO-00251</t>
  </si>
  <si>
    <t>SO-00252</t>
  </si>
  <si>
    <t>2026-01-06</t>
  </si>
  <si>
    <t>SO-00253</t>
  </si>
  <si>
    <t>2026-01-15</t>
  </si>
  <si>
    <t>SO-00254</t>
  </si>
  <si>
    <t>SO-00255</t>
  </si>
  <si>
    <t>2026-01-23</t>
  </si>
  <si>
    <t>SO-00256</t>
  </si>
  <si>
    <t>SO-00257</t>
  </si>
  <si>
    <t>SO-00258</t>
  </si>
  <si>
    <t>2026-01-14</t>
  </si>
  <si>
    <t>SO-00259</t>
  </si>
  <si>
    <t>2026-01-27</t>
  </si>
  <si>
    <t>SO-00260</t>
  </si>
  <si>
    <t>SO-00261</t>
  </si>
  <si>
    <t>SO-00262</t>
  </si>
  <si>
    <t>SO-00263</t>
  </si>
  <si>
    <t>SO-00264</t>
  </si>
  <si>
    <t>2026-01-17</t>
  </si>
  <si>
    <t>SO-00265</t>
  </si>
  <si>
    <t>SO-00266</t>
  </si>
  <si>
    <t>SO-00267</t>
  </si>
  <si>
    <t>SO-00268</t>
  </si>
  <si>
    <t>2026-01-30</t>
  </si>
  <si>
    <t>SO-00269</t>
  </si>
  <si>
    <t>SO-00270</t>
  </si>
  <si>
    <t>2026-01-10</t>
  </si>
  <si>
    <t>SO-00271</t>
  </si>
  <si>
    <t>SO-00272</t>
  </si>
  <si>
    <t>SO-00273</t>
  </si>
  <si>
    <t>SO-00274</t>
  </si>
  <si>
    <t>2026-01-16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</si>
  <si>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</si>
  <si>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</si>
  <si>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</si>
  <si>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</si>
  <si>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</si>
  <si>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</si>
  <si>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</si>
  <si>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</si>
  <si>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</si>
  <si>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</si>
  <si>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</si>
  <si>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</si>
  <si>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</si>
  <si>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</si>
  <si>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</si>
  <si>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</si>
  <si>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</si>
  <si>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2026-01-22</t>
  </si>
  <si>
    <t>SO-00292</t>
  </si>
  <si>
    <t>SO-00293</t>
  </si>
  <si>
    <t>SO-00294</t>
  </si>
  <si>
    <t>SO-00295</t>
  </si>
  <si>
    <t>SO-00296</t>
  </si>
  <si>
    <t>2026-01-11</t>
  </si>
  <si>
    <t>SO-00297</t>
  </si>
  <si>
    <t>SO-00298</t>
  </si>
  <si>
    <t>SO-00299</t>
  </si>
  <si>
    <t>SO-00300</t>
  </si>
  <si>
    <t>2026-02-09</t>
  </si>
  <si>
    <t>2026-02</t>
  </si>
  <si>
    <t>SO-00301</t>
  </si>
  <si>
    <t>2026-02-05</t>
  </si>
  <si>
    <t>SO-00302</t>
  </si>
  <si>
    <t>SO-00303</t>
  </si>
  <si>
    <t>2026-02-02</t>
  </si>
  <si>
    <t>SO-00304</t>
  </si>
  <si>
    <t>2026-02-01</t>
  </si>
  <si>
    <t>SO-00305</t>
  </si>
  <si>
    <t>2026-02-20</t>
  </si>
  <si>
    <t>SO-00306</t>
  </si>
  <si>
    <t>2026-02-03</t>
  </si>
  <si>
    <t>SO-00307</t>
  </si>
  <si>
    <t>2026-02-27</t>
  </si>
  <si>
    <t>SO-00308</t>
  </si>
  <si>
    <t>2026-02-15</t>
  </si>
  <si>
    <t>SO-00309</t>
  </si>
  <si>
    <t>2026-02-23</t>
  </si>
  <si>
    <t>SO-00310</t>
  </si>
  <si>
    <t>2026-02-17</t>
  </si>
  <si>
    <t>SO-00311</t>
  </si>
  <si>
    <t>2026-02-24</t>
  </si>
  <si>
    <t>SO-00312</t>
  </si>
  <si>
    <t>SO-00313</t>
  </si>
  <si>
    <t>2026-02-04</t>
  </si>
  <si>
    <t>SO-00314</t>
  </si>
  <si>
    <t>SO-00315</t>
  </si>
  <si>
    <t>SO-00316</t>
  </si>
  <si>
    <t>2026-02-07</t>
  </si>
  <si>
    <t>SO-00317</t>
  </si>
  <si>
    <t>SO-00318</t>
  </si>
  <si>
    <t>2026-02-25</t>
  </si>
  <si>
    <t>SO-00319</t>
  </si>
  <si>
    <t>SO-00320</t>
  </si>
  <si>
    <t>SO-00321</t>
  </si>
  <si>
    <t>2026-02-10</t>
  </si>
  <si>
    <t>SO-00322</t>
  </si>
  <si>
    <t>SO-00323</t>
  </si>
  <si>
    <t>SO-00324</t>
  </si>
  <si>
    <t>2026-02-11</t>
  </si>
  <si>
    <t>SO-00325</t>
  </si>
  <si>
    <t>2026-02-13</t>
  </si>
  <si>
    <t>SO-00326</t>
  </si>
  <si>
    <t>SO-00327</t>
  </si>
  <si>
    <t>SO-00328</t>
  </si>
  <si>
    <t>SO-00329</t>
  </si>
  <si>
    <t>SO-00330</t>
  </si>
  <si>
    <t>2026-02-26</t>
  </si>
  <si>
    <t>SO-00331</t>
  </si>
  <si>
    <t>SO-00332</t>
  </si>
  <si>
    <t>2026-02-18</t>
  </si>
  <si>
    <t>SO-00333</t>
  </si>
  <si>
    <t>SO-00334</t>
  </si>
  <si>
    <t>SO-00335</t>
  </si>
  <si>
    <t>SO-00336</t>
  </si>
  <si>
    <t>2026-02-21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</si>
  <si>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</si>
  <si>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</si>
  <si>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</si>
  <si>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</si>
  <si>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</si>
  <si>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</si>
  <si>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</si>
  <si>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</si>
  <si>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</si>
  <si>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</si>
  <si>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</si>
  <si>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</si>
  <si>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</si>
  <si>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2026-02-22</t>
  </si>
  <si>
    <t>SO-00350</t>
  </si>
  <si>
    <t>SO-00351</t>
  </si>
  <si>
    <t>SO-00352</t>
  </si>
  <si>
    <t>2026-02-19</t>
  </si>
  <si>
    <t>SO-00353</t>
  </si>
  <si>
    <t>2026-02-06</t>
  </si>
  <si>
    <t>SO-00354</t>
  </si>
  <si>
    <t>SO-00355</t>
  </si>
  <si>
    <t>SO-00356</t>
  </si>
  <si>
    <t>2026-02-08</t>
  </si>
  <si>
    <t>SO-00357</t>
  </si>
  <si>
    <t>SO-00358</t>
  </si>
  <si>
    <t>SO-00359</t>
  </si>
  <si>
    <t>SO-00360</t>
  </si>
  <si>
    <t>2026-02-16</t>
  </si>
  <si>
    <t>SO-00361</t>
  </si>
  <si>
    <t>SO-00362</t>
  </si>
  <si>
    <t>SO-00363</t>
  </si>
  <si>
    <t>SO-00364</t>
  </si>
  <si>
    <t>SO-00365</t>
  </si>
  <si>
    <t>SO-00366</t>
  </si>
  <si>
    <t>2026-02-14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</si>
  <si>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</si>
  <si>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</si>
  <si>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</si>
  <si>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</si>
  <si>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</si>
  <si>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</si>
  <si>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</si>
  <si>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</si>
  <si>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</si>
  <si>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2026-02-28</t>
  </si>
  <si>
    <t>SO-00376</t>
  </si>
  <si>
    <t>SO-00377</t>
  </si>
  <si>
    <t>SO-00378</t>
  </si>
  <si>
    <t>2026-03-08</t>
  </si>
  <si>
    <t>2026-03</t>
  </si>
  <si>
    <t>SO-00379</t>
  </si>
  <si>
    <t>2026-03-17</t>
  </si>
  <si>
    <t>SO-00380</t>
  </si>
  <si>
    <t>SO-00381</t>
  </si>
  <si>
    <t>2026-03-10</t>
  </si>
  <si>
    <t>SO-00382</t>
  </si>
  <si>
    <t>2026-03-05</t>
  </si>
  <si>
    <t>SO-00383</t>
  </si>
  <si>
    <t>2026-03-21</t>
  </si>
  <si>
    <t>SO-00384</t>
  </si>
  <si>
    <t>2026-03-28</t>
  </si>
  <si>
    <t>SO-00385</t>
  </si>
  <si>
    <t>2026-03-19</t>
  </si>
  <si>
    <t>SO-00386</t>
  </si>
  <si>
    <t>SO-00387</t>
  </si>
  <si>
    <t>SO-00388</t>
  </si>
  <si>
    <t>2026-03-27</t>
  </si>
  <si>
    <t>SO-00389</t>
  </si>
  <si>
    <t>2026-03-15</t>
  </si>
  <si>
    <t>SO-00390</t>
  </si>
  <si>
    <t>SO-00391</t>
  </si>
  <si>
    <t>SO-00392</t>
  </si>
  <si>
    <t>SO-00393</t>
  </si>
  <si>
    <t>2026-03-31</t>
  </si>
  <si>
    <t>SO-00394</t>
  </si>
  <si>
    <t>2026-03-11</t>
  </si>
  <si>
    <t>SO-00395</t>
  </si>
  <si>
    <t>2026-03-03</t>
  </si>
  <si>
    <t>SO-00396</t>
  </si>
  <si>
    <t>2026-03-22</t>
  </si>
  <si>
    <t>SO-00397</t>
  </si>
  <si>
    <t>2026-03-12</t>
  </si>
  <si>
    <t>SO-00398</t>
  </si>
  <si>
    <t>2026-03-13</t>
  </si>
  <si>
    <t>SO-00399</t>
  </si>
  <si>
    <t>SO-00400</t>
  </si>
  <si>
    <t>SO-00401</t>
  </si>
  <si>
    <t>2026-03-30</t>
  </si>
  <si>
    <t>SO-00402</t>
  </si>
  <si>
    <t>2026-03-01</t>
  </si>
  <si>
    <t>SO-00403</t>
  </si>
  <si>
    <t>SO-00404</t>
  </si>
  <si>
    <t>2026-03-29</t>
  </si>
  <si>
    <t>SO-00405</t>
  </si>
  <si>
    <t>2026-03-26</t>
  </si>
  <si>
    <t>SO-00406</t>
  </si>
  <si>
    <t>SO-00407</t>
  </si>
  <si>
    <t>SO-00408</t>
  </si>
  <si>
    <t>SO-00409</t>
  </si>
  <si>
    <t>SO-00410</t>
  </si>
  <si>
    <t>SO-00411</t>
  </si>
  <si>
    <t>SO-00412</t>
  </si>
  <si>
    <t>2026-03-23</t>
  </si>
  <si>
    <t>SO-00413</t>
  </si>
  <si>
    <t>2026-03-04</t>
  </si>
  <si>
    <t>SO-00414</t>
  </si>
  <si>
    <t>2026-03-07</t>
  </si>
  <si>
    <t>SO-00415</t>
  </si>
  <si>
    <t>SO-00416</t>
  </si>
  <si>
    <t>2026-03-14</t>
  </si>
  <si>
    <t>SO-00417</t>
  </si>
  <si>
    <t>SO-00418</t>
  </si>
  <si>
    <t>2026-03-20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</si>
  <si>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</si>
  <si>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</si>
  <si>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</si>
  <si>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</si>
  <si>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</si>
  <si>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</si>
  <si>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</si>
  <si>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</si>
  <si>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</si>
  <si>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</si>
  <si>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</si>
  <si>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</si>
  <si>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</si>
  <si>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</si>
  <si>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</si>
  <si>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</si>
  <si>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</si>
  <si>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2026-03-16</t>
  </si>
  <si>
    <t>SO-00436</t>
  </si>
  <si>
    <t>SO-00437</t>
  </si>
  <si>
    <t>SO-00438</t>
  </si>
  <si>
    <t>2026-03-18</t>
  </si>
  <si>
    <t>SO-00439</t>
  </si>
  <si>
    <t>2026-03-09</t>
  </si>
  <si>
    <t>SO-00440</t>
  </si>
  <si>
    <t>SO-00441</t>
  </si>
  <si>
    <t>SO-00442</t>
  </si>
  <si>
    <t>SO-00443</t>
  </si>
  <si>
    <t>2026-03-02</t>
  </si>
  <si>
    <t>SO-00444</t>
  </si>
  <si>
    <t>2026-03-24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</si>
  <si>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</si>
  <si>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</si>
  <si>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</si>
  <si>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</si>
  <si>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</si>
  <si>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</si>
  <si>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</si>
  <si>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</si>
  <si>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</si>
  <si>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</si>
  <si>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</si>
  <si>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</si>
  <si>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</si>
  <si>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2026-03-06</t>
  </si>
  <si>
    <t>SO-00458</t>
  </si>
  <si>
    <t>SO-00459</t>
  </si>
  <si>
    <t>SO-00460</t>
  </si>
  <si>
    <t>SO-00461</t>
  </si>
  <si>
    <t>2026-04-14</t>
  </si>
  <si>
    <t>2026-04</t>
  </si>
  <si>
    <t>SO-00462</t>
  </si>
  <si>
    <t>2026-04-18</t>
  </si>
  <si>
    <t>SO-00463</t>
  </si>
  <si>
    <t>2026-04-09</t>
  </si>
  <si>
    <t>SO-00464</t>
  </si>
  <si>
    <t>2026-04-05</t>
  </si>
  <si>
    <t>SO-00465</t>
  </si>
  <si>
    <t>2026-04-07</t>
  </si>
  <si>
    <t>SO-00466</t>
  </si>
  <si>
    <t>2026-04-20</t>
  </si>
  <si>
    <t>SO-00467</t>
  </si>
  <si>
    <t>2026-04-24</t>
  </si>
  <si>
    <t>SO-00468</t>
  </si>
  <si>
    <t>2026-04-29</t>
  </si>
  <si>
    <t>SO-00469</t>
  </si>
  <si>
    <t>2026-04-08</t>
  </si>
  <si>
    <t>SO-00470</t>
  </si>
  <si>
    <t>2026-04-22</t>
  </si>
  <si>
    <t>SO-00471</t>
  </si>
  <si>
    <t>2026-04-25</t>
  </si>
  <si>
    <t>SO-00472</t>
  </si>
  <si>
    <t>SO-00473</t>
  </si>
  <si>
    <t>SO-00474</t>
  </si>
  <si>
    <t>2026-04-21</t>
  </si>
  <si>
    <t>SO-00475</t>
  </si>
  <si>
    <t>SO-00476</t>
  </si>
  <si>
    <t>2026-04-13</t>
  </si>
  <si>
    <t>SO-00477</t>
  </si>
  <si>
    <t>2026-04-06</t>
  </si>
  <si>
    <t>SO-00478</t>
  </si>
  <si>
    <t>2026-04-30</t>
  </si>
  <si>
    <t>SO-00479</t>
  </si>
  <si>
    <t>2026-04-17</t>
  </si>
  <si>
    <t>SO-00480</t>
  </si>
  <si>
    <t>2026-04-12</t>
  </si>
  <si>
    <t>SO-00481</t>
  </si>
  <si>
    <t>SO-00482</t>
  </si>
  <si>
    <t>2026-04-01</t>
  </si>
  <si>
    <t>SO-00483</t>
  </si>
  <si>
    <t>SO-00484</t>
  </si>
  <si>
    <t>SO-00485</t>
  </si>
  <si>
    <t>SO-00486</t>
  </si>
  <si>
    <t>2026-04-16</t>
  </si>
  <si>
    <t>SO-00487</t>
  </si>
  <si>
    <t>2026-04-15</t>
  </si>
  <si>
    <t>SO-00488</t>
  </si>
  <si>
    <t>SO-00489</t>
  </si>
  <si>
    <t>SO-00490</t>
  </si>
  <si>
    <t>SO-00491</t>
  </si>
  <si>
    <t>2026-04-02</t>
  </si>
  <si>
    <t>SO-00492</t>
  </si>
  <si>
    <t>SO-00493</t>
  </si>
  <si>
    <t>SO-00494</t>
  </si>
  <si>
    <t>2026-04-27</t>
  </si>
  <si>
    <t>SO-00495</t>
  </si>
  <si>
    <t>SO-00496</t>
  </si>
  <si>
    <t>2026-04-23</t>
  </si>
  <si>
    <t>SO-00497</t>
  </si>
  <si>
    <t>SO-00498</t>
  </si>
  <si>
    <t>SO-00499</t>
  </si>
  <si>
    <t>SO-00500</t>
  </si>
  <si>
    <t>SO-00501</t>
  </si>
  <si>
    <t>2026-04-10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</si>
  <si>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</si>
  <si>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</si>
  <si>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</si>
  <si>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</si>
  <si>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</si>
  <si>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</si>
  <si>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</si>
  <si>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</si>
  <si>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2026-04-11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</si>
  <si>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</si>
  <si>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</si>
  <si>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</si>
  <si>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</si>
  <si>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</si>
  <si>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</si>
  <si>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</si>
  <si>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</si>
  <si>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</si>
  <si>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</si>
  <si>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</si>
  <si>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</si>
  <si>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2026-04-28</t>
  </si>
  <si>
    <t>SO-00522</t>
  </si>
  <si>
    <t>SO-00523</t>
  </si>
  <si>
    <t>SO-00524</t>
  </si>
  <si>
    <t>SO-00525</t>
  </si>
  <si>
    <t>2026-04-26</t>
  </si>
  <si>
    <t>SO-00526</t>
  </si>
  <si>
    <t>2026-05-18</t>
  </si>
  <si>
    <t>2026-05</t>
  </si>
  <si>
    <t>SO-00527</t>
  </si>
  <si>
    <t>2026-05-10</t>
  </si>
  <si>
    <t>SO-00528</t>
  </si>
  <si>
    <t>2026-05-23</t>
  </si>
  <si>
    <t>SO-00529</t>
  </si>
  <si>
    <t>2026-05-31</t>
  </si>
  <si>
    <t>SO-00530</t>
  </si>
  <si>
    <t>SO-00531</t>
  </si>
  <si>
    <t>2026-05-19</t>
  </si>
  <si>
    <t>SO-00532</t>
  </si>
  <si>
    <t>SO-00533</t>
  </si>
  <si>
    <t>2026-05-26</t>
  </si>
  <si>
    <t>SO-00534</t>
  </si>
  <si>
    <t>2026-05-03</t>
  </si>
  <si>
    <t>SO-00535</t>
  </si>
  <si>
    <t>SO-00536</t>
  </si>
  <si>
    <t>SO-00537</t>
  </si>
  <si>
    <t>2026-05-29</t>
  </si>
  <si>
    <t>SO-00538</t>
  </si>
  <si>
    <t>2026-05-11</t>
  </si>
  <si>
    <t>SO-00539</t>
  </si>
  <si>
    <t>2026-05-06</t>
  </si>
  <si>
    <t>SO-00540</t>
  </si>
  <si>
    <t>2026-05-27</t>
  </si>
  <si>
    <t>SO-00541</t>
  </si>
  <si>
    <t>2026-05-17</t>
  </si>
  <si>
    <t>SO-00542</t>
  </si>
  <si>
    <t>SO-00543</t>
  </si>
  <si>
    <t>2026-05-24</t>
  </si>
  <si>
    <t>SO-00544</t>
  </si>
  <si>
    <t>2026-05-07</t>
  </si>
  <si>
    <t>SO-00545</t>
  </si>
  <si>
    <t>2026-05-28</t>
  </si>
  <si>
    <t>SO-00546</t>
  </si>
  <si>
    <t>SO-00547</t>
  </si>
  <si>
    <t>2026-05-02</t>
  </si>
  <si>
    <t>SO-00548</t>
  </si>
  <si>
    <t>SO-00549</t>
  </si>
  <si>
    <t>2026-05-25</t>
  </si>
  <si>
    <t>SO-00550</t>
  </si>
  <si>
    <t>SO-00551</t>
  </si>
  <si>
    <t>SO-00552</t>
  </si>
  <si>
    <t>2026-05-21</t>
  </si>
  <si>
    <t>SO-00553</t>
  </si>
  <si>
    <t>2026-05-16</t>
  </si>
  <si>
    <t>SO-00554</t>
  </si>
  <si>
    <t>SO-00555</t>
  </si>
  <si>
    <t>2026-05-22</t>
  </si>
  <si>
    <t>SO-00556</t>
  </si>
  <si>
    <t>SO-00557</t>
  </si>
  <si>
    <t>SO-00558</t>
  </si>
  <si>
    <t>2026-05-20</t>
  </si>
  <si>
    <t>SO-00559</t>
  </si>
  <si>
    <t>SO-00560</t>
  </si>
  <si>
    <t>SO-00561</t>
  </si>
  <si>
    <t>SO-00562</t>
  </si>
  <si>
    <t>2026-05-05</t>
  </si>
  <si>
    <t>SO-00563</t>
  </si>
  <si>
    <t>SO-00564</t>
  </si>
  <si>
    <t>SO-00565</t>
  </si>
  <si>
    <t>SO-00566</t>
  </si>
  <si>
    <t>2026-05-01</t>
  </si>
  <si>
    <t>SO-00567</t>
  </si>
  <si>
    <t>SO-00568</t>
  </si>
  <si>
    <t>SO-00569</t>
  </si>
  <si>
    <t>2026-05-12</t>
  </si>
  <si>
    <t>SO-00570</t>
  </si>
  <si>
    <t>SO-00571</t>
  </si>
  <si>
    <t>SO-00572</t>
  </si>
  <si>
    <t>2026-05-04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</si>
  <si>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</si>
  <si>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</si>
  <si>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</si>
  <si>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</si>
  <si>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</si>
  <si>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</si>
  <si>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</si>
  <si>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</si>
  <si>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2026-05-15</t>
  </si>
  <si>
    <t>SO-00581</t>
  </si>
  <si>
    <t>2026-05-30</t>
  </si>
  <si>
    <t>SO-00582</t>
  </si>
  <si>
    <t>SO-00583</t>
  </si>
  <si>
    <t>2026-05-09</t>
  </si>
  <si>
    <t>SO-00584</t>
  </si>
  <si>
    <t>SO-00585</t>
  </si>
  <si>
    <t>2026-05-14</t>
  </si>
  <si>
    <t>SO-00586</t>
  </si>
  <si>
    <t>2026-05-13</t>
  </si>
  <si>
    <t>SO-00587</t>
  </si>
  <si>
    <t>SO-00588</t>
  </si>
  <si>
    <t>SO-00589</t>
  </si>
  <si>
    <t>SO-00590</t>
  </si>
  <si>
    <t>SO-00591</t>
  </si>
  <si>
    <t>SO-00592</t>
  </si>
  <si>
    <t>SO-00593</t>
  </si>
  <si>
    <t>SO-00594</t>
  </si>
  <si>
    <t>SO-00595</t>
  </si>
  <si>
    <t>SO-00596</t>
  </si>
  <si>
    <t>SO-00597</t>
  </si>
  <si>
    <t>SO-00598</t>
  </si>
  <si>
    <t>2026-06-14</t>
  </si>
  <si>
    <t>2026-06</t>
  </si>
  <si>
    <t>SO-00599</t>
  </si>
  <si>
    <t>2026-06-16</t>
  </si>
  <si>
    <t>SO-00600</t>
  </si>
  <si>
    <t>2026-06-19</t>
  </si>
  <si>
    <t>SO-00601</t>
  </si>
  <si>
    <t>SO-00602</t>
  </si>
  <si>
    <t>2026-06-30</t>
  </si>
  <si>
    <t>SO-00603</t>
  </si>
  <si>
    <t>2026-06-28</t>
  </si>
  <si>
    <t>SO-00604</t>
  </si>
  <si>
    <t>2026-06-17</t>
  </si>
  <si>
    <t>SO-00605</t>
  </si>
  <si>
    <t>SO-00606</t>
  </si>
  <si>
    <t>2026-06-11</t>
  </si>
  <si>
    <t>SO-00607</t>
  </si>
  <si>
    <t>2026-06-06</t>
  </si>
  <si>
    <t>SO-00608</t>
  </si>
  <si>
    <t>SO-00609</t>
  </si>
  <si>
    <t>SO-00610</t>
  </si>
  <si>
    <t>2026-06-04</t>
  </si>
  <si>
    <t>SO-00611</t>
  </si>
  <si>
    <t>2026-06-05</t>
  </si>
  <si>
    <t>SO-00612</t>
  </si>
  <si>
    <t>2026-06-07</t>
  </si>
  <si>
    <t>SO-00613</t>
  </si>
  <si>
    <t>2026-06-26</t>
  </si>
  <si>
    <t>SO-00614</t>
  </si>
  <si>
    <t>SO-00615</t>
  </si>
  <si>
    <t>2026-06-15</t>
  </si>
  <si>
    <t>SO-00616</t>
  </si>
  <si>
    <t>2026-06-02</t>
  </si>
  <si>
    <t>SO-00617</t>
  </si>
  <si>
    <t>SO-00618</t>
  </si>
  <si>
    <t>2026-06-03</t>
  </si>
  <si>
    <t>SO-00619</t>
  </si>
  <si>
    <t>2026-06-08</t>
  </si>
  <si>
    <t>SO-00620</t>
  </si>
  <si>
    <t>SO-00621</t>
  </si>
  <si>
    <t>2026-06-24</t>
  </si>
  <si>
    <t>SO-00622</t>
  </si>
  <si>
    <t>SO-00623</t>
  </si>
  <si>
    <t>SO-00624</t>
  </si>
  <si>
    <t>SO-00625</t>
  </si>
  <si>
    <t>SO-00626</t>
  </si>
  <si>
    <t>2026-06-09</t>
  </si>
  <si>
    <t>SO-00627</t>
  </si>
  <si>
    <t>SO-00628</t>
  </si>
  <si>
    <t>2026-06-21</t>
  </si>
  <si>
    <t>SO-00629</t>
  </si>
  <si>
    <t>SO-00630</t>
  </si>
  <si>
    <t>2026-06-22</t>
  </si>
  <si>
    <t>SO-00631</t>
  </si>
  <si>
    <t>2026-06-20</t>
  </si>
  <si>
    <t>SO-00632</t>
  </si>
  <si>
    <t>2026-06-10</t>
  </si>
  <si>
    <t>SO-00633</t>
  </si>
  <si>
    <t>SO-00634</t>
  </si>
  <si>
    <t>2026-06-01</t>
  </si>
  <si>
    <t>SO-00635</t>
  </si>
  <si>
    <t>2026-06-27</t>
  </si>
  <si>
    <t>SO-00636</t>
  </si>
  <si>
    <t>2026-06-25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</si>
  <si>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</si>
  <si>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</si>
  <si>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</si>
  <si>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</si>
  <si>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</si>
  <si>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</si>
  <si>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</si>
  <si>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</si>
  <si>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</si>
  <si>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</si>
  <si>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</si>
  <si>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2026-06-18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</si>
  <si>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</si>
  <si>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</si>
  <si>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</si>
  <si>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</si>
  <si>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</si>
  <si>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</si>
  <si>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</si>
  <si>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</si>
  <si>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</si>
  <si>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</si>
  <si>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</si>
  <si>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</si>
  <si>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</si>
  <si>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</si>
  <si>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</si>
  <si>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2026-06-13</t>
  </si>
  <si>
    <t>SO-00663</t>
  </si>
  <si>
    <t>SO-00664</t>
  </si>
  <si>
    <t>SO-00665</t>
  </si>
  <si>
    <t>SO-00666</t>
  </si>
  <si>
    <t>SO-00667</t>
  </si>
  <si>
    <t>SO-00668</t>
  </si>
  <si>
    <t>2026-06-23</t>
  </si>
  <si>
    <t>SO-00669</t>
  </si>
  <si>
    <t>SO-00670</t>
  </si>
  <si>
    <t>SO-00671</t>
  </si>
  <si>
    <t>2026-06-29</t>
  </si>
  <si>
    <t>SO-00672</t>
  </si>
  <si>
    <t>2026-07-28</t>
  </si>
  <si>
    <t>2026-07</t>
  </si>
  <si>
    <t>SO-00673</t>
  </si>
  <si>
    <t>2026-07-04</t>
  </si>
  <si>
    <t>SO-00674</t>
  </si>
  <si>
    <t>2026-07-23</t>
  </si>
  <si>
    <t>SO-00675</t>
  </si>
  <si>
    <t>2026-07-11</t>
  </si>
  <si>
    <t>SO-00676</t>
  </si>
  <si>
    <t>2026-07-19</t>
  </si>
  <si>
    <t>SO-00677</t>
  </si>
  <si>
    <t>2026-07-10</t>
  </si>
  <si>
    <t>SO-00678</t>
  </si>
  <si>
    <t>2026-07-15</t>
  </si>
  <si>
    <t>SO-00679</t>
  </si>
  <si>
    <t>SO-00680</t>
  </si>
  <si>
    <t>2026-07-01</t>
  </si>
  <si>
    <t>SO-00681</t>
  </si>
  <si>
    <t>2026-07-30</t>
  </si>
  <si>
    <t>SO-00682</t>
  </si>
  <si>
    <t>SO-00683</t>
  </si>
  <si>
    <t>2026-07-09</t>
  </si>
  <si>
    <t>SO-00684</t>
  </si>
  <si>
    <t>2026-07-22</t>
  </si>
  <si>
    <t>SO-00685</t>
  </si>
  <si>
    <t>2026-07-12</t>
  </si>
  <si>
    <t>SO-00686</t>
  </si>
  <si>
    <t>SO-00687</t>
  </si>
  <si>
    <t>SO-00688</t>
  </si>
  <si>
    <t>2026-07-21</t>
  </si>
  <si>
    <t>SO-00689</t>
  </si>
  <si>
    <t>2026-07-16</t>
  </si>
  <si>
    <t>SO-00690</t>
  </si>
  <si>
    <t>2026-07-29</t>
  </si>
  <si>
    <t>SO-00691</t>
  </si>
  <si>
    <t>2026-07-13</t>
  </si>
  <si>
    <t>SO-00692</t>
  </si>
  <si>
    <t>2026-07-27</t>
  </si>
  <si>
    <t>SO-00693</t>
  </si>
  <si>
    <t>SO-00694</t>
  </si>
  <si>
    <t>SO-00695</t>
  </si>
  <si>
    <t>SO-00696</t>
  </si>
  <si>
    <t>SO-00697</t>
  </si>
  <si>
    <t>SO-00698</t>
  </si>
  <si>
    <t>2026-07-18</t>
  </si>
  <si>
    <t>SO-00699</t>
  </si>
  <si>
    <t>2026-07-06</t>
  </si>
  <si>
    <t>SO-00700</t>
  </si>
  <si>
    <t>2026-07-07</t>
  </si>
  <si>
    <t>SO-00701</t>
  </si>
  <si>
    <t>SO-00702</t>
  </si>
  <si>
    <t>SO-00703</t>
  </si>
  <si>
    <t>SO-00704</t>
  </si>
  <si>
    <t>2026-07-17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</si>
  <si>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</si>
  <si>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</si>
  <si>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</si>
  <si>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</si>
  <si>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</si>
  <si>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</si>
  <si>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</si>
  <si>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</si>
  <si>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</si>
  <si>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</si>
  <si>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</si>
  <si>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2026-07-31</t>
  </si>
  <si>
    <t>SO-00716</t>
  </si>
  <si>
    <t>SO-00717</t>
  </si>
  <si>
    <t>SO-00718</t>
  </si>
  <si>
    <t>SO-00719</t>
  </si>
  <si>
    <t>2026-07-20</t>
  </si>
  <si>
    <t>SO-00720</t>
  </si>
  <si>
    <t>2026-07-02</t>
  </si>
  <si>
    <t>SO-00721</t>
  </si>
  <si>
    <t>SO-00722</t>
  </si>
  <si>
    <t>SO-00723</t>
  </si>
  <si>
    <t>SO-00724</t>
  </si>
  <si>
    <t>SO-00725</t>
  </si>
  <si>
    <t>2026-07-26</t>
  </si>
  <si>
    <t>SO-00726</t>
  </si>
  <si>
    <t>SO-00727</t>
  </si>
  <si>
    <t>SO-00728</t>
  </si>
  <si>
    <t>2026-07-25</t>
  </si>
  <si>
    <t>SO-00729</t>
  </si>
  <si>
    <t>SO-00730</t>
  </si>
  <si>
    <t>SO-00731</t>
  </si>
  <si>
    <t>2026-07-24</t>
  </si>
  <si>
    <t>SO-00732</t>
  </si>
  <si>
    <t>SO-00733</t>
  </si>
  <si>
    <t>SO-00734</t>
  </si>
  <si>
    <t>SO-00735</t>
  </si>
  <si>
    <t>SO-00736</t>
  </si>
  <si>
    <t>SO-00737</t>
  </si>
  <si>
    <t>2026-07-14</t>
  </si>
  <si>
    <t>SO-00738</t>
  </si>
  <si>
    <t>2026-07-08</t>
  </si>
  <si>
    <t>SO-00739</t>
  </si>
  <si>
    <t>2026-08-20</t>
  </si>
  <si>
    <t>2026-08</t>
  </si>
  <si>
    <t>SO-00740</t>
  </si>
  <si>
    <t>2026-08-22</t>
  </si>
  <si>
    <t>SO-00741</t>
  </si>
  <si>
    <t>2026-08-18</t>
  </si>
  <si>
    <t>SO-00742</t>
  </si>
  <si>
    <t>2026-08-29</t>
  </si>
  <si>
    <t>SO-00743</t>
  </si>
  <si>
    <t>2026-08-19</t>
  </si>
  <si>
    <t>SO-00744</t>
  </si>
  <si>
    <t>2026-08-04</t>
  </si>
  <si>
    <t>SO-00745</t>
  </si>
  <si>
    <t>SO-00746</t>
  </si>
  <si>
    <t>2026-08-31</t>
  </si>
  <si>
    <t>SO-00747</t>
  </si>
  <si>
    <t>SO-00748</t>
  </si>
  <si>
    <t>2026-08-25</t>
  </si>
  <si>
    <t>SO-00749</t>
  </si>
  <si>
    <t>2026-08-26</t>
  </si>
  <si>
    <t>SO-00750</t>
  </si>
  <si>
    <t>2026-08-10</t>
  </si>
  <si>
    <t>SO-00751</t>
  </si>
  <si>
    <t>SO-00752</t>
  </si>
  <si>
    <t>2026-08-03</t>
  </si>
  <si>
    <t>SO-00753</t>
  </si>
  <si>
    <t>2026-08-21</t>
  </si>
  <si>
    <t>SO-00754</t>
  </si>
  <si>
    <t>2026-08-12</t>
  </si>
  <si>
    <t>SO-00755</t>
  </si>
  <si>
    <t>2026-08-27</t>
  </si>
  <si>
    <t>SO-00756</t>
  </si>
  <si>
    <t>2026-08-13</t>
  </si>
  <si>
    <t>SO-00757</t>
  </si>
  <si>
    <t>2026-08-30</t>
  </si>
  <si>
    <t>SO-00758</t>
  </si>
  <si>
    <t>2026-08-11</t>
  </si>
  <si>
    <t>SO-00759</t>
  </si>
  <si>
    <t>SO-00760</t>
  </si>
  <si>
    <t>SO-00761</t>
  </si>
  <si>
    <t>2026-08-08</t>
  </si>
  <si>
    <t>SO-00762</t>
  </si>
  <si>
    <t>SO-00763</t>
  </si>
  <si>
    <t>SO-00764</t>
  </si>
  <si>
    <t>2026-08-14</t>
  </si>
  <si>
    <t>SO-00765</t>
  </si>
  <si>
    <t>SO-00766</t>
  </si>
  <si>
    <t>2026-08-23</t>
  </si>
  <si>
    <t>SO-00767</t>
  </si>
  <si>
    <t>SO-00768</t>
  </si>
  <si>
    <t>SO-00769</t>
  </si>
  <si>
    <t>SO-00770</t>
  </si>
  <si>
    <t>SO-00771</t>
  </si>
  <si>
    <t>2026-08-09</t>
  </si>
  <si>
    <t>SO-00772</t>
  </si>
  <si>
    <t>SO-00773</t>
  </si>
  <si>
    <t>SO-00774</t>
  </si>
  <si>
    <t>2026-08-07</t>
  </si>
  <si>
    <t>SO-00775</t>
  </si>
  <si>
    <t>2026-08-17</t>
  </si>
  <si>
    <t>SO-00776</t>
  </si>
  <si>
    <t>2026-08-28</t>
  </si>
  <si>
    <t>SO-00777</t>
  </si>
  <si>
    <t>SO-00778</t>
  </si>
  <si>
    <t>SO-00779</t>
  </si>
  <si>
    <t>SO-00780</t>
  </si>
  <si>
    <t>SO-00781</t>
  </si>
  <si>
    <t>SO-00782</t>
  </si>
  <si>
    <t>2026-08-24</t>
  </si>
  <si>
    <t>SO-00783</t>
  </si>
  <si>
    <t>SO-00784</t>
  </si>
  <si>
    <t>2026-08-01</t>
  </si>
  <si>
    <t>SO-00785</t>
  </si>
  <si>
    <t>SO-00786</t>
  </si>
  <si>
    <t>SO-00787</t>
  </si>
  <si>
    <t>SO-00788</t>
  </si>
  <si>
    <t>SO-00789</t>
  </si>
  <si>
    <t>SO-00790</t>
  </si>
  <si>
    <t>2026-08-15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</si>
  <si>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</si>
  <si>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</si>
  <si>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</si>
  <si>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</si>
  <si>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</si>
  <si>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</si>
  <si>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</si>
  <si>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</si>
  <si>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</si>
  <si>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</si>
  <si>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2026-09-07</t>
  </si>
  <si>
    <t>2026-09</t>
  </si>
  <si>
    <t>SO-00801</t>
  </si>
  <si>
    <t>2026-09-06</t>
  </si>
  <si>
    <t>SO-00802</t>
  </si>
  <si>
    <t>2026-09-09</t>
  </si>
  <si>
    <t>SO-00803</t>
  </si>
  <si>
    <t>2026-09-30</t>
  </si>
  <si>
    <t>SO-00804</t>
  </si>
  <si>
    <t>2026-09-18</t>
  </si>
  <si>
    <t>SO-00805</t>
  </si>
  <si>
    <t>2026-09-24</t>
  </si>
  <si>
    <t>SO-00806</t>
  </si>
  <si>
    <t>2026-09-27</t>
  </si>
  <si>
    <t>SO-00807</t>
  </si>
  <si>
    <t>2026-09-01</t>
  </si>
  <si>
    <t>SO-00808</t>
  </si>
  <si>
    <t>2026-09-16</t>
  </si>
  <si>
    <t>SO-00809</t>
  </si>
  <si>
    <t>2026-09-19</t>
  </si>
  <si>
    <t>SO-00810</t>
  </si>
  <si>
    <t>2026-09-22</t>
  </si>
  <si>
    <t>SO-00811</t>
  </si>
  <si>
    <t>SO-00812</t>
  </si>
  <si>
    <t>2026-09-08</t>
  </si>
  <si>
    <t>SO-00813</t>
  </si>
  <si>
    <t>2026-09-23</t>
  </si>
  <si>
    <t>SO-00814</t>
  </si>
  <si>
    <t>2026-09-21</t>
  </si>
  <si>
    <t>SO-00815</t>
  </si>
  <si>
    <t>SO-00816</t>
  </si>
  <si>
    <t>2026-09-15</t>
  </si>
  <si>
    <t>SO-00817</t>
  </si>
  <si>
    <t>2026-09-20</t>
  </si>
  <si>
    <t>SO-00818</t>
  </si>
  <si>
    <t>SO-00819</t>
  </si>
  <si>
    <t>2026-09-28</t>
  </si>
  <si>
    <t>SO-00820</t>
  </si>
  <si>
    <t>SO-00821</t>
  </si>
  <si>
    <t>SO-00822</t>
  </si>
  <si>
    <t>2026-09-26</t>
  </si>
  <si>
    <t>SO-00823</t>
  </si>
  <si>
    <t>SO-00824</t>
  </si>
  <si>
    <t>2026-09-14</t>
  </si>
  <si>
    <t>SO-00825</t>
  </si>
  <si>
    <t>SO-00826</t>
  </si>
  <si>
    <t>SO-00827</t>
  </si>
  <si>
    <t>SO-00828</t>
  </si>
  <si>
    <t>SO-00829</t>
  </si>
  <si>
    <t>2026-09-11</t>
  </si>
  <si>
    <t>SO-00830</t>
  </si>
  <si>
    <t>SO-00831</t>
  </si>
  <si>
    <t>2026-09-13</t>
  </si>
  <si>
    <t>SO-00832</t>
  </si>
  <si>
    <t>SO-00833</t>
  </si>
  <si>
    <t>2026-09-17</t>
  </si>
  <si>
    <t>SO-00834</t>
  </si>
  <si>
    <t>2026-09-05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</si>
  <si>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</si>
  <si>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</si>
  <si>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</si>
  <si>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</si>
  <si>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</si>
  <si>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</si>
  <si>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</si>
  <si>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</si>
  <si>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</si>
  <si>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</si>
  <si>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</si>
  <si>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</si>
  <si>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</si>
  <si>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</si>
  <si>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</si>
  <si>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</si>
  <si>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2026-09-25</t>
  </si>
  <si>
    <t>SO-00851</t>
  </si>
  <si>
    <t>2026-09-29</t>
  </si>
  <si>
    <t>SO-00852</t>
  </si>
  <si>
    <t>SO-00853</t>
  </si>
  <si>
    <t>SO-00854</t>
  </si>
  <si>
    <t>SO-00855</t>
  </si>
  <si>
    <t>SO-00856</t>
  </si>
  <si>
    <t>2026-09-04</t>
  </si>
  <si>
    <t>SO-00857</t>
  </si>
  <si>
    <t>SO-00858</t>
  </si>
  <si>
    <t>2026-09-02</t>
  </si>
  <si>
    <t>SO-00859</t>
  </si>
  <si>
    <t>SO-00860</t>
  </si>
  <si>
    <t>SO-00861</t>
  </si>
  <si>
    <t>2026-09-10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</si>
  <si>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</si>
  <si>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</si>
  <si>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</si>
  <si>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</si>
  <si>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</si>
  <si>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</si>
  <si>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</si>
  <si>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</si>
  <si>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2026-09-03</t>
  </si>
  <si>
    <t>SO-00870</t>
  </si>
  <si>
    <t>SO-00871</t>
  </si>
  <si>
    <t>Margin Leakage Analysis</t>
  </si>
  <si>
    <t>Where did margin go between the price book and the invoice? All numbers in USD, from the Orders sheet.</t>
  </si>
  <si>
    <t>1. Margin bridge: list price -&gt; actual gross profit</t>
  </si>
  <si>
    <t>Headline KPIs</t>
  </si>
  <si>
    <t>Step</t>
  </si>
  <si>
    <t>% of revenue at list</t>
  </si>
  <si>
    <t>Gross profit at list price (book cost &amp; FX)</t>
  </si>
  <si>
    <t>Gross profit (USD)</t>
  </si>
  <si>
    <t xml:space="preserve">  - Discounts given</t>
  </si>
  <si>
    <t xml:space="preserve">      of which: unapproved below-floor lines</t>
  </si>
  <si>
    <t>Target margin % (revenue-weighted)</t>
  </si>
  <si>
    <t xml:space="preserve">  - Vendor cost increases not in price book</t>
  </si>
  <si>
    <t xml:space="preserve">  - FX movement vs book rate</t>
  </si>
  <si>
    <t>Order lines below floor</t>
  </si>
  <si>
    <t>Actual gross profit</t>
  </si>
  <si>
    <t xml:space="preserve">  of which no approval logged</t>
  </si>
  <si>
    <t>Check: equals sum of order-line gross profit (should be 0)</t>
  </si>
  <si>
    <t>Revenue on unapproved below-floor lines</t>
  </si>
  <si>
    <t>2. By region</t>
  </si>
  <si>
    <t>Revenue</t>
  </si>
  <si>
    <t>Target %</t>
  </si>
  <si>
    <t>Gap (pts)</t>
  </si>
  <si>
    <t>Lines below floor</t>
  </si>
  <si>
    <t>Unapproved</t>
  </si>
  <si>
    <t>3. By category</t>
  </si>
  <si>
    <t>4. By sales rep</t>
  </si>
  <si>
    <t>5. By month</t>
  </si>
  <si>
    <t>Assortment: ABC by category + recommendation</t>
  </si>
  <si>
    <t>Sorted by category, then revenue. ABC thresholds and the low-volume rule live on Assumptions.</t>
  </si>
  <si>
    <t>Units</t>
  </si>
  <si>
    <t>Cum. revenue share in category</t>
  </si>
  <si>
    <t>ABC</t>
  </si>
  <si>
    <t>Share of category units</t>
  </si>
  <si>
    <t>SKUs in same tier</t>
  </si>
  <si>
    <t>Recommendation</t>
  </si>
  <si>
    <t>Red margin = more than the tolerance (Assumptions C23) below category target. ABC is computed within each category so accessories are not all 'C' next to laptops.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</si>
</sst>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%;\(0.0%\);&quot;-&quot;"/>
    <numFmt numFmtId="166" formatCode="\$#,##0;\(\$#,##0\);&quot;-&quot;"/>
    <numFmt numFmtId="167" formatCode="#,##0.00;\(#,##0.00\);&quot;-&quot;"/>
    <numFmt numFmtId="168" formatCode="\$#,##0.00;\(\$#,##0.00\);&quot;-&quot;"/>
    <numFmt numFmtId="169" formatCode="#,##0;\(#,##0\);&quot;-&quot;"/>
    <numFmt numFmtId="170" formatCode="0.0;\(0.0\);&quot;-&quot;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166" fontId="13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9" fillId="3" borderId="0" xfId="0" applyNumberFormat="1" applyFont="1" applyFill="1"/>
    <xf numFmtId="165" fontId="9" fillId="0" borderId="0" xfId="0" applyNumberFormat="1" applyFont="1"/>
    <xf numFmtId="166" fontId="9" fillId="0" borderId="0" xfId="0" applyNumberFormat="1" applyFont="1"/>
    <xf numFmtId="167" fontId="9" fillId="3" borderId="0" xfId="0" applyNumberFormat="1" applyFont="1" applyFill="1"/>
    <xf numFmtId="165" fontId="9" fillId="3" borderId="0" xfId="0" applyNumberFormat="1" applyFont="1" applyFill="1"/>
    <xf numFmtId="0" fontId="10" fillId="0" borderId="0" xfId="0" applyFont="1"/>
    <xf numFmtId="168" fontId="10" fillId="0" borderId="0" xfId="0" applyNumberFormat="1" applyFont="1"/>
    <xf numFmtId="165" fontId="10" fillId="0" borderId="0" xfId="0" applyNumberFormat="1" applyFont="1"/>
    <xf numFmtId="168" fontId="5" fillId="0" borderId="0" xfId="0" applyNumberFormat="1" applyFont="1"/>
    <xf numFmtId="168" fontId="3" fillId="0" borderId="0" xfId="0" applyNumberFormat="1" applyFont="1"/>
    <xf numFmtId="164" fontId="10" fillId="0" borderId="0" xfId="0" applyNumberFormat="1" applyFont="1"/>
    <xf numFmtId="169" fontId="3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/>
    <xf numFmtId="0" fontId="9" fillId="3" borderId="1" xfId="0" applyFont="1" applyFill="1" applyBorder="1"/>
    <xf numFmtId="169" fontId="9" fillId="3" borderId="1" xfId="0" applyNumberFormat="1" applyFont="1" applyFill="1" applyBorder="1"/>
    <xf numFmtId="167" fontId="9" fillId="3" borderId="1" xfId="0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65" fontId="9" fillId="3" borderId="1" xfId="0" applyNumberFormat="1" applyFont="1" applyFill="1" applyBorder="1"/>
    <xf numFmtId="167" fontId="10" fillId="0" borderId="1" xfId="0" applyNumberFormat="1" applyFont="1" applyBorder="1"/>
    <xf numFmtId="165" fontId="5" fillId="0" borderId="1" xfId="0" applyNumberFormat="1" applyFont="1" applyBorder="1"/>
    <xf numFmtId="168" fontId="10" fillId="0" borderId="1" xfId="0" applyNumberFormat="1" applyFont="1" applyBorder="1"/>
    <xf numFmtId="168" fontId="5" fillId="0" borderId="1" xfId="0" applyNumberFormat="1" applyFont="1" applyBorder="1"/>
    <xf numFmtId="164" fontId="10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5" fontId="10" fillId="0" borderId="1" xfId="0" applyNumberFormat="1" applyFont="1" applyBorder="1"/>
    <xf numFmtId="166" fontId="5" fillId="0" borderId="1" xfId="0" applyNumberFormat="1" applyFont="1" applyBorder="1"/>
    <xf numFmtId="0" fontId="3" fillId="4" borderId="1" xfId="0" applyFont="1" applyFill="1" applyBorder="1"/>
    <xf numFmtId="167" fontId="5" fillId="0" borderId="1" xfId="0" applyNumberFormat="1" applyFont="1" applyBorder="1"/>
    <xf numFmtId="0" fontId="9" fillId="3" borderId="0" xfId="0" applyFont="1" applyFill="1"/>
    <xf numFmtId="167" fontId="10" fillId="0" borderId="0" xfId="0" applyNumberFormat="1" applyFont="1"/>
    <xf numFmtId="164" fontId="3" fillId="0" borderId="0" xfId="0" applyNumberFormat="1" applyFont="1"/>
    <xf numFmtId="165" fontId="3" fillId="4" borderId="0" xfId="0" applyNumberFormat="1" applyFont="1" applyFill="1"/>
    <xf numFmtId="164" fontId="5" fillId="0" borderId="0" xfId="0" applyNumberFormat="1" applyFont="1"/>
    <xf numFmtId="0" fontId="11" fillId="0" borderId="0" xfId="0" applyFont="1"/>
    <xf numFmtId="169" fontId="11" fillId="0" borderId="0" xfId="0" applyNumberFormat="1" applyFont="1"/>
    <xf numFmtId="167" fontId="11" fillId="0" borderId="0" xfId="0" applyNumberFormat="1" applyFont="1"/>
    <xf numFmtId="164" fontId="11" fillId="0" borderId="0" xfId="0" applyNumberFormat="1" applyFont="1"/>
    <xf numFmtId="168" fontId="11" fillId="0" borderId="0" xfId="0" applyNumberFormat="1" applyFont="1"/>
    <xf numFmtId="0" fontId="12" fillId="0" borderId="0" xfId="0" applyFont="1"/>
    <xf numFmtId="165" fontId="11" fillId="0" borderId="0" xfId="0" applyNumberFormat="1" applyFont="1"/>
    <xf numFmtId="166" fontId="11" fillId="0" borderId="0" xfId="0" applyNumberFormat="1" applyFont="1"/>
    <xf numFmtId="165" fontId="12" fillId="0" borderId="0" xfId="0" applyNumberFormat="1" applyFont="1"/>
    <xf numFmtId="166" fontId="13" fillId="4" borderId="0" xfId="0" applyNumberFormat="1" applyFont="1" applyFill="1"/>
    <xf numFmtId="166" fontId="13" fillId="0" borderId="1" xfId="0" applyNumberFormat="1" applyFont="1" applyBorder="1"/>
    <xf numFmtId="166" fontId="10" fillId="0" borderId="1" xfId="0" applyNumberFormat="1" applyFont="1" applyBorder="1"/>
    <xf numFmtId="165" fontId="13" fillId="4" borderId="0" xfId="0" applyNumberFormat="1" applyFont="1" applyFill="1"/>
    <xf numFmtId="169" fontId="13" fillId="4" borderId="0" xfId="0" applyNumberFormat="1" applyFont="1" applyFill="1"/>
    <xf numFmtId="166" fontId="3" fillId="0" borderId="1" xfId="0" applyNumberFormat="1" applyFont="1" applyBorder="1"/>
    <xf numFmtId="0" fontId="2" fillId="0" borderId="1" xfId="0" applyFont="1" applyBorder="1"/>
    <xf numFmtId="166" fontId="12" fillId="0" borderId="1" xfId="0" applyNumberFormat="1" applyFont="1" applyBorder="1"/>
    <xf numFmtId="166" fontId="10" fillId="0" borderId="0" xfId="0" applyNumberFormat="1" applyFont="1"/>
    <xf numFmtId="165" fontId="3" fillId="0" borderId="0" xfId="0" applyNumberFormat="1" applyFont="1"/>
    <xf numFmtId="170" fontId="5" fillId="0" borderId="0" xfId="0" applyNumberFormat="1" applyFont="1"/>
    <xf numFmtId="169" fontId="10" fillId="0" borderId="0" xfId="0" applyNumberFormat="1" applyFont="1"/>
    <xf numFmtId="0" fontId="13" fillId="0" borderId="0" xfId="0" applyFont="1"/>
    <xf numFmtId="169" fontId="5" fillId="0" borderId="0" xfId="0" applyNumberFormat="1" applyFont="1"/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3"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ont>
        <b/>
        <color rgb="FFC00000"/>
        <name val="Arial"/>
      </font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Margin % vs FX shock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FX_Scenario!$F$14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FX_Scenario!$B$15:$B$23</c:f>
              <c:numCache>
                <c:formatCode>0.0%;\(0.0%\);"-"</c:formatCode>
                <c:ptCount val="9"/>
                <c:pt idx="0">
                  <c:v>-0.1</c:v>
                </c:pt>
                <c:pt idx="1">
                  <c:v>-7.4999999999999997E-2</c:v>
                </c:pt>
                <c:pt idx="2">
                  <c:v>-0.05</c:v>
                </c:pt>
                <c:pt idx="3">
                  <c:v>-2.5000000000000001E-2</c:v>
                </c:pt>
                <c:pt idx="4">
                  <c:v>0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7.4999999999999997E-2</c:v>
                </c:pt>
                <c:pt idx="8">
                  <c:v>0.1</c:v>
                </c:pt>
              </c:numCache>
            </c:numRef>
          </c:cat>
          <c:val>
            <c:numRef>
              <c:f>FX_Scenario!$F$15:$F$23</c:f>
              <c:numCache>
                <c:formatCode>0.0%;\(0.0%\);"-"</c:formatCode>
                <c:ptCount val="9"/>
                <c:pt idx="0">
                  <c:v>0.24851336244541472</c:v>
                </c:pt>
                <c:pt idx="1">
                  <c:v>0.22763873362445397</c:v>
                </c:pt>
                <c:pt idx="2">
                  <c:v>0.20676410480349353</c:v>
                </c:pt>
                <c:pt idx="3">
                  <c:v>0.18588947598253278</c:v>
                </c:pt>
                <c:pt idx="4">
                  <c:v>0.16501484716157203</c:v>
                </c:pt>
                <c:pt idx="5">
                  <c:v>0.14414021834061133</c:v>
                </c:pt>
                <c:pt idx="6">
                  <c:v>0.12326558951965055</c:v>
                </c:pt>
                <c:pt idx="7">
                  <c:v>0.10239096069868998</c:v>
                </c:pt>
                <c:pt idx="8">
                  <c:v>8.1516331877729054E-2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F8-8D4B-B2C4-6634BBC6B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FX shock</a:t>
                </a:r>
              </a:p>
            </c:rich>
          </c:tx>
          <c:overlay val="1"/>
        </c:title>
        <c:numFmt formatCode="0.0%;\(0.0%\);&quot;-&quot;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Margin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Shortfall vs target margin by region (USD)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Margin_Leakage!$G$16</c:f>
              <c:strCache>
                <c:ptCount val="1"/>
                <c:pt idx="0">
                  <c:v>Shortfall vs target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Margin_Leakage!$A$17:$A$21</c:f>
              <c:strCache>
                <c:ptCount val="5"/>
                <c:pt idx="0">
                  <c:v>US</c:v>
                </c:pt>
                <c:pt idx="1">
                  <c:v>UK</c:v>
                </c:pt>
                <c:pt idx="2">
                  <c:v>DE</c:v>
                </c:pt>
                <c:pt idx="3">
                  <c:v>CA</c:v>
                </c:pt>
                <c:pt idx="4">
                  <c:v>IN</c:v>
                </c:pt>
              </c:strCache>
            </c:strRef>
          </c:cat>
          <c:val>
            <c:numRef>
              <c:f>Margin_Leakage!$G$17:$G$21</c:f>
              <c:numCache>
                <c:formatCode>\$#,##0;\(\$#,##0\);"-"</c:formatCode>
                <c:ptCount val="5"/>
                <c:pt idx="0">
                  <c:v>112503.25279999996</c:v>
                </c:pt>
                <c:pt idx="1">
                  <c:v>37160.127469671657</c:v>
                </c:pt>
                <c:pt idx="2">
                  <c:v>63583.76366363265</c:v>
                </c:pt>
                <c:pt idx="3">
                  <c:v>1392.7131247850405</c:v>
                </c:pt>
                <c:pt idx="4">
                  <c:v>90777.063560396404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5-3F42-8B1C-CD6CC6266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margin % by month vs target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Margin_Leakage!$D$42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Margin_Leakage!$A$43:$A$54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Margin_Leakage!$D$43:$D$54</c:f>
              <c:numCache>
                <c:formatCode>0.0%;\(0.0%\);"-"</c:formatCode>
                <c:ptCount val="12"/>
                <c:pt idx="0">
                  <c:v>0.14122908477453652</c:v>
                </c:pt>
                <c:pt idx="1">
                  <c:v>0.14116400901195023</c:v>
                </c:pt>
                <c:pt idx="2">
                  <c:v>0.1484978269447777</c:v>
                </c:pt>
                <c:pt idx="3">
                  <c:v>0.14440795587263094</c:v>
                </c:pt>
                <c:pt idx="4">
                  <c:v>0.13511763894060969</c:v>
                </c:pt>
                <c:pt idx="5">
                  <c:v>0.14905746858567101</c:v>
                </c:pt>
                <c:pt idx="6">
                  <c:v>0.12936514220188897</c:v>
                </c:pt>
                <c:pt idx="7">
                  <c:v>0.12645891830665915</c:v>
                </c:pt>
                <c:pt idx="8">
                  <c:v>0.12776371083618107</c:v>
                </c:pt>
                <c:pt idx="9">
                  <c:v>0.11862855639696314</c:v>
                </c:pt>
                <c:pt idx="10">
                  <c:v>0.131347914694697</c:v>
                </c:pt>
                <c:pt idx="11">
                  <c:v>0.12811755912905343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99-424F-809F-CCE4780F8850}"/>
            </c:ext>
          </c:extLst>
        </c:ser>
        <c:ser>
          <c:idx val="1"/>
          <c:order val="1"/>
          <c:tx>
            <c:strRef>
              <c:f>Margin_Leakage!$E$42</c:f>
              <c:strCache>
                <c:ptCount val="1"/>
                <c:pt idx="0">
                  <c:v>Target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Margin_Leakage!$A$43:$A$54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Margin_Leakage!$E$43:$E$54</c:f>
              <c:numCache>
                <c:formatCode>0.0%;\(0.0%\);"-"</c:formatCode>
                <c:ptCount val="12"/>
                <c:pt idx="0">
                  <c:v>0.13498205997424884</c:v>
                </c:pt>
                <c:pt idx="1">
                  <c:v>0.13641527003852022</c:v>
                </c:pt>
                <c:pt idx="2">
                  <c:v>0.1414301743344985</c:v>
                </c:pt>
                <c:pt idx="3">
                  <c:v>0.13916410715694344</c:v>
                </c:pt>
                <c:pt idx="4">
                  <c:v>0.13599396166184513</c:v>
                </c:pt>
                <c:pt idx="5">
                  <c:v>0.14015785632671413</c:v>
                </c:pt>
                <c:pt idx="6">
                  <c:v>0.13678177577509107</c:v>
                </c:pt>
                <c:pt idx="7">
                  <c:v>0.13522557339523739</c:v>
                </c:pt>
                <c:pt idx="8">
                  <c:v>0.13723474571289249</c:v>
                </c:pt>
                <c:pt idx="9">
                  <c:v>0.13912869895991317</c:v>
                </c:pt>
                <c:pt idx="10">
                  <c:v>0.13805129813625891</c:v>
                </c:pt>
                <c:pt idx="11">
                  <c:v>0.13908504628511631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99-424F-809F-CCE4780F8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margin % by sales rep vs target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Margin_Leakage!$D$32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Margin_Leakage!$A$33:$A$38</c:f>
              <c:strCache>
                <c:ptCount val="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</c:strCache>
            </c:strRef>
          </c:cat>
          <c:val>
            <c:numRef>
              <c:f>Margin_Leakage!$D$33:$D$38</c:f>
              <c:numCache>
                <c:formatCode>0.0%;\(0.0%\);"-"</c:formatCode>
                <c:ptCount val="6"/>
                <c:pt idx="0">
                  <c:v>0.15635425305831824</c:v>
                </c:pt>
                <c:pt idx="1">
                  <c:v>0.13929208095372059</c:v>
                </c:pt>
                <c:pt idx="2">
                  <c:v>0.14845858512132085</c:v>
                </c:pt>
                <c:pt idx="3">
                  <c:v>0.12308832174227095</c:v>
                </c:pt>
                <c:pt idx="4">
                  <c:v>0.13961952115188664</c:v>
                </c:pt>
                <c:pt idx="5">
                  <c:v>0.14576179323604119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A-6642-BC68-1C01C614243F}"/>
            </c:ext>
          </c:extLst>
        </c:ser>
        <c:ser>
          <c:idx val="1"/>
          <c:order val="1"/>
          <c:tx>
            <c:strRef>
              <c:f>Margin_Leakage!$E$32</c:f>
              <c:strCache>
                <c:ptCount val="1"/>
                <c:pt idx="0">
                  <c:v>Target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Margin_Leakage!$A$33:$A$38</c:f>
              <c:strCache>
                <c:ptCount val="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</c:strCache>
            </c:strRef>
          </c:cat>
          <c:val>
            <c:numRef>
              <c:f>Margin_Leakage!$E$33:$E$38</c:f>
              <c:numCache>
                <c:formatCode>0.0%;\(0.0%\);"-"</c:formatCode>
                <c:ptCount val="6"/>
                <c:pt idx="0">
                  <c:v>0.13509997718132169</c:v>
                </c:pt>
                <c:pt idx="1">
                  <c:v>0.13785318915285427</c:v>
                </c:pt>
                <c:pt idx="2">
                  <c:v>0.13624677436863394</c:v>
                </c:pt>
                <c:pt idx="3">
                  <c:v>0.13825399518517062</c:v>
                </c:pt>
                <c:pt idx="4">
                  <c:v>0.13795592345985316</c:v>
                </c:pt>
                <c:pt idx="5">
                  <c:v>0.13879837590419092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A-6642-BC68-1C01C614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35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showGridLines="0" tabSelected="1" workbookViewId="0"/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ht="28" x14ac:dyDescent="0.2">
      <c r="A4" s="3" t="s">
        <v>2</v>
      </c>
      <c r="B4" s="4" t="s">
        <v>3</v>
      </c>
    </row>
    <row r="5" spans="1:2" x14ac:dyDescent="0.2">
      <c r="A5" s="5"/>
      <c r="B5" s="4"/>
    </row>
    <row r="6" spans="1:2" x14ac:dyDescent="0.2">
      <c r="A6" s="6" t="s">
        <v>4</v>
      </c>
      <c r="B6" s="4"/>
    </row>
    <row r="7" spans="1:2" x14ac:dyDescent="0.2">
      <c r="A7" s="5" t="s">
        <v>5</v>
      </c>
      <c r="B7" s="4" t="s">
        <v>6</v>
      </c>
    </row>
    <row r="8" spans="1:2" x14ac:dyDescent="0.2">
      <c r="A8" s="5" t="s">
        <v>7</v>
      </c>
      <c r="B8" s="4" t="s">
        <v>8</v>
      </c>
    </row>
    <row r="9" spans="1:2" x14ac:dyDescent="0.2">
      <c r="A9" s="5" t="s">
        <v>9</v>
      </c>
      <c r="B9" s="4" t="s">
        <v>10</v>
      </c>
    </row>
    <row r="10" spans="1:2" x14ac:dyDescent="0.2">
      <c r="A10" s="5" t="s">
        <v>11</v>
      </c>
      <c r="B10" s="4" t="s">
        <v>12</v>
      </c>
    </row>
    <row r="11" spans="1:2" x14ac:dyDescent="0.2">
      <c r="A11" s="5" t="s">
        <v>13</v>
      </c>
      <c r="B11" s="4" t="s">
        <v>14</v>
      </c>
    </row>
    <row r="12" spans="1:2" x14ac:dyDescent="0.2">
      <c r="A12" s="5" t="s">
        <v>15</v>
      </c>
      <c r="B12" s="4" t="s">
        <v>16</v>
      </c>
    </row>
    <row r="13" spans="1:2" x14ac:dyDescent="0.2">
      <c r="A13" s="5" t="s">
        <v>17</v>
      </c>
      <c r="B13" s="4" t="s">
        <v>18</v>
      </c>
    </row>
    <row r="14" spans="1:2" x14ac:dyDescent="0.2">
      <c r="A14" s="5" t="s">
        <v>19</v>
      </c>
      <c r="B14" s="4" t="s">
        <v>20</v>
      </c>
    </row>
    <row r="15" spans="1:2" x14ac:dyDescent="0.2">
      <c r="A15" s="5"/>
      <c r="B15" s="4"/>
    </row>
    <row r="16" spans="1:2" x14ac:dyDescent="0.2">
      <c r="A16" s="6" t="s">
        <v>21</v>
      </c>
      <c r="B16" s="4"/>
    </row>
    <row r="17" spans="1:2" x14ac:dyDescent="0.2">
      <c r="A17" s="5" t="s">
        <v>22</v>
      </c>
      <c r="B17" s="4" t="s">
        <v>23</v>
      </c>
    </row>
    <row r="18" spans="1:2" x14ac:dyDescent="0.2">
      <c r="A18" s="5" t="s">
        <v>24</v>
      </c>
      <c r="B18" s="4" t="s">
        <v>25</v>
      </c>
    </row>
    <row r="19" spans="1:2" x14ac:dyDescent="0.2">
      <c r="A19" s="5" t="s">
        <v>26</v>
      </c>
      <c r="B19" s="4" t="s">
        <v>27</v>
      </c>
    </row>
    <row r="20" spans="1:2" x14ac:dyDescent="0.2">
      <c r="A20" s="5" t="s">
        <v>28</v>
      </c>
      <c r="B20" s="4" t="s">
        <v>29</v>
      </c>
    </row>
    <row r="21" spans="1:2" x14ac:dyDescent="0.2">
      <c r="A21" s="5"/>
      <c r="B21" s="4"/>
    </row>
    <row r="22" spans="1:2" x14ac:dyDescent="0.2">
      <c r="A22" s="6" t="s">
        <v>30</v>
      </c>
      <c r="B22" s="4"/>
    </row>
    <row r="23" spans="1:2" x14ac:dyDescent="0.2">
      <c r="A23" s="5" t="s">
        <v>31</v>
      </c>
      <c r="B23" s="4" t="s">
        <v>32</v>
      </c>
    </row>
    <row r="24" spans="1:2" x14ac:dyDescent="0.2">
      <c r="A24" s="5" t="s">
        <v>33</v>
      </c>
      <c r="B24" s="4" t="s">
        <v>34</v>
      </c>
    </row>
    <row r="25" spans="1:2" x14ac:dyDescent="0.2">
      <c r="A25" s="5" t="s">
        <v>35</v>
      </c>
      <c r="B25" s="4" t="s">
        <v>36</v>
      </c>
    </row>
    <row r="26" spans="1:2" x14ac:dyDescent="0.2">
      <c r="A26" s="5" t="s">
        <v>37</v>
      </c>
      <c r="B26" s="4" t="s">
        <v>38</v>
      </c>
    </row>
    <row r="27" spans="1:2" x14ac:dyDescent="0.2">
      <c r="A27" s="5" t="s">
        <v>39</v>
      </c>
      <c r="B27" s="4" t="s">
        <v>40</v>
      </c>
    </row>
    <row r="28" spans="1:2" x14ac:dyDescent="0.2">
      <c r="A28" s="6" t="s">
        <v>41</v>
      </c>
      <c r="B28" s="4" t="s">
        <v>42</v>
      </c>
    </row>
    <row r="29" spans="1:2" x14ac:dyDescent="0.2">
      <c r="A29" s="5"/>
      <c r="B29" s="4"/>
    </row>
    <row r="30" spans="1:2" x14ac:dyDescent="0.2">
      <c r="A30" s="5" t="s">
        <v>43</v>
      </c>
      <c r="B30" s="4"/>
    </row>
    <row r="31" spans="1:2" x14ac:dyDescent="0.2">
      <c r="A31" s="5" t="s">
        <v>44</v>
      </c>
      <c r="B31" s="7">
        <f>Margin_Leakage!F5</f>
        <v>26674169.394942872</v>
      </c>
    </row>
    <row r="32" spans="1:2" x14ac:dyDescent="0.2">
      <c r="A32" s="5" t="s">
        <v>45</v>
      </c>
      <c r="B32" s="8">
        <f>Margin_Leakage!F7</f>
        <v>0.13520701812843136</v>
      </c>
    </row>
    <row r="33" spans="1:2" x14ac:dyDescent="0.2">
      <c r="A33" s="5" t="s">
        <v>46</v>
      </c>
      <c r="B33" s="8">
        <f>Margin_Leakage!F8</f>
        <v>0.13783787958163396</v>
      </c>
    </row>
    <row r="34" spans="1:2" x14ac:dyDescent="0.2">
      <c r="A34" s="5" t="s">
        <v>47</v>
      </c>
      <c r="B34" s="7">
        <f>Margin_Leakage!F9</f>
        <v>305416.92061848583</v>
      </c>
    </row>
    <row r="35" spans="1:2" x14ac:dyDescent="0.2">
      <c r="A35" s="5" t="s">
        <v>48</v>
      </c>
      <c r="B35" s="7">
        <f>Margin_Leakage!B7</f>
        <v>-1010095.2617823576</v>
      </c>
    </row>
    <row r="36" spans="1:2" x14ac:dyDescent="0.2">
      <c r="A36" s="5" t="s">
        <v>49</v>
      </c>
      <c r="B36" s="7">
        <f>Margin_Leakage!B9</f>
        <v>-167238.03</v>
      </c>
    </row>
    <row r="37" spans="1:2" x14ac:dyDescent="0.2">
      <c r="A37" s="5" t="s">
        <v>50</v>
      </c>
      <c r="B37" s="7">
        <f>Margin_Leakage!B10</f>
        <v>-127228.50113043358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11" customWidth="1"/>
    <col min="3" max="3" width="14" customWidth="1"/>
    <col min="4" max="4" width="13" customWidth="1"/>
    <col min="5" max="5" width="12" customWidth="1"/>
    <col min="6" max="8" width="11" customWidth="1"/>
  </cols>
  <sheetData>
    <row r="1" spans="1:8" ht="18" x14ac:dyDescent="0.2">
      <c r="A1" s="1" t="s">
        <v>5</v>
      </c>
    </row>
    <row r="2" spans="1:8" x14ac:dyDescent="0.2">
      <c r="A2" s="2" t="s">
        <v>51</v>
      </c>
    </row>
    <row r="3" spans="1:8" x14ac:dyDescent="0.2">
      <c r="A3" s="9" t="s">
        <v>52</v>
      </c>
      <c r="F3" s="9" t="s">
        <v>53</v>
      </c>
    </row>
    <row r="4" spans="1:8" ht="30" customHeight="1" x14ac:dyDescent="0.2">
      <c r="A4" s="10" t="s">
        <v>54</v>
      </c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60</v>
      </c>
      <c r="H4" s="10" t="s">
        <v>61</v>
      </c>
    </row>
    <row r="5" spans="1:8" x14ac:dyDescent="0.2">
      <c r="A5" s="11" t="s">
        <v>62</v>
      </c>
      <c r="B5" s="11" t="s">
        <v>63</v>
      </c>
      <c r="C5" s="12">
        <v>1</v>
      </c>
      <c r="D5" s="13">
        <v>0</v>
      </c>
      <c r="E5" s="13">
        <v>0</v>
      </c>
      <c r="F5" s="14">
        <v>18</v>
      </c>
      <c r="G5" s="14">
        <v>25</v>
      </c>
      <c r="H5" s="14">
        <v>6</v>
      </c>
    </row>
    <row r="6" spans="1:8" x14ac:dyDescent="0.2">
      <c r="A6" s="11" t="s">
        <v>64</v>
      </c>
      <c r="B6" s="11" t="s">
        <v>65</v>
      </c>
      <c r="C6" s="12">
        <v>0.79</v>
      </c>
      <c r="D6" s="13">
        <v>0</v>
      </c>
      <c r="E6" s="13">
        <v>0.02</v>
      </c>
      <c r="F6" s="14">
        <v>42</v>
      </c>
      <c r="G6" s="14">
        <v>55</v>
      </c>
      <c r="H6" s="14">
        <v>12</v>
      </c>
    </row>
    <row r="7" spans="1:8" x14ac:dyDescent="0.2">
      <c r="A7" s="11" t="s">
        <v>66</v>
      </c>
      <c r="B7" s="11" t="s">
        <v>67</v>
      </c>
      <c r="C7" s="12">
        <v>0.92</v>
      </c>
      <c r="D7" s="13">
        <v>0</v>
      </c>
      <c r="E7" s="13">
        <v>0.02</v>
      </c>
      <c r="F7" s="14">
        <v>38</v>
      </c>
      <c r="G7" s="14">
        <v>50</v>
      </c>
      <c r="H7" s="14">
        <v>11</v>
      </c>
    </row>
    <row r="8" spans="1:8" x14ac:dyDescent="0.2">
      <c r="A8" s="11" t="s">
        <v>68</v>
      </c>
      <c r="B8" s="11" t="s">
        <v>69</v>
      </c>
      <c r="C8" s="12">
        <v>1.37</v>
      </c>
      <c r="D8" s="13">
        <v>0</v>
      </c>
      <c r="E8" s="13">
        <v>0.02</v>
      </c>
      <c r="F8" s="14">
        <v>30</v>
      </c>
      <c r="G8" s="14">
        <v>40</v>
      </c>
      <c r="H8" s="14">
        <v>9</v>
      </c>
    </row>
    <row r="9" spans="1:8" x14ac:dyDescent="0.2">
      <c r="A9" s="11" t="s">
        <v>70</v>
      </c>
      <c r="B9" s="11" t="s">
        <v>71</v>
      </c>
      <c r="C9" s="15">
        <v>83.5</v>
      </c>
      <c r="D9" s="13">
        <v>0.11</v>
      </c>
      <c r="E9" s="13">
        <v>0.02</v>
      </c>
      <c r="F9" s="14">
        <v>55</v>
      </c>
      <c r="G9" s="14">
        <v>70</v>
      </c>
      <c r="H9" s="14">
        <v>15</v>
      </c>
    </row>
    <row r="10" spans="1:8" x14ac:dyDescent="0.2">
      <c r="A10" s="2" t="s">
        <v>72</v>
      </c>
    </row>
    <row r="12" spans="1:8" x14ac:dyDescent="0.2">
      <c r="A12" s="9" t="s">
        <v>73</v>
      </c>
    </row>
    <row r="13" spans="1:8" ht="30" customHeight="1" x14ac:dyDescent="0.2">
      <c r="A13" s="10" t="s">
        <v>74</v>
      </c>
      <c r="B13" s="10" t="s">
        <v>75</v>
      </c>
      <c r="C13" s="10" t="s">
        <v>76</v>
      </c>
      <c r="D13" s="10" t="s">
        <v>77</v>
      </c>
    </row>
    <row r="14" spans="1:8" x14ac:dyDescent="0.2">
      <c r="A14" s="11" t="s">
        <v>59</v>
      </c>
      <c r="B14" s="16">
        <v>0.12</v>
      </c>
      <c r="C14" s="16">
        <v>0.08</v>
      </c>
      <c r="D14" s="16">
        <v>0.03</v>
      </c>
    </row>
    <row r="15" spans="1:8" x14ac:dyDescent="0.2">
      <c r="A15" s="11" t="s">
        <v>60</v>
      </c>
      <c r="B15" s="16">
        <v>0.18</v>
      </c>
      <c r="C15" s="16">
        <v>0.12</v>
      </c>
      <c r="D15" s="16">
        <v>0.04</v>
      </c>
    </row>
    <row r="16" spans="1:8" x14ac:dyDescent="0.2">
      <c r="A16" s="11" t="s">
        <v>61</v>
      </c>
      <c r="B16" s="16">
        <v>0.32</v>
      </c>
      <c r="C16" s="16">
        <v>0.22</v>
      </c>
      <c r="D16" s="16">
        <v>0.05</v>
      </c>
    </row>
    <row r="17" spans="1:3" x14ac:dyDescent="0.2">
      <c r="A17" s="2" t="s">
        <v>78</v>
      </c>
    </row>
    <row r="19" spans="1:3" x14ac:dyDescent="0.2">
      <c r="A19" s="9" t="s">
        <v>79</v>
      </c>
    </row>
    <row r="20" spans="1:3" x14ac:dyDescent="0.2">
      <c r="A20" s="5" t="s">
        <v>80</v>
      </c>
      <c r="C20" s="13">
        <v>0.8</v>
      </c>
    </row>
    <row r="21" spans="1:3" x14ac:dyDescent="0.2">
      <c r="A21" s="5" t="s">
        <v>81</v>
      </c>
      <c r="C21" s="13">
        <v>0.95</v>
      </c>
    </row>
    <row r="22" spans="1:3" x14ac:dyDescent="0.2">
      <c r="A22" s="5" t="s">
        <v>82</v>
      </c>
      <c r="C22" s="13">
        <v>0.02</v>
      </c>
    </row>
    <row r="23" spans="1:3" x14ac:dyDescent="0.2">
      <c r="A23" s="5" t="s">
        <v>83</v>
      </c>
      <c r="C23" s="13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11" customWidth="1"/>
    <col min="3" max="3" width="40" customWidth="1"/>
    <col min="4" max="4" width="11" customWidth="1"/>
    <col min="5" max="5" width="12" customWidth="1"/>
    <col min="6" max="6" width="10" customWidth="1"/>
    <col min="7" max="8" width="13" customWidth="1"/>
  </cols>
  <sheetData>
    <row r="1" spans="1:8" ht="18" x14ac:dyDescent="0.2">
      <c r="A1" s="1" t="s">
        <v>84</v>
      </c>
    </row>
    <row r="2" spans="1:8" x14ac:dyDescent="0.2">
      <c r="A2" s="2" t="s">
        <v>85</v>
      </c>
    </row>
    <row r="4" spans="1:8" ht="30" customHeight="1" x14ac:dyDescent="0.2">
      <c r="A4" s="10" t="s">
        <v>86</v>
      </c>
      <c r="B4" s="10" t="s">
        <v>87</v>
      </c>
      <c r="C4" s="10" t="s">
        <v>88</v>
      </c>
      <c r="D4" s="10" t="s">
        <v>74</v>
      </c>
      <c r="E4" s="10" t="s">
        <v>89</v>
      </c>
      <c r="F4" s="10" t="s">
        <v>90</v>
      </c>
      <c r="G4" s="10" t="s">
        <v>91</v>
      </c>
      <c r="H4" s="10" t="s">
        <v>92</v>
      </c>
    </row>
    <row r="5" spans="1:8" x14ac:dyDescent="0.2">
      <c r="A5" s="11" t="s">
        <v>93</v>
      </c>
      <c r="B5" s="11" t="s">
        <v>94</v>
      </c>
      <c r="C5" s="11" t="s">
        <v>95</v>
      </c>
      <c r="D5" s="11" t="s">
        <v>59</v>
      </c>
      <c r="E5" s="11" t="s">
        <v>96</v>
      </c>
      <c r="F5" s="11" t="s">
        <v>97</v>
      </c>
      <c r="G5" s="14">
        <v>1180</v>
      </c>
      <c r="H5" s="13">
        <v>0.01</v>
      </c>
    </row>
    <row r="6" spans="1:8" x14ac:dyDescent="0.2">
      <c r="A6" s="11" t="s">
        <v>98</v>
      </c>
      <c r="B6" s="11" t="s">
        <v>94</v>
      </c>
      <c r="C6" s="11" t="s">
        <v>99</v>
      </c>
      <c r="D6" s="11" t="s">
        <v>59</v>
      </c>
      <c r="E6" s="11" t="s">
        <v>100</v>
      </c>
      <c r="F6" s="11" t="s">
        <v>97</v>
      </c>
      <c r="G6" s="14">
        <v>1780</v>
      </c>
      <c r="H6" s="13">
        <v>0.01</v>
      </c>
    </row>
    <row r="7" spans="1:8" x14ac:dyDescent="0.2">
      <c r="A7" s="11" t="s">
        <v>101</v>
      </c>
      <c r="B7" s="11" t="s">
        <v>94</v>
      </c>
      <c r="C7" s="11" t="s">
        <v>102</v>
      </c>
      <c r="D7" s="11" t="s">
        <v>59</v>
      </c>
      <c r="E7" s="11" t="s">
        <v>100</v>
      </c>
      <c r="F7" s="11" t="s">
        <v>97</v>
      </c>
      <c r="G7" s="14">
        <v>2950</v>
      </c>
      <c r="H7" s="13">
        <v>0.01</v>
      </c>
    </row>
    <row r="8" spans="1:8" x14ac:dyDescent="0.2">
      <c r="A8" s="11" t="s">
        <v>103</v>
      </c>
      <c r="B8" s="11" t="s">
        <v>104</v>
      </c>
      <c r="C8" s="11" t="s">
        <v>105</v>
      </c>
      <c r="D8" s="11" t="s">
        <v>59</v>
      </c>
      <c r="E8" s="11" t="s">
        <v>96</v>
      </c>
      <c r="F8" s="11" t="s">
        <v>97</v>
      </c>
      <c r="G8" s="14">
        <v>980</v>
      </c>
      <c r="H8" s="13">
        <v>0.03</v>
      </c>
    </row>
    <row r="9" spans="1:8" x14ac:dyDescent="0.2">
      <c r="A9" s="11" t="s">
        <v>106</v>
      </c>
      <c r="B9" s="11" t="s">
        <v>104</v>
      </c>
      <c r="C9" s="11" t="s">
        <v>107</v>
      </c>
      <c r="D9" s="11" t="s">
        <v>59</v>
      </c>
      <c r="E9" s="11" t="s">
        <v>100</v>
      </c>
      <c r="F9" s="11" t="s">
        <v>97</v>
      </c>
      <c r="G9" s="14">
        <v>1320</v>
      </c>
      <c r="H9" s="13">
        <v>0.03</v>
      </c>
    </row>
    <row r="10" spans="1:8" x14ac:dyDescent="0.2">
      <c r="A10" s="11" t="s">
        <v>108</v>
      </c>
      <c r="B10" s="11" t="s">
        <v>104</v>
      </c>
      <c r="C10" s="11" t="s">
        <v>109</v>
      </c>
      <c r="D10" s="11" t="s">
        <v>59</v>
      </c>
      <c r="E10" s="11" t="s">
        <v>100</v>
      </c>
      <c r="F10" s="11" t="s">
        <v>97</v>
      </c>
      <c r="G10" s="14">
        <v>1150</v>
      </c>
      <c r="H10" s="13">
        <v>0.02</v>
      </c>
    </row>
    <row r="11" spans="1:8" x14ac:dyDescent="0.2">
      <c r="A11" s="11" t="s">
        <v>110</v>
      </c>
      <c r="B11" s="11" t="s">
        <v>111</v>
      </c>
      <c r="C11" s="11" t="s">
        <v>112</v>
      </c>
      <c r="D11" s="11" t="s">
        <v>59</v>
      </c>
      <c r="E11" s="11" t="s">
        <v>96</v>
      </c>
      <c r="F11" s="11" t="s">
        <v>97</v>
      </c>
      <c r="G11" s="14">
        <v>1010</v>
      </c>
      <c r="H11" s="13">
        <v>3.5000000000000003E-2</v>
      </c>
    </row>
    <row r="12" spans="1:8" x14ac:dyDescent="0.2">
      <c r="A12" s="11" t="s">
        <v>113</v>
      </c>
      <c r="B12" s="11" t="s">
        <v>111</v>
      </c>
      <c r="C12" s="11" t="s">
        <v>114</v>
      </c>
      <c r="D12" s="11" t="s">
        <v>59</v>
      </c>
      <c r="E12" s="11" t="s">
        <v>100</v>
      </c>
      <c r="F12" s="11" t="s">
        <v>97</v>
      </c>
      <c r="G12" s="14">
        <v>1520</v>
      </c>
      <c r="H12" s="13">
        <v>3.5000000000000003E-2</v>
      </c>
    </row>
    <row r="13" spans="1:8" x14ac:dyDescent="0.2">
      <c r="A13" s="11" t="s">
        <v>115</v>
      </c>
      <c r="B13" s="11" t="s">
        <v>111</v>
      </c>
      <c r="C13" s="11" t="s">
        <v>116</v>
      </c>
      <c r="D13" s="11" t="s">
        <v>59</v>
      </c>
      <c r="E13" s="11" t="s">
        <v>117</v>
      </c>
      <c r="F13" s="11" t="s">
        <v>97</v>
      </c>
      <c r="G13" s="14">
        <v>720</v>
      </c>
      <c r="H13" s="13">
        <v>0.02</v>
      </c>
    </row>
    <row r="14" spans="1:8" x14ac:dyDescent="0.2">
      <c r="A14" s="11" t="s">
        <v>118</v>
      </c>
      <c r="B14" s="11" t="s">
        <v>119</v>
      </c>
      <c r="C14" s="11" t="s">
        <v>120</v>
      </c>
      <c r="D14" s="11" t="s">
        <v>59</v>
      </c>
      <c r="E14" s="11" t="s">
        <v>96</v>
      </c>
      <c r="F14" s="11" t="s">
        <v>97</v>
      </c>
      <c r="G14" s="14">
        <v>1180</v>
      </c>
      <c r="H14" s="13">
        <v>0.03</v>
      </c>
    </row>
    <row r="15" spans="1:8" x14ac:dyDescent="0.2">
      <c r="A15" s="11" t="s">
        <v>121</v>
      </c>
      <c r="B15" s="11" t="s">
        <v>119</v>
      </c>
      <c r="C15" s="11" t="s">
        <v>122</v>
      </c>
      <c r="D15" s="11" t="s">
        <v>59</v>
      </c>
      <c r="E15" s="11" t="s">
        <v>117</v>
      </c>
      <c r="F15" s="11" t="s">
        <v>97</v>
      </c>
      <c r="G15" s="14">
        <v>780</v>
      </c>
      <c r="H15" s="13">
        <v>0.02</v>
      </c>
    </row>
    <row r="16" spans="1:8" x14ac:dyDescent="0.2">
      <c r="A16" s="11" t="s">
        <v>123</v>
      </c>
      <c r="B16" s="11" t="s">
        <v>124</v>
      </c>
      <c r="C16" s="11" t="s">
        <v>125</v>
      </c>
      <c r="D16" s="11" t="s">
        <v>59</v>
      </c>
      <c r="E16" s="11" t="s">
        <v>100</v>
      </c>
      <c r="F16" s="11" t="s">
        <v>97</v>
      </c>
      <c r="G16" s="14">
        <v>1250</v>
      </c>
      <c r="H16" s="13">
        <v>1.4999999999999999E-2</v>
      </c>
    </row>
    <row r="17" spans="1:8" x14ac:dyDescent="0.2">
      <c r="A17" s="11" t="s">
        <v>126</v>
      </c>
      <c r="B17" s="11" t="s">
        <v>127</v>
      </c>
      <c r="C17" s="11" t="s">
        <v>128</v>
      </c>
      <c r="D17" s="11" t="s">
        <v>59</v>
      </c>
      <c r="E17" s="11" t="s">
        <v>96</v>
      </c>
      <c r="F17" s="11" t="s">
        <v>97</v>
      </c>
      <c r="G17" s="14">
        <v>890</v>
      </c>
      <c r="H17" s="13">
        <v>0</v>
      </c>
    </row>
    <row r="18" spans="1:8" x14ac:dyDescent="0.2">
      <c r="A18" s="11" t="s">
        <v>129</v>
      </c>
      <c r="B18" s="11" t="s">
        <v>130</v>
      </c>
      <c r="C18" s="11" t="s">
        <v>131</v>
      </c>
      <c r="D18" s="11" t="s">
        <v>59</v>
      </c>
      <c r="E18" s="11" t="s">
        <v>96</v>
      </c>
      <c r="F18" s="11" t="s">
        <v>97</v>
      </c>
      <c r="G18" s="14">
        <v>940</v>
      </c>
      <c r="H18" s="13">
        <v>0</v>
      </c>
    </row>
    <row r="19" spans="1:8" x14ac:dyDescent="0.2">
      <c r="A19" s="11" t="s">
        <v>132</v>
      </c>
      <c r="B19" s="11" t="s">
        <v>104</v>
      </c>
      <c r="C19" s="11" t="s">
        <v>133</v>
      </c>
      <c r="D19" s="11" t="s">
        <v>59</v>
      </c>
      <c r="E19" s="11" t="s">
        <v>96</v>
      </c>
      <c r="F19" s="11" t="s">
        <v>134</v>
      </c>
      <c r="G19" s="14">
        <v>900</v>
      </c>
      <c r="H19" s="13">
        <v>0.03</v>
      </c>
    </row>
    <row r="20" spans="1:8" x14ac:dyDescent="0.2">
      <c r="A20" s="11" t="s">
        <v>135</v>
      </c>
      <c r="B20" s="11" t="s">
        <v>104</v>
      </c>
      <c r="C20" s="11" t="s">
        <v>136</v>
      </c>
      <c r="D20" s="11" t="s">
        <v>60</v>
      </c>
      <c r="E20" s="11" t="s">
        <v>137</v>
      </c>
      <c r="F20" s="11" t="s">
        <v>97</v>
      </c>
      <c r="G20" s="14">
        <v>165</v>
      </c>
      <c r="H20" s="13">
        <v>0.02</v>
      </c>
    </row>
    <row r="21" spans="1:8" x14ac:dyDescent="0.2">
      <c r="A21" s="11" t="s">
        <v>138</v>
      </c>
      <c r="B21" s="11" t="s">
        <v>104</v>
      </c>
      <c r="C21" s="11" t="s">
        <v>139</v>
      </c>
      <c r="D21" s="11" t="s">
        <v>60</v>
      </c>
      <c r="E21" s="11" t="s">
        <v>140</v>
      </c>
      <c r="F21" s="11" t="s">
        <v>97</v>
      </c>
      <c r="G21" s="14">
        <v>340</v>
      </c>
      <c r="H21" s="13">
        <v>0.02</v>
      </c>
    </row>
    <row r="22" spans="1:8" x14ac:dyDescent="0.2">
      <c r="A22" s="11" t="s">
        <v>141</v>
      </c>
      <c r="B22" s="11" t="s">
        <v>142</v>
      </c>
      <c r="C22" s="11" t="s">
        <v>143</v>
      </c>
      <c r="D22" s="11" t="s">
        <v>60</v>
      </c>
      <c r="E22" s="11" t="s">
        <v>140</v>
      </c>
      <c r="F22" s="11" t="s">
        <v>97</v>
      </c>
      <c r="G22" s="14">
        <v>330</v>
      </c>
      <c r="H22" s="13">
        <v>0.01</v>
      </c>
    </row>
    <row r="23" spans="1:8" x14ac:dyDescent="0.2">
      <c r="A23" s="11" t="s">
        <v>144</v>
      </c>
      <c r="B23" s="11" t="s">
        <v>111</v>
      </c>
      <c r="C23" s="11" t="s">
        <v>145</v>
      </c>
      <c r="D23" s="11" t="s">
        <v>60</v>
      </c>
      <c r="E23" s="11" t="s">
        <v>140</v>
      </c>
      <c r="F23" s="11" t="s">
        <v>97</v>
      </c>
      <c r="G23" s="14">
        <v>270</v>
      </c>
      <c r="H23" s="13">
        <v>0.02</v>
      </c>
    </row>
    <row r="24" spans="1:8" x14ac:dyDescent="0.2">
      <c r="A24" s="11" t="s">
        <v>146</v>
      </c>
      <c r="B24" s="11" t="s">
        <v>119</v>
      </c>
      <c r="C24" s="11" t="s">
        <v>147</v>
      </c>
      <c r="D24" s="11" t="s">
        <v>60</v>
      </c>
      <c r="E24" s="11" t="s">
        <v>137</v>
      </c>
      <c r="F24" s="11" t="s">
        <v>97</v>
      </c>
      <c r="G24" s="14">
        <v>160</v>
      </c>
      <c r="H24" s="13">
        <v>0.02</v>
      </c>
    </row>
    <row r="25" spans="1:8" x14ac:dyDescent="0.2">
      <c r="A25" s="11" t="s">
        <v>148</v>
      </c>
      <c r="B25" s="11" t="s">
        <v>149</v>
      </c>
      <c r="C25" s="11" t="s">
        <v>150</v>
      </c>
      <c r="D25" s="11" t="s">
        <v>60</v>
      </c>
      <c r="E25" s="11" t="s">
        <v>140</v>
      </c>
      <c r="F25" s="11" t="s">
        <v>97</v>
      </c>
      <c r="G25" s="14">
        <v>290</v>
      </c>
      <c r="H25" s="13">
        <v>0</v>
      </c>
    </row>
    <row r="26" spans="1:8" x14ac:dyDescent="0.2">
      <c r="A26" s="11" t="s">
        <v>151</v>
      </c>
      <c r="B26" s="11" t="s">
        <v>104</v>
      </c>
      <c r="C26" s="11" t="s">
        <v>152</v>
      </c>
      <c r="D26" s="11" t="s">
        <v>61</v>
      </c>
      <c r="E26" s="11" t="s">
        <v>153</v>
      </c>
      <c r="F26" s="11" t="s">
        <v>97</v>
      </c>
      <c r="G26" s="14">
        <v>215</v>
      </c>
      <c r="H26" s="13">
        <v>0.02</v>
      </c>
    </row>
    <row r="27" spans="1:8" x14ac:dyDescent="0.2">
      <c r="A27" s="11" t="s">
        <v>154</v>
      </c>
      <c r="B27" s="11" t="s">
        <v>155</v>
      </c>
      <c r="C27" s="11" t="s">
        <v>156</v>
      </c>
      <c r="D27" s="11" t="s">
        <v>61</v>
      </c>
      <c r="E27" s="11" t="s">
        <v>153</v>
      </c>
      <c r="F27" s="11" t="s">
        <v>97</v>
      </c>
      <c r="G27" s="14">
        <v>300</v>
      </c>
      <c r="H27" s="13">
        <v>0</v>
      </c>
    </row>
    <row r="28" spans="1:8" x14ac:dyDescent="0.2">
      <c r="A28" s="11" t="s">
        <v>157</v>
      </c>
      <c r="B28" s="11" t="s">
        <v>158</v>
      </c>
      <c r="C28" s="11" t="s">
        <v>159</v>
      </c>
      <c r="D28" s="11" t="s">
        <v>61</v>
      </c>
      <c r="E28" s="11" t="s">
        <v>160</v>
      </c>
      <c r="F28" s="11" t="s">
        <v>97</v>
      </c>
      <c r="G28" s="14">
        <v>80</v>
      </c>
      <c r="H28" s="13">
        <v>0</v>
      </c>
    </row>
    <row r="29" spans="1:8" x14ac:dyDescent="0.2">
      <c r="A29" s="11" t="s">
        <v>161</v>
      </c>
      <c r="B29" s="11" t="s">
        <v>158</v>
      </c>
      <c r="C29" s="11" t="s">
        <v>162</v>
      </c>
      <c r="D29" s="11" t="s">
        <v>61</v>
      </c>
      <c r="E29" s="11" t="s">
        <v>163</v>
      </c>
      <c r="F29" s="11" t="s">
        <v>97</v>
      </c>
      <c r="G29" s="14">
        <v>70</v>
      </c>
      <c r="H29" s="13">
        <v>0</v>
      </c>
    </row>
    <row r="30" spans="1:8" x14ac:dyDescent="0.2">
      <c r="A30" s="11" t="s">
        <v>164</v>
      </c>
      <c r="B30" s="11" t="s">
        <v>94</v>
      </c>
      <c r="C30" s="11" t="s">
        <v>165</v>
      </c>
      <c r="D30" s="11" t="s">
        <v>61</v>
      </c>
      <c r="E30" s="11" t="s">
        <v>160</v>
      </c>
      <c r="F30" s="11" t="s">
        <v>97</v>
      </c>
      <c r="G30" s="14">
        <v>115</v>
      </c>
      <c r="H30" s="13">
        <v>0</v>
      </c>
    </row>
    <row r="31" spans="1:8" x14ac:dyDescent="0.2">
      <c r="A31" s="11" t="s">
        <v>166</v>
      </c>
      <c r="B31" s="11" t="s">
        <v>167</v>
      </c>
      <c r="C31" s="11" t="s">
        <v>168</v>
      </c>
      <c r="D31" s="11" t="s">
        <v>61</v>
      </c>
      <c r="E31" s="11" t="s">
        <v>169</v>
      </c>
      <c r="F31" s="11" t="s">
        <v>97</v>
      </c>
      <c r="G31" s="14">
        <v>165</v>
      </c>
      <c r="H31" s="13">
        <v>0.01</v>
      </c>
    </row>
    <row r="32" spans="1:8" x14ac:dyDescent="0.2">
      <c r="A32" s="11" t="s">
        <v>170</v>
      </c>
      <c r="B32" s="11" t="s">
        <v>171</v>
      </c>
      <c r="C32" s="11" t="s">
        <v>172</v>
      </c>
      <c r="D32" s="11" t="s">
        <v>61</v>
      </c>
      <c r="E32" s="11" t="s">
        <v>169</v>
      </c>
      <c r="F32" s="11" t="s">
        <v>97</v>
      </c>
      <c r="G32" s="14">
        <v>120</v>
      </c>
      <c r="H32" s="13">
        <v>0</v>
      </c>
    </row>
    <row r="33" spans="1:8" x14ac:dyDescent="0.2">
      <c r="A33" s="11" t="s">
        <v>173</v>
      </c>
      <c r="B33" s="11" t="s">
        <v>174</v>
      </c>
      <c r="C33" s="11" t="s">
        <v>175</v>
      </c>
      <c r="D33" s="11" t="s">
        <v>61</v>
      </c>
      <c r="E33" s="11" t="s">
        <v>176</v>
      </c>
      <c r="F33" s="11" t="s">
        <v>97</v>
      </c>
      <c r="G33" s="14">
        <v>28</v>
      </c>
      <c r="H33" s="13">
        <v>0</v>
      </c>
    </row>
    <row r="34" spans="1:8" x14ac:dyDescent="0.2">
      <c r="A34" s="11" t="s">
        <v>177</v>
      </c>
      <c r="B34" s="11" t="s">
        <v>178</v>
      </c>
      <c r="C34" s="11" t="s">
        <v>179</v>
      </c>
      <c r="D34" s="11" t="s">
        <v>61</v>
      </c>
      <c r="E34" s="11" t="s">
        <v>180</v>
      </c>
      <c r="F34" s="11" t="s">
        <v>97</v>
      </c>
      <c r="G34" s="14">
        <v>38</v>
      </c>
      <c r="H34" s="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36" customWidth="1"/>
    <col min="3" max="3" width="10" customWidth="1"/>
    <col min="4" max="4" width="8" customWidth="1"/>
    <col min="5" max="5" width="9" customWidth="1"/>
    <col min="6" max="6" width="12" customWidth="1"/>
    <col min="7" max="7" width="10" customWidth="1"/>
    <col min="8" max="8" width="12" customWidth="1"/>
    <col min="9" max="9" width="8" customWidth="1"/>
    <col min="10" max="11" width="10" customWidth="1"/>
    <col min="12" max="12" width="12" customWidth="1"/>
    <col min="13" max="13" width="10" customWidth="1"/>
    <col min="14" max="14" width="12" customWidth="1"/>
    <col min="15" max="15" width="9" customWidth="1"/>
    <col min="16" max="17" width="10" customWidth="1"/>
    <col min="18" max="18" width="13" customWidth="1"/>
    <col min="19" max="19" width="9" customWidth="1"/>
    <col min="20" max="20" width="12" customWidth="1"/>
    <col min="21" max="21" width="13" customWidth="1"/>
    <col min="22" max="22" width="11" customWidth="1"/>
    <col min="23" max="23" width="10" customWidth="1"/>
  </cols>
  <sheetData>
    <row r="1" spans="1:23" ht="18" x14ac:dyDescent="0.2">
      <c r="A1" s="1" t="s">
        <v>181</v>
      </c>
    </row>
    <row r="2" spans="1:23" x14ac:dyDescent="0.2">
      <c r="A2" s="2" t="s">
        <v>182</v>
      </c>
    </row>
    <row r="4" spans="1:23" ht="30" customHeight="1" x14ac:dyDescent="0.2">
      <c r="A4" s="10" t="s">
        <v>86</v>
      </c>
      <c r="B4" s="10" t="s">
        <v>88</v>
      </c>
      <c r="C4" s="10" t="s">
        <v>74</v>
      </c>
      <c r="D4" s="10" t="s">
        <v>54</v>
      </c>
      <c r="E4" s="10" t="s">
        <v>55</v>
      </c>
      <c r="F4" s="10" t="s">
        <v>91</v>
      </c>
      <c r="G4" s="10" t="s">
        <v>183</v>
      </c>
      <c r="H4" s="10" t="s">
        <v>184</v>
      </c>
      <c r="I4" s="10" t="s">
        <v>185</v>
      </c>
      <c r="J4" s="10" t="s">
        <v>186</v>
      </c>
      <c r="K4" s="10" t="s">
        <v>187</v>
      </c>
      <c r="L4" s="10" t="s">
        <v>31</v>
      </c>
      <c r="M4" s="10" t="s">
        <v>75</v>
      </c>
      <c r="N4" s="10" t="s">
        <v>33</v>
      </c>
      <c r="O4" s="10" t="s">
        <v>58</v>
      </c>
      <c r="P4" s="10" t="s">
        <v>188</v>
      </c>
      <c r="Q4" s="10" t="s">
        <v>77</v>
      </c>
      <c r="R4" s="10" t="s">
        <v>35</v>
      </c>
      <c r="S4" s="10" t="s">
        <v>76</v>
      </c>
      <c r="T4" s="10" t="s">
        <v>189</v>
      </c>
      <c r="U4" s="10" t="s">
        <v>190</v>
      </c>
      <c r="V4" s="10" t="s">
        <v>191</v>
      </c>
      <c r="W4" s="10" t="s">
        <v>192</v>
      </c>
    </row>
    <row r="5" spans="1:23" x14ac:dyDescent="0.2">
      <c r="A5" s="5" t="s">
        <v>93</v>
      </c>
      <c r="B5" s="17" t="str">
        <f>INDEX(SKU_Master!$C$5:$C$34,MATCH($A5,SKU_Master!$A$5:$A$34,0))</f>
        <v>MacBook Air 13 M3 16GB/512GB</v>
      </c>
      <c r="C5" s="17" t="str">
        <f>INDEX(SKU_Master!$D$5:$D$34,MATCH($A5,SKU_Master!$A$5:$A$34,0))</f>
        <v>Laptop</v>
      </c>
      <c r="D5" s="5" t="s">
        <v>62</v>
      </c>
      <c r="E5" s="17" t="str">
        <f>INDEX(Assumptions!$B$5:$B$9,MATCH($D5,Assumptions!$A$5:$A$9,0))</f>
        <v>USD</v>
      </c>
      <c r="F5" s="18">
        <f>INDEX(SKU_Master!$G$5:$G$34,MATCH($A5,SKU_Master!$A$5:$A$34,0))</f>
        <v>1180</v>
      </c>
      <c r="G5" s="19">
        <f>INDEX(SKU_Master!$H$5:$H$34,MATCH($A5,SKU_Master!$A$5:$A$34,0))</f>
        <v>0.01</v>
      </c>
      <c r="H5" s="20">
        <f t="shared" ref="H5:H36" si="0">F5*(1-G5)</f>
        <v>1168.2</v>
      </c>
      <c r="I5" s="19">
        <f>INDEX(Assumptions!$D$5:$D$9,MATCH($D5,Assumptions!$A$5:$A$9,0))</f>
        <v>0</v>
      </c>
      <c r="J5" s="20">
        <f t="shared" ref="J5:J36" si="1">H5*I5</f>
        <v>0</v>
      </c>
      <c r="K5" s="18">
        <f>INDEX(Assumptions!$F$5:$H$9,MATCH($D5,Assumptions!$A$5:$A$9,0),MATCH($C5,Assumptions!$F$4:$H$4,0))</f>
        <v>18</v>
      </c>
      <c r="L5" s="21">
        <f t="shared" ref="L5:L36" si="2">H5+J5+K5</f>
        <v>1186.2</v>
      </c>
      <c r="M5" s="19">
        <f>INDEX(Assumptions!$B$14:$B$16,MATCH($C5,Assumptions!$A$14:$A$16,0))</f>
        <v>0.12</v>
      </c>
      <c r="N5" s="20">
        <f t="shared" ref="N5:N36" si="3">L5/(1-M5)</f>
        <v>1347.9545454545455</v>
      </c>
      <c r="O5" s="19">
        <f>INDEX(Assumptions!$E$5:$E$9,MATCH($D5,Assumptions!$A$5:$A$9,0))</f>
        <v>0</v>
      </c>
      <c r="P5" s="22">
        <f>INDEX(Assumptions!$C$5:$C$9,MATCH($D5,Assumptions!$A$5:$A$9,0))</f>
        <v>1</v>
      </c>
      <c r="Q5" s="19">
        <f>INDEX(Assumptions!$D$14:$D$16,MATCH($C5,Assumptions!$A$14:$A$16,0))</f>
        <v>0.03</v>
      </c>
      <c r="R5" s="23">
        <f t="shared" ref="R5:R36" si="4">ROUNDUP(N5*(1+Q5)*(1+O5)*P5/5,0)*5</f>
        <v>1390</v>
      </c>
      <c r="S5" s="19">
        <f>INDEX(Assumptions!$C$14:$C$16,MATCH($C5,Assumptions!$A$14:$A$16,0))</f>
        <v>0.08</v>
      </c>
      <c r="T5" s="20">
        <f t="shared" ref="T5:T36" si="5">L5/(1-S5)</f>
        <v>1289.3478260869565</v>
      </c>
      <c r="U5" s="24">
        <f t="shared" ref="U5:U36" si="6">T5*(1+O5)*P5</f>
        <v>1289.3478260869565</v>
      </c>
      <c r="V5" s="25">
        <f t="shared" ref="V5:V36" si="7">IF(R5=0,0,(R5/P5-L5)/(R5/P5))</f>
        <v>0.14661870503597119</v>
      </c>
      <c r="W5" s="5" t="str">
        <f t="shared" ref="W5:W36" si="8">A5&amp;"|"&amp;D5</f>
        <v>L01|US</v>
      </c>
    </row>
    <row r="6" spans="1:23" x14ac:dyDescent="0.2">
      <c r="A6" s="5" t="s">
        <v>93</v>
      </c>
      <c r="B6" s="17" t="str">
        <f>INDEX(SKU_Master!$C$5:$C$34,MATCH($A6,SKU_Master!$A$5:$A$34,0))</f>
        <v>MacBook Air 13 M3 16GB/512GB</v>
      </c>
      <c r="C6" s="17" t="str">
        <f>INDEX(SKU_Master!$D$5:$D$34,MATCH($A6,SKU_Master!$A$5:$A$34,0))</f>
        <v>Laptop</v>
      </c>
      <c r="D6" s="5" t="s">
        <v>64</v>
      </c>
      <c r="E6" s="17" t="str">
        <f>INDEX(Assumptions!$B$5:$B$9,MATCH($D6,Assumptions!$A$5:$A$9,0))</f>
        <v>GBP</v>
      </c>
      <c r="F6" s="18">
        <f>INDEX(SKU_Master!$G$5:$G$34,MATCH($A6,SKU_Master!$A$5:$A$34,0))</f>
        <v>1180</v>
      </c>
      <c r="G6" s="19">
        <f>INDEX(SKU_Master!$H$5:$H$34,MATCH($A6,SKU_Master!$A$5:$A$34,0))</f>
        <v>0.01</v>
      </c>
      <c r="H6" s="20">
        <f t="shared" si="0"/>
        <v>1168.2</v>
      </c>
      <c r="I6" s="19">
        <f>INDEX(Assumptions!$D$5:$D$9,MATCH($D6,Assumptions!$A$5:$A$9,0))</f>
        <v>0</v>
      </c>
      <c r="J6" s="20">
        <f t="shared" si="1"/>
        <v>0</v>
      </c>
      <c r="K6" s="18">
        <f>INDEX(Assumptions!$F$5:$H$9,MATCH($D6,Assumptions!$A$5:$A$9,0),MATCH($C6,Assumptions!$F$4:$H$4,0))</f>
        <v>42</v>
      </c>
      <c r="L6" s="21">
        <f t="shared" si="2"/>
        <v>1210.2</v>
      </c>
      <c r="M6" s="19">
        <f>INDEX(Assumptions!$B$14:$B$16,MATCH($C6,Assumptions!$A$14:$A$16,0))</f>
        <v>0.12</v>
      </c>
      <c r="N6" s="20">
        <f t="shared" si="3"/>
        <v>1375.2272727272727</v>
      </c>
      <c r="O6" s="19">
        <f>INDEX(Assumptions!$E$5:$E$9,MATCH($D6,Assumptions!$A$5:$A$9,0))</f>
        <v>0.02</v>
      </c>
      <c r="P6" s="22">
        <f>INDEX(Assumptions!$C$5:$C$9,MATCH($D6,Assumptions!$A$5:$A$9,0))</f>
        <v>0.79</v>
      </c>
      <c r="Q6" s="19">
        <f>INDEX(Assumptions!$D$14:$D$16,MATCH($C6,Assumptions!$A$14:$A$16,0))</f>
        <v>0.03</v>
      </c>
      <c r="R6" s="23">
        <f t="shared" si="4"/>
        <v>1145</v>
      </c>
      <c r="S6" s="19">
        <f>INDEX(Assumptions!$C$14:$C$16,MATCH($C6,Assumptions!$A$14:$A$16,0))</f>
        <v>0.08</v>
      </c>
      <c r="T6" s="20">
        <f t="shared" si="5"/>
        <v>1315.4347826086957</v>
      </c>
      <c r="U6" s="24">
        <f t="shared" si="6"/>
        <v>1059.9773478260872</v>
      </c>
      <c r="V6" s="25">
        <f t="shared" si="7"/>
        <v>0.16501484716157203</v>
      </c>
      <c r="W6" s="5" t="str">
        <f t="shared" si="8"/>
        <v>L01|UK</v>
      </c>
    </row>
    <row r="7" spans="1:23" x14ac:dyDescent="0.2">
      <c r="A7" s="5" t="s">
        <v>93</v>
      </c>
      <c r="B7" s="17" t="str">
        <f>INDEX(SKU_Master!$C$5:$C$34,MATCH($A7,SKU_Master!$A$5:$A$34,0))</f>
        <v>MacBook Air 13 M3 16GB/512GB</v>
      </c>
      <c r="C7" s="17" t="str">
        <f>INDEX(SKU_Master!$D$5:$D$34,MATCH($A7,SKU_Master!$A$5:$A$34,0))</f>
        <v>Laptop</v>
      </c>
      <c r="D7" s="5" t="s">
        <v>66</v>
      </c>
      <c r="E7" s="17" t="str">
        <f>INDEX(Assumptions!$B$5:$B$9,MATCH($D7,Assumptions!$A$5:$A$9,0))</f>
        <v>EUR</v>
      </c>
      <c r="F7" s="18">
        <f>INDEX(SKU_Master!$G$5:$G$34,MATCH($A7,SKU_Master!$A$5:$A$34,0))</f>
        <v>1180</v>
      </c>
      <c r="G7" s="19">
        <f>INDEX(SKU_Master!$H$5:$H$34,MATCH($A7,SKU_Master!$A$5:$A$34,0))</f>
        <v>0.01</v>
      </c>
      <c r="H7" s="20">
        <f t="shared" si="0"/>
        <v>1168.2</v>
      </c>
      <c r="I7" s="19">
        <f>INDEX(Assumptions!$D$5:$D$9,MATCH($D7,Assumptions!$A$5:$A$9,0))</f>
        <v>0</v>
      </c>
      <c r="J7" s="20">
        <f t="shared" si="1"/>
        <v>0</v>
      </c>
      <c r="K7" s="18">
        <f>INDEX(Assumptions!$F$5:$H$9,MATCH($D7,Assumptions!$A$5:$A$9,0),MATCH($C7,Assumptions!$F$4:$H$4,0))</f>
        <v>38</v>
      </c>
      <c r="L7" s="21">
        <f t="shared" si="2"/>
        <v>1206.2</v>
      </c>
      <c r="M7" s="19">
        <f>INDEX(Assumptions!$B$14:$B$16,MATCH($C7,Assumptions!$A$14:$A$16,0))</f>
        <v>0.12</v>
      </c>
      <c r="N7" s="20">
        <f t="shared" si="3"/>
        <v>1370.6818181818182</v>
      </c>
      <c r="O7" s="19">
        <f>INDEX(Assumptions!$E$5:$E$9,MATCH($D7,Assumptions!$A$5:$A$9,0))</f>
        <v>0.02</v>
      </c>
      <c r="P7" s="22">
        <f>INDEX(Assumptions!$C$5:$C$9,MATCH($D7,Assumptions!$A$5:$A$9,0))</f>
        <v>0.92</v>
      </c>
      <c r="Q7" s="19">
        <f>INDEX(Assumptions!$D$14:$D$16,MATCH($C7,Assumptions!$A$14:$A$16,0))</f>
        <v>0.03</v>
      </c>
      <c r="R7" s="23">
        <f t="shared" si="4"/>
        <v>1325</v>
      </c>
      <c r="S7" s="19">
        <f>INDEX(Assumptions!$C$14:$C$16,MATCH($C7,Assumptions!$A$14:$A$16,0))</f>
        <v>0.08</v>
      </c>
      <c r="T7" s="20">
        <f t="shared" si="5"/>
        <v>1311.086956521739</v>
      </c>
      <c r="U7" s="24">
        <f t="shared" si="6"/>
        <v>1230.3240000000001</v>
      </c>
      <c r="V7" s="25">
        <f t="shared" si="7"/>
        <v>0.16248754716981126</v>
      </c>
      <c r="W7" s="5" t="str">
        <f t="shared" si="8"/>
        <v>L01|DE</v>
      </c>
    </row>
    <row r="8" spans="1:23" x14ac:dyDescent="0.2">
      <c r="A8" s="5" t="s">
        <v>93</v>
      </c>
      <c r="B8" s="17" t="str">
        <f>INDEX(SKU_Master!$C$5:$C$34,MATCH($A8,SKU_Master!$A$5:$A$34,0))</f>
        <v>MacBook Air 13 M3 16GB/512GB</v>
      </c>
      <c r="C8" s="17" t="str">
        <f>INDEX(SKU_Master!$D$5:$D$34,MATCH($A8,SKU_Master!$A$5:$A$34,0))</f>
        <v>Laptop</v>
      </c>
      <c r="D8" s="5" t="s">
        <v>68</v>
      </c>
      <c r="E8" s="17" t="str">
        <f>INDEX(Assumptions!$B$5:$B$9,MATCH($D8,Assumptions!$A$5:$A$9,0))</f>
        <v>CAD</v>
      </c>
      <c r="F8" s="18">
        <f>INDEX(SKU_Master!$G$5:$G$34,MATCH($A8,SKU_Master!$A$5:$A$34,0))</f>
        <v>1180</v>
      </c>
      <c r="G8" s="19">
        <f>INDEX(SKU_Master!$H$5:$H$34,MATCH($A8,SKU_Master!$A$5:$A$34,0))</f>
        <v>0.01</v>
      </c>
      <c r="H8" s="20">
        <f t="shared" si="0"/>
        <v>1168.2</v>
      </c>
      <c r="I8" s="19">
        <f>INDEX(Assumptions!$D$5:$D$9,MATCH($D8,Assumptions!$A$5:$A$9,0))</f>
        <v>0</v>
      </c>
      <c r="J8" s="20">
        <f t="shared" si="1"/>
        <v>0</v>
      </c>
      <c r="K8" s="18">
        <f>INDEX(Assumptions!$F$5:$H$9,MATCH($D8,Assumptions!$A$5:$A$9,0),MATCH($C8,Assumptions!$F$4:$H$4,0))</f>
        <v>30</v>
      </c>
      <c r="L8" s="21">
        <f t="shared" si="2"/>
        <v>1198.2</v>
      </c>
      <c r="M8" s="19">
        <f>INDEX(Assumptions!$B$14:$B$16,MATCH($C8,Assumptions!$A$14:$A$16,0))</f>
        <v>0.12</v>
      </c>
      <c r="N8" s="20">
        <f t="shared" si="3"/>
        <v>1361.5909090909092</v>
      </c>
      <c r="O8" s="19">
        <f>INDEX(Assumptions!$E$5:$E$9,MATCH($D8,Assumptions!$A$5:$A$9,0))</f>
        <v>0.02</v>
      </c>
      <c r="P8" s="22">
        <f>INDEX(Assumptions!$C$5:$C$9,MATCH($D8,Assumptions!$A$5:$A$9,0))</f>
        <v>1.37</v>
      </c>
      <c r="Q8" s="19">
        <f>INDEX(Assumptions!$D$14:$D$16,MATCH($C8,Assumptions!$A$14:$A$16,0))</f>
        <v>0.03</v>
      </c>
      <c r="R8" s="23">
        <f t="shared" si="4"/>
        <v>1960</v>
      </c>
      <c r="S8" s="19">
        <f>INDEX(Assumptions!$C$14:$C$16,MATCH($C8,Assumptions!$A$14:$A$16,0))</f>
        <v>0.08</v>
      </c>
      <c r="T8" s="20">
        <f t="shared" si="5"/>
        <v>1302.391304347826</v>
      </c>
      <c r="U8" s="24">
        <f t="shared" si="6"/>
        <v>1819.9616086956523</v>
      </c>
      <c r="V8" s="25">
        <f t="shared" si="7"/>
        <v>0.16248265306122434</v>
      </c>
      <c r="W8" s="5" t="str">
        <f t="shared" si="8"/>
        <v>L01|CA</v>
      </c>
    </row>
    <row r="9" spans="1:23" x14ac:dyDescent="0.2">
      <c r="A9" s="5" t="s">
        <v>93</v>
      </c>
      <c r="B9" s="17" t="str">
        <f>INDEX(SKU_Master!$C$5:$C$34,MATCH($A9,SKU_Master!$A$5:$A$34,0))</f>
        <v>MacBook Air 13 M3 16GB/512GB</v>
      </c>
      <c r="C9" s="17" t="str">
        <f>INDEX(SKU_Master!$D$5:$D$34,MATCH($A9,SKU_Master!$A$5:$A$34,0))</f>
        <v>Laptop</v>
      </c>
      <c r="D9" s="5" t="s">
        <v>70</v>
      </c>
      <c r="E9" s="17" t="str">
        <f>INDEX(Assumptions!$B$5:$B$9,MATCH($D9,Assumptions!$A$5:$A$9,0))</f>
        <v>INR</v>
      </c>
      <c r="F9" s="18">
        <f>INDEX(SKU_Master!$G$5:$G$34,MATCH($A9,SKU_Master!$A$5:$A$34,0))</f>
        <v>1180</v>
      </c>
      <c r="G9" s="19">
        <f>INDEX(SKU_Master!$H$5:$H$34,MATCH($A9,SKU_Master!$A$5:$A$34,0))</f>
        <v>0.01</v>
      </c>
      <c r="H9" s="20">
        <f t="shared" si="0"/>
        <v>1168.2</v>
      </c>
      <c r="I9" s="19">
        <f>INDEX(Assumptions!$D$5:$D$9,MATCH($D9,Assumptions!$A$5:$A$9,0))</f>
        <v>0.11</v>
      </c>
      <c r="J9" s="20">
        <f t="shared" si="1"/>
        <v>128.50200000000001</v>
      </c>
      <c r="K9" s="18">
        <f>INDEX(Assumptions!$F$5:$H$9,MATCH($D9,Assumptions!$A$5:$A$9,0),MATCH($C9,Assumptions!$F$4:$H$4,0))</f>
        <v>55</v>
      </c>
      <c r="L9" s="21">
        <f t="shared" si="2"/>
        <v>1351.702</v>
      </c>
      <c r="M9" s="19">
        <f>INDEX(Assumptions!$B$14:$B$16,MATCH($C9,Assumptions!$A$14:$A$16,0))</f>
        <v>0.12</v>
      </c>
      <c r="N9" s="20">
        <f t="shared" si="3"/>
        <v>1536.0250000000001</v>
      </c>
      <c r="O9" s="19">
        <f>INDEX(Assumptions!$E$5:$E$9,MATCH($D9,Assumptions!$A$5:$A$9,0))</f>
        <v>0.02</v>
      </c>
      <c r="P9" s="22">
        <f>INDEX(Assumptions!$C$5:$C$9,MATCH($D9,Assumptions!$A$5:$A$9,0))</f>
        <v>83.5</v>
      </c>
      <c r="Q9" s="19">
        <f>INDEX(Assumptions!$D$14:$D$16,MATCH($C9,Assumptions!$A$14:$A$16,0))</f>
        <v>0.03</v>
      </c>
      <c r="R9" s="23">
        <f t="shared" si="4"/>
        <v>134750</v>
      </c>
      <c r="S9" s="19">
        <f>INDEX(Assumptions!$C$14:$C$16,MATCH($C9,Assumptions!$A$14:$A$16,0))</f>
        <v>0.08</v>
      </c>
      <c r="T9" s="20">
        <f t="shared" si="5"/>
        <v>1469.2413043478259</v>
      </c>
      <c r="U9" s="24">
        <f t="shared" si="6"/>
        <v>125135.28189130433</v>
      </c>
      <c r="V9" s="25">
        <f t="shared" si="7"/>
        <v>0.16239616326530612</v>
      </c>
      <c r="W9" s="5" t="str">
        <f t="shared" si="8"/>
        <v>L01|IN</v>
      </c>
    </row>
    <row r="10" spans="1:23" x14ac:dyDescent="0.2">
      <c r="A10" s="5" t="s">
        <v>98</v>
      </c>
      <c r="B10" s="17" t="str">
        <f>INDEX(SKU_Master!$C$5:$C$34,MATCH($A10,SKU_Master!$A$5:$A$34,0))</f>
        <v>MacBook Pro 14 M3 Pro 18GB/512GB</v>
      </c>
      <c r="C10" s="17" t="str">
        <f>INDEX(SKU_Master!$D$5:$D$34,MATCH($A10,SKU_Master!$A$5:$A$34,0))</f>
        <v>Laptop</v>
      </c>
      <c r="D10" s="5" t="s">
        <v>62</v>
      </c>
      <c r="E10" s="17" t="str">
        <f>INDEX(Assumptions!$B$5:$B$9,MATCH($D10,Assumptions!$A$5:$A$9,0))</f>
        <v>USD</v>
      </c>
      <c r="F10" s="18">
        <f>INDEX(SKU_Master!$G$5:$G$34,MATCH($A10,SKU_Master!$A$5:$A$34,0))</f>
        <v>1780</v>
      </c>
      <c r="G10" s="19">
        <f>INDEX(SKU_Master!$H$5:$H$34,MATCH($A10,SKU_Master!$A$5:$A$34,0))</f>
        <v>0.01</v>
      </c>
      <c r="H10" s="20">
        <f t="shared" si="0"/>
        <v>1762.2</v>
      </c>
      <c r="I10" s="19">
        <f>INDEX(Assumptions!$D$5:$D$9,MATCH($D10,Assumptions!$A$5:$A$9,0))</f>
        <v>0</v>
      </c>
      <c r="J10" s="20">
        <f t="shared" si="1"/>
        <v>0</v>
      </c>
      <c r="K10" s="18">
        <f>INDEX(Assumptions!$F$5:$H$9,MATCH($D10,Assumptions!$A$5:$A$9,0),MATCH($C10,Assumptions!$F$4:$H$4,0))</f>
        <v>18</v>
      </c>
      <c r="L10" s="21">
        <f t="shared" si="2"/>
        <v>1780.2</v>
      </c>
      <c r="M10" s="19">
        <f>INDEX(Assumptions!$B$14:$B$16,MATCH($C10,Assumptions!$A$14:$A$16,0))</f>
        <v>0.12</v>
      </c>
      <c r="N10" s="20">
        <f t="shared" si="3"/>
        <v>2022.9545454545455</v>
      </c>
      <c r="O10" s="19">
        <f>INDEX(Assumptions!$E$5:$E$9,MATCH($D10,Assumptions!$A$5:$A$9,0))</f>
        <v>0</v>
      </c>
      <c r="P10" s="22">
        <f>INDEX(Assumptions!$C$5:$C$9,MATCH($D10,Assumptions!$A$5:$A$9,0))</f>
        <v>1</v>
      </c>
      <c r="Q10" s="19">
        <f>INDEX(Assumptions!$D$14:$D$16,MATCH($C10,Assumptions!$A$14:$A$16,0))</f>
        <v>0.03</v>
      </c>
      <c r="R10" s="23">
        <f t="shared" si="4"/>
        <v>2085</v>
      </c>
      <c r="S10" s="19">
        <f>INDEX(Assumptions!$C$14:$C$16,MATCH($C10,Assumptions!$A$14:$A$16,0))</f>
        <v>0.08</v>
      </c>
      <c r="T10" s="20">
        <f t="shared" si="5"/>
        <v>1935</v>
      </c>
      <c r="U10" s="24">
        <f t="shared" si="6"/>
        <v>1935</v>
      </c>
      <c r="V10" s="25">
        <f t="shared" si="7"/>
        <v>0.14618705035971222</v>
      </c>
      <c r="W10" s="5" t="str">
        <f t="shared" si="8"/>
        <v>L02|US</v>
      </c>
    </row>
    <row r="11" spans="1:23" x14ac:dyDescent="0.2">
      <c r="A11" s="5" t="s">
        <v>98</v>
      </c>
      <c r="B11" s="17" t="str">
        <f>INDEX(SKU_Master!$C$5:$C$34,MATCH($A11,SKU_Master!$A$5:$A$34,0))</f>
        <v>MacBook Pro 14 M3 Pro 18GB/512GB</v>
      </c>
      <c r="C11" s="17" t="str">
        <f>INDEX(SKU_Master!$D$5:$D$34,MATCH($A11,SKU_Master!$A$5:$A$34,0))</f>
        <v>Laptop</v>
      </c>
      <c r="D11" s="5" t="s">
        <v>64</v>
      </c>
      <c r="E11" s="17" t="str">
        <f>INDEX(Assumptions!$B$5:$B$9,MATCH($D11,Assumptions!$A$5:$A$9,0))</f>
        <v>GBP</v>
      </c>
      <c r="F11" s="18">
        <f>INDEX(SKU_Master!$G$5:$G$34,MATCH($A11,SKU_Master!$A$5:$A$34,0))</f>
        <v>1780</v>
      </c>
      <c r="G11" s="19">
        <f>INDEX(SKU_Master!$H$5:$H$34,MATCH($A11,SKU_Master!$A$5:$A$34,0))</f>
        <v>0.01</v>
      </c>
      <c r="H11" s="20">
        <f t="shared" si="0"/>
        <v>1762.2</v>
      </c>
      <c r="I11" s="19">
        <f>INDEX(Assumptions!$D$5:$D$9,MATCH($D11,Assumptions!$A$5:$A$9,0))</f>
        <v>0</v>
      </c>
      <c r="J11" s="20">
        <f t="shared" si="1"/>
        <v>0</v>
      </c>
      <c r="K11" s="18">
        <f>INDEX(Assumptions!$F$5:$H$9,MATCH($D11,Assumptions!$A$5:$A$9,0),MATCH($C11,Assumptions!$F$4:$H$4,0))</f>
        <v>42</v>
      </c>
      <c r="L11" s="21">
        <f t="shared" si="2"/>
        <v>1804.2</v>
      </c>
      <c r="M11" s="19">
        <f>INDEX(Assumptions!$B$14:$B$16,MATCH($C11,Assumptions!$A$14:$A$16,0))</f>
        <v>0.12</v>
      </c>
      <c r="N11" s="20">
        <f t="shared" si="3"/>
        <v>2050.227272727273</v>
      </c>
      <c r="O11" s="19">
        <f>INDEX(Assumptions!$E$5:$E$9,MATCH($D11,Assumptions!$A$5:$A$9,0))</f>
        <v>0.02</v>
      </c>
      <c r="P11" s="22">
        <f>INDEX(Assumptions!$C$5:$C$9,MATCH($D11,Assumptions!$A$5:$A$9,0))</f>
        <v>0.79</v>
      </c>
      <c r="Q11" s="19">
        <f>INDEX(Assumptions!$D$14:$D$16,MATCH($C11,Assumptions!$A$14:$A$16,0))</f>
        <v>0.03</v>
      </c>
      <c r="R11" s="23">
        <f t="shared" si="4"/>
        <v>1705</v>
      </c>
      <c r="S11" s="19">
        <f>INDEX(Assumptions!$C$14:$C$16,MATCH($C11,Assumptions!$A$14:$A$16,0))</f>
        <v>0.08</v>
      </c>
      <c r="T11" s="20">
        <f t="shared" si="5"/>
        <v>1961.086956521739</v>
      </c>
      <c r="U11" s="24">
        <f t="shared" si="6"/>
        <v>1580.2438695652174</v>
      </c>
      <c r="V11" s="25">
        <f t="shared" si="7"/>
        <v>0.16403636363636362</v>
      </c>
      <c r="W11" s="5" t="str">
        <f t="shared" si="8"/>
        <v>L02|UK</v>
      </c>
    </row>
    <row r="12" spans="1:23" x14ac:dyDescent="0.2">
      <c r="A12" s="5" t="s">
        <v>98</v>
      </c>
      <c r="B12" s="17" t="str">
        <f>INDEX(SKU_Master!$C$5:$C$34,MATCH($A12,SKU_Master!$A$5:$A$34,0))</f>
        <v>MacBook Pro 14 M3 Pro 18GB/512GB</v>
      </c>
      <c r="C12" s="17" t="str">
        <f>INDEX(SKU_Master!$D$5:$D$34,MATCH($A12,SKU_Master!$A$5:$A$34,0))</f>
        <v>Laptop</v>
      </c>
      <c r="D12" s="5" t="s">
        <v>66</v>
      </c>
      <c r="E12" s="17" t="str">
        <f>INDEX(Assumptions!$B$5:$B$9,MATCH($D12,Assumptions!$A$5:$A$9,0))</f>
        <v>EUR</v>
      </c>
      <c r="F12" s="18">
        <f>INDEX(SKU_Master!$G$5:$G$34,MATCH($A12,SKU_Master!$A$5:$A$34,0))</f>
        <v>1780</v>
      </c>
      <c r="G12" s="19">
        <f>INDEX(SKU_Master!$H$5:$H$34,MATCH($A12,SKU_Master!$A$5:$A$34,0))</f>
        <v>0.01</v>
      </c>
      <c r="H12" s="20">
        <f t="shared" si="0"/>
        <v>1762.2</v>
      </c>
      <c r="I12" s="19">
        <f>INDEX(Assumptions!$D$5:$D$9,MATCH($D12,Assumptions!$A$5:$A$9,0))</f>
        <v>0</v>
      </c>
      <c r="J12" s="20">
        <f t="shared" si="1"/>
        <v>0</v>
      </c>
      <c r="K12" s="18">
        <f>INDEX(Assumptions!$F$5:$H$9,MATCH($D12,Assumptions!$A$5:$A$9,0),MATCH($C12,Assumptions!$F$4:$H$4,0))</f>
        <v>38</v>
      </c>
      <c r="L12" s="21">
        <f t="shared" si="2"/>
        <v>1800.2</v>
      </c>
      <c r="M12" s="19">
        <f>INDEX(Assumptions!$B$14:$B$16,MATCH($C12,Assumptions!$A$14:$A$16,0))</f>
        <v>0.12</v>
      </c>
      <c r="N12" s="20">
        <f t="shared" si="3"/>
        <v>2045.6818181818182</v>
      </c>
      <c r="O12" s="19">
        <f>INDEX(Assumptions!$E$5:$E$9,MATCH($D12,Assumptions!$A$5:$A$9,0))</f>
        <v>0.02</v>
      </c>
      <c r="P12" s="22">
        <f>INDEX(Assumptions!$C$5:$C$9,MATCH($D12,Assumptions!$A$5:$A$9,0))</f>
        <v>0.92</v>
      </c>
      <c r="Q12" s="19">
        <f>INDEX(Assumptions!$D$14:$D$16,MATCH($C12,Assumptions!$A$14:$A$16,0))</f>
        <v>0.03</v>
      </c>
      <c r="R12" s="23">
        <f t="shared" si="4"/>
        <v>1980</v>
      </c>
      <c r="S12" s="19">
        <f>INDEX(Assumptions!$C$14:$C$16,MATCH($C12,Assumptions!$A$14:$A$16,0))</f>
        <v>0.08</v>
      </c>
      <c r="T12" s="20">
        <f t="shared" si="5"/>
        <v>1956.7391304347825</v>
      </c>
      <c r="U12" s="24">
        <f t="shared" si="6"/>
        <v>1836.2040000000002</v>
      </c>
      <c r="V12" s="25">
        <f t="shared" si="7"/>
        <v>0.16354343434343424</v>
      </c>
      <c r="W12" s="5" t="str">
        <f t="shared" si="8"/>
        <v>L02|DE</v>
      </c>
    </row>
    <row r="13" spans="1:23" x14ac:dyDescent="0.2">
      <c r="A13" s="5" t="s">
        <v>98</v>
      </c>
      <c r="B13" s="17" t="str">
        <f>INDEX(SKU_Master!$C$5:$C$34,MATCH($A13,SKU_Master!$A$5:$A$34,0))</f>
        <v>MacBook Pro 14 M3 Pro 18GB/512GB</v>
      </c>
      <c r="C13" s="17" t="str">
        <f>INDEX(SKU_Master!$D$5:$D$34,MATCH($A13,SKU_Master!$A$5:$A$34,0))</f>
        <v>Laptop</v>
      </c>
      <c r="D13" s="5" t="s">
        <v>68</v>
      </c>
      <c r="E13" s="17" t="str">
        <f>INDEX(Assumptions!$B$5:$B$9,MATCH($D13,Assumptions!$A$5:$A$9,0))</f>
        <v>CAD</v>
      </c>
      <c r="F13" s="18">
        <f>INDEX(SKU_Master!$G$5:$G$34,MATCH($A13,SKU_Master!$A$5:$A$34,0))</f>
        <v>1780</v>
      </c>
      <c r="G13" s="19">
        <f>INDEX(SKU_Master!$H$5:$H$34,MATCH($A13,SKU_Master!$A$5:$A$34,0))</f>
        <v>0.01</v>
      </c>
      <c r="H13" s="20">
        <f t="shared" si="0"/>
        <v>1762.2</v>
      </c>
      <c r="I13" s="19">
        <f>INDEX(Assumptions!$D$5:$D$9,MATCH($D13,Assumptions!$A$5:$A$9,0))</f>
        <v>0</v>
      </c>
      <c r="J13" s="20">
        <f t="shared" si="1"/>
        <v>0</v>
      </c>
      <c r="K13" s="18">
        <f>INDEX(Assumptions!$F$5:$H$9,MATCH($D13,Assumptions!$A$5:$A$9,0),MATCH($C13,Assumptions!$F$4:$H$4,0))</f>
        <v>30</v>
      </c>
      <c r="L13" s="21">
        <f t="shared" si="2"/>
        <v>1792.2</v>
      </c>
      <c r="M13" s="19">
        <f>INDEX(Assumptions!$B$14:$B$16,MATCH($C13,Assumptions!$A$14:$A$16,0))</f>
        <v>0.12</v>
      </c>
      <c r="N13" s="20">
        <f t="shared" si="3"/>
        <v>2036.5909090909092</v>
      </c>
      <c r="O13" s="19">
        <f>INDEX(Assumptions!$E$5:$E$9,MATCH($D13,Assumptions!$A$5:$A$9,0))</f>
        <v>0.02</v>
      </c>
      <c r="P13" s="22">
        <f>INDEX(Assumptions!$C$5:$C$9,MATCH($D13,Assumptions!$A$5:$A$9,0))</f>
        <v>1.37</v>
      </c>
      <c r="Q13" s="19">
        <f>INDEX(Assumptions!$D$14:$D$16,MATCH($C13,Assumptions!$A$14:$A$16,0))</f>
        <v>0.03</v>
      </c>
      <c r="R13" s="23">
        <f t="shared" si="4"/>
        <v>2935</v>
      </c>
      <c r="S13" s="19">
        <f>INDEX(Assumptions!$C$14:$C$16,MATCH($C13,Assumptions!$A$14:$A$16,0))</f>
        <v>0.08</v>
      </c>
      <c r="T13" s="20">
        <f t="shared" si="5"/>
        <v>1948.0434782608695</v>
      </c>
      <c r="U13" s="24">
        <f t="shared" si="6"/>
        <v>2722.1959565217394</v>
      </c>
      <c r="V13" s="25">
        <f t="shared" si="7"/>
        <v>0.1634364565587734</v>
      </c>
      <c r="W13" s="5" t="str">
        <f t="shared" si="8"/>
        <v>L02|CA</v>
      </c>
    </row>
    <row r="14" spans="1:23" x14ac:dyDescent="0.2">
      <c r="A14" s="5" t="s">
        <v>98</v>
      </c>
      <c r="B14" s="17" t="str">
        <f>INDEX(SKU_Master!$C$5:$C$34,MATCH($A14,SKU_Master!$A$5:$A$34,0))</f>
        <v>MacBook Pro 14 M3 Pro 18GB/512GB</v>
      </c>
      <c r="C14" s="17" t="str">
        <f>INDEX(SKU_Master!$D$5:$D$34,MATCH($A14,SKU_Master!$A$5:$A$34,0))</f>
        <v>Laptop</v>
      </c>
      <c r="D14" s="5" t="s">
        <v>70</v>
      </c>
      <c r="E14" s="17" t="str">
        <f>INDEX(Assumptions!$B$5:$B$9,MATCH($D14,Assumptions!$A$5:$A$9,0))</f>
        <v>INR</v>
      </c>
      <c r="F14" s="18">
        <f>INDEX(SKU_Master!$G$5:$G$34,MATCH($A14,SKU_Master!$A$5:$A$34,0))</f>
        <v>1780</v>
      </c>
      <c r="G14" s="19">
        <f>INDEX(SKU_Master!$H$5:$H$34,MATCH($A14,SKU_Master!$A$5:$A$34,0))</f>
        <v>0.01</v>
      </c>
      <c r="H14" s="20">
        <f t="shared" si="0"/>
        <v>1762.2</v>
      </c>
      <c r="I14" s="19">
        <f>INDEX(Assumptions!$D$5:$D$9,MATCH($D14,Assumptions!$A$5:$A$9,0))</f>
        <v>0.11</v>
      </c>
      <c r="J14" s="20">
        <f t="shared" si="1"/>
        <v>193.84200000000001</v>
      </c>
      <c r="K14" s="18">
        <f>INDEX(Assumptions!$F$5:$H$9,MATCH($D14,Assumptions!$A$5:$A$9,0),MATCH($C14,Assumptions!$F$4:$H$4,0))</f>
        <v>55</v>
      </c>
      <c r="L14" s="21">
        <f t="shared" si="2"/>
        <v>2011.0420000000001</v>
      </c>
      <c r="M14" s="19">
        <f>INDEX(Assumptions!$B$14:$B$16,MATCH($C14,Assumptions!$A$14:$A$16,0))</f>
        <v>0.12</v>
      </c>
      <c r="N14" s="20">
        <f t="shared" si="3"/>
        <v>2285.2750000000001</v>
      </c>
      <c r="O14" s="19">
        <f>INDEX(Assumptions!$E$5:$E$9,MATCH($D14,Assumptions!$A$5:$A$9,0))</f>
        <v>0.02</v>
      </c>
      <c r="P14" s="22">
        <f>INDEX(Assumptions!$C$5:$C$9,MATCH($D14,Assumptions!$A$5:$A$9,0))</f>
        <v>83.5</v>
      </c>
      <c r="Q14" s="19">
        <f>INDEX(Assumptions!$D$14:$D$16,MATCH($C14,Assumptions!$A$14:$A$16,0))</f>
        <v>0.03</v>
      </c>
      <c r="R14" s="23">
        <f t="shared" si="4"/>
        <v>200480</v>
      </c>
      <c r="S14" s="19">
        <f>INDEX(Assumptions!$C$14:$C$16,MATCH($C14,Assumptions!$A$14:$A$16,0))</f>
        <v>0.08</v>
      </c>
      <c r="T14" s="20">
        <f t="shared" si="5"/>
        <v>2185.9152173913044</v>
      </c>
      <c r="U14" s="24">
        <f t="shared" si="6"/>
        <v>186174.39906521741</v>
      </c>
      <c r="V14" s="25">
        <f t="shared" si="7"/>
        <v>0.16240020450917794</v>
      </c>
      <c r="W14" s="5" t="str">
        <f t="shared" si="8"/>
        <v>L02|IN</v>
      </c>
    </row>
    <row r="15" spans="1:23" x14ac:dyDescent="0.2">
      <c r="A15" s="5" t="s">
        <v>101</v>
      </c>
      <c r="B15" s="17" t="str">
        <f>INDEX(SKU_Master!$C$5:$C$34,MATCH($A15,SKU_Master!$A$5:$A$34,0))</f>
        <v>MacBook Pro 16 M3 Max 36GB/1TB</v>
      </c>
      <c r="C15" s="17" t="str">
        <f>INDEX(SKU_Master!$D$5:$D$34,MATCH($A15,SKU_Master!$A$5:$A$34,0))</f>
        <v>Laptop</v>
      </c>
      <c r="D15" s="5" t="s">
        <v>62</v>
      </c>
      <c r="E15" s="17" t="str">
        <f>INDEX(Assumptions!$B$5:$B$9,MATCH($D15,Assumptions!$A$5:$A$9,0))</f>
        <v>USD</v>
      </c>
      <c r="F15" s="18">
        <f>INDEX(SKU_Master!$G$5:$G$34,MATCH($A15,SKU_Master!$A$5:$A$34,0))</f>
        <v>2950</v>
      </c>
      <c r="G15" s="19">
        <f>INDEX(SKU_Master!$H$5:$H$34,MATCH($A15,SKU_Master!$A$5:$A$34,0))</f>
        <v>0.01</v>
      </c>
      <c r="H15" s="20">
        <f t="shared" si="0"/>
        <v>2920.5</v>
      </c>
      <c r="I15" s="19">
        <f>INDEX(Assumptions!$D$5:$D$9,MATCH($D15,Assumptions!$A$5:$A$9,0))</f>
        <v>0</v>
      </c>
      <c r="J15" s="20">
        <f t="shared" si="1"/>
        <v>0</v>
      </c>
      <c r="K15" s="18">
        <f>INDEX(Assumptions!$F$5:$H$9,MATCH($D15,Assumptions!$A$5:$A$9,0),MATCH($C15,Assumptions!$F$4:$H$4,0))</f>
        <v>18</v>
      </c>
      <c r="L15" s="21">
        <f t="shared" si="2"/>
        <v>2938.5</v>
      </c>
      <c r="M15" s="19">
        <f>INDEX(Assumptions!$B$14:$B$16,MATCH($C15,Assumptions!$A$14:$A$16,0))</f>
        <v>0.12</v>
      </c>
      <c r="N15" s="20">
        <f t="shared" si="3"/>
        <v>3339.2045454545455</v>
      </c>
      <c r="O15" s="19">
        <f>INDEX(Assumptions!$E$5:$E$9,MATCH($D15,Assumptions!$A$5:$A$9,0))</f>
        <v>0</v>
      </c>
      <c r="P15" s="22">
        <f>INDEX(Assumptions!$C$5:$C$9,MATCH($D15,Assumptions!$A$5:$A$9,0))</f>
        <v>1</v>
      </c>
      <c r="Q15" s="19">
        <f>INDEX(Assumptions!$D$14:$D$16,MATCH($C15,Assumptions!$A$14:$A$16,0))</f>
        <v>0.03</v>
      </c>
      <c r="R15" s="23">
        <f t="shared" si="4"/>
        <v>3440</v>
      </c>
      <c r="S15" s="19">
        <f>INDEX(Assumptions!$C$14:$C$16,MATCH($C15,Assumptions!$A$14:$A$16,0))</f>
        <v>0.08</v>
      </c>
      <c r="T15" s="20">
        <f t="shared" si="5"/>
        <v>3194.0217391304345</v>
      </c>
      <c r="U15" s="24">
        <f t="shared" si="6"/>
        <v>3194.0217391304345</v>
      </c>
      <c r="V15" s="25">
        <f t="shared" si="7"/>
        <v>0.14578488372093024</v>
      </c>
      <c r="W15" s="5" t="str">
        <f t="shared" si="8"/>
        <v>L03|US</v>
      </c>
    </row>
    <row r="16" spans="1:23" x14ac:dyDescent="0.2">
      <c r="A16" s="5" t="s">
        <v>101</v>
      </c>
      <c r="B16" s="17" t="str">
        <f>INDEX(SKU_Master!$C$5:$C$34,MATCH($A16,SKU_Master!$A$5:$A$34,0))</f>
        <v>MacBook Pro 16 M3 Max 36GB/1TB</v>
      </c>
      <c r="C16" s="17" t="str">
        <f>INDEX(SKU_Master!$D$5:$D$34,MATCH($A16,SKU_Master!$A$5:$A$34,0))</f>
        <v>Laptop</v>
      </c>
      <c r="D16" s="5" t="s">
        <v>64</v>
      </c>
      <c r="E16" s="17" t="str">
        <f>INDEX(Assumptions!$B$5:$B$9,MATCH($D16,Assumptions!$A$5:$A$9,0))</f>
        <v>GBP</v>
      </c>
      <c r="F16" s="18">
        <f>INDEX(SKU_Master!$G$5:$G$34,MATCH($A16,SKU_Master!$A$5:$A$34,0))</f>
        <v>2950</v>
      </c>
      <c r="G16" s="19">
        <f>INDEX(SKU_Master!$H$5:$H$34,MATCH($A16,SKU_Master!$A$5:$A$34,0))</f>
        <v>0.01</v>
      </c>
      <c r="H16" s="20">
        <f t="shared" si="0"/>
        <v>2920.5</v>
      </c>
      <c r="I16" s="19">
        <f>INDEX(Assumptions!$D$5:$D$9,MATCH($D16,Assumptions!$A$5:$A$9,0))</f>
        <v>0</v>
      </c>
      <c r="J16" s="20">
        <f t="shared" si="1"/>
        <v>0</v>
      </c>
      <c r="K16" s="18">
        <f>INDEX(Assumptions!$F$5:$H$9,MATCH($D16,Assumptions!$A$5:$A$9,0),MATCH($C16,Assumptions!$F$4:$H$4,0))</f>
        <v>42</v>
      </c>
      <c r="L16" s="21">
        <f t="shared" si="2"/>
        <v>2962.5</v>
      </c>
      <c r="M16" s="19">
        <f>INDEX(Assumptions!$B$14:$B$16,MATCH($C16,Assumptions!$A$14:$A$16,0))</f>
        <v>0.12</v>
      </c>
      <c r="N16" s="20">
        <f t="shared" si="3"/>
        <v>3366.4772727272725</v>
      </c>
      <c r="O16" s="19">
        <f>INDEX(Assumptions!$E$5:$E$9,MATCH($D16,Assumptions!$A$5:$A$9,0))</f>
        <v>0.02</v>
      </c>
      <c r="P16" s="22">
        <f>INDEX(Assumptions!$C$5:$C$9,MATCH($D16,Assumptions!$A$5:$A$9,0))</f>
        <v>0.79</v>
      </c>
      <c r="Q16" s="19">
        <f>INDEX(Assumptions!$D$14:$D$16,MATCH($C16,Assumptions!$A$14:$A$16,0))</f>
        <v>0.03</v>
      </c>
      <c r="R16" s="23">
        <f t="shared" si="4"/>
        <v>2795</v>
      </c>
      <c r="S16" s="19">
        <f>INDEX(Assumptions!$C$14:$C$16,MATCH($C16,Assumptions!$A$14:$A$16,0))</f>
        <v>0.08</v>
      </c>
      <c r="T16" s="20">
        <f t="shared" si="5"/>
        <v>3220.108695652174</v>
      </c>
      <c r="U16" s="24">
        <f t="shared" si="6"/>
        <v>2594.763586956522</v>
      </c>
      <c r="V16" s="25">
        <f t="shared" si="7"/>
        <v>0.16265652951699464</v>
      </c>
      <c r="W16" s="5" t="str">
        <f t="shared" si="8"/>
        <v>L03|UK</v>
      </c>
    </row>
    <row r="17" spans="1:23" x14ac:dyDescent="0.2">
      <c r="A17" s="5" t="s">
        <v>101</v>
      </c>
      <c r="B17" s="17" t="str">
        <f>INDEX(SKU_Master!$C$5:$C$34,MATCH($A17,SKU_Master!$A$5:$A$34,0))</f>
        <v>MacBook Pro 16 M3 Max 36GB/1TB</v>
      </c>
      <c r="C17" s="17" t="str">
        <f>INDEX(SKU_Master!$D$5:$D$34,MATCH($A17,SKU_Master!$A$5:$A$34,0))</f>
        <v>Laptop</v>
      </c>
      <c r="D17" s="5" t="s">
        <v>66</v>
      </c>
      <c r="E17" s="17" t="str">
        <f>INDEX(Assumptions!$B$5:$B$9,MATCH($D17,Assumptions!$A$5:$A$9,0))</f>
        <v>EUR</v>
      </c>
      <c r="F17" s="18">
        <f>INDEX(SKU_Master!$G$5:$G$34,MATCH($A17,SKU_Master!$A$5:$A$34,0))</f>
        <v>2950</v>
      </c>
      <c r="G17" s="19">
        <f>INDEX(SKU_Master!$H$5:$H$34,MATCH($A17,SKU_Master!$A$5:$A$34,0))</f>
        <v>0.01</v>
      </c>
      <c r="H17" s="20">
        <f t="shared" si="0"/>
        <v>2920.5</v>
      </c>
      <c r="I17" s="19">
        <f>INDEX(Assumptions!$D$5:$D$9,MATCH($D17,Assumptions!$A$5:$A$9,0))</f>
        <v>0</v>
      </c>
      <c r="J17" s="20">
        <f t="shared" si="1"/>
        <v>0</v>
      </c>
      <c r="K17" s="18">
        <f>INDEX(Assumptions!$F$5:$H$9,MATCH($D17,Assumptions!$A$5:$A$9,0),MATCH($C17,Assumptions!$F$4:$H$4,0))</f>
        <v>38</v>
      </c>
      <c r="L17" s="21">
        <f t="shared" si="2"/>
        <v>2958.5</v>
      </c>
      <c r="M17" s="19">
        <f>INDEX(Assumptions!$B$14:$B$16,MATCH($C17,Assumptions!$A$14:$A$16,0))</f>
        <v>0.12</v>
      </c>
      <c r="N17" s="20">
        <f t="shared" si="3"/>
        <v>3361.931818181818</v>
      </c>
      <c r="O17" s="19">
        <f>INDEX(Assumptions!$E$5:$E$9,MATCH($D17,Assumptions!$A$5:$A$9,0))</f>
        <v>0.02</v>
      </c>
      <c r="P17" s="22">
        <f>INDEX(Assumptions!$C$5:$C$9,MATCH($D17,Assumptions!$A$5:$A$9,0))</f>
        <v>0.92</v>
      </c>
      <c r="Q17" s="19">
        <f>INDEX(Assumptions!$D$14:$D$16,MATCH($C17,Assumptions!$A$14:$A$16,0))</f>
        <v>0.03</v>
      </c>
      <c r="R17" s="23">
        <f t="shared" si="4"/>
        <v>3250</v>
      </c>
      <c r="S17" s="19">
        <f>INDEX(Assumptions!$C$14:$C$16,MATCH($C17,Assumptions!$A$14:$A$16,0))</f>
        <v>0.08</v>
      </c>
      <c r="T17" s="20">
        <f t="shared" si="5"/>
        <v>3215.760869565217</v>
      </c>
      <c r="U17" s="24">
        <f t="shared" si="6"/>
        <v>3017.67</v>
      </c>
      <c r="V17" s="25">
        <f t="shared" si="7"/>
        <v>0.16251692307692298</v>
      </c>
      <c r="W17" s="5" t="str">
        <f t="shared" si="8"/>
        <v>L03|DE</v>
      </c>
    </row>
    <row r="18" spans="1:23" x14ac:dyDescent="0.2">
      <c r="A18" s="5" t="s">
        <v>101</v>
      </c>
      <c r="B18" s="17" t="str">
        <f>INDEX(SKU_Master!$C$5:$C$34,MATCH($A18,SKU_Master!$A$5:$A$34,0))</f>
        <v>MacBook Pro 16 M3 Max 36GB/1TB</v>
      </c>
      <c r="C18" s="17" t="str">
        <f>INDEX(SKU_Master!$D$5:$D$34,MATCH($A18,SKU_Master!$A$5:$A$34,0))</f>
        <v>Laptop</v>
      </c>
      <c r="D18" s="5" t="s">
        <v>68</v>
      </c>
      <c r="E18" s="17" t="str">
        <f>INDEX(Assumptions!$B$5:$B$9,MATCH($D18,Assumptions!$A$5:$A$9,0))</f>
        <v>CAD</v>
      </c>
      <c r="F18" s="18">
        <f>INDEX(SKU_Master!$G$5:$G$34,MATCH($A18,SKU_Master!$A$5:$A$34,0))</f>
        <v>2950</v>
      </c>
      <c r="G18" s="19">
        <f>INDEX(SKU_Master!$H$5:$H$34,MATCH($A18,SKU_Master!$A$5:$A$34,0))</f>
        <v>0.01</v>
      </c>
      <c r="H18" s="20">
        <f t="shared" si="0"/>
        <v>2920.5</v>
      </c>
      <c r="I18" s="19">
        <f>INDEX(Assumptions!$D$5:$D$9,MATCH($D18,Assumptions!$A$5:$A$9,0))</f>
        <v>0</v>
      </c>
      <c r="J18" s="20">
        <f t="shared" si="1"/>
        <v>0</v>
      </c>
      <c r="K18" s="18">
        <f>INDEX(Assumptions!$F$5:$H$9,MATCH($D18,Assumptions!$A$5:$A$9,0),MATCH($C18,Assumptions!$F$4:$H$4,0))</f>
        <v>30</v>
      </c>
      <c r="L18" s="21">
        <f t="shared" si="2"/>
        <v>2950.5</v>
      </c>
      <c r="M18" s="19">
        <f>INDEX(Assumptions!$B$14:$B$16,MATCH($C18,Assumptions!$A$14:$A$16,0))</f>
        <v>0.12</v>
      </c>
      <c r="N18" s="20">
        <f t="shared" si="3"/>
        <v>3352.840909090909</v>
      </c>
      <c r="O18" s="19">
        <f>INDEX(Assumptions!$E$5:$E$9,MATCH($D18,Assumptions!$A$5:$A$9,0))</f>
        <v>0.02</v>
      </c>
      <c r="P18" s="22">
        <f>INDEX(Assumptions!$C$5:$C$9,MATCH($D18,Assumptions!$A$5:$A$9,0))</f>
        <v>1.37</v>
      </c>
      <c r="Q18" s="19">
        <f>INDEX(Assumptions!$D$14:$D$16,MATCH($C18,Assumptions!$A$14:$A$16,0))</f>
        <v>0.03</v>
      </c>
      <c r="R18" s="23">
        <f t="shared" si="4"/>
        <v>4830</v>
      </c>
      <c r="S18" s="19">
        <f>INDEX(Assumptions!$C$14:$C$16,MATCH($C18,Assumptions!$A$14:$A$16,0))</f>
        <v>0.08</v>
      </c>
      <c r="T18" s="20">
        <f t="shared" si="5"/>
        <v>3207.065217391304</v>
      </c>
      <c r="U18" s="24">
        <f t="shared" si="6"/>
        <v>4481.5529347826086</v>
      </c>
      <c r="V18" s="25">
        <f t="shared" si="7"/>
        <v>0.16310869565217381</v>
      </c>
      <c r="W18" s="5" t="str">
        <f t="shared" si="8"/>
        <v>L03|CA</v>
      </c>
    </row>
    <row r="19" spans="1:23" x14ac:dyDescent="0.2">
      <c r="A19" s="5" t="s">
        <v>101</v>
      </c>
      <c r="B19" s="17" t="str">
        <f>INDEX(SKU_Master!$C$5:$C$34,MATCH($A19,SKU_Master!$A$5:$A$34,0))</f>
        <v>MacBook Pro 16 M3 Max 36GB/1TB</v>
      </c>
      <c r="C19" s="17" t="str">
        <f>INDEX(SKU_Master!$D$5:$D$34,MATCH($A19,SKU_Master!$A$5:$A$34,0))</f>
        <v>Laptop</v>
      </c>
      <c r="D19" s="5" t="s">
        <v>70</v>
      </c>
      <c r="E19" s="17" t="str">
        <f>INDEX(Assumptions!$B$5:$B$9,MATCH($D19,Assumptions!$A$5:$A$9,0))</f>
        <v>INR</v>
      </c>
      <c r="F19" s="18">
        <f>INDEX(SKU_Master!$G$5:$G$34,MATCH($A19,SKU_Master!$A$5:$A$34,0))</f>
        <v>2950</v>
      </c>
      <c r="G19" s="19">
        <f>INDEX(SKU_Master!$H$5:$H$34,MATCH($A19,SKU_Master!$A$5:$A$34,0))</f>
        <v>0.01</v>
      </c>
      <c r="H19" s="20">
        <f t="shared" si="0"/>
        <v>2920.5</v>
      </c>
      <c r="I19" s="19">
        <f>INDEX(Assumptions!$D$5:$D$9,MATCH($D19,Assumptions!$A$5:$A$9,0))</f>
        <v>0.11</v>
      </c>
      <c r="J19" s="20">
        <f t="shared" si="1"/>
        <v>321.255</v>
      </c>
      <c r="K19" s="18">
        <f>INDEX(Assumptions!$F$5:$H$9,MATCH($D19,Assumptions!$A$5:$A$9,0),MATCH($C19,Assumptions!$F$4:$H$4,0))</f>
        <v>55</v>
      </c>
      <c r="L19" s="21">
        <f t="shared" si="2"/>
        <v>3296.7550000000001</v>
      </c>
      <c r="M19" s="19">
        <f>INDEX(Assumptions!$B$14:$B$16,MATCH($C19,Assumptions!$A$14:$A$16,0))</f>
        <v>0.12</v>
      </c>
      <c r="N19" s="20">
        <f t="shared" si="3"/>
        <v>3746.3125</v>
      </c>
      <c r="O19" s="19">
        <f>INDEX(Assumptions!$E$5:$E$9,MATCH($D19,Assumptions!$A$5:$A$9,0))</f>
        <v>0.02</v>
      </c>
      <c r="P19" s="22">
        <f>INDEX(Assumptions!$C$5:$C$9,MATCH($D19,Assumptions!$A$5:$A$9,0))</f>
        <v>83.5</v>
      </c>
      <c r="Q19" s="19">
        <f>INDEX(Assumptions!$D$14:$D$16,MATCH($C19,Assumptions!$A$14:$A$16,0))</f>
        <v>0.03</v>
      </c>
      <c r="R19" s="23">
        <f t="shared" si="4"/>
        <v>328650</v>
      </c>
      <c r="S19" s="19">
        <f>INDEX(Assumptions!$C$14:$C$16,MATCH($C19,Assumptions!$A$14:$A$16,0))</f>
        <v>0.08</v>
      </c>
      <c r="T19" s="20">
        <f t="shared" si="5"/>
        <v>3583.429347826087</v>
      </c>
      <c r="U19" s="24">
        <f t="shared" si="6"/>
        <v>305200.67755434784</v>
      </c>
      <c r="V19" s="25">
        <f t="shared" si="7"/>
        <v>0.16239451544195946</v>
      </c>
      <c r="W19" s="5" t="str">
        <f t="shared" si="8"/>
        <v>L03|IN</v>
      </c>
    </row>
    <row r="20" spans="1:23" x14ac:dyDescent="0.2">
      <c r="A20" s="5" t="s">
        <v>103</v>
      </c>
      <c r="B20" s="17" t="str">
        <f>INDEX(SKU_Master!$C$5:$C$34,MATCH($A20,SKU_Master!$A$5:$A$34,0))</f>
        <v>Latitude 5450 i5/16GB/512GB</v>
      </c>
      <c r="C20" s="17" t="str">
        <f>INDEX(SKU_Master!$D$5:$D$34,MATCH($A20,SKU_Master!$A$5:$A$34,0))</f>
        <v>Laptop</v>
      </c>
      <c r="D20" s="5" t="s">
        <v>62</v>
      </c>
      <c r="E20" s="17" t="str">
        <f>INDEX(Assumptions!$B$5:$B$9,MATCH($D20,Assumptions!$A$5:$A$9,0))</f>
        <v>USD</v>
      </c>
      <c r="F20" s="18">
        <f>INDEX(SKU_Master!$G$5:$G$34,MATCH($A20,SKU_Master!$A$5:$A$34,0))</f>
        <v>980</v>
      </c>
      <c r="G20" s="19">
        <f>INDEX(SKU_Master!$H$5:$H$34,MATCH($A20,SKU_Master!$A$5:$A$34,0))</f>
        <v>0.03</v>
      </c>
      <c r="H20" s="20">
        <f t="shared" si="0"/>
        <v>950.6</v>
      </c>
      <c r="I20" s="19">
        <f>INDEX(Assumptions!$D$5:$D$9,MATCH($D20,Assumptions!$A$5:$A$9,0))</f>
        <v>0</v>
      </c>
      <c r="J20" s="20">
        <f t="shared" si="1"/>
        <v>0</v>
      </c>
      <c r="K20" s="18">
        <f>INDEX(Assumptions!$F$5:$H$9,MATCH($D20,Assumptions!$A$5:$A$9,0),MATCH($C20,Assumptions!$F$4:$H$4,0))</f>
        <v>18</v>
      </c>
      <c r="L20" s="21">
        <f t="shared" si="2"/>
        <v>968.6</v>
      </c>
      <c r="M20" s="19">
        <f>INDEX(Assumptions!$B$14:$B$16,MATCH($C20,Assumptions!$A$14:$A$16,0))</f>
        <v>0.12</v>
      </c>
      <c r="N20" s="20">
        <f t="shared" si="3"/>
        <v>1100.6818181818182</v>
      </c>
      <c r="O20" s="19">
        <f>INDEX(Assumptions!$E$5:$E$9,MATCH($D20,Assumptions!$A$5:$A$9,0))</f>
        <v>0</v>
      </c>
      <c r="P20" s="22">
        <f>INDEX(Assumptions!$C$5:$C$9,MATCH($D20,Assumptions!$A$5:$A$9,0))</f>
        <v>1</v>
      </c>
      <c r="Q20" s="19">
        <f>INDEX(Assumptions!$D$14:$D$16,MATCH($C20,Assumptions!$A$14:$A$16,0))</f>
        <v>0.03</v>
      </c>
      <c r="R20" s="23">
        <f t="shared" si="4"/>
        <v>1135</v>
      </c>
      <c r="S20" s="19">
        <f>INDEX(Assumptions!$C$14:$C$16,MATCH($C20,Assumptions!$A$14:$A$16,0))</f>
        <v>0.08</v>
      </c>
      <c r="T20" s="20">
        <f t="shared" si="5"/>
        <v>1052.8260869565217</v>
      </c>
      <c r="U20" s="24">
        <f t="shared" si="6"/>
        <v>1052.8260869565217</v>
      </c>
      <c r="V20" s="25">
        <f t="shared" si="7"/>
        <v>0.14660792951541848</v>
      </c>
      <c r="W20" s="5" t="str">
        <f t="shared" si="8"/>
        <v>L04|US</v>
      </c>
    </row>
    <row r="21" spans="1:23" x14ac:dyDescent="0.2">
      <c r="A21" s="5" t="s">
        <v>103</v>
      </c>
      <c r="B21" s="17" t="str">
        <f>INDEX(SKU_Master!$C$5:$C$34,MATCH($A21,SKU_Master!$A$5:$A$34,0))</f>
        <v>Latitude 5450 i5/16GB/512GB</v>
      </c>
      <c r="C21" s="17" t="str">
        <f>INDEX(SKU_Master!$D$5:$D$34,MATCH($A21,SKU_Master!$A$5:$A$34,0))</f>
        <v>Laptop</v>
      </c>
      <c r="D21" s="5" t="s">
        <v>64</v>
      </c>
      <c r="E21" s="17" t="str">
        <f>INDEX(Assumptions!$B$5:$B$9,MATCH($D21,Assumptions!$A$5:$A$9,0))</f>
        <v>GBP</v>
      </c>
      <c r="F21" s="18">
        <f>INDEX(SKU_Master!$G$5:$G$34,MATCH($A21,SKU_Master!$A$5:$A$34,0))</f>
        <v>980</v>
      </c>
      <c r="G21" s="19">
        <f>INDEX(SKU_Master!$H$5:$H$34,MATCH($A21,SKU_Master!$A$5:$A$34,0))</f>
        <v>0.03</v>
      </c>
      <c r="H21" s="20">
        <f t="shared" si="0"/>
        <v>950.6</v>
      </c>
      <c r="I21" s="19">
        <f>INDEX(Assumptions!$D$5:$D$9,MATCH($D21,Assumptions!$A$5:$A$9,0))</f>
        <v>0</v>
      </c>
      <c r="J21" s="20">
        <f t="shared" si="1"/>
        <v>0</v>
      </c>
      <c r="K21" s="18">
        <f>INDEX(Assumptions!$F$5:$H$9,MATCH($D21,Assumptions!$A$5:$A$9,0),MATCH($C21,Assumptions!$F$4:$H$4,0))</f>
        <v>42</v>
      </c>
      <c r="L21" s="21">
        <f t="shared" si="2"/>
        <v>992.6</v>
      </c>
      <c r="M21" s="19">
        <f>INDEX(Assumptions!$B$14:$B$16,MATCH($C21,Assumptions!$A$14:$A$16,0))</f>
        <v>0.12</v>
      </c>
      <c r="N21" s="20">
        <f t="shared" si="3"/>
        <v>1127.9545454545455</v>
      </c>
      <c r="O21" s="19">
        <f>INDEX(Assumptions!$E$5:$E$9,MATCH($D21,Assumptions!$A$5:$A$9,0))</f>
        <v>0.02</v>
      </c>
      <c r="P21" s="22">
        <f>INDEX(Assumptions!$C$5:$C$9,MATCH($D21,Assumptions!$A$5:$A$9,0))</f>
        <v>0.79</v>
      </c>
      <c r="Q21" s="19">
        <f>INDEX(Assumptions!$D$14:$D$16,MATCH($C21,Assumptions!$A$14:$A$16,0))</f>
        <v>0.03</v>
      </c>
      <c r="R21" s="23">
        <f t="shared" si="4"/>
        <v>940</v>
      </c>
      <c r="S21" s="19">
        <f>INDEX(Assumptions!$C$14:$C$16,MATCH($C21,Assumptions!$A$14:$A$16,0))</f>
        <v>0.08</v>
      </c>
      <c r="T21" s="20">
        <f t="shared" si="5"/>
        <v>1078.9130434782608</v>
      </c>
      <c r="U21" s="24">
        <f t="shared" si="6"/>
        <v>869.38813043478251</v>
      </c>
      <c r="V21" s="25">
        <f t="shared" si="7"/>
        <v>0.16579361702127657</v>
      </c>
      <c r="W21" s="5" t="str">
        <f t="shared" si="8"/>
        <v>L04|UK</v>
      </c>
    </row>
    <row r="22" spans="1:23" x14ac:dyDescent="0.2">
      <c r="A22" s="5" t="s">
        <v>103</v>
      </c>
      <c r="B22" s="17" t="str">
        <f>INDEX(SKU_Master!$C$5:$C$34,MATCH($A22,SKU_Master!$A$5:$A$34,0))</f>
        <v>Latitude 5450 i5/16GB/512GB</v>
      </c>
      <c r="C22" s="17" t="str">
        <f>INDEX(SKU_Master!$D$5:$D$34,MATCH($A22,SKU_Master!$A$5:$A$34,0))</f>
        <v>Laptop</v>
      </c>
      <c r="D22" s="5" t="s">
        <v>66</v>
      </c>
      <c r="E22" s="17" t="str">
        <f>INDEX(Assumptions!$B$5:$B$9,MATCH($D22,Assumptions!$A$5:$A$9,0))</f>
        <v>EUR</v>
      </c>
      <c r="F22" s="18">
        <f>INDEX(SKU_Master!$G$5:$G$34,MATCH($A22,SKU_Master!$A$5:$A$34,0))</f>
        <v>980</v>
      </c>
      <c r="G22" s="19">
        <f>INDEX(SKU_Master!$H$5:$H$34,MATCH($A22,SKU_Master!$A$5:$A$34,0))</f>
        <v>0.03</v>
      </c>
      <c r="H22" s="20">
        <f t="shared" si="0"/>
        <v>950.6</v>
      </c>
      <c r="I22" s="19">
        <f>INDEX(Assumptions!$D$5:$D$9,MATCH($D22,Assumptions!$A$5:$A$9,0))</f>
        <v>0</v>
      </c>
      <c r="J22" s="20">
        <f t="shared" si="1"/>
        <v>0</v>
      </c>
      <c r="K22" s="18">
        <f>INDEX(Assumptions!$F$5:$H$9,MATCH($D22,Assumptions!$A$5:$A$9,0),MATCH($C22,Assumptions!$F$4:$H$4,0))</f>
        <v>38</v>
      </c>
      <c r="L22" s="21">
        <f t="shared" si="2"/>
        <v>988.6</v>
      </c>
      <c r="M22" s="19">
        <f>INDEX(Assumptions!$B$14:$B$16,MATCH($C22,Assumptions!$A$14:$A$16,0))</f>
        <v>0.12</v>
      </c>
      <c r="N22" s="20">
        <f t="shared" si="3"/>
        <v>1123.409090909091</v>
      </c>
      <c r="O22" s="19">
        <f>INDEX(Assumptions!$E$5:$E$9,MATCH($D22,Assumptions!$A$5:$A$9,0))</f>
        <v>0.02</v>
      </c>
      <c r="P22" s="22">
        <f>INDEX(Assumptions!$C$5:$C$9,MATCH($D22,Assumptions!$A$5:$A$9,0))</f>
        <v>0.92</v>
      </c>
      <c r="Q22" s="19">
        <f>INDEX(Assumptions!$D$14:$D$16,MATCH($C22,Assumptions!$A$14:$A$16,0))</f>
        <v>0.03</v>
      </c>
      <c r="R22" s="23">
        <f t="shared" si="4"/>
        <v>1090</v>
      </c>
      <c r="S22" s="19">
        <f>INDEX(Assumptions!$C$14:$C$16,MATCH($C22,Assumptions!$A$14:$A$16,0))</f>
        <v>0.08</v>
      </c>
      <c r="T22" s="20">
        <f t="shared" si="5"/>
        <v>1074.5652173913043</v>
      </c>
      <c r="U22" s="24">
        <f t="shared" si="6"/>
        <v>1008.3720000000001</v>
      </c>
      <c r="V22" s="25">
        <f t="shared" si="7"/>
        <v>0.16558532110091731</v>
      </c>
      <c r="W22" s="5" t="str">
        <f t="shared" si="8"/>
        <v>L04|DE</v>
      </c>
    </row>
    <row r="23" spans="1:23" x14ac:dyDescent="0.2">
      <c r="A23" s="5" t="s">
        <v>103</v>
      </c>
      <c r="B23" s="17" t="str">
        <f>INDEX(SKU_Master!$C$5:$C$34,MATCH($A23,SKU_Master!$A$5:$A$34,0))</f>
        <v>Latitude 5450 i5/16GB/512GB</v>
      </c>
      <c r="C23" s="17" t="str">
        <f>INDEX(SKU_Master!$D$5:$D$34,MATCH($A23,SKU_Master!$A$5:$A$34,0))</f>
        <v>Laptop</v>
      </c>
      <c r="D23" s="5" t="s">
        <v>68</v>
      </c>
      <c r="E23" s="17" t="str">
        <f>INDEX(Assumptions!$B$5:$B$9,MATCH($D23,Assumptions!$A$5:$A$9,0))</f>
        <v>CAD</v>
      </c>
      <c r="F23" s="18">
        <f>INDEX(SKU_Master!$G$5:$G$34,MATCH($A23,SKU_Master!$A$5:$A$34,0))</f>
        <v>980</v>
      </c>
      <c r="G23" s="19">
        <f>INDEX(SKU_Master!$H$5:$H$34,MATCH($A23,SKU_Master!$A$5:$A$34,0))</f>
        <v>0.03</v>
      </c>
      <c r="H23" s="20">
        <f t="shared" si="0"/>
        <v>950.6</v>
      </c>
      <c r="I23" s="19">
        <f>INDEX(Assumptions!$D$5:$D$9,MATCH($D23,Assumptions!$A$5:$A$9,0))</f>
        <v>0</v>
      </c>
      <c r="J23" s="20">
        <f t="shared" si="1"/>
        <v>0</v>
      </c>
      <c r="K23" s="18">
        <f>INDEX(Assumptions!$F$5:$H$9,MATCH($D23,Assumptions!$A$5:$A$9,0),MATCH($C23,Assumptions!$F$4:$H$4,0))</f>
        <v>30</v>
      </c>
      <c r="L23" s="21">
        <f t="shared" si="2"/>
        <v>980.6</v>
      </c>
      <c r="M23" s="19">
        <f>INDEX(Assumptions!$B$14:$B$16,MATCH($C23,Assumptions!$A$14:$A$16,0))</f>
        <v>0.12</v>
      </c>
      <c r="N23" s="20">
        <f t="shared" si="3"/>
        <v>1114.3181818181818</v>
      </c>
      <c r="O23" s="19">
        <f>INDEX(Assumptions!$E$5:$E$9,MATCH($D23,Assumptions!$A$5:$A$9,0))</f>
        <v>0.02</v>
      </c>
      <c r="P23" s="22">
        <f>INDEX(Assumptions!$C$5:$C$9,MATCH($D23,Assumptions!$A$5:$A$9,0))</f>
        <v>1.37</v>
      </c>
      <c r="Q23" s="19">
        <f>INDEX(Assumptions!$D$14:$D$16,MATCH($C23,Assumptions!$A$14:$A$16,0))</f>
        <v>0.03</v>
      </c>
      <c r="R23" s="23">
        <f t="shared" si="4"/>
        <v>1605</v>
      </c>
      <c r="S23" s="19">
        <f>INDEX(Assumptions!$C$14:$C$16,MATCH($C23,Assumptions!$A$14:$A$16,0))</f>
        <v>0.08</v>
      </c>
      <c r="T23" s="20">
        <f t="shared" si="5"/>
        <v>1065.8695652173913</v>
      </c>
      <c r="U23" s="24">
        <f t="shared" si="6"/>
        <v>1489.4461304347828</v>
      </c>
      <c r="V23" s="25">
        <f t="shared" si="7"/>
        <v>0.16297694704049834</v>
      </c>
      <c r="W23" s="5" t="str">
        <f t="shared" si="8"/>
        <v>L04|CA</v>
      </c>
    </row>
    <row r="24" spans="1:23" x14ac:dyDescent="0.2">
      <c r="A24" s="5" t="s">
        <v>103</v>
      </c>
      <c r="B24" s="17" t="str">
        <f>INDEX(SKU_Master!$C$5:$C$34,MATCH($A24,SKU_Master!$A$5:$A$34,0))</f>
        <v>Latitude 5450 i5/16GB/512GB</v>
      </c>
      <c r="C24" s="17" t="str">
        <f>INDEX(SKU_Master!$D$5:$D$34,MATCH($A24,SKU_Master!$A$5:$A$34,0))</f>
        <v>Laptop</v>
      </c>
      <c r="D24" s="5" t="s">
        <v>70</v>
      </c>
      <c r="E24" s="17" t="str">
        <f>INDEX(Assumptions!$B$5:$B$9,MATCH($D24,Assumptions!$A$5:$A$9,0))</f>
        <v>INR</v>
      </c>
      <c r="F24" s="18">
        <f>INDEX(SKU_Master!$G$5:$G$34,MATCH($A24,SKU_Master!$A$5:$A$34,0))</f>
        <v>980</v>
      </c>
      <c r="G24" s="19">
        <f>INDEX(SKU_Master!$H$5:$H$34,MATCH($A24,SKU_Master!$A$5:$A$34,0))</f>
        <v>0.03</v>
      </c>
      <c r="H24" s="20">
        <f t="shared" si="0"/>
        <v>950.6</v>
      </c>
      <c r="I24" s="19">
        <f>INDEX(Assumptions!$D$5:$D$9,MATCH($D24,Assumptions!$A$5:$A$9,0))</f>
        <v>0.11</v>
      </c>
      <c r="J24" s="20">
        <f t="shared" si="1"/>
        <v>104.566</v>
      </c>
      <c r="K24" s="18">
        <f>INDEX(Assumptions!$F$5:$H$9,MATCH($D24,Assumptions!$A$5:$A$9,0),MATCH($C24,Assumptions!$F$4:$H$4,0))</f>
        <v>55</v>
      </c>
      <c r="L24" s="21">
        <f t="shared" si="2"/>
        <v>1110.1659999999999</v>
      </c>
      <c r="M24" s="19">
        <f>INDEX(Assumptions!$B$14:$B$16,MATCH($C24,Assumptions!$A$14:$A$16,0))</f>
        <v>0.12</v>
      </c>
      <c r="N24" s="20">
        <f t="shared" si="3"/>
        <v>1261.5522727272726</v>
      </c>
      <c r="O24" s="19">
        <f>INDEX(Assumptions!$E$5:$E$9,MATCH($D24,Assumptions!$A$5:$A$9,0))</f>
        <v>0.02</v>
      </c>
      <c r="P24" s="22">
        <f>INDEX(Assumptions!$C$5:$C$9,MATCH($D24,Assumptions!$A$5:$A$9,0))</f>
        <v>83.5</v>
      </c>
      <c r="Q24" s="19">
        <f>INDEX(Assumptions!$D$14:$D$16,MATCH($C24,Assumptions!$A$14:$A$16,0))</f>
        <v>0.03</v>
      </c>
      <c r="R24" s="23">
        <f t="shared" si="4"/>
        <v>110670</v>
      </c>
      <c r="S24" s="19">
        <f>INDEX(Assumptions!$C$14:$C$16,MATCH($C24,Assumptions!$A$14:$A$16,0))</f>
        <v>0.08</v>
      </c>
      <c r="T24" s="20">
        <f t="shared" si="5"/>
        <v>1206.7021739130435</v>
      </c>
      <c r="U24" s="24">
        <f t="shared" si="6"/>
        <v>102774.82415217393</v>
      </c>
      <c r="V24" s="25">
        <f t="shared" si="7"/>
        <v>0.16238491912894196</v>
      </c>
      <c r="W24" s="5" t="str">
        <f t="shared" si="8"/>
        <v>L04|IN</v>
      </c>
    </row>
    <row r="25" spans="1:23" x14ac:dyDescent="0.2">
      <c r="A25" s="5" t="s">
        <v>106</v>
      </c>
      <c r="B25" s="17" t="str">
        <f>INDEX(SKU_Master!$C$5:$C$34,MATCH($A25,SKU_Master!$A$5:$A$34,0))</f>
        <v>Latitude 7450 i7/16GB/512GB</v>
      </c>
      <c r="C25" s="17" t="str">
        <f>INDEX(SKU_Master!$D$5:$D$34,MATCH($A25,SKU_Master!$A$5:$A$34,0))</f>
        <v>Laptop</v>
      </c>
      <c r="D25" s="5" t="s">
        <v>62</v>
      </c>
      <c r="E25" s="17" t="str">
        <f>INDEX(Assumptions!$B$5:$B$9,MATCH($D25,Assumptions!$A$5:$A$9,0))</f>
        <v>USD</v>
      </c>
      <c r="F25" s="18">
        <f>INDEX(SKU_Master!$G$5:$G$34,MATCH($A25,SKU_Master!$A$5:$A$34,0))</f>
        <v>1320</v>
      </c>
      <c r="G25" s="19">
        <f>INDEX(SKU_Master!$H$5:$H$34,MATCH($A25,SKU_Master!$A$5:$A$34,0))</f>
        <v>0.03</v>
      </c>
      <c r="H25" s="20">
        <f t="shared" si="0"/>
        <v>1280.3999999999999</v>
      </c>
      <c r="I25" s="19">
        <f>INDEX(Assumptions!$D$5:$D$9,MATCH($D25,Assumptions!$A$5:$A$9,0))</f>
        <v>0</v>
      </c>
      <c r="J25" s="20">
        <f t="shared" si="1"/>
        <v>0</v>
      </c>
      <c r="K25" s="18">
        <f>INDEX(Assumptions!$F$5:$H$9,MATCH($D25,Assumptions!$A$5:$A$9,0),MATCH($C25,Assumptions!$F$4:$H$4,0))</f>
        <v>18</v>
      </c>
      <c r="L25" s="21">
        <f t="shared" si="2"/>
        <v>1298.3999999999999</v>
      </c>
      <c r="M25" s="19">
        <f>INDEX(Assumptions!$B$14:$B$16,MATCH($C25,Assumptions!$A$14:$A$16,0))</f>
        <v>0.12</v>
      </c>
      <c r="N25" s="20">
        <f t="shared" si="3"/>
        <v>1475.4545454545453</v>
      </c>
      <c r="O25" s="19">
        <f>INDEX(Assumptions!$E$5:$E$9,MATCH($D25,Assumptions!$A$5:$A$9,0))</f>
        <v>0</v>
      </c>
      <c r="P25" s="22">
        <f>INDEX(Assumptions!$C$5:$C$9,MATCH($D25,Assumptions!$A$5:$A$9,0))</f>
        <v>1</v>
      </c>
      <c r="Q25" s="19">
        <f>INDEX(Assumptions!$D$14:$D$16,MATCH($C25,Assumptions!$A$14:$A$16,0))</f>
        <v>0.03</v>
      </c>
      <c r="R25" s="23">
        <f t="shared" si="4"/>
        <v>1520</v>
      </c>
      <c r="S25" s="19">
        <f>INDEX(Assumptions!$C$14:$C$16,MATCH($C25,Assumptions!$A$14:$A$16,0))</f>
        <v>0.08</v>
      </c>
      <c r="T25" s="20">
        <f t="shared" si="5"/>
        <v>1411.3043478260868</v>
      </c>
      <c r="U25" s="24">
        <f t="shared" si="6"/>
        <v>1411.3043478260868</v>
      </c>
      <c r="V25" s="25">
        <f t="shared" si="7"/>
        <v>0.14578947368421061</v>
      </c>
      <c r="W25" s="5" t="str">
        <f t="shared" si="8"/>
        <v>L05|US</v>
      </c>
    </row>
    <row r="26" spans="1:23" x14ac:dyDescent="0.2">
      <c r="A26" s="5" t="s">
        <v>106</v>
      </c>
      <c r="B26" s="17" t="str">
        <f>INDEX(SKU_Master!$C$5:$C$34,MATCH($A26,SKU_Master!$A$5:$A$34,0))</f>
        <v>Latitude 7450 i7/16GB/512GB</v>
      </c>
      <c r="C26" s="17" t="str">
        <f>INDEX(SKU_Master!$D$5:$D$34,MATCH($A26,SKU_Master!$A$5:$A$34,0))</f>
        <v>Laptop</v>
      </c>
      <c r="D26" s="5" t="s">
        <v>64</v>
      </c>
      <c r="E26" s="17" t="str">
        <f>INDEX(Assumptions!$B$5:$B$9,MATCH($D26,Assumptions!$A$5:$A$9,0))</f>
        <v>GBP</v>
      </c>
      <c r="F26" s="18">
        <f>INDEX(SKU_Master!$G$5:$G$34,MATCH($A26,SKU_Master!$A$5:$A$34,0))</f>
        <v>1320</v>
      </c>
      <c r="G26" s="19">
        <f>INDEX(SKU_Master!$H$5:$H$34,MATCH($A26,SKU_Master!$A$5:$A$34,0))</f>
        <v>0.03</v>
      </c>
      <c r="H26" s="20">
        <f t="shared" si="0"/>
        <v>1280.3999999999999</v>
      </c>
      <c r="I26" s="19">
        <f>INDEX(Assumptions!$D$5:$D$9,MATCH($D26,Assumptions!$A$5:$A$9,0))</f>
        <v>0</v>
      </c>
      <c r="J26" s="20">
        <f t="shared" si="1"/>
        <v>0</v>
      </c>
      <c r="K26" s="18">
        <f>INDEX(Assumptions!$F$5:$H$9,MATCH($D26,Assumptions!$A$5:$A$9,0),MATCH($C26,Assumptions!$F$4:$H$4,0))</f>
        <v>42</v>
      </c>
      <c r="L26" s="21">
        <f t="shared" si="2"/>
        <v>1322.3999999999999</v>
      </c>
      <c r="M26" s="19">
        <f>INDEX(Assumptions!$B$14:$B$16,MATCH($C26,Assumptions!$A$14:$A$16,0))</f>
        <v>0.12</v>
      </c>
      <c r="N26" s="20">
        <f t="shared" si="3"/>
        <v>1502.7272727272725</v>
      </c>
      <c r="O26" s="19">
        <f>INDEX(Assumptions!$E$5:$E$9,MATCH($D26,Assumptions!$A$5:$A$9,0))</f>
        <v>0.02</v>
      </c>
      <c r="P26" s="22">
        <f>INDEX(Assumptions!$C$5:$C$9,MATCH($D26,Assumptions!$A$5:$A$9,0))</f>
        <v>0.79</v>
      </c>
      <c r="Q26" s="19">
        <f>INDEX(Assumptions!$D$14:$D$16,MATCH($C26,Assumptions!$A$14:$A$16,0))</f>
        <v>0.03</v>
      </c>
      <c r="R26" s="23">
        <f t="shared" si="4"/>
        <v>1250</v>
      </c>
      <c r="S26" s="19">
        <f>INDEX(Assumptions!$C$14:$C$16,MATCH($C26,Assumptions!$A$14:$A$16,0))</f>
        <v>0.08</v>
      </c>
      <c r="T26" s="20">
        <f t="shared" si="5"/>
        <v>1437.3913043478258</v>
      </c>
      <c r="U26" s="24">
        <f t="shared" si="6"/>
        <v>1158.249913043478</v>
      </c>
      <c r="V26" s="25">
        <f t="shared" si="7"/>
        <v>0.16424320000000006</v>
      </c>
      <c r="W26" s="5" t="str">
        <f t="shared" si="8"/>
        <v>L05|UK</v>
      </c>
    </row>
    <row r="27" spans="1:23" x14ac:dyDescent="0.2">
      <c r="A27" s="5" t="s">
        <v>106</v>
      </c>
      <c r="B27" s="17" t="str">
        <f>INDEX(SKU_Master!$C$5:$C$34,MATCH($A27,SKU_Master!$A$5:$A$34,0))</f>
        <v>Latitude 7450 i7/16GB/512GB</v>
      </c>
      <c r="C27" s="17" t="str">
        <f>INDEX(SKU_Master!$D$5:$D$34,MATCH($A27,SKU_Master!$A$5:$A$34,0))</f>
        <v>Laptop</v>
      </c>
      <c r="D27" s="5" t="s">
        <v>66</v>
      </c>
      <c r="E27" s="17" t="str">
        <f>INDEX(Assumptions!$B$5:$B$9,MATCH($D27,Assumptions!$A$5:$A$9,0))</f>
        <v>EUR</v>
      </c>
      <c r="F27" s="18">
        <f>INDEX(SKU_Master!$G$5:$G$34,MATCH($A27,SKU_Master!$A$5:$A$34,0))</f>
        <v>1320</v>
      </c>
      <c r="G27" s="19">
        <f>INDEX(SKU_Master!$H$5:$H$34,MATCH($A27,SKU_Master!$A$5:$A$34,0))</f>
        <v>0.03</v>
      </c>
      <c r="H27" s="20">
        <f t="shared" si="0"/>
        <v>1280.3999999999999</v>
      </c>
      <c r="I27" s="19">
        <f>INDEX(Assumptions!$D$5:$D$9,MATCH($D27,Assumptions!$A$5:$A$9,0))</f>
        <v>0</v>
      </c>
      <c r="J27" s="20">
        <f t="shared" si="1"/>
        <v>0</v>
      </c>
      <c r="K27" s="18">
        <f>INDEX(Assumptions!$F$5:$H$9,MATCH($D27,Assumptions!$A$5:$A$9,0),MATCH($C27,Assumptions!$F$4:$H$4,0))</f>
        <v>38</v>
      </c>
      <c r="L27" s="21">
        <f t="shared" si="2"/>
        <v>1318.3999999999999</v>
      </c>
      <c r="M27" s="19">
        <f>INDEX(Assumptions!$B$14:$B$16,MATCH($C27,Assumptions!$A$14:$A$16,0))</f>
        <v>0.12</v>
      </c>
      <c r="N27" s="20">
        <f t="shared" si="3"/>
        <v>1498.181818181818</v>
      </c>
      <c r="O27" s="19">
        <f>INDEX(Assumptions!$E$5:$E$9,MATCH($D27,Assumptions!$A$5:$A$9,0))</f>
        <v>0.02</v>
      </c>
      <c r="P27" s="22">
        <f>INDEX(Assumptions!$C$5:$C$9,MATCH($D27,Assumptions!$A$5:$A$9,0))</f>
        <v>0.92</v>
      </c>
      <c r="Q27" s="19">
        <f>INDEX(Assumptions!$D$14:$D$16,MATCH($C27,Assumptions!$A$14:$A$16,0))</f>
        <v>0.03</v>
      </c>
      <c r="R27" s="23">
        <f t="shared" si="4"/>
        <v>1450</v>
      </c>
      <c r="S27" s="19">
        <f>INDEX(Assumptions!$C$14:$C$16,MATCH($C27,Assumptions!$A$14:$A$16,0))</f>
        <v>0.08</v>
      </c>
      <c r="T27" s="20">
        <f t="shared" si="5"/>
        <v>1433.0434782608693</v>
      </c>
      <c r="U27" s="24">
        <f t="shared" si="6"/>
        <v>1344.7679999999998</v>
      </c>
      <c r="V27" s="25">
        <f t="shared" si="7"/>
        <v>0.16349793103448279</v>
      </c>
      <c r="W27" s="5" t="str">
        <f t="shared" si="8"/>
        <v>L05|DE</v>
      </c>
    </row>
    <row r="28" spans="1:23" x14ac:dyDescent="0.2">
      <c r="A28" s="5" t="s">
        <v>106</v>
      </c>
      <c r="B28" s="17" t="str">
        <f>INDEX(SKU_Master!$C$5:$C$34,MATCH($A28,SKU_Master!$A$5:$A$34,0))</f>
        <v>Latitude 7450 i7/16GB/512GB</v>
      </c>
      <c r="C28" s="17" t="str">
        <f>INDEX(SKU_Master!$D$5:$D$34,MATCH($A28,SKU_Master!$A$5:$A$34,0))</f>
        <v>Laptop</v>
      </c>
      <c r="D28" s="5" t="s">
        <v>68</v>
      </c>
      <c r="E28" s="17" t="str">
        <f>INDEX(Assumptions!$B$5:$B$9,MATCH($D28,Assumptions!$A$5:$A$9,0))</f>
        <v>CAD</v>
      </c>
      <c r="F28" s="18">
        <f>INDEX(SKU_Master!$G$5:$G$34,MATCH($A28,SKU_Master!$A$5:$A$34,0))</f>
        <v>1320</v>
      </c>
      <c r="G28" s="19">
        <f>INDEX(SKU_Master!$H$5:$H$34,MATCH($A28,SKU_Master!$A$5:$A$34,0))</f>
        <v>0.03</v>
      </c>
      <c r="H28" s="20">
        <f t="shared" si="0"/>
        <v>1280.3999999999999</v>
      </c>
      <c r="I28" s="19">
        <f>INDEX(Assumptions!$D$5:$D$9,MATCH($D28,Assumptions!$A$5:$A$9,0))</f>
        <v>0</v>
      </c>
      <c r="J28" s="20">
        <f t="shared" si="1"/>
        <v>0</v>
      </c>
      <c r="K28" s="18">
        <f>INDEX(Assumptions!$F$5:$H$9,MATCH($D28,Assumptions!$A$5:$A$9,0),MATCH($C28,Assumptions!$F$4:$H$4,0))</f>
        <v>30</v>
      </c>
      <c r="L28" s="21">
        <f t="shared" si="2"/>
        <v>1310.3999999999999</v>
      </c>
      <c r="M28" s="19">
        <f>INDEX(Assumptions!$B$14:$B$16,MATCH($C28,Assumptions!$A$14:$A$16,0))</f>
        <v>0.12</v>
      </c>
      <c r="N28" s="20">
        <f t="shared" si="3"/>
        <v>1489.090909090909</v>
      </c>
      <c r="O28" s="19">
        <f>INDEX(Assumptions!$E$5:$E$9,MATCH($D28,Assumptions!$A$5:$A$9,0))</f>
        <v>0.02</v>
      </c>
      <c r="P28" s="22">
        <f>INDEX(Assumptions!$C$5:$C$9,MATCH($D28,Assumptions!$A$5:$A$9,0))</f>
        <v>1.37</v>
      </c>
      <c r="Q28" s="19">
        <f>INDEX(Assumptions!$D$14:$D$16,MATCH($C28,Assumptions!$A$14:$A$16,0))</f>
        <v>0.03</v>
      </c>
      <c r="R28" s="23">
        <f t="shared" si="4"/>
        <v>2145</v>
      </c>
      <c r="S28" s="19">
        <f>INDEX(Assumptions!$C$14:$C$16,MATCH($C28,Assumptions!$A$14:$A$16,0))</f>
        <v>0.08</v>
      </c>
      <c r="T28" s="20">
        <f t="shared" si="5"/>
        <v>1424.3478260869563</v>
      </c>
      <c r="U28" s="24">
        <f t="shared" si="6"/>
        <v>1990.3836521739129</v>
      </c>
      <c r="V28" s="25">
        <f t="shared" si="7"/>
        <v>0.16305454545454548</v>
      </c>
      <c r="W28" s="5" t="str">
        <f t="shared" si="8"/>
        <v>L05|CA</v>
      </c>
    </row>
    <row r="29" spans="1:23" x14ac:dyDescent="0.2">
      <c r="A29" s="5" t="s">
        <v>106</v>
      </c>
      <c r="B29" s="17" t="str">
        <f>INDEX(SKU_Master!$C$5:$C$34,MATCH($A29,SKU_Master!$A$5:$A$34,0))</f>
        <v>Latitude 7450 i7/16GB/512GB</v>
      </c>
      <c r="C29" s="17" t="str">
        <f>INDEX(SKU_Master!$D$5:$D$34,MATCH($A29,SKU_Master!$A$5:$A$34,0))</f>
        <v>Laptop</v>
      </c>
      <c r="D29" s="5" t="s">
        <v>70</v>
      </c>
      <c r="E29" s="17" t="str">
        <f>INDEX(Assumptions!$B$5:$B$9,MATCH($D29,Assumptions!$A$5:$A$9,0))</f>
        <v>INR</v>
      </c>
      <c r="F29" s="18">
        <f>INDEX(SKU_Master!$G$5:$G$34,MATCH($A29,SKU_Master!$A$5:$A$34,0))</f>
        <v>1320</v>
      </c>
      <c r="G29" s="19">
        <f>INDEX(SKU_Master!$H$5:$H$34,MATCH($A29,SKU_Master!$A$5:$A$34,0))</f>
        <v>0.03</v>
      </c>
      <c r="H29" s="20">
        <f t="shared" si="0"/>
        <v>1280.3999999999999</v>
      </c>
      <c r="I29" s="19">
        <f>INDEX(Assumptions!$D$5:$D$9,MATCH($D29,Assumptions!$A$5:$A$9,0))</f>
        <v>0.11</v>
      </c>
      <c r="J29" s="20">
        <f t="shared" si="1"/>
        <v>140.84399999999999</v>
      </c>
      <c r="K29" s="18">
        <f>INDEX(Assumptions!$F$5:$H$9,MATCH($D29,Assumptions!$A$5:$A$9,0),MATCH($C29,Assumptions!$F$4:$H$4,0))</f>
        <v>55</v>
      </c>
      <c r="L29" s="21">
        <f t="shared" si="2"/>
        <v>1476.2439999999999</v>
      </c>
      <c r="M29" s="19">
        <f>INDEX(Assumptions!$B$14:$B$16,MATCH($C29,Assumptions!$A$14:$A$16,0))</f>
        <v>0.12</v>
      </c>
      <c r="N29" s="20">
        <f t="shared" si="3"/>
        <v>1677.55</v>
      </c>
      <c r="O29" s="19">
        <f>INDEX(Assumptions!$E$5:$E$9,MATCH($D29,Assumptions!$A$5:$A$9,0))</f>
        <v>0.02</v>
      </c>
      <c r="P29" s="22">
        <f>INDEX(Assumptions!$C$5:$C$9,MATCH($D29,Assumptions!$A$5:$A$9,0))</f>
        <v>83.5</v>
      </c>
      <c r="Q29" s="19">
        <f>INDEX(Assumptions!$D$14:$D$16,MATCH($C29,Assumptions!$A$14:$A$16,0))</f>
        <v>0.03</v>
      </c>
      <c r="R29" s="23">
        <f t="shared" si="4"/>
        <v>147165</v>
      </c>
      <c r="S29" s="19">
        <f>INDEX(Assumptions!$C$14:$C$16,MATCH($C29,Assumptions!$A$14:$A$16,0))</f>
        <v>0.08</v>
      </c>
      <c r="T29" s="20">
        <f t="shared" si="5"/>
        <v>1604.6130434782608</v>
      </c>
      <c r="U29" s="24">
        <f t="shared" si="6"/>
        <v>136664.89291304347</v>
      </c>
      <c r="V29" s="25">
        <f t="shared" si="7"/>
        <v>0.16239340875887612</v>
      </c>
      <c r="W29" s="5" t="str">
        <f t="shared" si="8"/>
        <v>L05|IN</v>
      </c>
    </row>
    <row r="30" spans="1:23" x14ac:dyDescent="0.2">
      <c r="A30" s="5" t="s">
        <v>108</v>
      </c>
      <c r="B30" s="17" t="str">
        <f>INDEX(SKU_Master!$C$5:$C$34,MATCH($A30,SKU_Master!$A$5:$A$34,0))</f>
        <v>XPS 13 9340 Ultra 7/16GB/512GB</v>
      </c>
      <c r="C30" s="17" t="str">
        <f>INDEX(SKU_Master!$D$5:$D$34,MATCH($A30,SKU_Master!$A$5:$A$34,0))</f>
        <v>Laptop</v>
      </c>
      <c r="D30" s="5" t="s">
        <v>62</v>
      </c>
      <c r="E30" s="17" t="str">
        <f>INDEX(Assumptions!$B$5:$B$9,MATCH($D30,Assumptions!$A$5:$A$9,0))</f>
        <v>USD</v>
      </c>
      <c r="F30" s="18">
        <f>INDEX(SKU_Master!$G$5:$G$34,MATCH($A30,SKU_Master!$A$5:$A$34,0))</f>
        <v>1150</v>
      </c>
      <c r="G30" s="19">
        <f>INDEX(SKU_Master!$H$5:$H$34,MATCH($A30,SKU_Master!$A$5:$A$34,0))</f>
        <v>0.02</v>
      </c>
      <c r="H30" s="20">
        <f t="shared" si="0"/>
        <v>1127</v>
      </c>
      <c r="I30" s="19">
        <f>INDEX(Assumptions!$D$5:$D$9,MATCH($D30,Assumptions!$A$5:$A$9,0))</f>
        <v>0</v>
      </c>
      <c r="J30" s="20">
        <f t="shared" si="1"/>
        <v>0</v>
      </c>
      <c r="K30" s="18">
        <f>INDEX(Assumptions!$F$5:$H$9,MATCH($D30,Assumptions!$A$5:$A$9,0),MATCH($C30,Assumptions!$F$4:$H$4,0))</f>
        <v>18</v>
      </c>
      <c r="L30" s="21">
        <f t="shared" si="2"/>
        <v>1145</v>
      </c>
      <c r="M30" s="19">
        <f>INDEX(Assumptions!$B$14:$B$16,MATCH($C30,Assumptions!$A$14:$A$16,0))</f>
        <v>0.12</v>
      </c>
      <c r="N30" s="20">
        <f t="shared" si="3"/>
        <v>1301.1363636363637</v>
      </c>
      <c r="O30" s="19">
        <f>INDEX(Assumptions!$E$5:$E$9,MATCH($D30,Assumptions!$A$5:$A$9,0))</f>
        <v>0</v>
      </c>
      <c r="P30" s="22">
        <f>INDEX(Assumptions!$C$5:$C$9,MATCH($D30,Assumptions!$A$5:$A$9,0))</f>
        <v>1</v>
      </c>
      <c r="Q30" s="19">
        <f>INDEX(Assumptions!$D$14:$D$16,MATCH($C30,Assumptions!$A$14:$A$16,0))</f>
        <v>0.03</v>
      </c>
      <c r="R30" s="23">
        <f t="shared" si="4"/>
        <v>1345</v>
      </c>
      <c r="S30" s="19">
        <f>INDEX(Assumptions!$C$14:$C$16,MATCH($C30,Assumptions!$A$14:$A$16,0))</f>
        <v>0.08</v>
      </c>
      <c r="T30" s="20">
        <f t="shared" si="5"/>
        <v>1244.5652173913043</v>
      </c>
      <c r="U30" s="24">
        <f t="shared" si="6"/>
        <v>1244.5652173913043</v>
      </c>
      <c r="V30" s="25">
        <f t="shared" si="7"/>
        <v>0.14869888475836432</v>
      </c>
      <c r="W30" s="5" t="str">
        <f t="shared" si="8"/>
        <v>L06|US</v>
      </c>
    </row>
    <row r="31" spans="1:23" x14ac:dyDescent="0.2">
      <c r="A31" s="5" t="s">
        <v>108</v>
      </c>
      <c r="B31" s="17" t="str">
        <f>INDEX(SKU_Master!$C$5:$C$34,MATCH($A31,SKU_Master!$A$5:$A$34,0))</f>
        <v>XPS 13 9340 Ultra 7/16GB/512GB</v>
      </c>
      <c r="C31" s="17" t="str">
        <f>INDEX(SKU_Master!$D$5:$D$34,MATCH($A31,SKU_Master!$A$5:$A$34,0))</f>
        <v>Laptop</v>
      </c>
      <c r="D31" s="5" t="s">
        <v>64</v>
      </c>
      <c r="E31" s="17" t="str">
        <f>INDEX(Assumptions!$B$5:$B$9,MATCH($D31,Assumptions!$A$5:$A$9,0))</f>
        <v>GBP</v>
      </c>
      <c r="F31" s="18">
        <f>INDEX(SKU_Master!$G$5:$G$34,MATCH($A31,SKU_Master!$A$5:$A$34,0))</f>
        <v>1150</v>
      </c>
      <c r="G31" s="19">
        <f>INDEX(SKU_Master!$H$5:$H$34,MATCH($A31,SKU_Master!$A$5:$A$34,0))</f>
        <v>0.02</v>
      </c>
      <c r="H31" s="20">
        <f t="shared" si="0"/>
        <v>1127</v>
      </c>
      <c r="I31" s="19">
        <f>INDEX(Assumptions!$D$5:$D$9,MATCH($D31,Assumptions!$A$5:$A$9,0))</f>
        <v>0</v>
      </c>
      <c r="J31" s="20">
        <f t="shared" si="1"/>
        <v>0</v>
      </c>
      <c r="K31" s="18">
        <f>INDEX(Assumptions!$F$5:$H$9,MATCH($D31,Assumptions!$A$5:$A$9,0),MATCH($C31,Assumptions!$F$4:$H$4,0))</f>
        <v>42</v>
      </c>
      <c r="L31" s="21">
        <f t="shared" si="2"/>
        <v>1169</v>
      </c>
      <c r="M31" s="19">
        <f>INDEX(Assumptions!$B$14:$B$16,MATCH($C31,Assumptions!$A$14:$A$16,0))</f>
        <v>0.12</v>
      </c>
      <c r="N31" s="20">
        <f t="shared" si="3"/>
        <v>1328.409090909091</v>
      </c>
      <c r="O31" s="19">
        <f>INDEX(Assumptions!$E$5:$E$9,MATCH($D31,Assumptions!$A$5:$A$9,0))</f>
        <v>0.02</v>
      </c>
      <c r="P31" s="22">
        <f>INDEX(Assumptions!$C$5:$C$9,MATCH($D31,Assumptions!$A$5:$A$9,0))</f>
        <v>0.79</v>
      </c>
      <c r="Q31" s="19">
        <f>INDEX(Assumptions!$D$14:$D$16,MATCH($C31,Assumptions!$A$14:$A$16,0))</f>
        <v>0.03</v>
      </c>
      <c r="R31" s="23">
        <f t="shared" si="4"/>
        <v>1105</v>
      </c>
      <c r="S31" s="19">
        <f>INDEX(Assumptions!$C$14:$C$16,MATCH($C31,Assumptions!$A$14:$A$16,0))</f>
        <v>0.08</v>
      </c>
      <c r="T31" s="20">
        <f t="shared" si="5"/>
        <v>1270.6521739130435</v>
      </c>
      <c r="U31" s="24">
        <f t="shared" si="6"/>
        <v>1023.8915217391306</v>
      </c>
      <c r="V31" s="25">
        <f t="shared" si="7"/>
        <v>0.16424434389140274</v>
      </c>
      <c r="W31" s="5" t="str">
        <f t="shared" si="8"/>
        <v>L06|UK</v>
      </c>
    </row>
    <row r="32" spans="1:23" x14ac:dyDescent="0.2">
      <c r="A32" s="5" t="s">
        <v>108</v>
      </c>
      <c r="B32" s="17" t="str">
        <f>INDEX(SKU_Master!$C$5:$C$34,MATCH($A32,SKU_Master!$A$5:$A$34,0))</f>
        <v>XPS 13 9340 Ultra 7/16GB/512GB</v>
      </c>
      <c r="C32" s="17" t="str">
        <f>INDEX(SKU_Master!$D$5:$D$34,MATCH($A32,SKU_Master!$A$5:$A$34,0))</f>
        <v>Laptop</v>
      </c>
      <c r="D32" s="5" t="s">
        <v>66</v>
      </c>
      <c r="E32" s="17" t="str">
        <f>INDEX(Assumptions!$B$5:$B$9,MATCH($D32,Assumptions!$A$5:$A$9,0))</f>
        <v>EUR</v>
      </c>
      <c r="F32" s="18">
        <f>INDEX(SKU_Master!$G$5:$G$34,MATCH($A32,SKU_Master!$A$5:$A$34,0))</f>
        <v>1150</v>
      </c>
      <c r="G32" s="19">
        <f>INDEX(SKU_Master!$H$5:$H$34,MATCH($A32,SKU_Master!$A$5:$A$34,0))</f>
        <v>0.02</v>
      </c>
      <c r="H32" s="20">
        <f t="shared" si="0"/>
        <v>1127</v>
      </c>
      <c r="I32" s="19">
        <f>INDEX(Assumptions!$D$5:$D$9,MATCH($D32,Assumptions!$A$5:$A$9,0))</f>
        <v>0</v>
      </c>
      <c r="J32" s="20">
        <f t="shared" si="1"/>
        <v>0</v>
      </c>
      <c r="K32" s="18">
        <f>INDEX(Assumptions!$F$5:$H$9,MATCH($D32,Assumptions!$A$5:$A$9,0),MATCH($C32,Assumptions!$F$4:$H$4,0))</f>
        <v>38</v>
      </c>
      <c r="L32" s="21">
        <f t="shared" si="2"/>
        <v>1165</v>
      </c>
      <c r="M32" s="19">
        <f>INDEX(Assumptions!$B$14:$B$16,MATCH($C32,Assumptions!$A$14:$A$16,0))</f>
        <v>0.12</v>
      </c>
      <c r="N32" s="20">
        <f t="shared" si="3"/>
        <v>1323.8636363636363</v>
      </c>
      <c r="O32" s="19">
        <f>INDEX(Assumptions!$E$5:$E$9,MATCH($D32,Assumptions!$A$5:$A$9,0))</f>
        <v>0.02</v>
      </c>
      <c r="P32" s="22">
        <f>INDEX(Assumptions!$C$5:$C$9,MATCH($D32,Assumptions!$A$5:$A$9,0))</f>
        <v>0.92</v>
      </c>
      <c r="Q32" s="19">
        <f>INDEX(Assumptions!$D$14:$D$16,MATCH($C32,Assumptions!$A$14:$A$16,0))</f>
        <v>0.03</v>
      </c>
      <c r="R32" s="23">
        <f t="shared" si="4"/>
        <v>1280</v>
      </c>
      <c r="S32" s="19">
        <f>INDEX(Assumptions!$C$14:$C$16,MATCH($C32,Assumptions!$A$14:$A$16,0))</f>
        <v>0.08</v>
      </c>
      <c r="T32" s="20">
        <f t="shared" si="5"/>
        <v>1266.304347826087</v>
      </c>
      <c r="U32" s="24">
        <f t="shared" si="6"/>
        <v>1188.3000000000002</v>
      </c>
      <c r="V32" s="25">
        <f t="shared" si="7"/>
        <v>0.16265625000000003</v>
      </c>
      <c r="W32" s="5" t="str">
        <f t="shared" si="8"/>
        <v>L06|DE</v>
      </c>
    </row>
    <row r="33" spans="1:23" x14ac:dyDescent="0.2">
      <c r="A33" s="5" t="s">
        <v>108</v>
      </c>
      <c r="B33" s="17" t="str">
        <f>INDEX(SKU_Master!$C$5:$C$34,MATCH($A33,SKU_Master!$A$5:$A$34,0))</f>
        <v>XPS 13 9340 Ultra 7/16GB/512GB</v>
      </c>
      <c r="C33" s="17" t="str">
        <f>INDEX(SKU_Master!$D$5:$D$34,MATCH($A33,SKU_Master!$A$5:$A$34,0))</f>
        <v>Laptop</v>
      </c>
      <c r="D33" s="5" t="s">
        <v>68</v>
      </c>
      <c r="E33" s="17" t="str">
        <f>INDEX(Assumptions!$B$5:$B$9,MATCH($D33,Assumptions!$A$5:$A$9,0))</f>
        <v>CAD</v>
      </c>
      <c r="F33" s="18">
        <f>INDEX(SKU_Master!$G$5:$G$34,MATCH($A33,SKU_Master!$A$5:$A$34,0))</f>
        <v>1150</v>
      </c>
      <c r="G33" s="19">
        <f>INDEX(SKU_Master!$H$5:$H$34,MATCH($A33,SKU_Master!$A$5:$A$34,0))</f>
        <v>0.02</v>
      </c>
      <c r="H33" s="20">
        <f t="shared" si="0"/>
        <v>1127</v>
      </c>
      <c r="I33" s="19">
        <f>INDEX(Assumptions!$D$5:$D$9,MATCH($D33,Assumptions!$A$5:$A$9,0))</f>
        <v>0</v>
      </c>
      <c r="J33" s="20">
        <f t="shared" si="1"/>
        <v>0</v>
      </c>
      <c r="K33" s="18">
        <f>INDEX(Assumptions!$F$5:$H$9,MATCH($D33,Assumptions!$A$5:$A$9,0),MATCH($C33,Assumptions!$F$4:$H$4,0))</f>
        <v>30</v>
      </c>
      <c r="L33" s="21">
        <f t="shared" si="2"/>
        <v>1157</v>
      </c>
      <c r="M33" s="19">
        <f>INDEX(Assumptions!$B$14:$B$16,MATCH($C33,Assumptions!$A$14:$A$16,0))</f>
        <v>0.12</v>
      </c>
      <c r="N33" s="20">
        <f t="shared" si="3"/>
        <v>1314.7727272727273</v>
      </c>
      <c r="O33" s="19">
        <f>INDEX(Assumptions!$E$5:$E$9,MATCH($D33,Assumptions!$A$5:$A$9,0))</f>
        <v>0.02</v>
      </c>
      <c r="P33" s="22">
        <f>INDEX(Assumptions!$C$5:$C$9,MATCH($D33,Assumptions!$A$5:$A$9,0))</f>
        <v>1.37</v>
      </c>
      <c r="Q33" s="19">
        <f>INDEX(Assumptions!$D$14:$D$16,MATCH($C33,Assumptions!$A$14:$A$16,0))</f>
        <v>0.03</v>
      </c>
      <c r="R33" s="23">
        <f t="shared" si="4"/>
        <v>1895</v>
      </c>
      <c r="S33" s="19">
        <f>INDEX(Assumptions!$C$14:$C$16,MATCH($C33,Assumptions!$A$14:$A$16,0))</f>
        <v>0.08</v>
      </c>
      <c r="T33" s="20">
        <f t="shared" si="5"/>
        <v>1257.6086956521738</v>
      </c>
      <c r="U33" s="24">
        <f t="shared" si="6"/>
        <v>1757.3823913043477</v>
      </c>
      <c r="V33" s="25">
        <f t="shared" si="7"/>
        <v>0.16354089709762523</v>
      </c>
      <c r="W33" s="5" t="str">
        <f t="shared" si="8"/>
        <v>L06|CA</v>
      </c>
    </row>
    <row r="34" spans="1:23" x14ac:dyDescent="0.2">
      <c r="A34" s="5" t="s">
        <v>108</v>
      </c>
      <c r="B34" s="17" t="str">
        <f>INDEX(SKU_Master!$C$5:$C$34,MATCH($A34,SKU_Master!$A$5:$A$34,0))</f>
        <v>XPS 13 9340 Ultra 7/16GB/512GB</v>
      </c>
      <c r="C34" s="17" t="str">
        <f>INDEX(SKU_Master!$D$5:$D$34,MATCH($A34,SKU_Master!$A$5:$A$34,0))</f>
        <v>Laptop</v>
      </c>
      <c r="D34" s="5" t="s">
        <v>70</v>
      </c>
      <c r="E34" s="17" t="str">
        <f>INDEX(Assumptions!$B$5:$B$9,MATCH($D34,Assumptions!$A$5:$A$9,0))</f>
        <v>INR</v>
      </c>
      <c r="F34" s="18">
        <f>INDEX(SKU_Master!$G$5:$G$34,MATCH($A34,SKU_Master!$A$5:$A$34,0))</f>
        <v>1150</v>
      </c>
      <c r="G34" s="19">
        <f>INDEX(SKU_Master!$H$5:$H$34,MATCH($A34,SKU_Master!$A$5:$A$34,0))</f>
        <v>0.02</v>
      </c>
      <c r="H34" s="20">
        <f t="shared" si="0"/>
        <v>1127</v>
      </c>
      <c r="I34" s="19">
        <f>INDEX(Assumptions!$D$5:$D$9,MATCH($D34,Assumptions!$A$5:$A$9,0))</f>
        <v>0.11</v>
      </c>
      <c r="J34" s="20">
        <f t="shared" si="1"/>
        <v>123.97</v>
      </c>
      <c r="K34" s="18">
        <f>INDEX(Assumptions!$F$5:$H$9,MATCH($D34,Assumptions!$A$5:$A$9,0),MATCH($C34,Assumptions!$F$4:$H$4,0))</f>
        <v>55</v>
      </c>
      <c r="L34" s="21">
        <f t="shared" si="2"/>
        <v>1305.97</v>
      </c>
      <c r="M34" s="19">
        <f>INDEX(Assumptions!$B$14:$B$16,MATCH($C34,Assumptions!$A$14:$A$16,0))</f>
        <v>0.12</v>
      </c>
      <c r="N34" s="20">
        <f t="shared" si="3"/>
        <v>1484.0568181818182</v>
      </c>
      <c r="O34" s="19">
        <f>INDEX(Assumptions!$E$5:$E$9,MATCH($D34,Assumptions!$A$5:$A$9,0))</f>
        <v>0.02</v>
      </c>
      <c r="P34" s="22">
        <f>INDEX(Assumptions!$C$5:$C$9,MATCH($D34,Assumptions!$A$5:$A$9,0))</f>
        <v>83.5</v>
      </c>
      <c r="Q34" s="19">
        <f>INDEX(Assumptions!$D$14:$D$16,MATCH($C34,Assumptions!$A$14:$A$16,0))</f>
        <v>0.03</v>
      </c>
      <c r="R34" s="23">
        <f t="shared" si="4"/>
        <v>130190</v>
      </c>
      <c r="S34" s="19">
        <f>INDEX(Assumptions!$C$14:$C$16,MATCH($C34,Assumptions!$A$14:$A$16,0))</f>
        <v>0.08</v>
      </c>
      <c r="T34" s="20">
        <f t="shared" si="5"/>
        <v>1419.5326086956522</v>
      </c>
      <c r="U34" s="24">
        <f t="shared" si="6"/>
        <v>120901.59228260872</v>
      </c>
      <c r="V34" s="25">
        <f t="shared" si="7"/>
        <v>0.16238962285889852</v>
      </c>
      <c r="W34" s="5" t="str">
        <f t="shared" si="8"/>
        <v>L06|IN</v>
      </c>
    </row>
    <row r="35" spans="1:23" x14ac:dyDescent="0.2">
      <c r="A35" s="5" t="s">
        <v>110</v>
      </c>
      <c r="B35" s="17" t="str">
        <f>INDEX(SKU_Master!$C$5:$C$34,MATCH($A35,SKU_Master!$A$5:$A$34,0))</f>
        <v>ThinkPad T14 Gen 5 i5/16GB/512GB</v>
      </c>
      <c r="C35" s="17" t="str">
        <f>INDEX(SKU_Master!$D$5:$D$34,MATCH($A35,SKU_Master!$A$5:$A$34,0))</f>
        <v>Laptop</v>
      </c>
      <c r="D35" s="5" t="s">
        <v>62</v>
      </c>
      <c r="E35" s="17" t="str">
        <f>INDEX(Assumptions!$B$5:$B$9,MATCH($D35,Assumptions!$A$5:$A$9,0))</f>
        <v>USD</v>
      </c>
      <c r="F35" s="18">
        <f>INDEX(SKU_Master!$G$5:$G$34,MATCH($A35,SKU_Master!$A$5:$A$34,0))</f>
        <v>1010</v>
      </c>
      <c r="G35" s="19">
        <f>INDEX(SKU_Master!$H$5:$H$34,MATCH($A35,SKU_Master!$A$5:$A$34,0))</f>
        <v>3.5000000000000003E-2</v>
      </c>
      <c r="H35" s="20">
        <f t="shared" si="0"/>
        <v>974.65</v>
      </c>
      <c r="I35" s="19">
        <f>INDEX(Assumptions!$D$5:$D$9,MATCH($D35,Assumptions!$A$5:$A$9,0))</f>
        <v>0</v>
      </c>
      <c r="J35" s="20">
        <f t="shared" si="1"/>
        <v>0</v>
      </c>
      <c r="K35" s="18">
        <f>INDEX(Assumptions!$F$5:$H$9,MATCH($D35,Assumptions!$A$5:$A$9,0),MATCH($C35,Assumptions!$F$4:$H$4,0))</f>
        <v>18</v>
      </c>
      <c r="L35" s="21">
        <f t="shared" si="2"/>
        <v>992.65</v>
      </c>
      <c r="M35" s="19">
        <f>INDEX(Assumptions!$B$14:$B$16,MATCH($C35,Assumptions!$A$14:$A$16,0))</f>
        <v>0.12</v>
      </c>
      <c r="N35" s="20">
        <f t="shared" si="3"/>
        <v>1128.0113636363635</v>
      </c>
      <c r="O35" s="19">
        <f>INDEX(Assumptions!$E$5:$E$9,MATCH($D35,Assumptions!$A$5:$A$9,0))</f>
        <v>0</v>
      </c>
      <c r="P35" s="22">
        <f>INDEX(Assumptions!$C$5:$C$9,MATCH($D35,Assumptions!$A$5:$A$9,0))</f>
        <v>1</v>
      </c>
      <c r="Q35" s="19">
        <f>INDEX(Assumptions!$D$14:$D$16,MATCH($C35,Assumptions!$A$14:$A$16,0))</f>
        <v>0.03</v>
      </c>
      <c r="R35" s="23">
        <f t="shared" si="4"/>
        <v>1165</v>
      </c>
      <c r="S35" s="19">
        <f>INDEX(Assumptions!$C$14:$C$16,MATCH($C35,Assumptions!$A$14:$A$16,0))</f>
        <v>0.08</v>
      </c>
      <c r="T35" s="20">
        <f t="shared" si="5"/>
        <v>1078.9673913043478</v>
      </c>
      <c r="U35" s="24">
        <f t="shared" si="6"/>
        <v>1078.9673913043478</v>
      </c>
      <c r="V35" s="25">
        <f t="shared" si="7"/>
        <v>0.14793991416309016</v>
      </c>
      <c r="W35" s="5" t="str">
        <f t="shared" si="8"/>
        <v>L07|US</v>
      </c>
    </row>
    <row r="36" spans="1:23" x14ac:dyDescent="0.2">
      <c r="A36" s="5" t="s">
        <v>110</v>
      </c>
      <c r="B36" s="17" t="str">
        <f>INDEX(SKU_Master!$C$5:$C$34,MATCH($A36,SKU_Master!$A$5:$A$34,0))</f>
        <v>ThinkPad T14 Gen 5 i5/16GB/512GB</v>
      </c>
      <c r="C36" s="17" t="str">
        <f>INDEX(SKU_Master!$D$5:$D$34,MATCH($A36,SKU_Master!$A$5:$A$34,0))</f>
        <v>Laptop</v>
      </c>
      <c r="D36" s="5" t="s">
        <v>64</v>
      </c>
      <c r="E36" s="17" t="str">
        <f>INDEX(Assumptions!$B$5:$B$9,MATCH($D36,Assumptions!$A$5:$A$9,0))</f>
        <v>GBP</v>
      </c>
      <c r="F36" s="18">
        <f>INDEX(SKU_Master!$G$5:$G$34,MATCH($A36,SKU_Master!$A$5:$A$34,0))</f>
        <v>1010</v>
      </c>
      <c r="G36" s="19">
        <f>INDEX(SKU_Master!$H$5:$H$34,MATCH($A36,SKU_Master!$A$5:$A$34,0))</f>
        <v>3.5000000000000003E-2</v>
      </c>
      <c r="H36" s="20">
        <f t="shared" si="0"/>
        <v>974.65</v>
      </c>
      <c r="I36" s="19">
        <f>INDEX(Assumptions!$D$5:$D$9,MATCH($D36,Assumptions!$A$5:$A$9,0))</f>
        <v>0</v>
      </c>
      <c r="J36" s="20">
        <f t="shared" si="1"/>
        <v>0</v>
      </c>
      <c r="K36" s="18">
        <f>INDEX(Assumptions!$F$5:$H$9,MATCH($D36,Assumptions!$A$5:$A$9,0),MATCH($C36,Assumptions!$F$4:$H$4,0))</f>
        <v>42</v>
      </c>
      <c r="L36" s="21">
        <f t="shared" si="2"/>
        <v>1016.65</v>
      </c>
      <c r="M36" s="19">
        <f>INDEX(Assumptions!$B$14:$B$16,MATCH($C36,Assumptions!$A$14:$A$16,0))</f>
        <v>0.12</v>
      </c>
      <c r="N36" s="20">
        <f t="shared" si="3"/>
        <v>1155.2840909090908</v>
      </c>
      <c r="O36" s="19">
        <f>INDEX(Assumptions!$E$5:$E$9,MATCH($D36,Assumptions!$A$5:$A$9,0))</f>
        <v>0.02</v>
      </c>
      <c r="P36" s="22">
        <f>INDEX(Assumptions!$C$5:$C$9,MATCH($D36,Assumptions!$A$5:$A$9,0))</f>
        <v>0.79</v>
      </c>
      <c r="Q36" s="19">
        <f>INDEX(Assumptions!$D$14:$D$16,MATCH($C36,Assumptions!$A$14:$A$16,0))</f>
        <v>0.03</v>
      </c>
      <c r="R36" s="23">
        <f t="shared" si="4"/>
        <v>960</v>
      </c>
      <c r="S36" s="19">
        <f>INDEX(Assumptions!$C$14:$C$16,MATCH($C36,Assumptions!$A$14:$A$16,0))</f>
        <v>0.08</v>
      </c>
      <c r="T36" s="20">
        <f t="shared" si="5"/>
        <v>1105.054347826087</v>
      </c>
      <c r="U36" s="24">
        <f t="shared" si="6"/>
        <v>890.45279347826101</v>
      </c>
      <c r="V36" s="25">
        <f t="shared" si="7"/>
        <v>0.16338177083333327</v>
      </c>
      <c r="W36" s="5" t="str">
        <f t="shared" si="8"/>
        <v>L07|UK</v>
      </c>
    </row>
    <row r="37" spans="1:23" x14ac:dyDescent="0.2">
      <c r="A37" s="5" t="s">
        <v>110</v>
      </c>
      <c r="B37" s="17" t="str">
        <f>INDEX(SKU_Master!$C$5:$C$34,MATCH($A37,SKU_Master!$A$5:$A$34,0))</f>
        <v>ThinkPad T14 Gen 5 i5/16GB/512GB</v>
      </c>
      <c r="C37" s="17" t="str">
        <f>INDEX(SKU_Master!$D$5:$D$34,MATCH($A37,SKU_Master!$A$5:$A$34,0))</f>
        <v>Laptop</v>
      </c>
      <c r="D37" s="5" t="s">
        <v>66</v>
      </c>
      <c r="E37" s="17" t="str">
        <f>INDEX(Assumptions!$B$5:$B$9,MATCH($D37,Assumptions!$A$5:$A$9,0))</f>
        <v>EUR</v>
      </c>
      <c r="F37" s="18">
        <f>INDEX(SKU_Master!$G$5:$G$34,MATCH($A37,SKU_Master!$A$5:$A$34,0))</f>
        <v>1010</v>
      </c>
      <c r="G37" s="19">
        <f>INDEX(SKU_Master!$H$5:$H$34,MATCH($A37,SKU_Master!$A$5:$A$34,0))</f>
        <v>3.5000000000000003E-2</v>
      </c>
      <c r="H37" s="20">
        <f t="shared" ref="H37:H68" si="9">F37*(1-G37)</f>
        <v>974.65</v>
      </c>
      <c r="I37" s="19">
        <f>INDEX(Assumptions!$D$5:$D$9,MATCH($D37,Assumptions!$A$5:$A$9,0))</f>
        <v>0</v>
      </c>
      <c r="J37" s="20">
        <f t="shared" ref="J37:J68" si="10">H37*I37</f>
        <v>0</v>
      </c>
      <c r="K37" s="18">
        <f>INDEX(Assumptions!$F$5:$H$9,MATCH($D37,Assumptions!$A$5:$A$9,0),MATCH($C37,Assumptions!$F$4:$H$4,0))</f>
        <v>38</v>
      </c>
      <c r="L37" s="21">
        <f t="shared" ref="L37:L68" si="11">H37+J37+K37</f>
        <v>1012.65</v>
      </c>
      <c r="M37" s="19">
        <f>INDEX(Assumptions!$B$14:$B$16,MATCH($C37,Assumptions!$A$14:$A$16,0))</f>
        <v>0.12</v>
      </c>
      <c r="N37" s="20">
        <f t="shared" ref="N37:N68" si="12">L37/(1-M37)</f>
        <v>1150.7386363636363</v>
      </c>
      <c r="O37" s="19">
        <f>INDEX(Assumptions!$E$5:$E$9,MATCH($D37,Assumptions!$A$5:$A$9,0))</f>
        <v>0.02</v>
      </c>
      <c r="P37" s="22">
        <f>INDEX(Assumptions!$C$5:$C$9,MATCH($D37,Assumptions!$A$5:$A$9,0))</f>
        <v>0.92</v>
      </c>
      <c r="Q37" s="19">
        <f>INDEX(Assumptions!$D$14:$D$16,MATCH($C37,Assumptions!$A$14:$A$16,0))</f>
        <v>0.03</v>
      </c>
      <c r="R37" s="23">
        <f t="shared" ref="R37:R68" si="13">ROUNDUP(N37*(1+Q37)*(1+O37)*P37/5,0)*5</f>
        <v>1115</v>
      </c>
      <c r="S37" s="19">
        <f>INDEX(Assumptions!$C$14:$C$16,MATCH($C37,Assumptions!$A$14:$A$16,0))</f>
        <v>0.08</v>
      </c>
      <c r="T37" s="20">
        <f t="shared" ref="T37:T68" si="14">L37/(1-S37)</f>
        <v>1100.7065217391303</v>
      </c>
      <c r="U37" s="24">
        <f t="shared" ref="U37:U68" si="15">T37*(1+O37)*P37</f>
        <v>1032.9029999999998</v>
      </c>
      <c r="V37" s="25">
        <f t="shared" ref="V37:V68" si="16">IF(R37=0,0,(R37/P37-L37)/(R37/P37))</f>
        <v>0.16445022421524669</v>
      </c>
      <c r="W37" s="5" t="str">
        <f t="shared" ref="W37:W68" si="17">A37&amp;"|"&amp;D37</f>
        <v>L07|DE</v>
      </c>
    </row>
    <row r="38" spans="1:23" x14ac:dyDescent="0.2">
      <c r="A38" s="5" t="s">
        <v>110</v>
      </c>
      <c r="B38" s="17" t="str">
        <f>INDEX(SKU_Master!$C$5:$C$34,MATCH($A38,SKU_Master!$A$5:$A$34,0))</f>
        <v>ThinkPad T14 Gen 5 i5/16GB/512GB</v>
      </c>
      <c r="C38" s="17" t="str">
        <f>INDEX(SKU_Master!$D$5:$D$34,MATCH($A38,SKU_Master!$A$5:$A$34,0))</f>
        <v>Laptop</v>
      </c>
      <c r="D38" s="5" t="s">
        <v>68</v>
      </c>
      <c r="E38" s="17" t="str">
        <f>INDEX(Assumptions!$B$5:$B$9,MATCH($D38,Assumptions!$A$5:$A$9,0))</f>
        <v>CAD</v>
      </c>
      <c r="F38" s="18">
        <f>INDEX(SKU_Master!$G$5:$G$34,MATCH($A38,SKU_Master!$A$5:$A$34,0))</f>
        <v>1010</v>
      </c>
      <c r="G38" s="19">
        <f>INDEX(SKU_Master!$H$5:$H$34,MATCH($A38,SKU_Master!$A$5:$A$34,0))</f>
        <v>3.5000000000000003E-2</v>
      </c>
      <c r="H38" s="20">
        <f t="shared" si="9"/>
        <v>974.65</v>
      </c>
      <c r="I38" s="19">
        <f>INDEX(Assumptions!$D$5:$D$9,MATCH($D38,Assumptions!$A$5:$A$9,0))</f>
        <v>0</v>
      </c>
      <c r="J38" s="20">
        <f t="shared" si="10"/>
        <v>0</v>
      </c>
      <c r="K38" s="18">
        <f>INDEX(Assumptions!$F$5:$H$9,MATCH($D38,Assumptions!$A$5:$A$9,0),MATCH($C38,Assumptions!$F$4:$H$4,0))</f>
        <v>30</v>
      </c>
      <c r="L38" s="21">
        <f t="shared" si="11"/>
        <v>1004.65</v>
      </c>
      <c r="M38" s="19">
        <f>INDEX(Assumptions!$B$14:$B$16,MATCH($C38,Assumptions!$A$14:$A$16,0))</f>
        <v>0.12</v>
      </c>
      <c r="N38" s="20">
        <f t="shared" si="12"/>
        <v>1141.6477272727273</v>
      </c>
      <c r="O38" s="19">
        <f>INDEX(Assumptions!$E$5:$E$9,MATCH($D38,Assumptions!$A$5:$A$9,0))</f>
        <v>0.02</v>
      </c>
      <c r="P38" s="22">
        <f>INDEX(Assumptions!$C$5:$C$9,MATCH($D38,Assumptions!$A$5:$A$9,0))</f>
        <v>1.37</v>
      </c>
      <c r="Q38" s="19">
        <f>INDEX(Assumptions!$D$14:$D$16,MATCH($C38,Assumptions!$A$14:$A$16,0))</f>
        <v>0.03</v>
      </c>
      <c r="R38" s="23">
        <f t="shared" si="13"/>
        <v>1645</v>
      </c>
      <c r="S38" s="19">
        <f>INDEX(Assumptions!$C$14:$C$16,MATCH($C38,Assumptions!$A$14:$A$16,0))</f>
        <v>0.08</v>
      </c>
      <c r="T38" s="20">
        <f t="shared" si="14"/>
        <v>1092.0108695652173</v>
      </c>
      <c r="U38" s="24">
        <f t="shared" si="15"/>
        <v>1525.9759891304348</v>
      </c>
      <c r="V38" s="25">
        <f t="shared" si="16"/>
        <v>0.16330060790273557</v>
      </c>
      <c r="W38" s="5" t="str">
        <f t="shared" si="17"/>
        <v>L07|CA</v>
      </c>
    </row>
    <row r="39" spans="1:23" x14ac:dyDescent="0.2">
      <c r="A39" s="5" t="s">
        <v>110</v>
      </c>
      <c r="B39" s="17" t="str">
        <f>INDEX(SKU_Master!$C$5:$C$34,MATCH($A39,SKU_Master!$A$5:$A$34,0))</f>
        <v>ThinkPad T14 Gen 5 i5/16GB/512GB</v>
      </c>
      <c r="C39" s="17" t="str">
        <f>INDEX(SKU_Master!$D$5:$D$34,MATCH($A39,SKU_Master!$A$5:$A$34,0))</f>
        <v>Laptop</v>
      </c>
      <c r="D39" s="5" t="s">
        <v>70</v>
      </c>
      <c r="E39" s="17" t="str">
        <f>INDEX(Assumptions!$B$5:$B$9,MATCH($D39,Assumptions!$A$5:$A$9,0))</f>
        <v>INR</v>
      </c>
      <c r="F39" s="18">
        <f>INDEX(SKU_Master!$G$5:$G$34,MATCH($A39,SKU_Master!$A$5:$A$34,0))</f>
        <v>1010</v>
      </c>
      <c r="G39" s="19">
        <f>INDEX(SKU_Master!$H$5:$H$34,MATCH($A39,SKU_Master!$A$5:$A$34,0))</f>
        <v>3.5000000000000003E-2</v>
      </c>
      <c r="H39" s="20">
        <f t="shared" si="9"/>
        <v>974.65</v>
      </c>
      <c r="I39" s="19">
        <f>INDEX(Assumptions!$D$5:$D$9,MATCH($D39,Assumptions!$A$5:$A$9,0))</f>
        <v>0.11</v>
      </c>
      <c r="J39" s="20">
        <f t="shared" si="10"/>
        <v>107.2115</v>
      </c>
      <c r="K39" s="18">
        <f>INDEX(Assumptions!$F$5:$H$9,MATCH($D39,Assumptions!$A$5:$A$9,0),MATCH($C39,Assumptions!$F$4:$H$4,0))</f>
        <v>55</v>
      </c>
      <c r="L39" s="21">
        <f t="shared" si="11"/>
        <v>1136.8615</v>
      </c>
      <c r="M39" s="19">
        <f>INDEX(Assumptions!$B$14:$B$16,MATCH($C39,Assumptions!$A$14:$A$16,0))</f>
        <v>0.12</v>
      </c>
      <c r="N39" s="20">
        <f t="shared" si="12"/>
        <v>1291.8880681818182</v>
      </c>
      <c r="O39" s="19">
        <f>INDEX(Assumptions!$E$5:$E$9,MATCH($D39,Assumptions!$A$5:$A$9,0))</f>
        <v>0.02</v>
      </c>
      <c r="P39" s="22">
        <f>INDEX(Assumptions!$C$5:$C$9,MATCH($D39,Assumptions!$A$5:$A$9,0))</f>
        <v>83.5</v>
      </c>
      <c r="Q39" s="19">
        <f>INDEX(Assumptions!$D$14:$D$16,MATCH($C39,Assumptions!$A$14:$A$16,0))</f>
        <v>0.03</v>
      </c>
      <c r="R39" s="23">
        <f t="shared" si="13"/>
        <v>113335</v>
      </c>
      <c r="S39" s="19">
        <f>INDEX(Assumptions!$C$14:$C$16,MATCH($C39,Assumptions!$A$14:$A$16,0))</f>
        <v>0.08</v>
      </c>
      <c r="T39" s="20">
        <f t="shared" si="14"/>
        <v>1235.7190217391303</v>
      </c>
      <c r="U39" s="24">
        <f t="shared" si="15"/>
        <v>105246.18908152173</v>
      </c>
      <c r="V39" s="25">
        <f t="shared" si="16"/>
        <v>0.16241288878104734</v>
      </c>
      <c r="W39" s="5" t="str">
        <f t="shared" si="17"/>
        <v>L07|IN</v>
      </c>
    </row>
    <row r="40" spans="1:23" x14ac:dyDescent="0.2">
      <c r="A40" s="5" t="s">
        <v>113</v>
      </c>
      <c r="B40" s="17" t="str">
        <f>INDEX(SKU_Master!$C$5:$C$34,MATCH($A40,SKU_Master!$A$5:$A$34,0))</f>
        <v>ThinkPad X1 Carbon Gen 12 i7/32GB/1TB</v>
      </c>
      <c r="C40" s="17" t="str">
        <f>INDEX(SKU_Master!$D$5:$D$34,MATCH($A40,SKU_Master!$A$5:$A$34,0))</f>
        <v>Laptop</v>
      </c>
      <c r="D40" s="5" t="s">
        <v>62</v>
      </c>
      <c r="E40" s="17" t="str">
        <f>INDEX(Assumptions!$B$5:$B$9,MATCH($D40,Assumptions!$A$5:$A$9,0))</f>
        <v>USD</v>
      </c>
      <c r="F40" s="18">
        <f>INDEX(SKU_Master!$G$5:$G$34,MATCH($A40,SKU_Master!$A$5:$A$34,0))</f>
        <v>1520</v>
      </c>
      <c r="G40" s="19">
        <f>INDEX(SKU_Master!$H$5:$H$34,MATCH($A40,SKU_Master!$A$5:$A$34,0))</f>
        <v>3.5000000000000003E-2</v>
      </c>
      <c r="H40" s="20">
        <f t="shared" si="9"/>
        <v>1466.8</v>
      </c>
      <c r="I40" s="19">
        <f>INDEX(Assumptions!$D$5:$D$9,MATCH($D40,Assumptions!$A$5:$A$9,0))</f>
        <v>0</v>
      </c>
      <c r="J40" s="20">
        <f t="shared" si="10"/>
        <v>0</v>
      </c>
      <c r="K40" s="18">
        <f>INDEX(Assumptions!$F$5:$H$9,MATCH($D40,Assumptions!$A$5:$A$9,0),MATCH($C40,Assumptions!$F$4:$H$4,0))</f>
        <v>18</v>
      </c>
      <c r="L40" s="21">
        <f t="shared" si="11"/>
        <v>1484.8</v>
      </c>
      <c r="M40" s="19">
        <f>INDEX(Assumptions!$B$14:$B$16,MATCH($C40,Assumptions!$A$14:$A$16,0))</f>
        <v>0.12</v>
      </c>
      <c r="N40" s="20">
        <f t="shared" si="12"/>
        <v>1687.2727272727273</v>
      </c>
      <c r="O40" s="19">
        <f>INDEX(Assumptions!$E$5:$E$9,MATCH($D40,Assumptions!$A$5:$A$9,0))</f>
        <v>0</v>
      </c>
      <c r="P40" s="22">
        <f>INDEX(Assumptions!$C$5:$C$9,MATCH($D40,Assumptions!$A$5:$A$9,0))</f>
        <v>1</v>
      </c>
      <c r="Q40" s="19">
        <f>INDEX(Assumptions!$D$14:$D$16,MATCH($C40,Assumptions!$A$14:$A$16,0))</f>
        <v>0.03</v>
      </c>
      <c r="R40" s="23">
        <f t="shared" si="13"/>
        <v>1740</v>
      </c>
      <c r="S40" s="19">
        <f>INDEX(Assumptions!$C$14:$C$16,MATCH($C40,Assumptions!$A$14:$A$16,0))</f>
        <v>0.08</v>
      </c>
      <c r="T40" s="20">
        <f t="shared" si="14"/>
        <v>1613.9130434782608</v>
      </c>
      <c r="U40" s="24">
        <f t="shared" si="15"/>
        <v>1613.9130434782608</v>
      </c>
      <c r="V40" s="25">
        <f t="shared" si="16"/>
        <v>0.1466666666666667</v>
      </c>
      <c r="W40" s="5" t="str">
        <f t="shared" si="17"/>
        <v>L08|US</v>
      </c>
    </row>
    <row r="41" spans="1:23" x14ac:dyDescent="0.2">
      <c r="A41" s="5" t="s">
        <v>113</v>
      </c>
      <c r="B41" s="17" t="str">
        <f>INDEX(SKU_Master!$C$5:$C$34,MATCH($A41,SKU_Master!$A$5:$A$34,0))</f>
        <v>ThinkPad X1 Carbon Gen 12 i7/32GB/1TB</v>
      </c>
      <c r="C41" s="17" t="str">
        <f>INDEX(SKU_Master!$D$5:$D$34,MATCH($A41,SKU_Master!$A$5:$A$34,0))</f>
        <v>Laptop</v>
      </c>
      <c r="D41" s="5" t="s">
        <v>64</v>
      </c>
      <c r="E41" s="17" t="str">
        <f>INDEX(Assumptions!$B$5:$B$9,MATCH($D41,Assumptions!$A$5:$A$9,0))</f>
        <v>GBP</v>
      </c>
      <c r="F41" s="18">
        <f>INDEX(SKU_Master!$G$5:$G$34,MATCH($A41,SKU_Master!$A$5:$A$34,0))</f>
        <v>1520</v>
      </c>
      <c r="G41" s="19">
        <f>INDEX(SKU_Master!$H$5:$H$34,MATCH($A41,SKU_Master!$A$5:$A$34,0))</f>
        <v>3.5000000000000003E-2</v>
      </c>
      <c r="H41" s="20">
        <f t="shared" si="9"/>
        <v>1466.8</v>
      </c>
      <c r="I41" s="19">
        <f>INDEX(Assumptions!$D$5:$D$9,MATCH($D41,Assumptions!$A$5:$A$9,0))</f>
        <v>0</v>
      </c>
      <c r="J41" s="20">
        <f t="shared" si="10"/>
        <v>0</v>
      </c>
      <c r="K41" s="18">
        <f>INDEX(Assumptions!$F$5:$H$9,MATCH($D41,Assumptions!$A$5:$A$9,0),MATCH($C41,Assumptions!$F$4:$H$4,0))</f>
        <v>42</v>
      </c>
      <c r="L41" s="21">
        <f t="shared" si="11"/>
        <v>1508.8</v>
      </c>
      <c r="M41" s="19">
        <f>INDEX(Assumptions!$B$14:$B$16,MATCH($C41,Assumptions!$A$14:$A$16,0))</f>
        <v>0.12</v>
      </c>
      <c r="N41" s="20">
        <f t="shared" si="12"/>
        <v>1714.5454545454545</v>
      </c>
      <c r="O41" s="19">
        <f>INDEX(Assumptions!$E$5:$E$9,MATCH($D41,Assumptions!$A$5:$A$9,0))</f>
        <v>0.02</v>
      </c>
      <c r="P41" s="22">
        <f>INDEX(Assumptions!$C$5:$C$9,MATCH($D41,Assumptions!$A$5:$A$9,0))</f>
        <v>0.79</v>
      </c>
      <c r="Q41" s="19">
        <f>INDEX(Assumptions!$D$14:$D$16,MATCH($C41,Assumptions!$A$14:$A$16,0))</f>
        <v>0.03</v>
      </c>
      <c r="R41" s="23">
        <f t="shared" si="13"/>
        <v>1425</v>
      </c>
      <c r="S41" s="19">
        <f>INDEX(Assumptions!$C$14:$C$16,MATCH($C41,Assumptions!$A$14:$A$16,0))</f>
        <v>0.08</v>
      </c>
      <c r="T41" s="20">
        <f t="shared" si="14"/>
        <v>1639.9999999999998</v>
      </c>
      <c r="U41" s="24">
        <f t="shared" si="15"/>
        <v>1321.5119999999999</v>
      </c>
      <c r="V41" s="25">
        <f t="shared" si="16"/>
        <v>0.16354245614035087</v>
      </c>
      <c r="W41" s="5" t="str">
        <f t="shared" si="17"/>
        <v>L08|UK</v>
      </c>
    </row>
    <row r="42" spans="1:23" x14ac:dyDescent="0.2">
      <c r="A42" s="5" t="s">
        <v>113</v>
      </c>
      <c r="B42" s="17" t="str">
        <f>INDEX(SKU_Master!$C$5:$C$34,MATCH($A42,SKU_Master!$A$5:$A$34,0))</f>
        <v>ThinkPad X1 Carbon Gen 12 i7/32GB/1TB</v>
      </c>
      <c r="C42" s="17" t="str">
        <f>INDEX(SKU_Master!$D$5:$D$34,MATCH($A42,SKU_Master!$A$5:$A$34,0))</f>
        <v>Laptop</v>
      </c>
      <c r="D42" s="5" t="s">
        <v>66</v>
      </c>
      <c r="E42" s="17" t="str">
        <f>INDEX(Assumptions!$B$5:$B$9,MATCH($D42,Assumptions!$A$5:$A$9,0))</f>
        <v>EUR</v>
      </c>
      <c r="F42" s="18">
        <f>INDEX(SKU_Master!$G$5:$G$34,MATCH($A42,SKU_Master!$A$5:$A$34,0))</f>
        <v>1520</v>
      </c>
      <c r="G42" s="19">
        <f>INDEX(SKU_Master!$H$5:$H$34,MATCH($A42,SKU_Master!$A$5:$A$34,0))</f>
        <v>3.5000000000000003E-2</v>
      </c>
      <c r="H42" s="20">
        <f t="shared" si="9"/>
        <v>1466.8</v>
      </c>
      <c r="I42" s="19">
        <f>INDEX(Assumptions!$D$5:$D$9,MATCH($D42,Assumptions!$A$5:$A$9,0))</f>
        <v>0</v>
      </c>
      <c r="J42" s="20">
        <f t="shared" si="10"/>
        <v>0</v>
      </c>
      <c r="K42" s="18">
        <f>INDEX(Assumptions!$F$5:$H$9,MATCH($D42,Assumptions!$A$5:$A$9,0),MATCH($C42,Assumptions!$F$4:$H$4,0))</f>
        <v>38</v>
      </c>
      <c r="L42" s="21">
        <f t="shared" si="11"/>
        <v>1504.8</v>
      </c>
      <c r="M42" s="19">
        <f>INDEX(Assumptions!$B$14:$B$16,MATCH($C42,Assumptions!$A$14:$A$16,0))</f>
        <v>0.12</v>
      </c>
      <c r="N42" s="20">
        <f t="shared" si="12"/>
        <v>1710</v>
      </c>
      <c r="O42" s="19">
        <f>INDEX(Assumptions!$E$5:$E$9,MATCH($D42,Assumptions!$A$5:$A$9,0))</f>
        <v>0.02</v>
      </c>
      <c r="P42" s="22">
        <f>INDEX(Assumptions!$C$5:$C$9,MATCH($D42,Assumptions!$A$5:$A$9,0))</f>
        <v>0.92</v>
      </c>
      <c r="Q42" s="19">
        <f>INDEX(Assumptions!$D$14:$D$16,MATCH($C42,Assumptions!$A$14:$A$16,0))</f>
        <v>0.03</v>
      </c>
      <c r="R42" s="23">
        <f t="shared" si="13"/>
        <v>1655</v>
      </c>
      <c r="S42" s="19">
        <f>INDEX(Assumptions!$C$14:$C$16,MATCH($C42,Assumptions!$A$14:$A$16,0))</f>
        <v>0.08</v>
      </c>
      <c r="T42" s="20">
        <f t="shared" si="14"/>
        <v>1635.6521739130433</v>
      </c>
      <c r="U42" s="24">
        <f t="shared" si="15"/>
        <v>1534.896</v>
      </c>
      <c r="V42" s="25">
        <f t="shared" si="16"/>
        <v>0.16349486404833835</v>
      </c>
      <c r="W42" s="5" t="str">
        <f t="shared" si="17"/>
        <v>L08|DE</v>
      </c>
    </row>
    <row r="43" spans="1:23" x14ac:dyDescent="0.2">
      <c r="A43" s="5" t="s">
        <v>113</v>
      </c>
      <c r="B43" s="17" t="str">
        <f>INDEX(SKU_Master!$C$5:$C$34,MATCH($A43,SKU_Master!$A$5:$A$34,0))</f>
        <v>ThinkPad X1 Carbon Gen 12 i7/32GB/1TB</v>
      </c>
      <c r="C43" s="17" t="str">
        <f>INDEX(SKU_Master!$D$5:$D$34,MATCH($A43,SKU_Master!$A$5:$A$34,0))</f>
        <v>Laptop</v>
      </c>
      <c r="D43" s="5" t="s">
        <v>68</v>
      </c>
      <c r="E43" s="17" t="str">
        <f>INDEX(Assumptions!$B$5:$B$9,MATCH($D43,Assumptions!$A$5:$A$9,0))</f>
        <v>CAD</v>
      </c>
      <c r="F43" s="18">
        <f>INDEX(SKU_Master!$G$5:$G$34,MATCH($A43,SKU_Master!$A$5:$A$34,0))</f>
        <v>1520</v>
      </c>
      <c r="G43" s="19">
        <f>INDEX(SKU_Master!$H$5:$H$34,MATCH($A43,SKU_Master!$A$5:$A$34,0))</f>
        <v>3.5000000000000003E-2</v>
      </c>
      <c r="H43" s="20">
        <f t="shared" si="9"/>
        <v>1466.8</v>
      </c>
      <c r="I43" s="19">
        <f>INDEX(Assumptions!$D$5:$D$9,MATCH($D43,Assumptions!$A$5:$A$9,0))</f>
        <v>0</v>
      </c>
      <c r="J43" s="20">
        <f t="shared" si="10"/>
        <v>0</v>
      </c>
      <c r="K43" s="18">
        <f>INDEX(Assumptions!$F$5:$H$9,MATCH($D43,Assumptions!$A$5:$A$9,0),MATCH($C43,Assumptions!$F$4:$H$4,0))</f>
        <v>30</v>
      </c>
      <c r="L43" s="21">
        <f t="shared" si="11"/>
        <v>1496.8</v>
      </c>
      <c r="M43" s="19">
        <f>INDEX(Assumptions!$B$14:$B$16,MATCH($C43,Assumptions!$A$14:$A$16,0))</f>
        <v>0.12</v>
      </c>
      <c r="N43" s="20">
        <f t="shared" si="12"/>
        <v>1700.9090909090908</v>
      </c>
      <c r="O43" s="19">
        <f>INDEX(Assumptions!$E$5:$E$9,MATCH($D43,Assumptions!$A$5:$A$9,0))</f>
        <v>0.02</v>
      </c>
      <c r="P43" s="22">
        <f>INDEX(Assumptions!$C$5:$C$9,MATCH($D43,Assumptions!$A$5:$A$9,0))</f>
        <v>1.37</v>
      </c>
      <c r="Q43" s="19">
        <f>INDEX(Assumptions!$D$14:$D$16,MATCH($C43,Assumptions!$A$14:$A$16,0))</f>
        <v>0.03</v>
      </c>
      <c r="R43" s="23">
        <f t="shared" si="13"/>
        <v>2450</v>
      </c>
      <c r="S43" s="19">
        <f>INDEX(Assumptions!$C$14:$C$16,MATCH($C43,Assumptions!$A$14:$A$16,0))</f>
        <v>0.08</v>
      </c>
      <c r="T43" s="20">
        <f t="shared" si="14"/>
        <v>1626.9565217391303</v>
      </c>
      <c r="U43" s="24">
        <f t="shared" si="15"/>
        <v>2273.509043478261</v>
      </c>
      <c r="V43" s="25">
        <f t="shared" si="16"/>
        <v>0.16301387755102034</v>
      </c>
      <c r="W43" s="5" t="str">
        <f t="shared" si="17"/>
        <v>L08|CA</v>
      </c>
    </row>
    <row r="44" spans="1:23" x14ac:dyDescent="0.2">
      <c r="A44" s="5" t="s">
        <v>113</v>
      </c>
      <c r="B44" s="17" t="str">
        <f>INDEX(SKU_Master!$C$5:$C$34,MATCH($A44,SKU_Master!$A$5:$A$34,0))</f>
        <v>ThinkPad X1 Carbon Gen 12 i7/32GB/1TB</v>
      </c>
      <c r="C44" s="17" t="str">
        <f>INDEX(SKU_Master!$D$5:$D$34,MATCH($A44,SKU_Master!$A$5:$A$34,0))</f>
        <v>Laptop</v>
      </c>
      <c r="D44" s="5" t="s">
        <v>70</v>
      </c>
      <c r="E44" s="17" t="str">
        <f>INDEX(Assumptions!$B$5:$B$9,MATCH($D44,Assumptions!$A$5:$A$9,0))</f>
        <v>INR</v>
      </c>
      <c r="F44" s="18">
        <f>INDEX(SKU_Master!$G$5:$G$34,MATCH($A44,SKU_Master!$A$5:$A$34,0))</f>
        <v>1520</v>
      </c>
      <c r="G44" s="19">
        <f>INDEX(SKU_Master!$H$5:$H$34,MATCH($A44,SKU_Master!$A$5:$A$34,0))</f>
        <v>3.5000000000000003E-2</v>
      </c>
      <c r="H44" s="20">
        <f t="shared" si="9"/>
        <v>1466.8</v>
      </c>
      <c r="I44" s="19">
        <f>INDEX(Assumptions!$D$5:$D$9,MATCH($D44,Assumptions!$A$5:$A$9,0))</f>
        <v>0.11</v>
      </c>
      <c r="J44" s="20">
        <f t="shared" si="10"/>
        <v>161.34799999999998</v>
      </c>
      <c r="K44" s="18">
        <f>INDEX(Assumptions!$F$5:$H$9,MATCH($D44,Assumptions!$A$5:$A$9,0),MATCH($C44,Assumptions!$F$4:$H$4,0))</f>
        <v>55</v>
      </c>
      <c r="L44" s="21">
        <f t="shared" si="11"/>
        <v>1683.1479999999999</v>
      </c>
      <c r="M44" s="19">
        <f>INDEX(Assumptions!$B$14:$B$16,MATCH($C44,Assumptions!$A$14:$A$16,0))</f>
        <v>0.12</v>
      </c>
      <c r="N44" s="20">
        <f t="shared" si="12"/>
        <v>1912.6681818181817</v>
      </c>
      <c r="O44" s="19">
        <f>INDEX(Assumptions!$E$5:$E$9,MATCH($D44,Assumptions!$A$5:$A$9,0))</f>
        <v>0.02</v>
      </c>
      <c r="P44" s="22">
        <f>INDEX(Assumptions!$C$5:$C$9,MATCH($D44,Assumptions!$A$5:$A$9,0))</f>
        <v>83.5</v>
      </c>
      <c r="Q44" s="19">
        <f>INDEX(Assumptions!$D$14:$D$16,MATCH($C44,Assumptions!$A$14:$A$16,0))</f>
        <v>0.03</v>
      </c>
      <c r="R44" s="23">
        <f t="shared" si="13"/>
        <v>167790</v>
      </c>
      <c r="S44" s="19">
        <f>INDEX(Assumptions!$C$14:$C$16,MATCH($C44,Assumptions!$A$14:$A$16,0))</f>
        <v>0.08</v>
      </c>
      <c r="T44" s="20">
        <f t="shared" si="14"/>
        <v>1829.5086956521736</v>
      </c>
      <c r="U44" s="24">
        <f t="shared" si="15"/>
        <v>155819.25560869565</v>
      </c>
      <c r="V44" s="25">
        <f t="shared" si="16"/>
        <v>0.16238835449073249</v>
      </c>
      <c r="W44" s="5" t="str">
        <f t="shared" si="17"/>
        <v>L08|IN</v>
      </c>
    </row>
    <row r="45" spans="1:23" x14ac:dyDescent="0.2">
      <c r="A45" s="5" t="s">
        <v>115</v>
      </c>
      <c r="B45" s="17" t="str">
        <f>INDEX(SKU_Master!$C$5:$C$34,MATCH($A45,SKU_Master!$A$5:$A$34,0))</f>
        <v>ThinkPad E14 Gen 6 i5/16GB/256GB</v>
      </c>
      <c r="C45" s="17" t="str">
        <f>INDEX(SKU_Master!$D$5:$D$34,MATCH($A45,SKU_Master!$A$5:$A$34,0))</f>
        <v>Laptop</v>
      </c>
      <c r="D45" s="5" t="s">
        <v>62</v>
      </c>
      <c r="E45" s="17" t="str">
        <f>INDEX(Assumptions!$B$5:$B$9,MATCH($D45,Assumptions!$A$5:$A$9,0))</f>
        <v>USD</v>
      </c>
      <c r="F45" s="18">
        <f>INDEX(SKU_Master!$G$5:$G$34,MATCH($A45,SKU_Master!$A$5:$A$34,0))</f>
        <v>720</v>
      </c>
      <c r="G45" s="19">
        <f>INDEX(SKU_Master!$H$5:$H$34,MATCH($A45,SKU_Master!$A$5:$A$34,0))</f>
        <v>0.02</v>
      </c>
      <c r="H45" s="20">
        <f t="shared" si="9"/>
        <v>705.6</v>
      </c>
      <c r="I45" s="19">
        <f>INDEX(Assumptions!$D$5:$D$9,MATCH($D45,Assumptions!$A$5:$A$9,0))</f>
        <v>0</v>
      </c>
      <c r="J45" s="20">
        <f t="shared" si="10"/>
        <v>0</v>
      </c>
      <c r="K45" s="18">
        <f>INDEX(Assumptions!$F$5:$H$9,MATCH($D45,Assumptions!$A$5:$A$9,0),MATCH($C45,Assumptions!$F$4:$H$4,0))</f>
        <v>18</v>
      </c>
      <c r="L45" s="21">
        <f t="shared" si="11"/>
        <v>723.6</v>
      </c>
      <c r="M45" s="19">
        <f>INDEX(Assumptions!$B$14:$B$16,MATCH($C45,Assumptions!$A$14:$A$16,0))</f>
        <v>0.12</v>
      </c>
      <c r="N45" s="20">
        <f t="shared" si="12"/>
        <v>822.27272727272725</v>
      </c>
      <c r="O45" s="19">
        <f>INDEX(Assumptions!$E$5:$E$9,MATCH($D45,Assumptions!$A$5:$A$9,0))</f>
        <v>0</v>
      </c>
      <c r="P45" s="22">
        <f>INDEX(Assumptions!$C$5:$C$9,MATCH($D45,Assumptions!$A$5:$A$9,0))</f>
        <v>1</v>
      </c>
      <c r="Q45" s="19">
        <f>INDEX(Assumptions!$D$14:$D$16,MATCH($C45,Assumptions!$A$14:$A$16,0))</f>
        <v>0.03</v>
      </c>
      <c r="R45" s="23">
        <f t="shared" si="13"/>
        <v>850</v>
      </c>
      <c r="S45" s="19">
        <f>INDEX(Assumptions!$C$14:$C$16,MATCH($C45,Assumptions!$A$14:$A$16,0))</f>
        <v>0.08</v>
      </c>
      <c r="T45" s="20">
        <f t="shared" si="14"/>
        <v>786.52173913043475</v>
      </c>
      <c r="U45" s="24">
        <f t="shared" si="15"/>
        <v>786.52173913043475</v>
      </c>
      <c r="V45" s="25">
        <f t="shared" si="16"/>
        <v>0.14870588235294116</v>
      </c>
      <c r="W45" s="5" t="str">
        <f t="shared" si="17"/>
        <v>L09|US</v>
      </c>
    </row>
    <row r="46" spans="1:23" x14ac:dyDescent="0.2">
      <c r="A46" s="5" t="s">
        <v>115</v>
      </c>
      <c r="B46" s="17" t="str">
        <f>INDEX(SKU_Master!$C$5:$C$34,MATCH($A46,SKU_Master!$A$5:$A$34,0))</f>
        <v>ThinkPad E14 Gen 6 i5/16GB/256GB</v>
      </c>
      <c r="C46" s="17" t="str">
        <f>INDEX(SKU_Master!$D$5:$D$34,MATCH($A46,SKU_Master!$A$5:$A$34,0))</f>
        <v>Laptop</v>
      </c>
      <c r="D46" s="5" t="s">
        <v>64</v>
      </c>
      <c r="E46" s="17" t="str">
        <f>INDEX(Assumptions!$B$5:$B$9,MATCH($D46,Assumptions!$A$5:$A$9,0))</f>
        <v>GBP</v>
      </c>
      <c r="F46" s="18">
        <f>INDEX(SKU_Master!$G$5:$G$34,MATCH($A46,SKU_Master!$A$5:$A$34,0))</f>
        <v>720</v>
      </c>
      <c r="G46" s="19">
        <f>INDEX(SKU_Master!$H$5:$H$34,MATCH($A46,SKU_Master!$A$5:$A$34,0))</f>
        <v>0.02</v>
      </c>
      <c r="H46" s="20">
        <f t="shared" si="9"/>
        <v>705.6</v>
      </c>
      <c r="I46" s="19">
        <f>INDEX(Assumptions!$D$5:$D$9,MATCH($D46,Assumptions!$A$5:$A$9,0))</f>
        <v>0</v>
      </c>
      <c r="J46" s="20">
        <f t="shared" si="10"/>
        <v>0</v>
      </c>
      <c r="K46" s="18">
        <f>INDEX(Assumptions!$F$5:$H$9,MATCH($D46,Assumptions!$A$5:$A$9,0),MATCH($C46,Assumptions!$F$4:$H$4,0))</f>
        <v>42</v>
      </c>
      <c r="L46" s="21">
        <f t="shared" si="11"/>
        <v>747.6</v>
      </c>
      <c r="M46" s="19">
        <f>INDEX(Assumptions!$B$14:$B$16,MATCH($C46,Assumptions!$A$14:$A$16,0))</f>
        <v>0.12</v>
      </c>
      <c r="N46" s="20">
        <f t="shared" si="12"/>
        <v>849.54545454545462</v>
      </c>
      <c r="O46" s="19">
        <f>INDEX(Assumptions!$E$5:$E$9,MATCH($D46,Assumptions!$A$5:$A$9,0))</f>
        <v>0.02</v>
      </c>
      <c r="P46" s="22">
        <f>INDEX(Assumptions!$C$5:$C$9,MATCH($D46,Assumptions!$A$5:$A$9,0))</f>
        <v>0.79</v>
      </c>
      <c r="Q46" s="19">
        <f>INDEX(Assumptions!$D$14:$D$16,MATCH($C46,Assumptions!$A$14:$A$16,0))</f>
        <v>0.03</v>
      </c>
      <c r="R46" s="23">
        <f t="shared" si="13"/>
        <v>710</v>
      </c>
      <c r="S46" s="19">
        <f>INDEX(Assumptions!$C$14:$C$16,MATCH($C46,Assumptions!$A$14:$A$16,0))</f>
        <v>0.08</v>
      </c>
      <c r="T46" s="20">
        <f t="shared" si="14"/>
        <v>812.60869565217388</v>
      </c>
      <c r="U46" s="24">
        <f t="shared" si="15"/>
        <v>654.8000869565218</v>
      </c>
      <c r="V46" s="25">
        <f t="shared" si="16"/>
        <v>0.16816338028169003</v>
      </c>
      <c r="W46" s="5" t="str">
        <f t="shared" si="17"/>
        <v>L09|UK</v>
      </c>
    </row>
    <row r="47" spans="1:23" x14ac:dyDescent="0.2">
      <c r="A47" s="5" t="s">
        <v>115</v>
      </c>
      <c r="B47" s="17" t="str">
        <f>INDEX(SKU_Master!$C$5:$C$34,MATCH($A47,SKU_Master!$A$5:$A$34,0))</f>
        <v>ThinkPad E14 Gen 6 i5/16GB/256GB</v>
      </c>
      <c r="C47" s="17" t="str">
        <f>INDEX(SKU_Master!$D$5:$D$34,MATCH($A47,SKU_Master!$A$5:$A$34,0))</f>
        <v>Laptop</v>
      </c>
      <c r="D47" s="5" t="s">
        <v>66</v>
      </c>
      <c r="E47" s="17" t="str">
        <f>INDEX(Assumptions!$B$5:$B$9,MATCH($D47,Assumptions!$A$5:$A$9,0))</f>
        <v>EUR</v>
      </c>
      <c r="F47" s="18">
        <f>INDEX(SKU_Master!$G$5:$G$34,MATCH($A47,SKU_Master!$A$5:$A$34,0))</f>
        <v>720</v>
      </c>
      <c r="G47" s="19">
        <f>INDEX(SKU_Master!$H$5:$H$34,MATCH($A47,SKU_Master!$A$5:$A$34,0))</f>
        <v>0.02</v>
      </c>
      <c r="H47" s="20">
        <f t="shared" si="9"/>
        <v>705.6</v>
      </c>
      <c r="I47" s="19">
        <f>INDEX(Assumptions!$D$5:$D$9,MATCH($D47,Assumptions!$A$5:$A$9,0))</f>
        <v>0</v>
      </c>
      <c r="J47" s="20">
        <f t="shared" si="10"/>
        <v>0</v>
      </c>
      <c r="K47" s="18">
        <f>INDEX(Assumptions!$F$5:$H$9,MATCH($D47,Assumptions!$A$5:$A$9,0),MATCH($C47,Assumptions!$F$4:$H$4,0))</f>
        <v>38</v>
      </c>
      <c r="L47" s="21">
        <f t="shared" si="11"/>
        <v>743.6</v>
      </c>
      <c r="M47" s="19">
        <f>INDEX(Assumptions!$B$14:$B$16,MATCH($C47,Assumptions!$A$14:$A$16,0))</f>
        <v>0.12</v>
      </c>
      <c r="N47" s="20">
        <f t="shared" si="12"/>
        <v>845</v>
      </c>
      <c r="O47" s="19">
        <f>INDEX(Assumptions!$E$5:$E$9,MATCH($D47,Assumptions!$A$5:$A$9,0))</f>
        <v>0.02</v>
      </c>
      <c r="P47" s="22">
        <f>INDEX(Assumptions!$C$5:$C$9,MATCH($D47,Assumptions!$A$5:$A$9,0))</f>
        <v>0.92</v>
      </c>
      <c r="Q47" s="19">
        <f>INDEX(Assumptions!$D$14:$D$16,MATCH($C47,Assumptions!$A$14:$A$16,0))</f>
        <v>0.03</v>
      </c>
      <c r="R47" s="23">
        <f t="shared" si="13"/>
        <v>820</v>
      </c>
      <c r="S47" s="19">
        <f>INDEX(Assumptions!$C$14:$C$16,MATCH($C47,Assumptions!$A$14:$A$16,0))</f>
        <v>0.08</v>
      </c>
      <c r="T47" s="20">
        <f t="shared" si="14"/>
        <v>808.26086956521738</v>
      </c>
      <c r="U47" s="24">
        <f t="shared" si="15"/>
        <v>758.47200000000009</v>
      </c>
      <c r="V47" s="25">
        <f t="shared" si="16"/>
        <v>0.16571707317073162</v>
      </c>
      <c r="W47" s="5" t="str">
        <f t="shared" si="17"/>
        <v>L09|DE</v>
      </c>
    </row>
    <row r="48" spans="1:23" x14ac:dyDescent="0.2">
      <c r="A48" s="5" t="s">
        <v>115</v>
      </c>
      <c r="B48" s="17" t="str">
        <f>INDEX(SKU_Master!$C$5:$C$34,MATCH($A48,SKU_Master!$A$5:$A$34,0))</f>
        <v>ThinkPad E14 Gen 6 i5/16GB/256GB</v>
      </c>
      <c r="C48" s="17" t="str">
        <f>INDEX(SKU_Master!$D$5:$D$34,MATCH($A48,SKU_Master!$A$5:$A$34,0))</f>
        <v>Laptop</v>
      </c>
      <c r="D48" s="5" t="s">
        <v>68</v>
      </c>
      <c r="E48" s="17" t="str">
        <f>INDEX(Assumptions!$B$5:$B$9,MATCH($D48,Assumptions!$A$5:$A$9,0))</f>
        <v>CAD</v>
      </c>
      <c r="F48" s="18">
        <f>INDEX(SKU_Master!$G$5:$G$34,MATCH($A48,SKU_Master!$A$5:$A$34,0))</f>
        <v>720</v>
      </c>
      <c r="G48" s="19">
        <f>INDEX(SKU_Master!$H$5:$H$34,MATCH($A48,SKU_Master!$A$5:$A$34,0))</f>
        <v>0.02</v>
      </c>
      <c r="H48" s="20">
        <f t="shared" si="9"/>
        <v>705.6</v>
      </c>
      <c r="I48" s="19">
        <f>INDEX(Assumptions!$D$5:$D$9,MATCH($D48,Assumptions!$A$5:$A$9,0))</f>
        <v>0</v>
      </c>
      <c r="J48" s="20">
        <f t="shared" si="10"/>
        <v>0</v>
      </c>
      <c r="K48" s="18">
        <f>INDEX(Assumptions!$F$5:$H$9,MATCH($D48,Assumptions!$A$5:$A$9,0),MATCH($C48,Assumptions!$F$4:$H$4,0))</f>
        <v>30</v>
      </c>
      <c r="L48" s="21">
        <f t="shared" si="11"/>
        <v>735.6</v>
      </c>
      <c r="M48" s="19">
        <f>INDEX(Assumptions!$B$14:$B$16,MATCH($C48,Assumptions!$A$14:$A$16,0))</f>
        <v>0.12</v>
      </c>
      <c r="N48" s="20">
        <f t="shared" si="12"/>
        <v>835.90909090909088</v>
      </c>
      <c r="O48" s="19">
        <f>INDEX(Assumptions!$E$5:$E$9,MATCH($D48,Assumptions!$A$5:$A$9,0))</f>
        <v>0.02</v>
      </c>
      <c r="P48" s="22">
        <f>INDEX(Assumptions!$C$5:$C$9,MATCH($D48,Assumptions!$A$5:$A$9,0))</f>
        <v>1.37</v>
      </c>
      <c r="Q48" s="19">
        <f>INDEX(Assumptions!$D$14:$D$16,MATCH($C48,Assumptions!$A$14:$A$16,0))</f>
        <v>0.03</v>
      </c>
      <c r="R48" s="23">
        <f t="shared" si="13"/>
        <v>1205</v>
      </c>
      <c r="S48" s="19">
        <f>INDEX(Assumptions!$C$14:$C$16,MATCH($C48,Assumptions!$A$14:$A$16,0))</f>
        <v>0.08</v>
      </c>
      <c r="T48" s="20">
        <f t="shared" si="14"/>
        <v>799.56521739130437</v>
      </c>
      <c r="U48" s="24">
        <f t="shared" si="15"/>
        <v>1117.312434782609</v>
      </c>
      <c r="V48" s="25">
        <f t="shared" si="16"/>
        <v>0.16367468879668046</v>
      </c>
      <c r="W48" s="5" t="str">
        <f t="shared" si="17"/>
        <v>L09|CA</v>
      </c>
    </row>
    <row r="49" spans="1:23" x14ac:dyDescent="0.2">
      <c r="A49" s="5" t="s">
        <v>115</v>
      </c>
      <c r="B49" s="17" t="str">
        <f>INDEX(SKU_Master!$C$5:$C$34,MATCH($A49,SKU_Master!$A$5:$A$34,0))</f>
        <v>ThinkPad E14 Gen 6 i5/16GB/256GB</v>
      </c>
      <c r="C49" s="17" t="str">
        <f>INDEX(SKU_Master!$D$5:$D$34,MATCH($A49,SKU_Master!$A$5:$A$34,0))</f>
        <v>Laptop</v>
      </c>
      <c r="D49" s="5" t="s">
        <v>70</v>
      </c>
      <c r="E49" s="17" t="str">
        <f>INDEX(Assumptions!$B$5:$B$9,MATCH($D49,Assumptions!$A$5:$A$9,0))</f>
        <v>INR</v>
      </c>
      <c r="F49" s="18">
        <f>INDEX(SKU_Master!$G$5:$G$34,MATCH($A49,SKU_Master!$A$5:$A$34,0))</f>
        <v>720</v>
      </c>
      <c r="G49" s="19">
        <f>INDEX(SKU_Master!$H$5:$H$34,MATCH($A49,SKU_Master!$A$5:$A$34,0))</f>
        <v>0.02</v>
      </c>
      <c r="H49" s="20">
        <f t="shared" si="9"/>
        <v>705.6</v>
      </c>
      <c r="I49" s="19">
        <f>INDEX(Assumptions!$D$5:$D$9,MATCH($D49,Assumptions!$A$5:$A$9,0))</f>
        <v>0.11</v>
      </c>
      <c r="J49" s="20">
        <f t="shared" si="10"/>
        <v>77.616</v>
      </c>
      <c r="K49" s="18">
        <f>INDEX(Assumptions!$F$5:$H$9,MATCH($D49,Assumptions!$A$5:$A$9,0),MATCH($C49,Assumptions!$F$4:$H$4,0))</f>
        <v>55</v>
      </c>
      <c r="L49" s="21">
        <f t="shared" si="11"/>
        <v>838.21600000000001</v>
      </c>
      <c r="M49" s="19">
        <f>INDEX(Assumptions!$B$14:$B$16,MATCH($C49,Assumptions!$A$14:$A$16,0))</f>
        <v>0.12</v>
      </c>
      <c r="N49" s="20">
        <f t="shared" si="12"/>
        <v>952.5181818181818</v>
      </c>
      <c r="O49" s="19">
        <f>INDEX(Assumptions!$E$5:$E$9,MATCH($D49,Assumptions!$A$5:$A$9,0))</f>
        <v>0.02</v>
      </c>
      <c r="P49" s="22">
        <f>INDEX(Assumptions!$C$5:$C$9,MATCH($D49,Assumptions!$A$5:$A$9,0))</f>
        <v>83.5</v>
      </c>
      <c r="Q49" s="19">
        <f>INDEX(Assumptions!$D$14:$D$16,MATCH($C49,Assumptions!$A$14:$A$16,0))</f>
        <v>0.03</v>
      </c>
      <c r="R49" s="23">
        <f t="shared" si="13"/>
        <v>83560</v>
      </c>
      <c r="S49" s="19">
        <f>INDEX(Assumptions!$C$14:$C$16,MATCH($C49,Assumptions!$A$14:$A$16,0))</f>
        <v>0.08</v>
      </c>
      <c r="T49" s="20">
        <f t="shared" si="14"/>
        <v>911.10434782608695</v>
      </c>
      <c r="U49" s="24">
        <f t="shared" si="15"/>
        <v>77598.757304347819</v>
      </c>
      <c r="V49" s="25">
        <f t="shared" si="16"/>
        <v>0.1623858784107228</v>
      </c>
      <c r="W49" s="5" t="str">
        <f t="shared" si="17"/>
        <v>L09|IN</v>
      </c>
    </row>
    <row r="50" spans="1:23" x14ac:dyDescent="0.2">
      <c r="A50" s="5" t="s">
        <v>118</v>
      </c>
      <c r="B50" s="17" t="str">
        <f>INDEX(SKU_Master!$C$5:$C$34,MATCH($A50,SKU_Master!$A$5:$A$34,0))</f>
        <v>EliteBook 840 G11 Ultra 5/16GB/512GB</v>
      </c>
      <c r="C50" s="17" t="str">
        <f>INDEX(SKU_Master!$D$5:$D$34,MATCH($A50,SKU_Master!$A$5:$A$34,0))</f>
        <v>Laptop</v>
      </c>
      <c r="D50" s="5" t="s">
        <v>62</v>
      </c>
      <c r="E50" s="17" t="str">
        <f>INDEX(Assumptions!$B$5:$B$9,MATCH($D50,Assumptions!$A$5:$A$9,0))</f>
        <v>USD</v>
      </c>
      <c r="F50" s="18">
        <f>INDEX(SKU_Master!$G$5:$G$34,MATCH($A50,SKU_Master!$A$5:$A$34,0))</f>
        <v>1180</v>
      </c>
      <c r="G50" s="19">
        <f>INDEX(SKU_Master!$H$5:$H$34,MATCH($A50,SKU_Master!$A$5:$A$34,0))</f>
        <v>0.03</v>
      </c>
      <c r="H50" s="20">
        <f t="shared" si="9"/>
        <v>1144.5999999999999</v>
      </c>
      <c r="I50" s="19">
        <f>INDEX(Assumptions!$D$5:$D$9,MATCH($D50,Assumptions!$A$5:$A$9,0))</f>
        <v>0</v>
      </c>
      <c r="J50" s="20">
        <f t="shared" si="10"/>
        <v>0</v>
      </c>
      <c r="K50" s="18">
        <f>INDEX(Assumptions!$F$5:$H$9,MATCH($D50,Assumptions!$A$5:$A$9,0),MATCH($C50,Assumptions!$F$4:$H$4,0))</f>
        <v>18</v>
      </c>
      <c r="L50" s="21">
        <f t="shared" si="11"/>
        <v>1162.5999999999999</v>
      </c>
      <c r="M50" s="19">
        <f>INDEX(Assumptions!$B$14:$B$16,MATCH($C50,Assumptions!$A$14:$A$16,0))</f>
        <v>0.12</v>
      </c>
      <c r="N50" s="20">
        <f t="shared" si="12"/>
        <v>1321.1363636363635</v>
      </c>
      <c r="O50" s="19">
        <f>INDEX(Assumptions!$E$5:$E$9,MATCH($D50,Assumptions!$A$5:$A$9,0))</f>
        <v>0</v>
      </c>
      <c r="P50" s="22">
        <f>INDEX(Assumptions!$C$5:$C$9,MATCH($D50,Assumptions!$A$5:$A$9,0))</f>
        <v>1</v>
      </c>
      <c r="Q50" s="19">
        <f>INDEX(Assumptions!$D$14:$D$16,MATCH($C50,Assumptions!$A$14:$A$16,0))</f>
        <v>0.03</v>
      </c>
      <c r="R50" s="23">
        <f t="shared" si="13"/>
        <v>1365</v>
      </c>
      <c r="S50" s="19">
        <f>INDEX(Assumptions!$C$14:$C$16,MATCH($C50,Assumptions!$A$14:$A$16,0))</f>
        <v>0.08</v>
      </c>
      <c r="T50" s="20">
        <f t="shared" si="14"/>
        <v>1263.6956521739128</v>
      </c>
      <c r="U50" s="24">
        <f t="shared" si="15"/>
        <v>1263.6956521739128</v>
      </c>
      <c r="V50" s="25">
        <f t="shared" si="16"/>
        <v>0.14827838827838835</v>
      </c>
      <c r="W50" s="5" t="str">
        <f t="shared" si="17"/>
        <v>L10|US</v>
      </c>
    </row>
    <row r="51" spans="1:23" x14ac:dyDescent="0.2">
      <c r="A51" s="5" t="s">
        <v>118</v>
      </c>
      <c r="B51" s="17" t="str">
        <f>INDEX(SKU_Master!$C$5:$C$34,MATCH($A51,SKU_Master!$A$5:$A$34,0))</f>
        <v>EliteBook 840 G11 Ultra 5/16GB/512GB</v>
      </c>
      <c r="C51" s="17" t="str">
        <f>INDEX(SKU_Master!$D$5:$D$34,MATCH($A51,SKU_Master!$A$5:$A$34,0))</f>
        <v>Laptop</v>
      </c>
      <c r="D51" s="5" t="s">
        <v>64</v>
      </c>
      <c r="E51" s="17" t="str">
        <f>INDEX(Assumptions!$B$5:$B$9,MATCH($D51,Assumptions!$A$5:$A$9,0))</f>
        <v>GBP</v>
      </c>
      <c r="F51" s="18">
        <f>INDEX(SKU_Master!$G$5:$G$34,MATCH($A51,SKU_Master!$A$5:$A$34,0))</f>
        <v>1180</v>
      </c>
      <c r="G51" s="19">
        <f>INDEX(SKU_Master!$H$5:$H$34,MATCH($A51,SKU_Master!$A$5:$A$34,0))</f>
        <v>0.03</v>
      </c>
      <c r="H51" s="20">
        <f t="shared" si="9"/>
        <v>1144.5999999999999</v>
      </c>
      <c r="I51" s="19">
        <f>INDEX(Assumptions!$D$5:$D$9,MATCH($D51,Assumptions!$A$5:$A$9,0))</f>
        <v>0</v>
      </c>
      <c r="J51" s="20">
        <f t="shared" si="10"/>
        <v>0</v>
      </c>
      <c r="K51" s="18">
        <f>INDEX(Assumptions!$F$5:$H$9,MATCH($D51,Assumptions!$A$5:$A$9,0),MATCH($C51,Assumptions!$F$4:$H$4,0))</f>
        <v>42</v>
      </c>
      <c r="L51" s="21">
        <f t="shared" si="11"/>
        <v>1186.5999999999999</v>
      </c>
      <c r="M51" s="19">
        <f>INDEX(Assumptions!$B$14:$B$16,MATCH($C51,Assumptions!$A$14:$A$16,0))</f>
        <v>0.12</v>
      </c>
      <c r="N51" s="20">
        <f t="shared" si="12"/>
        <v>1348.4090909090908</v>
      </c>
      <c r="O51" s="19">
        <f>INDEX(Assumptions!$E$5:$E$9,MATCH($D51,Assumptions!$A$5:$A$9,0))</f>
        <v>0.02</v>
      </c>
      <c r="P51" s="22">
        <f>INDEX(Assumptions!$C$5:$C$9,MATCH($D51,Assumptions!$A$5:$A$9,0))</f>
        <v>0.79</v>
      </c>
      <c r="Q51" s="19">
        <f>INDEX(Assumptions!$D$14:$D$16,MATCH($C51,Assumptions!$A$14:$A$16,0))</f>
        <v>0.03</v>
      </c>
      <c r="R51" s="23">
        <f t="shared" si="13"/>
        <v>1120</v>
      </c>
      <c r="S51" s="19">
        <f>INDEX(Assumptions!$C$14:$C$16,MATCH($C51,Assumptions!$A$14:$A$16,0))</f>
        <v>0.08</v>
      </c>
      <c r="T51" s="20">
        <f t="shared" si="14"/>
        <v>1289.782608695652</v>
      </c>
      <c r="U51" s="24">
        <f t="shared" si="15"/>
        <v>1039.3068260869566</v>
      </c>
      <c r="V51" s="25">
        <f t="shared" si="16"/>
        <v>0.16302321428571426</v>
      </c>
      <c r="W51" s="5" t="str">
        <f t="shared" si="17"/>
        <v>L10|UK</v>
      </c>
    </row>
    <row r="52" spans="1:23" x14ac:dyDescent="0.2">
      <c r="A52" s="5" t="s">
        <v>118</v>
      </c>
      <c r="B52" s="17" t="str">
        <f>INDEX(SKU_Master!$C$5:$C$34,MATCH($A52,SKU_Master!$A$5:$A$34,0))</f>
        <v>EliteBook 840 G11 Ultra 5/16GB/512GB</v>
      </c>
      <c r="C52" s="17" t="str">
        <f>INDEX(SKU_Master!$D$5:$D$34,MATCH($A52,SKU_Master!$A$5:$A$34,0))</f>
        <v>Laptop</v>
      </c>
      <c r="D52" s="5" t="s">
        <v>66</v>
      </c>
      <c r="E52" s="17" t="str">
        <f>INDEX(Assumptions!$B$5:$B$9,MATCH($D52,Assumptions!$A$5:$A$9,0))</f>
        <v>EUR</v>
      </c>
      <c r="F52" s="18">
        <f>INDEX(SKU_Master!$G$5:$G$34,MATCH($A52,SKU_Master!$A$5:$A$34,0))</f>
        <v>1180</v>
      </c>
      <c r="G52" s="19">
        <f>INDEX(SKU_Master!$H$5:$H$34,MATCH($A52,SKU_Master!$A$5:$A$34,0))</f>
        <v>0.03</v>
      </c>
      <c r="H52" s="20">
        <f t="shared" si="9"/>
        <v>1144.5999999999999</v>
      </c>
      <c r="I52" s="19">
        <f>INDEX(Assumptions!$D$5:$D$9,MATCH($D52,Assumptions!$A$5:$A$9,0))</f>
        <v>0</v>
      </c>
      <c r="J52" s="20">
        <f t="shared" si="10"/>
        <v>0</v>
      </c>
      <c r="K52" s="18">
        <f>INDEX(Assumptions!$F$5:$H$9,MATCH($D52,Assumptions!$A$5:$A$9,0),MATCH($C52,Assumptions!$F$4:$H$4,0))</f>
        <v>38</v>
      </c>
      <c r="L52" s="21">
        <f t="shared" si="11"/>
        <v>1182.5999999999999</v>
      </c>
      <c r="M52" s="19">
        <f>INDEX(Assumptions!$B$14:$B$16,MATCH($C52,Assumptions!$A$14:$A$16,0))</f>
        <v>0.12</v>
      </c>
      <c r="N52" s="20">
        <f t="shared" si="12"/>
        <v>1343.8636363636363</v>
      </c>
      <c r="O52" s="19">
        <f>INDEX(Assumptions!$E$5:$E$9,MATCH($D52,Assumptions!$A$5:$A$9,0))</f>
        <v>0.02</v>
      </c>
      <c r="P52" s="22">
        <f>INDEX(Assumptions!$C$5:$C$9,MATCH($D52,Assumptions!$A$5:$A$9,0))</f>
        <v>0.92</v>
      </c>
      <c r="Q52" s="19">
        <f>INDEX(Assumptions!$D$14:$D$16,MATCH($C52,Assumptions!$A$14:$A$16,0))</f>
        <v>0.03</v>
      </c>
      <c r="R52" s="23">
        <f t="shared" si="13"/>
        <v>1300</v>
      </c>
      <c r="S52" s="19">
        <f>INDEX(Assumptions!$C$14:$C$16,MATCH($C52,Assumptions!$A$14:$A$16,0))</f>
        <v>0.08</v>
      </c>
      <c r="T52" s="20">
        <f t="shared" si="14"/>
        <v>1285.4347826086955</v>
      </c>
      <c r="U52" s="24">
        <f t="shared" si="15"/>
        <v>1206.252</v>
      </c>
      <c r="V52" s="25">
        <f t="shared" si="16"/>
        <v>0.16308307692307694</v>
      </c>
      <c r="W52" s="5" t="str">
        <f t="shared" si="17"/>
        <v>L10|DE</v>
      </c>
    </row>
    <row r="53" spans="1:23" x14ac:dyDescent="0.2">
      <c r="A53" s="5" t="s">
        <v>118</v>
      </c>
      <c r="B53" s="17" t="str">
        <f>INDEX(SKU_Master!$C$5:$C$34,MATCH($A53,SKU_Master!$A$5:$A$34,0))</f>
        <v>EliteBook 840 G11 Ultra 5/16GB/512GB</v>
      </c>
      <c r="C53" s="17" t="str">
        <f>INDEX(SKU_Master!$D$5:$D$34,MATCH($A53,SKU_Master!$A$5:$A$34,0))</f>
        <v>Laptop</v>
      </c>
      <c r="D53" s="5" t="s">
        <v>68</v>
      </c>
      <c r="E53" s="17" t="str">
        <f>INDEX(Assumptions!$B$5:$B$9,MATCH($D53,Assumptions!$A$5:$A$9,0))</f>
        <v>CAD</v>
      </c>
      <c r="F53" s="18">
        <f>INDEX(SKU_Master!$G$5:$G$34,MATCH($A53,SKU_Master!$A$5:$A$34,0))</f>
        <v>1180</v>
      </c>
      <c r="G53" s="19">
        <f>INDEX(SKU_Master!$H$5:$H$34,MATCH($A53,SKU_Master!$A$5:$A$34,0))</f>
        <v>0.03</v>
      </c>
      <c r="H53" s="20">
        <f t="shared" si="9"/>
        <v>1144.5999999999999</v>
      </c>
      <c r="I53" s="19">
        <f>INDEX(Assumptions!$D$5:$D$9,MATCH($D53,Assumptions!$A$5:$A$9,0))</f>
        <v>0</v>
      </c>
      <c r="J53" s="20">
        <f t="shared" si="10"/>
        <v>0</v>
      </c>
      <c r="K53" s="18">
        <f>INDEX(Assumptions!$F$5:$H$9,MATCH($D53,Assumptions!$A$5:$A$9,0),MATCH($C53,Assumptions!$F$4:$H$4,0))</f>
        <v>30</v>
      </c>
      <c r="L53" s="21">
        <f t="shared" si="11"/>
        <v>1174.5999999999999</v>
      </c>
      <c r="M53" s="19">
        <f>INDEX(Assumptions!$B$14:$B$16,MATCH($C53,Assumptions!$A$14:$A$16,0))</f>
        <v>0.12</v>
      </c>
      <c r="N53" s="20">
        <f t="shared" si="12"/>
        <v>1334.7727272727273</v>
      </c>
      <c r="O53" s="19">
        <f>INDEX(Assumptions!$E$5:$E$9,MATCH($D53,Assumptions!$A$5:$A$9,0))</f>
        <v>0.02</v>
      </c>
      <c r="P53" s="22">
        <f>INDEX(Assumptions!$C$5:$C$9,MATCH($D53,Assumptions!$A$5:$A$9,0))</f>
        <v>1.37</v>
      </c>
      <c r="Q53" s="19">
        <f>INDEX(Assumptions!$D$14:$D$16,MATCH($C53,Assumptions!$A$14:$A$16,0))</f>
        <v>0.03</v>
      </c>
      <c r="R53" s="23">
        <f t="shared" si="13"/>
        <v>1925</v>
      </c>
      <c r="S53" s="19">
        <f>INDEX(Assumptions!$C$14:$C$16,MATCH($C53,Assumptions!$A$14:$A$16,0))</f>
        <v>0.08</v>
      </c>
      <c r="T53" s="20">
        <f t="shared" si="14"/>
        <v>1276.7391304347825</v>
      </c>
      <c r="U53" s="24">
        <f t="shared" si="15"/>
        <v>1784.1152608695652</v>
      </c>
      <c r="V53" s="25">
        <f t="shared" si="16"/>
        <v>0.16405090909090903</v>
      </c>
      <c r="W53" s="5" t="str">
        <f t="shared" si="17"/>
        <v>L10|CA</v>
      </c>
    </row>
    <row r="54" spans="1:23" x14ac:dyDescent="0.2">
      <c r="A54" s="5" t="s">
        <v>118</v>
      </c>
      <c r="B54" s="17" t="str">
        <f>INDEX(SKU_Master!$C$5:$C$34,MATCH($A54,SKU_Master!$A$5:$A$34,0))</f>
        <v>EliteBook 840 G11 Ultra 5/16GB/512GB</v>
      </c>
      <c r="C54" s="17" t="str">
        <f>INDEX(SKU_Master!$D$5:$D$34,MATCH($A54,SKU_Master!$A$5:$A$34,0))</f>
        <v>Laptop</v>
      </c>
      <c r="D54" s="5" t="s">
        <v>70</v>
      </c>
      <c r="E54" s="17" t="str">
        <f>INDEX(Assumptions!$B$5:$B$9,MATCH($D54,Assumptions!$A$5:$A$9,0))</f>
        <v>INR</v>
      </c>
      <c r="F54" s="18">
        <f>INDEX(SKU_Master!$G$5:$G$34,MATCH($A54,SKU_Master!$A$5:$A$34,0))</f>
        <v>1180</v>
      </c>
      <c r="G54" s="19">
        <f>INDEX(SKU_Master!$H$5:$H$34,MATCH($A54,SKU_Master!$A$5:$A$34,0))</f>
        <v>0.03</v>
      </c>
      <c r="H54" s="20">
        <f t="shared" si="9"/>
        <v>1144.5999999999999</v>
      </c>
      <c r="I54" s="19">
        <f>INDEX(Assumptions!$D$5:$D$9,MATCH($D54,Assumptions!$A$5:$A$9,0))</f>
        <v>0.11</v>
      </c>
      <c r="J54" s="20">
        <f t="shared" si="10"/>
        <v>125.90599999999999</v>
      </c>
      <c r="K54" s="18">
        <f>INDEX(Assumptions!$F$5:$H$9,MATCH($D54,Assumptions!$A$5:$A$9,0),MATCH($C54,Assumptions!$F$4:$H$4,0))</f>
        <v>55</v>
      </c>
      <c r="L54" s="21">
        <f t="shared" si="11"/>
        <v>1325.5059999999999</v>
      </c>
      <c r="M54" s="19">
        <f>INDEX(Assumptions!$B$14:$B$16,MATCH($C54,Assumptions!$A$14:$A$16,0))</f>
        <v>0.12</v>
      </c>
      <c r="N54" s="20">
        <f t="shared" si="12"/>
        <v>1506.2568181818181</v>
      </c>
      <c r="O54" s="19">
        <f>INDEX(Assumptions!$E$5:$E$9,MATCH($D54,Assumptions!$A$5:$A$9,0))</f>
        <v>0.02</v>
      </c>
      <c r="P54" s="22">
        <f>INDEX(Assumptions!$C$5:$C$9,MATCH($D54,Assumptions!$A$5:$A$9,0))</f>
        <v>83.5</v>
      </c>
      <c r="Q54" s="19">
        <f>INDEX(Assumptions!$D$14:$D$16,MATCH($C54,Assumptions!$A$14:$A$16,0))</f>
        <v>0.03</v>
      </c>
      <c r="R54" s="23">
        <f t="shared" si="13"/>
        <v>132140</v>
      </c>
      <c r="S54" s="19">
        <f>INDEX(Assumptions!$C$14:$C$16,MATCH($C54,Assumptions!$A$14:$A$16,0))</f>
        <v>0.08</v>
      </c>
      <c r="T54" s="20">
        <f t="shared" si="14"/>
        <v>1440.7673913043477</v>
      </c>
      <c r="U54" s="24">
        <f t="shared" si="15"/>
        <v>122710.1587173913</v>
      </c>
      <c r="V54" s="25">
        <f t="shared" si="16"/>
        <v>0.16240539579234151</v>
      </c>
      <c r="W54" s="5" t="str">
        <f t="shared" si="17"/>
        <v>L10|IN</v>
      </c>
    </row>
    <row r="55" spans="1:23" x14ac:dyDescent="0.2">
      <c r="A55" s="5" t="s">
        <v>121</v>
      </c>
      <c r="B55" s="17" t="str">
        <f>INDEX(SKU_Master!$C$5:$C$34,MATCH($A55,SKU_Master!$A$5:$A$34,0))</f>
        <v>ProBook 450 G10 i5/16GB/256GB</v>
      </c>
      <c r="C55" s="17" t="str">
        <f>INDEX(SKU_Master!$D$5:$D$34,MATCH($A55,SKU_Master!$A$5:$A$34,0))</f>
        <v>Laptop</v>
      </c>
      <c r="D55" s="5" t="s">
        <v>62</v>
      </c>
      <c r="E55" s="17" t="str">
        <f>INDEX(Assumptions!$B$5:$B$9,MATCH($D55,Assumptions!$A$5:$A$9,0))</f>
        <v>USD</v>
      </c>
      <c r="F55" s="18">
        <f>INDEX(SKU_Master!$G$5:$G$34,MATCH($A55,SKU_Master!$A$5:$A$34,0))</f>
        <v>780</v>
      </c>
      <c r="G55" s="19">
        <f>INDEX(SKU_Master!$H$5:$H$34,MATCH($A55,SKU_Master!$A$5:$A$34,0))</f>
        <v>0.02</v>
      </c>
      <c r="H55" s="20">
        <f t="shared" si="9"/>
        <v>764.4</v>
      </c>
      <c r="I55" s="19">
        <f>INDEX(Assumptions!$D$5:$D$9,MATCH($D55,Assumptions!$A$5:$A$9,0))</f>
        <v>0</v>
      </c>
      <c r="J55" s="20">
        <f t="shared" si="10"/>
        <v>0</v>
      </c>
      <c r="K55" s="18">
        <f>INDEX(Assumptions!$F$5:$H$9,MATCH($D55,Assumptions!$A$5:$A$9,0),MATCH($C55,Assumptions!$F$4:$H$4,0))</f>
        <v>18</v>
      </c>
      <c r="L55" s="21">
        <f t="shared" si="11"/>
        <v>782.4</v>
      </c>
      <c r="M55" s="19">
        <f>INDEX(Assumptions!$B$14:$B$16,MATCH($C55,Assumptions!$A$14:$A$16,0))</f>
        <v>0.12</v>
      </c>
      <c r="N55" s="20">
        <f t="shared" si="12"/>
        <v>889.09090909090901</v>
      </c>
      <c r="O55" s="19">
        <f>INDEX(Assumptions!$E$5:$E$9,MATCH($D55,Assumptions!$A$5:$A$9,0))</f>
        <v>0</v>
      </c>
      <c r="P55" s="22">
        <f>INDEX(Assumptions!$C$5:$C$9,MATCH($D55,Assumptions!$A$5:$A$9,0))</f>
        <v>1</v>
      </c>
      <c r="Q55" s="19">
        <f>INDEX(Assumptions!$D$14:$D$16,MATCH($C55,Assumptions!$A$14:$A$16,0))</f>
        <v>0.03</v>
      </c>
      <c r="R55" s="23">
        <f t="shared" si="13"/>
        <v>920</v>
      </c>
      <c r="S55" s="19">
        <f>INDEX(Assumptions!$C$14:$C$16,MATCH($C55,Assumptions!$A$14:$A$16,0))</f>
        <v>0.08</v>
      </c>
      <c r="T55" s="20">
        <f t="shared" si="14"/>
        <v>850.43478260869563</v>
      </c>
      <c r="U55" s="24">
        <f t="shared" si="15"/>
        <v>850.43478260869563</v>
      </c>
      <c r="V55" s="25">
        <f t="shared" si="16"/>
        <v>0.14956521739130438</v>
      </c>
      <c r="W55" s="5" t="str">
        <f t="shared" si="17"/>
        <v>L11|US</v>
      </c>
    </row>
    <row r="56" spans="1:23" x14ac:dyDescent="0.2">
      <c r="A56" s="5" t="s">
        <v>121</v>
      </c>
      <c r="B56" s="17" t="str">
        <f>INDEX(SKU_Master!$C$5:$C$34,MATCH($A56,SKU_Master!$A$5:$A$34,0))</f>
        <v>ProBook 450 G10 i5/16GB/256GB</v>
      </c>
      <c r="C56" s="17" t="str">
        <f>INDEX(SKU_Master!$D$5:$D$34,MATCH($A56,SKU_Master!$A$5:$A$34,0))</f>
        <v>Laptop</v>
      </c>
      <c r="D56" s="5" t="s">
        <v>64</v>
      </c>
      <c r="E56" s="17" t="str">
        <f>INDEX(Assumptions!$B$5:$B$9,MATCH($D56,Assumptions!$A$5:$A$9,0))</f>
        <v>GBP</v>
      </c>
      <c r="F56" s="18">
        <f>INDEX(SKU_Master!$G$5:$G$34,MATCH($A56,SKU_Master!$A$5:$A$34,0))</f>
        <v>780</v>
      </c>
      <c r="G56" s="19">
        <f>INDEX(SKU_Master!$H$5:$H$34,MATCH($A56,SKU_Master!$A$5:$A$34,0))</f>
        <v>0.02</v>
      </c>
      <c r="H56" s="20">
        <f t="shared" si="9"/>
        <v>764.4</v>
      </c>
      <c r="I56" s="19">
        <f>INDEX(Assumptions!$D$5:$D$9,MATCH($D56,Assumptions!$A$5:$A$9,0))</f>
        <v>0</v>
      </c>
      <c r="J56" s="20">
        <f t="shared" si="10"/>
        <v>0</v>
      </c>
      <c r="K56" s="18">
        <f>INDEX(Assumptions!$F$5:$H$9,MATCH($D56,Assumptions!$A$5:$A$9,0),MATCH($C56,Assumptions!$F$4:$H$4,0))</f>
        <v>42</v>
      </c>
      <c r="L56" s="21">
        <f t="shared" si="11"/>
        <v>806.4</v>
      </c>
      <c r="M56" s="19">
        <f>INDEX(Assumptions!$B$14:$B$16,MATCH($C56,Assumptions!$A$14:$A$16,0))</f>
        <v>0.12</v>
      </c>
      <c r="N56" s="20">
        <f t="shared" si="12"/>
        <v>916.36363636363637</v>
      </c>
      <c r="O56" s="19">
        <f>INDEX(Assumptions!$E$5:$E$9,MATCH($D56,Assumptions!$A$5:$A$9,0))</f>
        <v>0.02</v>
      </c>
      <c r="P56" s="22">
        <f>INDEX(Assumptions!$C$5:$C$9,MATCH($D56,Assumptions!$A$5:$A$9,0))</f>
        <v>0.79</v>
      </c>
      <c r="Q56" s="19">
        <f>INDEX(Assumptions!$D$14:$D$16,MATCH($C56,Assumptions!$A$14:$A$16,0))</f>
        <v>0.03</v>
      </c>
      <c r="R56" s="23">
        <f t="shared" si="13"/>
        <v>765</v>
      </c>
      <c r="S56" s="19">
        <f>INDEX(Assumptions!$C$14:$C$16,MATCH($C56,Assumptions!$A$14:$A$16,0))</f>
        <v>0.08</v>
      </c>
      <c r="T56" s="20">
        <f t="shared" si="14"/>
        <v>876.52173913043475</v>
      </c>
      <c r="U56" s="24">
        <f t="shared" si="15"/>
        <v>706.30121739130436</v>
      </c>
      <c r="V56" s="25">
        <f t="shared" si="16"/>
        <v>0.16724705882352936</v>
      </c>
      <c r="W56" s="5" t="str">
        <f t="shared" si="17"/>
        <v>L11|UK</v>
      </c>
    </row>
    <row r="57" spans="1:23" x14ac:dyDescent="0.2">
      <c r="A57" s="5" t="s">
        <v>121</v>
      </c>
      <c r="B57" s="17" t="str">
        <f>INDEX(SKU_Master!$C$5:$C$34,MATCH($A57,SKU_Master!$A$5:$A$34,0))</f>
        <v>ProBook 450 G10 i5/16GB/256GB</v>
      </c>
      <c r="C57" s="17" t="str">
        <f>INDEX(SKU_Master!$D$5:$D$34,MATCH($A57,SKU_Master!$A$5:$A$34,0))</f>
        <v>Laptop</v>
      </c>
      <c r="D57" s="5" t="s">
        <v>66</v>
      </c>
      <c r="E57" s="17" t="str">
        <f>INDEX(Assumptions!$B$5:$B$9,MATCH($D57,Assumptions!$A$5:$A$9,0))</f>
        <v>EUR</v>
      </c>
      <c r="F57" s="18">
        <f>INDEX(SKU_Master!$G$5:$G$34,MATCH($A57,SKU_Master!$A$5:$A$34,0))</f>
        <v>780</v>
      </c>
      <c r="G57" s="19">
        <f>INDEX(SKU_Master!$H$5:$H$34,MATCH($A57,SKU_Master!$A$5:$A$34,0))</f>
        <v>0.02</v>
      </c>
      <c r="H57" s="20">
        <f t="shared" si="9"/>
        <v>764.4</v>
      </c>
      <c r="I57" s="19">
        <f>INDEX(Assumptions!$D$5:$D$9,MATCH($D57,Assumptions!$A$5:$A$9,0))</f>
        <v>0</v>
      </c>
      <c r="J57" s="20">
        <f t="shared" si="10"/>
        <v>0</v>
      </c>
      <c r="K57" s="18">
        <f>INDEX(Assumptions!$F$5:$H$9,MATCH($D57,Assumptions!$A$5:$A$9,0),MATCH($C57,Assumptions!$F$4:$H$4,0))</f>
        <v>38</v>
      </c>
      <c r="L57" s="21">
        <f t="shared" si="11"/>
        <v>802.4</v>
      </c>
      <c r="M57" s="19">
        <f>INDEX(Assumptions!$B$14:$B$16,MATCH($C57,Assumptions!$A$14:$A$16,0))</f>
        <v>0.12</v>
      </c>
      <c r="N57" s="20">
        <f t="shared" si="12"/>
        <v>911.81818181818176</v>
      </c>
      <c r="O57" s="19">
        <f>INDEX(Assumptions!$E$5:$E$9,MATCH($D57,Assumptions!$A$5:$A$9,0))</f>
        <v>0.02</v>
      </c>
      <c r="P57" s="22">
        <f>INDEX(Assumptions!$C$5:$C$9,MATCH($D57,Assumptions!$A$5:$A$9,0))</f>
        <v>0.92</v>
      </c>
      <c r="Q57" s="19">
        <f>INDEX(Assumptions!$D$14:$D$16,MATCH($C57,Assumptions!$A$14:$A$16,0))</f>
        <v>0.03</v>
      </c>
      <c r="R57" s="23">
        <f t="shared" si="13"/>
        <v>885</v>
      </c>
      <c r="S57" s="19">
        <f>INDEX(Assumptions!$C$14:$C$16,MATCH($C57,Assumptions!$A$14:$A$16,0))</f>
        <v>0.08</v>
      </c>
      <c r="T57" s="20">
        <f t="shared" si="14"/>
        <v>872.17391304347825</v>
      </c>
      <c r="U57" s="24">
        <f t="shared" si="15"/>
        <v>818.44800000000009</v>
      </c>
      <c r="V57" s="25">
        <f t="shared" si="16"/>
        <v>0.16586666666666663</v>
      </c>
      <c r="W57" s="5" t="str">
        <f t="shared" si="17"/>
        <v>L11|DE</v>
      </c>
    </row>
    <row r="58" spans="1:23" x14ac:dyDescent="0.2">
      <c r="A58" s="5" t="s">
        <v>121</v>
      </c>
      <c r="B58" s="17" t="str">
        <f>INDEX(SKU_Master!$C$5:$C$34,MATCH($A58,SKU_Master!$A$5:$A$34,0))</f>
        <v>ProBook 450 G10 i5/16GB/256GB</v>
      </c>
      <c r="C58" s="17" t="str">
        <f>INDEX(SKU_Master!$D$5:$D$34,MATCH($A58,SKU_Master!$A$5:$A$34,0))</f>
        <v>Laptop</v>
      </c>
      <c r="D58" s="5" t="s">
        <v>68</v>
      </c>
      <c r="E58" s="17" t="str">
        <f>INDEX(Assumptions!$B$5:$B$9,MATCH($D58,Assumptions!$A$5:$A$9,0))</f>
        <v>CAD</v>
      </c>
      <c r="F58" s="18">
        <f>INDEX(SKU_Master!$G$5:$G$34,MATCH($A58,SKU_Master!$A$5:$A$34,0))</f>
        <v>780</v>
      </c>
      <c r="G58" s="19">
        <f>INDEX(SKU_Master!$H$5:$H$34,MATCH($A58,SKU_Master!$A$5:$A$34,0))</f>
        <v>0.02</v>
      </c>
      <c r="H58" s="20">
        <f t="shared" si="9"/>
        <v>764.4</v>
      </c>
      <c r="I58" s="19">
        <f>INDEX(Assumptions!$D$5:$D$9,MATCH($D58,Assumptions!$A$5:$A$9,0))</f>
        <v>0</v>
      </c>
      <c r="J58" s="20">
        <f t="shared" si="10"/>
        <v>0</v>
      </c>
      <c r="K58" s="18">
        <f>INDEX(Assumptions!$F$5:$H$9,MATCH($D58,Assumptions!$A$5:$A$9,0),MATCH($C58,Assumptions!$F$4:$H$4,0))</f>
        <v>30</v>
      </c>
      <c r="L58" s="21">
        <f t="shared" si="11"/>
        <v>794.4</v>
      </c>
      <c r="M58" s="19">
        <f>INDEX(Assumptions!$B$14:$B$16,MATCH($C58,Assumptions!$A$14:$A$16,0))</f>
        <v>0.12</v>
      </c>
      <c r="N58" s="20">
        <f t="shared" si="12"/>
        <v>902.72727272727275</v>
      </c>
      <c r="O58" s="19">
        <f>INDEX(Assumptions!$E$5:$E$9,MATCH($D58,Assumptions!$A$5:$A$9,0))</f>
        <v>0.02</v>
      </c>
      <c r="P58" s="22">
        <f>INDEX(Assumptions!$C$5:$C$9,MATCH($D58,Assumptions!$A$5:$A$9,0))</f>
        <v>1.37</v>
      </c>
      <c r="Q58" s="19">
        <f>INDEX(Assumptions!$D$14:$D$16,MATCH($C58,Assumptions!$A$14:$A$16,0))</f>
        <v>0.03</v>
      </c>
      <c r="R58" s="23">
        <f t="shared" si="13"/>
        <v>1300</v>
      </c>
      <c r="S58" s="19">
        <f>INDEX(Assumptions!$C$14:$C$16,MATCH($C58,Assumptions!$A$14:$A$16,0))</f>
        <v>0.08</v>
      </c>
      <c r="T58" s="20">
        <f t="shared" si="14"/>
        <v>863.47826086956513</v>
      </c>
      <c r="U58" s="24">
        <f t="shared" si="15"/>
        <v>1206.6245217391304</v>
      </c>
      <c r="V58" s="25">
        <f t="shared" si="16"/>
        <v>0.16282461538461535</v>
      </c>
      <c r="W58" s="5" t="str">
        <f t="shared" si="17"/>
        <v>L11|CA</v>
      </c>
    </row>
    <row r="59" spans="1:23" x14ac:dyDescent="0.2">
      <c r="A59" s="5" t="s">
        <v>121</v>
      </c>
      <c r="B59" s="17" t="str">
        <f>INDEX(SKU_Master!$C$5:$C$34,MATCH($A59,SKU_Master!$A$5:$A$34,0))</f>
        <v>ProBook 450 G10 i5/16GB/256GB</v>
      </c>
      <c r="C59" s="17" t="str">
        <f>INDEX(SKU_Master!$D$5:$D$34,MATCH($A59,SKU_Master!$A$5:$A$34,0))</f>
        <v>Laptop</v>
      </c>
      <c r="D59" s="5" t="s">
        <v>70</v>
      </c>
      <c r="E59" s="17" t="str">
        <f>INDEX(Assumptions!$B$5:$B$9,MATCH($D59,Assumptions!$A$5:$A$9,0))</f>
        <v>INR</v>
      </c>
      <c r="F59" s="18">
        <f>INDEX(SKU_Master!$G$5:$G$34,MATCH($A59,SKU_Master!$A$5:$A$34,0))</f>
        <v>780</v>
      </c>
      <c r="G59" s="19">
        <f>INDEX(SKU_Master!$H$5:$H$34,MATCH($A59,SKU_Master!$A$5:$A$34,0))</f>
        <v>0.02</v>
      </c>
      <c r="H59" s="20">
        <f t="shared" si="9"/>
        <v>764.4</v>
      </c>
      <c r="I59" s="19">
        <f>INDEX(Assumptions!$D$5:$D$9,MATCH($D59,Assumptions!$A$5:$A$9,0))</f>
        <v>0.11</v>
      </c>
      <c r="J59" s="20">
        <f t="shared" si="10"/>
        <v>84.084000000000003</v>
      </c>
      <c r="K59" s="18">
        <f>INDEX(Assumptions!$F$5:$H$9,MATCH($D59,Assumptions!$A$5:$A$9,0),MATCH($C59,Assumptions!$F$4:$H$4,0))</f>
        <v>55</v>
      </c>
      <c r="L59" s="21">
        <f t="shared" si="11"/>
        <v>903.48399999999992</v>
      </c>
      <c r="M59" s="19">
        <f>INDEX(Assumptions!$B$14:$B$16,MATCH($C59,Assumptions!$A$14:$A$16,0))</f>
        <v>0.12</v>
      </c>
      <c r="N59" s="20">
        <f t="shared" si="12"/>
        <v>1026.6863636363635</v>
      </c>
      <c r="O59" s="19">
        <f>INDEX(Assumptions!$E$5:$E$9,MATCH($D59,Assumptions!$A$5:$A$9,0))</f>
        <v>0.02</v>
      </c>
      <c r="P59" s="22">
        <f>INDEX(Assumptions!$C$5:$C$9,MATCH($D59,Assumptions!$A$5:$A$9,0))</f>
        <v>83.5</v>
      </c>
      <c r="Q59" s="19">
        <f>INDEX(Assumptions!$D$14:$D$16,MATCH($C59,Assumptions!$A$14:$A$16,0))</f>
        <v>0.03</v>
      </c>
      <c r="R59" s="23">
        <f t="shared" si="13"/>
        <v>90070</v>
      </c>
      <c r="S59" s="19">
        <f>INDEX(Assumptions!$C$14:$C$16,MATCH($C59,Assumptions!$A$14:$A$16,0))</f>
        <v>0.08</v>
      </c>
      <c r="T59" s="20">
        <f t="shared" si="14"/>
        <v>982.04782608695643</v>
      </c>
      <c r="U59" s="24">
        <f t="shared" si="15"/>
        <v>83641.013347826083</v>
      </c>
      <c r="V59" s="25">
        <f t="shared" si="16"/>
        <v>0.162419074053514</v>
      </c>
      <c r="W59" s="5" t="str">
        <f t="shared" si="17"/>
        <v>L11|IN</v>
      </c>
    </row>
    <row r="60" spans="1:23" x14ac:dyDescent="0.2">
      <c r="A60" s="5" t="s">
        <v>123</v>
      </c>
      <c r="B60" s="17" t="str">
        <f>INDEX(SKU_Master!$C$5:$C$34,MATCH($A60,SKU_Master!$A$5:$A$34,0))</f>
        <v>Surface Laptop 6 Ultra 5/16GB/256GB</v>
      </c>
      <c r="C60" s="17" t="str">
        <f>INDEX(SKU_Master!$D$5:$D$34,MATCH($A60,SKU_Master!$A$5:$A$34,0))</f>
        <v>Laptop</v>
      </c>
      <c r="D60" s="5" t="s">
        <v>62</v>
      </c>
      <c r="E60" s="17" t="str">
        <f>INDEX(Assumptions!$B$5:$B$9,MATCH($D60,Assumptions!$A$5:$A$9,0))</f>
        <v>USD</v>
      </c>
      <c r="F60" s="18">
        <f>INDEX(SKU_Master!$G$5:$G$34,MATCH($A60,SKU_Master!$A$5:$A$34,0))</f>
        <v>1250</v>
      </c>
      <c r="G60" s="19">
        <f>INDEX(SKU_Master!$H$5:$H$34,MATCH($A60,SKU_Master!$A$5:$A$34,0))</f>
        <v>1.4999999999999999E-2</v>
      </c>
      <c r="H60" s="20">
        <f t="shared" si="9"/>
        <v>1231.25</v>
      </c>
      <c r="I60" s="19">
        <f>INDEX(Assumptions!$D$5:$D$9,MATCH($D60,Assumptions!$A$5:$A$9,0))</f>
        <v>0</v>
      </c>
      <c r="J60" s="20">
        <f t="shared" si="10"/>
        <v>0</v>
      </c>
      <c r="K60" s="18">
        <f>INDEX(Assumptions!$F$5:$H$9,MATCH($D60,Assumptions!$A$5:$A$9,0),MATCH($C60,Assumptions!$F$4:$H$4,0))</f>
        <v>18</v>
      </c>
      <c r="L60" s="21">
        <f t="shared" si="11"/>
        <v>1249.25</v>
      </c>
      <c r="M60" s="19">
        <f>INDEX(Assumptions!$B$14:$B$16,MATCH($C60,Assumptions!$A$14:$A$16,0))</f>
        <v>0.12</v>
      </c>
      <c r="N60" s="20">
        <f t="shared" si="12"/>
        <v>1419.6022727272727</v>
      </c>
      <c r="O60" s="19">
        <f>INDEX(Assumptions!$E$5:$E$9,MATCH($D60,Assumptions!$A$5:$A$9,0))</f>
        <v>0</v>
      </c>
      <c r="P60" s="22">
        <f>INDEX(Assumptions!$C$5:$C$9,MATCH($D60,Assumptions!$A$5:$A$9,0))</f>
        <v>1</v>
      </c>
      <c r="Q60" s="19">
        <f>INDEX(Assumptions!$D$14:$D$16,MATCH($C60,Assumptions!$A$14:$A$16,0))</f>
        <v>0.03</v>
      </c>
      <c r="R60" s="23">
        <f t="shared" si="13"/>
        <v>1465</v>
      </c>
      <c r="S60" s="19">
        <f>INDEX(Assumptions!$C$14:$C$16,MATCH($C60,Assumptions!$A$14:$A$16,0))</f>
        <v>0.08</v>
      </c>
      <c r="T60" s="20">
        <f t="shared" si="14"/>
        <v>1357.8804347826087</v>
      </c>
      <c r="U60" s="24">
        <f t="shared" si="15"/>
        <v>1357.8804347826087</v>
      </c>
      <c r="V60" s="25">
        <f t="shared" si="16"/>
        <v>0.14726962457337883</v>
      </c>
      <c r="W60" s="5" t="str">
        <f t="shared" si="17"/>
        <v>L12|US</v>
      </c>
    </row>
    <row r="61" spans="1:23" x14ac:dyDescent="0.2">
      <c r="A61" s="5" t="s">
        <v>123</v>
      </c>
      <c r="B61" s="17" t="str">
        <f>INDEX(SKU_Master!$C$5:$C$34,MATCH($A61,SKU_Master!$A$5:$A$34,0))</f>
        <v>Surface Laptop 6 Ultra 5/16GB/256GB</v>
      </c>
      <c r="C61" s="17" t="str">
        <f>INDEX(SKU_Master!$D$5:$D$34,MATCH($A61,SKU_Master!$A$5:$A$34,0))</f>
        <v>Laptop</v>
      </c>
      <c r="D61" s="5" t="s">
        <v>64</v>
      </c>
      <c r="E61" s="17" t="str">
        <f>INDEX(Assumptions!$B$5:$B$9,MATCH($D61,Assumptions!$A$5:$A$9,0))</f>
        <v>GBP</v>
      </c>
      <c r="F61" s="18">
        <f>INDEX(SKU_Master!$G$5:$G$34,MATCH($A61,SKU_Master!$A$5:$A$34,0))</f>
        <v>1250</v>
      </c>
      <c r="G61" s="19">
        <f>INDEX(SKU_Master!$H$5:$H$34,MATCH($A61,SKU_Master!$A$5:$A$34,0))</f>
        <v>1.4999999999999999E-2</v>
      </c>
      <c r="H61" s="20">
        <f t="shared" si="9"/>
        <v>1231.25</v>
      </c>
      <c r="I61" s="19">
        <f>INDEX(Assumptions!$D$5:$D$9,MATCH($D61,Assumptions!$A$5:$A$9,0))</f>
        <v>0</v>
      </c>
      <c r="J61" s="20">
        <f t="shared" si="10"/>
        <v>0</v>
      </c>
      <c r="K61" s="18">
        <f>INDEX(Assumptions!$F$5:$H$9,MATCH($D61,Assumptions!$A$5:$A$9,0),MATCH($C61,Assumptions!$F$4:$H$4,0))</f>
        <v>42</v>
      </c>
      <c r="L61" s="21">
        <f t="shared" si="11"/>
        <v>1273.25</v>
      </c>
      <c r="M61" s="19">
        <f>INDEX(Assumptions!$B$14:$B$16,MATCH($C61,Assumptions!$A$14:$A$16,0))</f>
        <v>0.12</v>
      </c>
      <c r="N61" s="20">
        <f t="shared" si="12"/>
        <v>1446.875</v>
      </c>
      <c r="O61" s="19">
        <f>INDEX(Assumptions!$E$5:$E$9,MATCH($D61,Assumptions!$A$5:$A$9,0))</f>
        <v>0.02</v>
      </c>
      <c r="P61" s="22">
        <f>INDEX(Assumptions!$C$5:$C$9,MATCH($D61,Assumptions!$A$5:$A$9,0))</f>
        <v>0.79</v>
      </c>
      <c r="Q61" s="19">
        <f>INDEX(Assumptions!$D$14:$D$16,MATCH($C61,Assumptions!$A$14:$A$16,0))</f>
        <v>0.03</v>
      </c>
      <c r="R61" s="23">
        <f t="shared" si="13"/>
        <v>1205</v>
      </c>
      <c r="S61" s="19">
        <f>INDEX(Assumptions!$C$14:$C$16,MATCH($C61,Assumptions!$A$14:$A$16,0))</f>
        <v>0.08</v>
      </c>
      <c r="T61" s="20">
        <f t="shared" si="14"/>
        <v>1383.9673913043478</v>
      </c>
      <c r="U61" s="24">
        <f t="shared" si="15"/>
        <v>1115.2009239130434</v>
      </c>
      <c r="V61" s="25">
        <f t="shared" si="16"/>
        <v>0.16525518672199163</v>
      </c>
      <c r="W61" s="5" t="str">
        <f t="shared" si="17"/>
        <v>L12|UK</v>
      </c>
    </row>
    <row r="62" spans="1:23" x14ac:dyDescent="0.2">
      <c r="A62" s="5" t="s">
        <v>123</v>
      </c>
      <c r="B62" s="17" t="str">
        <f>INDEX(SKU_Master!$C$5:$C$34,MATCH($A62,SKU_Master!$A$5:$A$34,0))</f>
        <v>Surface Laptop 6 Ultra 5/16GB/256GB</v>
      </c>
      <c r="C62" s="17" t="str">
        <f>INDEX(SKU_Master!$D$5:$D$34,MATCH($A62,SKU_Master!$A$5:$A$34,0))</f>
        <v>Laptop</v>
      </c>
      <c r="D62" s="5" t="s">
        <v>66</v>
      </c>
      <c r="E62" s="17" t="str">
        <f>INDEX(Assumptions!$B$5:$B$9,MATCH($D62,Assumptions!$A$5:$A$9,0))</f>
        <v>EUR</v>
      </c>
      <c r="F62" s="18">
        <f>INDEX(SKU_Master!$G$5:$G$34,MATCH($A62,SKU_Master!$A$5:$A$34,0))</f>
        <v>1250</v>
      </c>
      <c r="G62" s="19">
        <f>INDEX(SKU_Master!$H$5:$H$34,MATCH($A62,SKU_Master!$A$5:$A$34,0))</f>
        <v>1.4999999999999999E-2</v>
      </c>
      <c r="H62" s="20">
        <f t="shared" si="9"/>
        <v>1231.25</v>
      </c>
      <c r="I62" s="19">
        <f>INDEX(Assumptions!$D$5:$D$9,MATCH($D62,Assumptions!$A$5:$A$9,0))</f>
        <v>0</v>
      </c>
      <c r="J62" s="20">
        <f t="shared" si="10"/>
        <v>0</v>
      </c>
      <c r="K62" s="18">
        <f>INDEX(Assumptions!$F$5:$H$9,MATCH($D62,Assumptions!$A$5:$A$9,0),MATCH($C62,Assumptions!$F$4:$H$4,0))</f>
        <v>38</v>
      </c>
      <c r="L62" s="21">
        <f t="shared" si="11"/>
        <v>1269.25</v>
      </c>
      <c r="M62" s="19">
        <f>INDEX(Assumptions!$B$14:$B$16,MATCH($C62,Assumptions!$A$14:$A$16,0))</f>
        <v>0.12</v>
      </c>
      <c r="N62" s="20">
        <f t="shared" si="12"/>
        <v>1442.3295454545455</v>
      </c>
      <c r="O62" s="19">
        <f>INDEX(Assumptions!$E$5:$E$9,MATCH($D62,Assumptions!$A$5:$A$9,0))</f>
        <v>0.02</v>
      </c>
      <c r="P62" s="22">
        <f>INDEX(Assumptions!$C$5:$C$9,MATCH($D62,Assumptions!$A$5:$A$9,0))</f>
        <v>0.92</v>
      </c>
      <c r="Q62" s="19">
        <f>INDEX(Assumptions!$D$14:$D$16,MATCH($C62,Assumptions!$A$14:$A$16,0))</f>
        <v>0.03</v>
      </c>
      <c r="R62" s="23">
        <f t="shared" si="13"/>
        <v>1395</v>
      </c>
      <c r="S62" s="19">
        <f>INDEX(Assumptions!$C$14:$C$16,MATCH($C62,Assumptions!$A$14:$A$16,0))</f>
        <v>0.08</v>
      </c>
      <c r="T62" s="20">
        <f t="shared" si="14"/>
        <v>1379.6195652173913</v>
      </c>
      <c r="U62" s="24">
        <f t="shared" si="15"/>
        <v>1294.635</v>
      </c>
      <c r="V62" s="25">
        <f t="shared" si="16"/>
        <v>0.16293189964157709</v>
      </c>
      <c r="W62" s="5" t="str">
        <f t="shared" si="17"/>
        <v>L12|DE</v>
      </c>
    </row>
    <row r="63" spans="1:23" x14ac:dyDescent="0.2">
      <c r="A63" s="5" t="s">
        <v>123</v>
      </c>
      <c r="B63" s="17" t="str">
        <f>INDEX(SKU_Master!$C$5:$C$34,MATCH($A63,SKU_Master!$A$5:$A$34,0))</f>
        <v>Surface Laptop 6 Ultra 5/16GB/256GB</v>
      </c>
      <c r="C63" s="17" t="str">
        <f>INDEX(SKU_Master!$D$5:$D$34,MATCH($A63,SKU_Master!$A$5:$A$34,0))</f>
        <v>Laptop</v>
      </c>
      <c r="D63" s="5" t="s">
        <v>68</v>
      </c>
      <c r="E63" s="17" t="str">
        <f>INDEX(Assumptions!$B$5:$B$9,MATCH($D63,Assumptions!$A$5:$A$9,0))</f>
        <v>CAD</v>
      </c>
      <c r="F63" s="18">
        <f>INDEX(SKU_Master!$G$5:$G$34,MATCH($A63,SKU_Master!$A$5:$A$34,0))</f>
        <v>1250</v>
      </c>
      <c r="G63" s="19">
        <f>INDEX(SKU_Master!$H$5:$H$34,MATCH($A63,SKU_Master!$A$5:$A$34,0))</f>
        <v>1.4999999999999999E-2</v>
      </c>
      <c r="H63" s="20">
        <f t="shared" si="9"/>
        <v>1231.25</v>
      </c>
      <c r="I63" s="19">
        <f>INDEX(Assumptions!$D$5:$D$9,MATCH($D63,Assumptions!$A$5:$A$9,0))</f>
        <v>0</v>
      </c>
      <c r="J63" s="20">
        <f t="shared" si="10"/>
        <v>0</v>
      </c>
      <c r="K63" s="18">
        <f>INDEX(Assumptions!$F$5:$H$9,MATCH($D63,Assumptions!$A$5:$A$9,0),MATCH($C63,Assumptions!$F$4:$H$4,0))</f>
        <v>30</v>
      </c>
      <c r="L63" s="21">
        <f t="shared" si="11"/>
        <v>1261.25</v>
      </c>
      <c r="M63" s="19">
        <f>INDEX(Assumptions!$B$14:$B$16,MATCH($C63,Assumptions!$A$14:$A$16,0))</f>
        <v>0.12</v>
      </c>
      <c r="N63" s="20">
        <f t="shared" si="12"/>
        <v>1433.2386363636363</v>
      </c>
      <c r="O63" s="19">
        <f>INDEX(Assumptions!$E$5:$E$9,MATCH($D63,Assumptions!$A$5:$A$9,0))</f>
        <v>0.02</v>
      </c>
      <c r="P63" s="22">
        <f>INDEX(Assumptions!$C$5:$C$9,MATCH($D63,Assumptions!$A$5:$A$9,0))</f>
        <v>1.37</v>
      </c>
      <c r="Q63" s="19">
        <f>INDEX(Assumptions!$D$14:$D$16,MATCH($C63,Assumptions!$A$14:$A$16,0))</f>
        <v>0.03</v>
      </c>
      <c r="R63" s="23">
        <f t="shared" si="13"/>
        <v>2065</v>
      </c>
      <c r="S63" s="19">
        <f>INDEX(Assumptions!$C$14:$C$16,MATCH($C63,Assumptions!$A$14:$A$16,0))</f>
        <v>0.08</v>
      </c>
      <c r="T63" s="20">
        <f t="shared" si="14"/>
        <v>1370.9239130434783</v>
      </c>
      <c r="U63" s="24">
        <f t="shared" si="15"/>
        <v>1915.7290760869566</v>
      </c>
      <c r="V63" s="25">
        <f t="shared" si="16"/>
        <v>0.16323849878934621</v>
      </c>
      <c r="W63" s="5" t="str">
        <f t="shared" si="17"/>
        <v>L12|CA</v>
      </c>
    </row>
    <row r="64" spans="1:23" x14ac:dyDescent="0.2">
      <c r="A64" s="5" t="s">
        <v>123</v>
      </c>
      <c r="B64" s="17" t="str">
        <f>INDEX(SKU_Master!$C$5:$C$34,MATCH($A64,SKU_Master!$A$5:$A$34,0))</f>
        <v>Surface Laptop 6 Ultra 5/16GB/256GB</v>
      </c>
      <c r="C64" s="17" t="str">
        <f>INDEX(SKU_Master!$D$5:$D$34,MATCH($A64,SKU_Master!$A$5:$A$34,0))</f>
        <v>Laptop</v>
      </c>
      <c r="D64" s="5" t="s">
        <v>70</v>
      </c>
      <c r="E64" s="17" t="str">
        <f>INDEX(Assumptions!$B$5:$B$9,MATCH($D64,Assumptions!$A$5:$A$9,0))</f>
        <v>INR</v>
      </c>
      <c r="F64" s="18">
        <f>INDEX(SKU_Master!$G$5:$G$34,MATCH($A64,SKU_Master!$A$5:$A$34,0))</f>
        <v>1250</v>
      </c>
      <c r="G64" s="19">
        <f>INDEX(SKU_Master!$H$5:$H$34,MATCH($A64,SKU_Master!$A$5:$A$34,0))</f>
        <v>1.4999999999999999E-2</v>
      </c>
      <c r="H64" s="20">
        <f t="shared" si="9"/>
        <v>1231.25</v>
      </c>
      <c r="I64" s="19">
        <f>INDEX(Assumptions!$D$5:$D$9,MATCH($D64,Assumptions!$A$5:$A$9,0))</f>
        <v>0.11</v>
      </c>
      <c r="J64" s="20">
        <f t="shared" si="10"/>
        <v>135.4375</v>
      </c>
      <c r="K64" s="18">
        <f>INDEX(Assumptions!$F$5:$H$9,MATCH($D64,Assumptions!$A$5:$A$9,0),MATCH($C64,Assumptions!$F$4:$H$4,0))</f>
        <v>55</v>
      </c>
      <c r="L64" s="21">
        <f t="shared" si="11"/>
        <v>1421.6875</v>
      </c>
      <c r="M64" s="19">
        <f>INDEX(Assumptions!$B$14:$B$16,MATCH($C64,Assumptions!$A$14:$A$16,0))</f>
        <v>0.12</v>
      </c>
      <c r="N64" s="20">
        <f t="shared" si="12"/>
        <v>1615.5539772727273</v>
      </c>
      <c r="O64" s="19">
        <f>INDEX(Assumptions!$E$5:$E$9,MATCH($D64,Assumptions!$A$5:$A$9,0))</f>
        <v>0.02</v>
      </c>
      <c r="P64" s="22">
        <f>INDEX(Assumptions!$C$5:$C$9,MATCH($D64,Assumptions!$A$5:$A$9,0))</f>
        <v>83.5</v>
      </c>
      <c r="Q64" s="19">
        <f>INDEX(Assumptions!$D$14:$D$16,MATCH($C64,Assumptions!$A$14:$A$16,0))</f>
        <v>0.03</v>
      </c>
      <c r="R64" s="23">
        <f t="shared" si="13"/>
        <v>141725</v>
      </c>
      <c r="S64" s="19">
        <f>INDEX(Assumptions!$C$14:$C$16,MATCH($C64,Assumptions!$A$14:$A$16,0))</f>
        <v>0.08</v>
      </c>
      <c r="T64" s="20">
        <f t="shared" si="14"/>
        <v>1545.3125</v>
      </c>
      <c r="U64" s="24">
        <f t="shared" si="15"/>
        <v>131614.265625</v>
      </c>
      <c r="V64" s="25">
        <f t="shared" si="16"/>
        <v>0.16238556182748279</v>
      </c>
      <c r="W64" s="5" t="str">
        <f t="shared" si="17"/>
        <v>L12|IN</v>
      </c>
    </row>
    <row r="65" spans="1:23" x14ac:dyDescent="0.2">
      <c r="A65" s="5" t="s">
        <v>126</v>
      </c>
      <c r="B65" s="17" t="str">
        <f>INDEX(SKU_Master!$C$5:$C$34,MATCH($A65,SKU_Master!$A$5:$A$34,0))</f>
        <v>TravelMate P4 i5/16GB/512GB</v>
      </c>
      <c r="C65" s="17" t="str">
        <f>INDEX(SKU_Master!$D$5:$D$34,MATCH($A65,SKU_Master!$A$5:$A$34,0))</f>
        <v>Laptop</v>
      </c>
      <c r="D65" s="5" t="s">
        <v>62</v>
      </c>
      <c r="E65" s="17" t="str">
        <f>INDEX(Assumptions!$B$5:$B$9,MATCH($D65,Assumptions!$A$5:$A$9,0))</f>
        <v>USD</v>
      </c>
      <c r="F65" s="18">
        <f>INDEX(SKU_Master!$G$5:$G$34,MATCH($A65,SKU_Master!$A$5:$A$34,0))</f>
        <v>890</v>
      </c>
      <c r="G65" s="19">
        <f>INDEX(SKU_Master!$H$5:$H$34,MATCH($A65,SKU_Master!$A$5:$A$34,0))</f>
        <v>0</v>
      </c>
      <c r="H65" s="20">
        <f t="shared" si="9"/>
        <v>890</v>
      </c>
      <c r="I65" s="19">
        <f>INDEX(Assumptions!$D$5:$D$9,MATCH($D65,Assumptions!$A$5:$A$9,0))</f>
        <v>0</v>
      </c>
      <c r="J65" s="20">
        <f t="shared" si="10"/>
        <v>0</v>
      </c>
      <c r="K65" s="18">
        <f>INDEX(Assumptions!$F$5:$H$9,MATCH($D65,Assumptions!$A$5:$A$9,0),MATCH($C65,Assumptions!$F$4:$H$4,0))</f>
        <v>18</v>
      </c>
      <c r="L65" s="21">
        <f t="shared" si="11"/>
        <v>908</v>
      </c>
      <c r="M65" s="19">
        <f>INDEX(Assumptions!$B$14:$B$16,MATCH($C65,Assumptions!$A$14:$A$16,0))</f>
        <v>0.12</v>
      </c>
      <c r="N65" s="20">
        <f t="shared" si="12"/>
        <v>1031.8181818181818</v>
      </c>
      <c r="O65" s="19">
        <f>INDEX(Assumptions!$E$5:$E$9,MATCH($D65,Assumptions!$A$5:$A$9,0))</f>
        <v>0</v>
      </c>
      <c r="P65" s="22">
        <f>INDEX(Assumptions!$C$5:$C$9,MATCH($D65,Assumptions!$A$5:$A$9,0))</f>
        <v>1</v>
      </c>
      <c r="Q65" s="19">
        <f>INDEX(Assumptions!$D$14:$D$16,MATCH($C65,Assumptions!$A$14:$A$16,0))</f>
        <v>0.03</v>
      </c>
      <c r="R65" s="23">
        <f t="shared" si="13"/>
        <v>1065</v>
      </c>
      <c r="S65" s="19">
        <f>INDEX(Assumptions!$C$14:$C$16,MATCH($C65,Assumptions!$A$14:$A$16,0))</f>
        <v>0.08</v>
      </c>
      <c r="T65" s="20">
        <f t="shared" si="14"/>
        <v>986.95652173913038</v>
      </c>
      <c r="U65" s="24">
        <f t="shared" si="15"/>
        <v>986.95652173913038</v>
      </c>
      <c r="V65" s="25">
        <f t="shared" si="16"/>
        <v>0.14741784037558686</v>
      </c>
      <c r="W65" s="5" t="str">
        <f t="shared" si="17"/>
        <v>L13|US</v>
      </c>
    </row>
    <row r="66" spans="1:23" x14ac:dyDescent="0.2">
      <c r="A66" s="5" t="s">
        <v>126</v>
      </c>
      <c r="B66" s="17" t="str">
        <f>INDEX(SKU_Master!$C$5:$C$34,MATCH($A66,SKU_Master!$A$5:$A$34,0))</f>
        <v>TravelMate P4 i5/16GB/512GB</v>
      </c>
      <c r="C66" s="17" t="str">
        <f>INDEX(SKU_Master!$D$5:$D$34,MATCH($A66,SKU_Master!$A$5:$A$34,0))</f>
        <v>Laptop</v>
      </c>
      <c r="D66" s="5" t="s">
        <v>64</v>
      </c>
      <c r="E66" s="17" t="str">
        <f>INDEX(Assumptions!$B$5:$B$9,MATCH($D66,Assumptions!$A$5:$A$9,0))</f>
        <v>GBP</v>
      </c>
      <c r="F66" s="18">
        <f>INDEX(SKU_Master!$G$5:$G$34,MATCH($A66,SKU_Master!$A$5:$A$34,0))</f>
        <v>890</v>
      </c>
      <c r="G66" s="19">
        <f>INDEX(SKU_Master!$H$5:$H$34,MATCH($A66,SKU_Master!$A$5:$A$34,0))</f>
        <v>0</v>
      </c>
      <c r="H66" s="20">
        <f t="shared" si="9"/>
        <v>890</v>
      </c>
      <c r="I66" s="19">
        <f>INDEX(Assumptions!$D$5:$D$9,MATCH($D66,Assumptions!$A$5:$A$9,0))</f>
        <v>0</v>
      </c>
      <c r="J66" s="20">
        <f t="shared" si="10"/>
        <v>0</v>
      </c>
      <c r="K66" s="18">
        <f>INDEX(Assumptions!$F$5:$H$9,MATCH($D66,Assumptions!$A$5:$A$9,0),MATCH($C66,Assumptions!$F$4:$H$4,0))</f>
        <v>42</v>
      </c>
      <c r="L66" s="21">
        <f t="shared" si="11"/>
        <v>932</v>
      </c>
      <c r="M66" s="19">
        <f>INDEX(Assumptions!$B$14:$B$16,MATCH($C66,Assumptions!$A$14:$A$16,0))</f>
        <v>0.12</v>
      </c>
      <c r="N66" s="20">
        <f t="shared" si="12"/>
        <v>1059.090909090909</v>
      </c>
      <c r="O66" s="19">
        <f>INDEX(Assumptions!$E$5:$E$9,MATCH($D66,Assumptions!$A$5:$A$9,0))</f>
        <v>0.02</v>
      </c>
      <c r="P66" s="22">
        <f>INDEX(Assumptions!$C$5:$C$9,MATCH($D66,Assumptions!$A$5:$A$9,0))</f>
        <v>0.79</v>
      </c>
      <c r="Q66" s="19">
        <f>INDEX(Assumptions!$D$14:$D$16,MATCH($C66,Assumptions!$A$14:$A$16,0))</f>
        <v>0.03</v>
      </c>
      <c r="R66" s="23">
        <f t="shared" si="13"/>
        <v>880</v>
      </c>
      <c r="S66" s="19">
        <f>INDEX(Assumptions!$C$14:$C$16,MATCH($C66,Assumptions!$A$14:$A$16,0))</f>
        <v>0.08</v>
      </c>
      <c r="T66" s="20">
        <f t="shared" si="14"/>
        <v>1013.0434782608695</v>
      </c>
      <c r="U66" s="24">
        <f t="shared" si="15"/>
        <v>816.31043478260881</v>
      </c>
      <c r="V66" s="25">
        <f t="shared" si="16"/>
        <v>0.16331818181818175</v>
      </c>
      <c r="W66" s="5" t="str">
        <f t="shared" si="17"/>
        <v>L13|UK</v>
      </c>
    </row>
    <row r="67" spans="1:23" x14ac:dyDescent="0.2">
      <c r="A67" s="5" t="s">
        <v>126</v>
      </c>
      <c r="B67" s="17" t="str">
        <f>INDEX(SKU_Master!$C$5:$C$34,MATCH($A67,SKU_Master!$A$5:$A$34,0))</f>
        <v>TravelMate P4 i5/16GB/512GB</v>
      </c>
      <c r="C67" s="17" t="str">
        <f>INDEX(SKU_Master!$D$5:$D$34,MATCH($A67,SKU_Master!$A$5:$A$34,0))</f>
        <v>Laptop</v>
      </c>
      <c r="D67" s="5" t="s">
        <v>66</v>
      </c>
      <c r="E67" s="17" t="str">
        <f>INDEX(Assumptions!$B$5:$B$9,MATCH($D67,Assumptions!$A$5:$A$9,0))</f>
        <v>EUR</v>
      </c>
      <c r="F67" s="18">
        <f>INDEX(SKU_Master!$G$5:$G$34,MATCH($A67,SKU_Master!$A$5:$A$34,0))</f>
        <v>890</v>
      </c>
      <c r="G67" s="19">
        <f>INDEX(SKU_Master!$H$5:$H$34,MATCH($A67,SKU_Master!$A$5:$A$34,0))</f>
        <v>0</v>
      </c>
      <c r="H67" s="20">
        <f t="shared" si="9"/>
        <v>890</v>
      </c>
      <c r="I67" s="19">
        <f>INDEX(Assumptions!$D$5:$D$9,MATCH($D67,Assumptions!$A$5:$A$9,0))</f>
        <v>0</v>
      </c>
      <c r="J67" s="20">
        <f t="shared" si="10"/>
        <v>0</v>
      </c>
      <c r="K67" s="18">
        <f>INDEX(Assumptions!$F$5:$H$9,MATCH($D67,Assumptions!$A$5:$A$9,0),MATCH($C67,Assumptions!$F$4:$H$4,0))</f>
        <v>38</v>
      </c>
      <c r="L67" s="21">
        <f t="shared" si="11"/>
        <v>928</v>
      </c>
      <c r="M67" s="19">
        <f>INDEX(Assumptions!$B$14:$B$16,MATCH($C67,Assumptions!$A$14:$A$16,0))</f>
        <v>0.12</v>
      </c>
      <c r="N67" s="20">
        <f t="shared" si="12"/>
        <v>1054.5454545454545</v>
      </c>
      <c r="O67" s="19">
        <f>INDEX(Assumptions!$E$5:$E$9,MATCH($D67,Assumptions!$A$5:$A$9,0))</f>
        <v>0.02</v>
      </c>
      <c r="P67" s="22">
        <f>INDEX(Assumptions!$C$5:$C$9,MATCH($D67,Assumptions!$A$5:$A$9,0))</f>
        <v>0.92</v>
      </c>
      <c r="Q67" s="19">
        <f>INDEX(Assumptions!$D$14:$D$16,MATCH($C67,Assumptions!$A$14:$A$16,0))</f>
        <v>0.03</v>
      </c>
      <c r="R67" s="23">
        <f t="shared" si="13"/>
        <v>1020</v>
      </c>
      <c r="S67" s="19">
        <f>INDEX(Assumptions!$C$14:$C$16,MATCH($C67,Assumptions!$A$14:$A$16,0))</f>
        <v>0.08</v>
      </c>
      <c r="T67" s="20">
        <f t="shared" si="14"/>
        <v>1008.695652173913</v>
      </c>
      <c r="U67" s="24">
        <f t="shared" si="15"/>
        <v>946.56</v>
      </c>
      <c r="V67" s="25">
        <f t="shared" si="16"/>
        <v>0.16298039215686272</v>
      </c>
      <c r="W67" s="5" t="str">
        <f t="shared" si="17"/>
        <v>L13|DE</v>
      </c>
    </row>
    <row r="68" spans="1:23" x14ac:dyDescent="0.2">
      <c r="A68" s="5" t="s">
        <v>126</v>
      </c>
      <c r="B68" s="17" t="str">
        <f>INDEX(SKU_Master!$C$5:$C$34,MATCH($A68,SKU_Master!$A$5:$A$34,0))</f>
        <v>TravelMate P4 i5/16GB/512GB</v>
      </c>
      <c r="C68" s="17" t="str">
        <f>INDEX(SKU_Master!$D$5:$D$34,MATCH($A68,SKU_Master!$A$5:$A$34,0))</f>
        <v>Laptop</v>
      </c>
      <c r="D68" s="5" t="s">
        <v>68</v>
      </c>
      <c r="E68" s="17" t="str">
        <f>INDEX(Assumptions!$B$5:$B$9,MATCH($D68,Assumptions!$A$5:$A$9,0))</f>
        <v>CAD</v>
      </c>
      <c r="F68" s="18">
        <f>INDEX(SKU_Master!$G$5:$G$34,MATCH($A68,SKU_Master!$A$5:$A$34,0))</f>
        <v>890</v>
      </c>
      <c r="G68" s="19">
        <f>INDEX(SKU_Master!$H$5:$H$34,MATCH($A68,SKU_Master!$A$5:$A$34,0))</f>
        <v>0</v>
      </c>
      <c r="H68" s="20">
        <f t="shared" si="9"/>
        <v>890</v>
      </c>
      <c r="I68" s="19">
        <f>INDEX(Assumptions!$D$5:$D$9,MATCH($D68,Assumptions!$A$5:$A$9,0))</f>
        <v>0</v>
      </c>
      <c r="J68" s="20">
        <f t="shared" si="10"/>
        <v>0</v>
      </c>
      <c r="K68" s="18">
        <f>INDEX(Assumptions!$F$5:$H$9,MATCH($D68,Assumptions!$A$5:$A$9,0),MATCH($C68,Assumptions!$F$4:$H$4,0))</f>
        <v>30</v>
      </c>
      <c r="L68" s="21">
        <f t="shared" si="11"/>
        <v>920</v>
      </c>
      <c r="M68" s="19">
        <f>INDEX(Assumptions!$B$14:$B$16,MATCH($C68,Assumptions!$A$14:$A$16,0))</f>
        <v>0.12</v>
      </c>
      <c r="N68" s="20">
        <f t="shared" si="12"/>
        <v>1045.4545454545455</v>
      </c>
      <c r="O68" s="19">
        <f>INDEX(Assumptions!$E$5:$E$9,MATCH($D68,Assumptions!$A$5:$A$9,0))</f>
        <v>0.02</v>
      </c>
      <c r="P68" s="22">
        <f>INDEX(Assumptions!$C$5:$C$9,MATCH($D68,Assumptions!$A$5:$A$9,0))</f>
        <v>1.37</v>
      </c>
      <c r="Q68" s="19">
        <f>INDEX(Assumptions!$D$14:$D$16,MATCH($C68,Assumptions!$A$14:$A$16,0))</f>
        <v>0.03</v>
      </c>
      <c r="R68" s="23">
        <f t="shared" si="13"/>
        <v>1505</v>
      </c>
      <c r="S68" s="19">
        <f>INDEX(Assumptions!$C$14:$C$16,MATCH($C68,Assumptions!$A$14:$A$16,0))</f>
        <v>0.08</v>
      </c>
      <c r="T68" s="20">
        <f t="shared" si="14"/>
        <v>1000</v>
      </c>
      <c r="U68" s="24">
        <f t="shared" si="15"/>
        <v>1397.4</v>
      </c>
      <c r="V68" s="25">
        <f t="shared" si="16"/>
        <v>0.16252491694352147</v>
      </c>
      <c r="W68" s="5" t="str">
        <f t="shared" si="17"/>
        <v>L13|CA</v>
      </c>
    </row>
    <row r="69" spans="1:23" x14ac:dyDescent="0.2">
      <c r="A69" s="5" t="s">
        <v>126</v>
      </c>
      <c r="B69" s="17" t="str">
        <f>INDEX(SKU_Master!$C$5:$C$34,MATCH($A69,SKU_Master!$A$5:$A$34,0))</f>
        <v>TravelMate P4 i5/16GB/512GB</v>
      </c>
      <c r="C69" s="17" t="str">
        <f>INDEX(SKU_Master!$D$5:$D$34,MATCH($A69,SKU_Master!$A$5:$A$34,0))</f>
        <v>Laptop</v>
      </c>
      <c r="D69" s="5" t="s">
        <v>70</v>
      </c>
      <c r="E69" s="17" t="str">
        <f>INDEX(Assumptions!$B$5:$B$9,MATCH($D69,Assumptions!$A$5:$A$9,0))</f>
        <v>INR</v>
      </c>
      <c r="F69" s="18">
        <f>INDEX(SKU_Master!$G$5:$G$34,MATCH($A69,SKU_Master!$A$5:$A$34,0))</f>
        <v>890</v>
      </c>
      <c r="G69" s="19">
        <f>INDEX(SKU_Master!$H$5:$H$34,MATCH($A69,SKU_Master!$A$5:$A$34,0))</f>
        <v>0</v>
      </c>
      <c r="H69" s="20">
        <f t="shared" ref="H69:H100" si="18">F69*(1-G69)</f>
        <v>890</v>
      </c>
      <c r="I69" s="19">
        <f>INDEX(Assumptions!$D$5:$D$9,MATCH($D69,Assumptions!$A$5:$A$9,0))</f>
        <v>0.11</v>
      </c>
      <c r="J69" s="20">
        <f t="shared" ref="J69:J100" si="19">H69*I69</f>
        <v>97.9</v>
      </c>
      <c r="K69" s="18">
        <f>INDEX(Assumptions!$F$5:$H$9,MATCH($D69,Assumptions!$A$5:$A$9,0),MATCH($C69,Assumptions!$F$4:$H$4,0))</f>
        <v>55</v>
      </c>
      <c r="L69" s="21">
        <f t="shared" ref="L69:L100" si="20">H69+J69+K69</f>
        <v>1042.9000000000001</v>
      </c>
      <c r="M69" s="19">
        <f>INDEX(Assumptions!$B$14:$B$16,MATCH($C69,Assumptions!$A$14:$A$16,0))</f>
        <v>0.12</v>
      </c>
      <c r="N69" s="20">
        <f t="shared" ref="N69:N100" si="21">L69/(1-M69)</f>
        <v>1185.1136363636365</v>
      </c>
      <c r="O69" s="19">
        <f>INDEX(Assumptions!$E$5:$E$9,MATCH($D69,Assumptions!$A$5:$A$9,0))</f>
        <v>0.02</v>
      </c>
      <c r="P69" s="22">
        <f>INDEX(Assumptions!$C$5:$C$9,MATCH($D69,Assumptions!$A$5:$A$9,0))</f>
        <v>83.5</v>
      </c>
      <c r="Q69" s="19">
        <f>INDEX(Assumptions!$D$14:$D$16,MATCH($C69,Assumptions!$A$14:$A$16,0))</f>
        <v>0.03</v>
      </c>
      <c r="R69" s="23">
        <f t="shared" ref="R69:R100" si="22">ROUNDUP(N69*(1+Q69)*(1+O69)*P69/5,0)*5</f>
        <v>103965</v>
      </c>
      <c r="S69" s="19">
        <f>INDEX(Assumptions!$C$14:$C$16,MATCH($C69,Assumptions!$A$14:$A$16,0))</f>
        <v>0.08</v>
      </c>
      <c r="T69" s="20">
        <f t="shared" ref="T69:T100" si="23">L69/(1-S69)</f>
        <v>1133.5869565217392</v>
      </c>
      <c r="U69" s="24">
        <f t="shared" ref="U69:U100" si="24">T69*(1+O69)*P69</f>
        <v>96547.601086956536</v>
      </c>
      <c r="V69" s="25">
        <f t="shared" ref="V69:V100" si="25">IF(R69=0,0,(R69/P69-L69)/(R69/P69))</f>
        <v>0.16238974654931942</v>
      </c>
      <c r="W69" s="5" t="str">
        <f t="shared" ref="W69:W100" si="26">A69&amp;"|"&amp;D69</f>
        <v>L13|IN</v>
      </c>
    </row>
    <row r="70" spans="1:23" x14ac:dyDescent="0.2">
      <c r="A70" s="5" t="s">
        <v>129</v>
      </c>
      <c r="B70" s="17" t="str">
        <f>INDEX(SKU_Master!$C$5:$C$34,MATCH($A70,SKU_Master!$A$5:$A$34,0))</f>
        <v>ExpertBook B5 i5/16GB/512GB</v>
      </c>
      <c r="C70" s="17" t="str">
        <f>INDEX(SKU_Master!$D$5:$D$34,MATCH($A70,SKU_Master!$A$5:$A$34,0))</f>
        <v>Laptop</v>
      </c>
      <c r="D70" s="5" t="s">
        <v>62</v>
      </c>
      <c r="E70" s="17" t="str">
        <f>INDEX(Assumptions!$B$5:$B$9,MATCH($D70,Assumptions!$A$5:$A$9,0))</f>
        <v>USD</v>
      </c>
      <c r="F70" s="18">
        <f>INDEX(SKU_Master!$G$5:$G$34,MATCH($A70,SKU_Master!$A$5:$A$34,0))</f>
        <v>940</v>
      </c>
      <c r="G70" s="19">
        <f>INDEX(SKU_Master!$H$5:$H$34,MATCH($A70,SKU_Master!$A$5:$A$34,0))</f>
        <v>0</v>
      </c>
      <c r="H70" s="20">
        <f t="shared" si="18"/>
        <v>940</v>
      </c>
      <c r="I70" s="19">
        <f>INDEX(Assumptions!$D$5:$D$9,MATCH($D70,Assumptions!$A$5:$A$9,0))</f>
        <v>0</v>
      </c>
      <c r="J70" s="20">
        <f t="shared" si="19"/>
        <v>0</v>
      </c>
      <c r="K70" s="18">
        <f>INDEX(Assumptions!$F$5:$H$9,MATCH($D70,Assumptions!$A$5:$A$9,0),MATCH($C70,Assumptions!$F$4:$H$4,0))</f>
        <v>18</v>
      </c>
      <c r="L70" s="21">
        <f t="shared" si="20"/>
        <v>958</v>
      </c>
      <c r="M70" s="19">
        <f>INDEX(Assumptions!$B$14:$B$16,MATCH($C70,Assumptions!$A$14:$A$16,0))</f>
        <v>0.12</v>
      </c>
      <c r="N70" s="20">
        <f t="shared" si="21"/>
        <v>1088.6363636363637</v>
      </c>
      <c r="O70" s="19">
        <f>INDEX(Assumptions!$E$5:$E$9,MATCH($D70,Assumptions!$A$5:$A$9,0))</f>
        <v>0</v>
      </c>
      <c r="P70" s="22">
        <f>INDEX(Assumptions!$C$5:$C$9,MATCH($D70,Assumptions!$A$5:$A$9,0))</f>
        <v>1</v>
      </c>
      <c r="Q70" s="19">
        <f>INDEX(Assumptions!$D$14:$D$16,MATCH($C70,Assumptions!$A$14:$A$16,0))</f>
        <v>0.03</v>
      </c>
      <c r="R70" s="23">
        <f t="shared" si="22"/>
        <v>1125</v>
      </c>
      <c r="S70" s="19">
        <f>INDEX(Assumptions!$C$14:$C$16,MATCH($C70,Assumptions!$A$14:$A$16,0))</f>
        <v>0.08</v>
      </c>
      <c r="T70" s="20">
        <f t="shared" si="23"/>
        <v>1041.304347826087</v>
      </c>
      <c r="U70" s="24">
        <f t="shared" si="24"/>
        <v>1041.304347826087</v>
      </c>
      <c r="V70" s="25">
        <f t="shared" si="25"/>
        <v>0.14844444444444443</v>
      </c>
      <c r="W70" s="5" t="str">
        <f t="shared" si="26"/>
        <v>L14|US</v>
      </c>
    </row>
    <row r="71" spans="1:23" x14ac:dyDescent="0.2">
      <c r="A71" s="5" t="s">
        <v>129</v>
      </c>
      <c r="B71" s="17" t="str">
        <f>INDEX(SKU_Master!$C$5:$C$34,MATCH($A71,SKU_Master!$A$5:$A$34,0))</f>
        <v>ExpertBook B5 i5/16GB/512GB</v>
      </c>
      <c r="C71" s="17" t="str">
        <f>INDEX(SKU_Master!$D$5:$D$34,MATCH($A71,SKU_Master!$A$5:$A$34,0))</f>
        <v>Laptop</v>
      </c>
      <c r="D71" s="5" t="s">
        <v>64</v>
      </c>
      <c r="E71" s="17" t="str">
        <f>INDEX(Assumptions!$B$5:$B$9,MATCH($D71,Assumptions!$A$5:$A$9,0))</f>
        <v>GBP</v>
      </c>
      <c r="F71" s="18">
        <f>INDEX(SKU_Master!$G$5:$G$34,MATCH($A71,SKU_Master!$A$5:$A$34,0))</f>
        <v>940</v>
      </c>
      <c r="G71" s="19">
        <f>INDEX(SKU_Master!$H$5:$H$34,MATCH($A71,SKU_Master!$A$5:$A$34,0))</f>
        <v>0</v>
      </c>
      <c r="H71" s="20">
        <f t="shared" si="18"/>
        <v>940</v>
      </c>
      <c r="I71" s="19">
        <f>INDEX(Assumptions!$D$5:$D$9,MATCH($D71,Assumptions!$A$5:$A$9,0))</f>
        <v>0</v>
      </c>
      <c r="J71" s="20">
        <f t="shared" si="19"/>
        <v>0</v>
      </c>
      <c r="K71" s="18">
        <f>INDEX(Assumptions!$F$5:$H$9,MATCH($D71,Assumptions!$A$5:$A$9,0),MATCH($C71,Assumptions!$F$4:$H$4,0))</f>
        <v>42</v>
      </c>
      <c r="L71" s="21">
        <f t="shared" si="20"/>
        <v>982</v>
      </c>
      <c r="M71" s="19">
        <f>INDEX(Assumptions!$B$14:$B$16,MATCH($C71,Assumptions!$A$14:$A$16,0))</f>
        <v>0.12</v>
      </c>
      <c r="N71" s="20">
        <f t="shared" si="21"/>
        <v>1115.909090909091</v>
      </c>
      <c r="O71" s="19">
        <f>INDEX(Assumptions!$E$5:$E$9,MATCH($D71,Assumptions!$A$5:$A$9,0))</f>
        <v>0.02</v>
      </c>
      <c r="P71" s="22">
        <f>INDEX(Assumptions!$C$5:$C$9,MATCH($D71,Assumptions!$A$5:$A$9,0))</f>
        <v>0.79</v>
      </c>
      <c r="Q71" s="19">
        <f>INDEX(Assumptions!$D$14:$D$16,MATCH($C71,Assumptions!$A$14:$A$16,0))</f>
        <v>0.03</v>
      </c>
      <c r="R71" s="23">
        <f t="shared" si="22"/>
        <v>930</v>
      </c>
      <c r="S71" s="19">
        <f>INDEX(Assumptions!$C$14:$C$16,MATCH($C71,Assumptions!$A$14:$A$16,0))</f>
        <v>0.08</v>
      </c>
      <c r="T71" s="20">
        <f t="shared" si="23"/>
        <v>1067.391304347826</v>
      </c>
      <c r="U71" s="24">
        <f t="shared" si="24"/>
        <v>860.1039130434782</v>
      </c>
      <c r="V71" s="25">
        <f t="shared" si="25"/>
        <v>0.16582795698924718</v>
      </c>
      <c r="W71" s="5" t="str">
        <f t="shared" si="26"/>
        <v>L14|UK</v>
      </c>
    </row>
    <row r="72" spans="1:23" x14ac:dyDescent="0.2">
      <c r="A72" s="5" t="s">
        <v>129</v>
      </c>
      <c r="B72" s="17" t="str">
        <f>INDEX(SKU_Master!$C$5:$C$34,MATCH($A72,SKU_Master!$A$5:$A$34,0))</f>
        <v>ExpertBook B5 i5/16GB/512GB</v>
      </c>
      <c r="C72" s="17" t="str">
        <f>INDEX(SKU_Master!$D$5:$D$34,MATCH($A72,SKU_Master!$A$5:$A$34,0))</f>
        <v>Laptop</v>
      </c>
      <c r="D72" s="5" t="s">
        <v>66</v>
      </c>
      <c r="E72" s="17" t="str">
        <f>INDEX(Assumptions!$B$5:$B$9,MATCH($D72,Assumptions!$A$5:$A$9,0))</f>
        <v>EUR</v>
      </c>
      <c r="F72" s="18">
        <f>INDEX(SKU_Master!$G$5:$G$34,MATCH($A72,SKU_Master!$A$5:$A$34,0))</f>
        <v>940</v>
      </c>
      <c r="G72" s="19">
        <f>INDEX(SKU_Master!$H$5:$H$34,MATCH($A72,SKU_Master!$A$5:$A$34,0))</f>
        <v>0</v>
      </c>
      <c r="H72" s="20">
        <f t="shared" si="18"/>
        <v>940</v>
      </c>
      <c r="I72" s="19">
        <f>INDEX(Assumptions!$D$5:$D$9,MATCH($D72,Assumptions!$A$5:$A$9,0))</f>
        <v>0</v>
      </c>
      <c r="J72" s="20">
        <f t="shared" si="19"/>
        <v>0</v>
      </c>
      <c r="K72" s="18">
        <f>INDEX(Assumptions!$F$5:$H$9,MATCH($D72,Assumptions!$A$5:$A$9,0),MATCH($C72,Assumptions!$F$4:$H$4,0))</f>
        <v>38</v>
      </c>
      <c r="L72" s="21">
        <f t="shared" si="20"/>
        <v>978</v>
      </c>
      <c r="M72" s="19">
        <f>INDEX(Assumptions!$B$14:$B$16,MATCH($C72,Assumptions!$A$14:$A$16,0))</f>
        <v>0.12</v>
      </c>
      <c r="N72" s="20">
        <f t="shared" si="21"/>
        <v>1111.3636363636363</v>
      </c>
      <c r="O72" s="19">
        <f>INDEX(Assumptions!$E$5:$E$9,MATCH($D72,Assumptions!$A$5:$A$9,0))</f>
        <v>0.02</v>
      </c>
      <c r="P72" s="22">
        <f>INDEX(Assumptions!$C$5:$C$9,MATCH($D72,Assumptions!$A$5:$A$9,0))</f>
        <v>0.92</v>
      </c>
      <c r="Q72" s="19">
        <f>INDEX(Assumptions!$D$14:$D$16,MATCH($C72,Assumptions!$A$14:$A$16,0))</f>
        <v>0.03</v>
      </c>
      <c r="R72" s="23">
        <f t="shared" si="22"/>
        <v>1075</v>
      </c>
      <c r="S72" s="19">
        <f>INDEX(Assumptions!$C$14:$C$16,MATCH($C72,Assumptions!$A$14:$A$16,0))</f>
        <v>0.08</v>
      </c>
      <c r="T72" s="20">
        <f t="shared" si="23"/>
        <v>1063.0434782608695</v>
      </c>
      <c r="U72" s="24">
        <f t="shared" si="24"/>
        <v>997.56000000000006</v>
      </c>
      <c r="V72" s="25">
        <f t="shared" si="25"/>
        <v>0.16301395348837211</v>
      </c>
      <c r="W72" s="5" t="str">
        <f t="shared" si="26"/>
        <v>L14|DE</v>
      </c>
    </row>
    <row r="73" spans="1:23" x14ac:dyDescent="0.2">
      <c r="A73" s="5" t="s">
        <v>129</v>
      </c>
      <c r="B73" s="17" t="str">
        <f>INDEX(SKU_Master!$C$5:$C$34,MATCH($A73,SKU_Master!$A$5:$A$34,0))</f>
        <v>ExpertBook B5 i5/16GB/512GB</v>
      </c>
      <c r="C73" s="17" t="str">
        <f>INDEX(SKU_Master!$D$5:$D$34,MATCH($A73,SKU_Master!$A$5:$A$34,0))</f>
        <v>Laptop</v>
      </c>
      <c r="D73" s="5" t="s">
        <v>68</v>
      </c>
      <c r="E73" s="17" t="str">
        <f>INDEX(Assumptions!$B$5:$B$9,MATCH($D73,Assumptions!$A$5:$A$9,0))</f>
        <v>CAD</v>
      </c>
      <c r="F73" s="18">
        <f>INDEX(SKU_Master!$G$5:$G$34,MATCH($A73,SKU_Master!$A$5:$A$34,0))</f>
        <v>940</v>
      </c>
      <c r="G73" s="19">
        <f>INDEX(SKU_Master!$H$5:$H$34,MATCH($A73,SKU_Master!$A$5:$A$34,0))</f>
        <v>0</v>
      </c>
      <c r="H73" s="20">
        <f t="shared" si="18"/>
        <v>940</v>
      </c>
      <c r="I73" s="19">
        <f>INDEX(Assumptions!$D$5:$D$9,MATCH($D73,Assumptions!$A$5:$A$9,0))</f>
        <v>0</v>
      </c>
      <c r="J73" s="20">
        <f t="shared" si="19"/>
        <v>0</v>
      </c>
      <c r="K73" s="18">
        <f>INDEX(Assumptions!$F$5:$H$9,MATCH($D73,Assumptions!$A$5:$A$9,0),MATCH($C73,Assumptions!$F$4:$H$4,0))</f>
        <v>30</v>
      </c>
      <c r="L73" s="21">
        <f t="shared" si="20"/>
        <v>970</v>
      </c>
      <c r="M73" s="19">
        <f>INDEX(Assumptions!$B$14:$B$16,MATCH($C73,Assumptions!$A$14:$A$16,0))</f>
        <v>0.12</v>
      </c>
      <c r="N73" s="20">
        <f t="shared" si="21"/>
        <v>1102.2727272727273</v>
      </c>
      <c r="O73" s="19">
        <f>INDEX(Assumptions!$E$5:$E$9,MATCH($D73,Assumptions!$A$5:$A$9,0))</f>
        <v>0.02</v>
      </c>
      <c r="P73" s="22">
        <f>INDEX(Assumptions!$C$5:$C$9,MATCH($D73,Assumptions!$A$5:$A$9,0))</f>
        <v>1.37</v>
      </c>
      <c r="Q73" s="19">
        <f>INDEX(Assumptions!$D$14:$D$16,MATCH($C73,Assumptions!$A$14:$A$16,0))</f>
        <v>0.03</v>
      </c>
      <c r="R73" s="23">
        <f t="shared" si="22"/>
        <v>1590</v>
      </c>
      <c r="S73" s="19">
        <f>INDEX(Assumptions!$C$14:$C$16,MATCH($C73,Assumptions!$A$14:$A$16,0))</f>
        <v>0.08</v>
      </c>
      <c r="T73" s="20">
        <f t="shared" si="23"/>
        <v>1054.3478260869565</v>
      </c>
      <c r="U73" s="24">
        <f t="shared" si="24"/>
        <v>1473.3456521739133</v>
      </c>
      <c r="V73" s="25">
        <f t="shared" si="25"/>
        <v>0.16421383647798735</v>
      </c>
      <c r="W73" s="5" t="str">
        <f t="shared" si="26"/>
        <v>L14|CA</v>
      </c>
    </row>
    <row r="74" spans="1:23" x14ac:dyDescent="0.2">
      <c r="A74" s="5" t="s">
        <v>129</v>
      </c>
      <c r="B74" s="17" t="str">
        <f>INDEX(SKU_Master!$C$5:$C$34,MATCH($A74,SKU_Master!$A$5:$A$34,0))</f>
        <v>ExpertBook B5 i5/16GB/512GB</v>
      </c>
      <c r="C74" s="17" t="str">
        <f>INDEX(SKU_Master!$D$5:$D$34,MATCH($A74,SKU_Master!$A$5:$A$34,0))</f>
        <v>Laptop</v>
      </c>
      <c r="D74" s="5" t="s">
        <v>70</v>
      </c>
      <c r="E74" s="17" t="str">
        <f>INDEX(Assumptions!$B$5:$B$9,MATCH($D74,Assumptions!$A$5:$A$9,0))</f>
        <v>INR</v>
      </c>
      <c r="F74" s="18">
        <f>INDEX(SKU_Master!$G$5:$G$34,MATCH($A74,SKU_Master!$A$5:$A$34,0))</f>
        <v>940</v>
      </c>
      <c r="G74" s="19">
        <f>INDEX(SKU_Master!$H$5:$H$34,MATCH($A74,SKU_Master!$A$5:$A$34,0))</f>
        <v>0</v>
      </c>
      <c r="H74" s="20">
        <f t="shared" si="18"/>
        <v>940</v>
      </c>
      <c r="I74" s="19">
        <f>INDEX(Assumptions!$D$5:$D$9,MATCH($D74,Assumptions!$A$5:$A$9,0))</f>
        <v>0.11</v>
      </c>
      <c r="J74" s="20">
        <f t="shared" si="19"/>
        <v>103.4</v>
      </c>
      <c r="K74" s="18">
        <f>INDEX(Assumptions!$F$5:$H$9,MATCH($D74,Assumptions!$A$5:$A$9,0),MATCH($C74,Assumptions!$F$4:$H$4,0))</f>
        <v>55</v>
      </c>
      <c r="L74" s="21">
        <f t="shared" si="20"/>
        <v>1098.4000000000001</v>
      </c>
      <c r="M74" s="19">
        <f>INDEX(Assumptions!$B$14:$B$16,MATCH($C74,Assumptions!$A$14:$A$16,0))</f>
        <v>0.12</v>
      </c>
      <c r="N74" s="20">
        <f t="shared" si="21"/>
        <v>1248.1818181818182</v>
      </c>
      <c r="O74" s="19">
        <f>INDEX(Assumptions!$E$5:$E$9,MATCH($D74,Assumptions!$A$5:$A$9,0))</f>
        <v>0.02</v>
      </c>
      <c r="P74" s="22">
        <f>INDEX(Assumptions!$C$5:$C$9,MATCH($D74,Assumptions!$A$5:$A$9,0))</f>
        <v>83.5</v>
      </c>
      <c r="Q74" s="19">
        <f>INDEX(Assumptions!$D$14:$D$16,MATCH($C74,Assumptions!$A$14:$A$16,0))</f>
        <v>0.03</v>
      </c>
      <c r="R74" s="23">
        <f t="shared" si="22"/>
        <v>109500</v>
      </c>
      <c r="S74" s="19">
        <f>INDEX(Assumptions!$C$14:$C$16,MATCH($C74,Assumptions!$A$14:$A$16,0))</f>
        <v>0.08</v>
      </c>
      <c r="T74" s="20">
        <f t="shared" si="23"/>
        <v>1193.913043478261</v>
      </c>
      <c r="U74" s="24">
        <f t="shared" si="24"/>
        <v>101685.5739130435</v>
      </c>
      <c r="V74" s="25">
        <f t="shared" si="25"/>
        <v>0.16240730593607297</v>
      </c>
      <c r="W74" s="5" t="str">
        <f t="shared" si="26"/>
        <v>L14|IN</v>
      </c>
    </row>
    <row r="75" spans="1:23" x14ac:dyDescent="0.2">
      <c r="A75" s="5" t="s">
        <v>132</v>
      </c>
      <c r="B75" s="17" t="str">
        <f>INDEX(SKU_Master!$C$5:$C$34,MATCH($A75,SKU_Master!$A$5:$A$34,0))</f>
        <v>Latitude 5440 i5/16GB/512GB (prev. gen)</v>
      </c>
      <c r="C75" s="17" t="str">
        <f>INDEX(SKU_Master!$D$5:$D$34,MATCH($A75,SKU_Master!$A$5:$A$34,0))</f>
        <v>Laptop</v>
      </c>
      <c r="D75" s="5" t="s">
        <v>62</v>
      </c>
      <c r="E75" s="17" t="str">
        <f>INDEX(Assumptions!$B$5:$B$9,MATCH($D75,Assumptions!$A$5:$A$9,0))</f>
        <v>USD</v>
      </c>
      <c r="F75" s="18">
        <f>INDEX(SKU_Master!$G$5:$G$34,MATCH($A75,SKU_Master!$A$5:$A$34,0))</f>
        <v>900</v>
      </c>
      <c r="G75" s="19">
        <f>INDEX(SKU_Master!$H$5:$H$34,MATCH($A75,SKU_Master!$A$5:$A$34,0))</f>
        <v>0.03</v>
      </c>
      <c r="H75" s="20">
        <f t="shared" si="18"/>
        <v>873</v>
      </c>
      <c r="I75" s="19">
        <f>INDEX(Assumptions!$D$5:$D$9,MATCH($D75,Assumptions!$A$5:$A$9,0))</f>
        <v>0</v>
      </c>
      <c r="J75" s="20">
        <f t="shared" si="19"/>
        <v>0</v>
      </c>
      <c r="K75" s="18">
        <f>INDEX(Assumptions!$F$5:$H$9,MATCH($D75,Assumptions!$A$5:$A$9,0),MATCH($C75,Assumptions!$F$4:$H$4,0))</f>
        <v>18</v>
      </c>
      <c r="L75" s="21">
        <f t="shared" si="20"/>
        <v>891</v>
      </c>
      <c r="M75" s="19">
        <f>INDEX(Assumptions!$B$14:$B$16,MATCH($C75,Assumptions!$A$14:$A$16,0))</f>
        <v>0.12</v>
      </c>
      <c r="N75" s="20">
        <f t="shared" si="21"/>
        <v>1012.5</v>
      </c>
      <c r="O75" s="19">
        <f>INDEX(Assumptions!$E$5:$E$9,MATCH($D75,Assumptions!$A$5:$A$9,0))</f>
        <v>0</v>
      </c>
      <c r="P75" s="22">
        <f>INDEX(Assumptions!$C$5:$C$9,MATCH($D75,Assumptions!$A$5:$A$9,0))</f>
        <v>1</v>
      </c>
      <c r="Q75" s="19">
        <f>INDEX(Assumptions!$D$14:$D$16,MATCH($C75,Assumptions!$A$14:$A$16,0))</f>
        <v>0.03</v>
      </c>
      <c r="R75" s="23">
        <f t="shared" si="22"/>
        <v>1045</v>
      </c>
      <c r="S75" s="19">
        <f>INDEX(Assumptions!$C$14:$C$16,MATCH($C75,Assumptions!$A$14:$A$16,0))</f>
        <v>0.08</v>
      </c>
      <c r="T75" s="20">
        <f t="shared" si="23"/>
        <v>968.47826086956513</v>
      </c>
      <c r="U75" s="24">
        <f t="shared" si="24"/>
        <v>968.47826086956513</v>
      </c>
      <c r="V75" s="25">
        <f t="shared" si="25"/>
        <v>0.14736842105263157</v>
      </c>
      <c r="W75" s="5" t="str">
        <f t="shared" si="26"/>
        <v>L15|US</v>
      </c>
    </row>
    <row r="76" spans="1:23" x14ac:dyDescent="0.2">
      <c r="A76" s="5" t="s">
        <v>132</v>
      </c>
      <c r="B76" s="17" t="str">
        <f>INDEX(SKU_Master!$C$5:$C$34,MATCH($A76,SKU_Master!$A$5:$A$34,0))</f>
        <v>Latitude 5440 i5/16GB/512GB (prev. gen)</v>
      </c>
      <c r="C76" s="17" t="str">
        <f>INDEX(SKU_Master!$D$5:$D$34,MATCH($A76,SKU_Master!$A$5:$A$34,0))</f>
        <v>Laptop</v>
      </c>
      <c r="D76" s="5" t="s">
        <v>64</v>
      </c>
      <c r="E76" s="17" t="str">
        <f>INDEX(Assumptions!$B$5:$B$9,MATCH($D76,Assumptions!$A$5:$A$9,0))</f>
        <v>GBP</v>
      </c>
      <c r="F76" s="18">
        <f>INDEX(SKU_Master!$G$5:$G$34,MATCH($A76,SKU_Master!$A$5:$A$34,0))</f>
        <v>900</v>
      </c>
      <c r="G76" s="19">
        <f>INDEX(SKU_Master!$H$5:$H$34,MATCH($A76,SKU_Master!$A$5:$A$34,0))</f>
        <v>0.03</v>
      </c>
      <c r="H76" s="20">
        <f t="shared" si="18"/>
        <v>873</v>
      </c>
      <c r="I76" s="19">
        <f>INDEX(Assumptions!$D$5:$D$9,MATCH($D76,Assumptions!$A$5:$A$9,0))</f>
        <v>0</v>
      </c>
      <c r="J76" s="20">
        <f t="shared" si="19"/>
        <v>0</v>
      </c>
      <c r="K76" s="18">
        <f>INDEX(Assumptions!$F$5:$H$9,MATCH($D76,Assumptions!$A$5:$A$9,0),MATCH($C76,Assumptions!$F$4:$H$4,0))</f>
        <v>42</v>
      </c>
      <c r="L76" s="21">
        <f t="shared" si="20"/>
        <v>915</v>
      </c>
      <c r="M76" s="19">
        <f>INDEX(Assumptions!$B$14:$B$16,MATCH($C76,Assumptions!$A$14:$A$16,0))</f>
        <v>0.12</v>
      </c>
      <c r="N76" s="20">
        <f t="shared" si="21"/>
        <v>1039.7727272727273</v>
      </c>
      <c r="O76" s="19">
        <f>INDEX(Assumptions!$E$5:$E$9,MATCH($D76,Assumptions!$A$5:$A$9,0))</f>
        <v>0.02</v>
      </c>
      <c r="P76" s="22">
        <f>INDEX(Assumptions!$C$5:$C$9,MATCH($D76,Assumptions!$A$5:$A$9,0))</f>
        <v>0.79</v>
      </c>
      <c r="Q76" s="19">
        <f>INDEX(Assumptions!$D$14:$D$16,MATCH($C76,Assumptions!$A$14:$A$16,0))</f>
        <v>0.03</v>
      </c>
      <c r="R76" s="23">
        <f t="shared" si="22"/>
        <v>865</v>
      </c>
      <c r="S76" s="19">
        <f>INDEX(Assumptions!$C$14:$C$16,MATCH($C76,Assumptions!$A$14:$A$16,0))</f>
        <v>0.08</v>
      </c>
      <c r="T76" s="20">
        <f t="shared" si="23"/>
        <v>994.56521739130426</v>
      </c>
      <c r="U76" s="24">
        <f t="shared" si="24"/>
        <v>801.42065217391303</v>
      </c>
      <c r="V76" s="25">
        <f t="shared" si="25"/>
        <v>0.16433526011560684</v>
      </c>
      <c r="W76" s="5" t="str">
        <f t="shared" si="26"/>
        <v>L15|UK</v>
      </c>
    </row>
    <row r="77" spans="1:23" x14ac:dyDescent="0.2">
      <c r="A77" s="5" t="s">
        <v>132</v>
      </c>
      <c r="B77" s="17" t="str">
        <f>INDEX(SKU_Master!$C$5:$C$34,MATCH($A77,SKU_Master!$A$5:$A$34,0))</f>
        <v>Latitude 5440 i5/16GB/512GB (prev. gen)</v>
      </c>
      <c r="C77" s="17" t="str">
        <f>INDEX(SKU_Master!$D$5:$D$34,MATCH($A77,SKU_Master!$A$5:$A$34,0))</f>
        <v>Laptop</v>
      </c>
      <c r="D77" s="5" t="s">
        <v>66</v>
      </c>
      <c r="E77" s="17" t="str">
        <f>INDEX(Assumptions!$B$5:$B$9,MATCH($D77,Assumptions!$A$5:$A$9,0))</f>
        <v>EUR</v>
      </c>
      <c r="F77" s="18">
        <f>INDEX(SKU_Master!$G$5:$G$34,MATCH($A77,SKU_Master!$A$5:$A$34,0))</f>
        <v>900</v>
      </c>
      <c r="G77" s="19">
        <f>INDEX(SKU_Master!$H$5:$H$34,MATCH($A77,SKU_Master!$A$5:$A$34,0))</f>
        <v>0.03</v>
      </c>
      <c r="H77" s="20">
        <f t="shared" si="18"/>
        <v>873</v>
      </c>
      <c r="I77" s="19">
        <f>INDEX(Assumptions!$D$5:$D$9,MATCH($D77,Assumptions!$A$5:$A$9,0))</f>
        <v>0</v>
      </c>
      <c r="J77" s="20">
        <f t="shared" si="19"/>
        <v>0</v>
      </c>
      <c r="K77" s="18">
        <f>INDEX(Assumptions!$F$5:$H$9,MATCH($D77,Assumptions!$A$5:$A$9,0),MATCH($C77,Assumptions!$F$4:$H$4,0))</f>
        <v>38</v>
      </c>
      <c r="L77" s="21">
        <f t="shared" si="20"/>
        <v>911</v>
      </c>
      <c r="M77" s="19">
        <f>INDEX(Assumptions!$B$14:$B$16,MATCH($C77,Assumptions!$A$14:$A$16,0))</f>
        <v>0.12</v>
      </c>
      <c r="N77" s="20">
        <f t="shared" si="21"/>
        <v>1035.2272727272727</v>
      </c>
      <c r="O77" s="19">
        <f>INDEX(Assumptions!$E$5:$E$9,MATCH($D77,Assumptions!$A$5:$A$9,0))</f>
        <v>0.02</v>
      </c>
      <c r="P77" s="22">
        <f>INDEX(Assumptions!$C$5:$C$9,MATCH($D77,Assumptions!$A$5:$A$9,0))</f>
        <v>0.92</v>
      </c>
      <c r="Q77" s="19">
        <f>INDEX(Assumptions!$D$14:$D$16,MATCH($C77,Assumptions!$A$14:$A$16,0))</f>
        <v>0.03</v>
      </c>
      <c r="R77" s="23">
        <f t="shared" si="22"/>
        <v>1005</v>
      </c>
      <c r="S77" s="19">
        <f>INDEX(Assumptions!$C$14:$C$16,MATCH($C77,Assumptions!$A$14:$A$16,0))</f>
        <v>0.08</v>
      </c>
      <c r="T77" s="20">
        <f t="shared" si="23"/>
        <v>990.21739130434776</v>
      </c>
      <c r="U77" s="24">
        <f t="shared" si="24"/>
        <v>929.22</v>
      </c>
      <c r="V77" s="25">
        <f t="shared" si="25"/>
        <v>0.16604975124378105</v>
      </c>
      <c r="W77" s="5" t="str">
        <f t="shared" si="26"/>
        <v>L15|DE</v>
      </c>
    </row>
    <row r="78" spans="1:23" x14ac:dyDescent="0.2">
      <c r="A78" s="5" t="s">
        <v>132</v>
      </c>
      <c r="B78" s="17" t="str">
        <f>INDEX(SKU_Master!$C$5:$C$34,MATCH($A78,SKU_Master!$A$5:$A$34,0))</f>
        <v>Latitude 5440 i5/16GB/512GB (prev. gen)</v>
      </c>
      <c r="C78" s="17" t="str">
        <f>INDEX(SKU_Master!$D$5:$D$34,MATCH($A78,SKU_Master!$A$5:$A$34,0))</f>
        <v>Laptop</v>
      </c>
      <c r="D78" s="5" t="s">
        <v>68</v>
      </c>
      <c r="E78" s="17" t="str">
        <f>INDEX(Assumptions!$B$5:$B$9,MATCH($D78,Assumptions!$A$5:$A$9,0))</f>
        <v>CAD</v>
      </c>
      <c r="F78" s="18">
        <f>INDEX(SKU_Master!$G$5:$G$34,MATCH($A78,SKU_Master!$A$5:$A$34,0))</f>
        <v>900</v>
      </c>
      <c r="G78" s="19">
        <f>INDEX(SKU_Master!$H$5:$H$34,MATCH($A78,SKU_Master!$A$5:$A$34,0))</f>
        <v>0.03</v>
      </c>
      <c r="H78" s="20">
        <f t="shared" si="18"/>
        <v>873</v>
      </c>
      <c r="I78" s="19">
        <f>INDEX(Assumptions!$D$5:$D$9,MATCH($D78,Assumptions!$A$5:$A$9,0))</f>
        <v>0</v>
      </c>
      <c r="J78" s="20">
        <f t="shared" si="19"/>
        <v>0</v>
      </c>
      <c r="K78" s="18">
        <f>INDEX(Assumptions!$F$5:$H$9,MATCH($D78,Assumptions!$A$5:$A$9,0),MATCH($C78,Assumptions!$F$4:$H$4,0))</f>
        <v>30</v>
      </c>
      <c r="L78" s="21">
        <f t="shared" si="20"/>
        <v>903</v>
      </c>
      <c r="M78" s="19">
        <f>INDEX(Assumptions!$B$14:$B$16,MATCH($C78,Assumptions!$A$14:$A$16,0))</f>
        <v>0.12</v>
      </c>
      <c r="N78" s="20">
        <f t="shared" si="21"/>
        <v>1026.1363636363637</v>
      </c>
      <c r="O78" s="19">
        <f>INDEX(Assumptions!$E$5:$E$9,MATCH($D78,Assumptions!$A$5:$A$9,0))</f>
        <v>0.02</v>
      </c>
      <c r="P78" s="22">
        <f>INDEX(Assumptions!$C$5:$C$9,MATCH($D78,Assumptions!$A$5:$A$9,0))</f>
        <v>1.37</v>
      </c>
      <c r="Q78" s="19">
        <f>INDEX(Assumptions!$D$14:$D$16,MATCH($C78,Assumptions!$A$14:$A$16,0))</f>
        <v>0.03</v>
      </c>
      <c r="R78" s="23">
        <f t="shared" si="22"/>
        <v>1480</v>
      </c>
      <c r="S78" s="19">
        <f>INDEX(Assumptions!$C$14:$C$16,MATCH($C78,Assumptions!$A$14:$A$16,0))</f>
        <v>0.08</v>
      </c>
      <c r="T78" s="20">
        <f t="shared" si="23"/>
        <v>981.52173913043475</v>
      </c>
      <c r="U78" s="24">
        <f t="shared" si="24"/>
        <v>1371.5784782608696</v>
      </c>
      <c r="V78" s="25">
        <f t="shared" si="25"/>
        <v>0.16411486486486482</v>
      </c>
      <c r="W78" s="5" t="str">
        <f t="shared" si="26"/>
        <v>L15|CA</v>
      </c>
    </row>
    <row r="79" spans="1:23" x14ac:dyDescent="0.2">
      <c r="A79" s="5" t="s">
        <v>132</v>
      </c>
      <c r="B79" s="17" t="str">
        <f>INDEX(SKU_Master!$C$5:$C$34,MATCH($A79,SKU_Master!$A$5:$A$34,0))</f>
        <v>Latitude 5440 i5/16GB/512GB (prev. gen)</v>
      </c>
      <c r="C79" s="17" t="str">
        <f>INDEX(SKU_Master!$D$5:$D$34,MATCH($A79,SKU_Master!$A$5:$A$34,0))</f>
        <v>Laptop</v>
      </c>
      <c r="D79" s="5" t="s">
        <v>70</v>
      </c>
      <c r="E79" s="17" t="str">
        <f>INDEX(Assumptions!$B$5:$B$9,MATCH($D79,Assumptions!$A$5:$A$9,0))</f>
        <v>INR</v>
      </c>
      <c r="F79" s="18">
        <f>INDEX(SKU_Master!$G$5:$G$34,MATCH($A79,SKU_Master!$A$5:$A$34,0))</f>
        <v>900</v>
      </c>
      <c r="G79" s="19">
        <f>INDEX(SKU_Master!$H$5:$H$34,MATCH($A79,SKU_Master!$A$5:$A$34,0))</f>
        <v>0.03</v>
      </c>
      <c r="H79" s="20">
        <f t="shared" si="18"/>
        <v>873</v>
      </c>
      <c r="I79" s="19">
        <f>INDEX(Assumptions!$D$5:$D$9,MATCH($D79,Assumptions!$A$5:$A$9,0))</f>
        <v>0.11</v>
      </c>
      <c r="J79" s="20">
        <f t="shared" si="19"/>
        <v>96.03</v>
      </c>
      <c r="K79" s="18">
        <f>INDEX(Assumptions!$F$5:$H$9,MATCH($D79,Assumptions!$A$5:$A$9,0),MATCH($C79,Assumptions!$F$4:$H$4,0))</f>
        <v>55</v>
      </c>
      <c r="L79" s="21">
        <f t="shared" si="20"/>
        <v>1024.03</v>
      </c>
      <c r="M79" s="19">
        <f>INDEX(Assumptions!$B$14:$B$16,MATCH($C79,Assumptions!$A$14:$A$16,0))</f>
        <v>0.12</v>
      </c>
      <c r="N79" s="20">
        <f t="shared" si="21"/>
        <v>1163.6704545454545</v>
      </c>
      <c r="O79" s="19">
        <f>INDEX(Assumptions!$E$5:$E$9,MATCH($D79,Assumptions!$A$5:$A$9,0))</f>
        <v>0.02</v>
      </c>
      <c r="P79" s="22">
        <f>INDEX(Assumptions!$C$5:$C$9,MATCH($D79,Assumptions!$A$5:$A$9,0))</f>
        <v>83.5</v>
      </c>
      <c r="Q79" s="19">
        <f>INDEX(Assumptions!$D$14:$D$16,MATCH($C79,Assumptions!$A$14:$A$16,0))</f>
        <v>0.03</v>
      </c>
      <c r="R79" s="23">
        <f t="shared" si="22"/>
        <v>102085</v>
      </c>
      <c r="S79" s="19">
        <f>INDEX(Assumptions!$C$14:$C$16,MATCH($C79,Assumptions!$A$14:$A$16,0))</f>
        <v>0.08</v>
      </c>
      <c r="T79" s="20">
        <f t="shared" si="23"/>
        <v>1113.0760869565217</v>
      </c>
      <c r="U79" s="24">
        <f t="shared" si="24"/>
        <v>94800.690326086973</v>
      </c>
      <c r="V79" s="25">
        <f t="shared" si="25"/>
        <v>0.16239893226233051</v>
      </c>
      <c r="W79" s="5" t="str">
        <f t="shared" si="26"/>
        <v>L15|IN</v>
      </c>
    </row>
    <row r="80" spans="1:23" x14ac:dyDescent="0.2">
      <c r="A80" s="5" t="s">
        <v>135</v>
      </c>
      <c r="B80" s="17" t="str">
        <f>INDEX(SKU_Master!$C$5:$C$34,MATCH($A80,SKU_Master!$A$5:$A$34,0))</f>
        <v>P2425H 24in FHD</v>
      </c>
      <c r="C80" s="17" t="str">
        <f>INDEX(SKU_Master!$D$5:$D$34,MATCH($A80,SKU_Master!$A$5:$A$34,0))</f>
        <v>Monitor</v>
      </c>
      <c r="D80" s="5" t="s">
        <v>62</v>
      </c>
      <c r="E80" s="17" t="str">
        <f>INDEX(Assumptions!$B$5:$B$9,MATCH($D80,Assumptions!$A$5:$A$9,0))</f>
        <v>USD</v>
      </c>
      <c r="F80" s="18">
        <f>INDEX(SKU_Master!$G$5:$G$34,MATCH($A80,SKU_Master!$A$5:$A$34,0))</f>
        <v>165</v>
      </c>
      <c r="G80" s="19">
        <f>INDEX(SKU_Master!$H$5:$H$34,MATCH($A80,SKU_Master!$A$5:$A$34,0))</f>
        <v>0.02</v>
      </c>
      <c r="H80" s="20">
        <f t="shared" si="18"/>
        <v>161.69999999999999</v>
      </c>
      <c r="I80" s="19">
        <f>INDEX(Assumptions!$D$5:$D$9,MATCH($D80,Assumptions!$A$5:$A$9,0))</f>
        <v>0</v>
      </c>
      <c r="J80" s="20">
        <f t="shared" si="19"/>
        <v>0</v>
      </c>
      <c r="K80" s="18">
        <f>INDEX(Assumptions!$F$5:$H$9,MATCH($D80,Assumptions!$A$5:$A$9,0),MATCH($C80,Assumptions!$F$4:$H$4,0))</f>
        <v>25</v>
      </c>
      <c r="L80" s="21">
        <f t="shared" si="20"/>
        <v>186.7</v>
      </c>
      <c r="M80" s="19">
        <f>INDEX(Assumptions!$B$14:$B$16,MATCH($C80,Assumptions!$A$14:$A$16,0))</f>
        <v>0.18</v>
      </c>
      <c r="N80" s="20">
        <f t="shared" si="21"/>
        <v>227.68292682926827</v>
      </c>
      <c r="O80" s="19">
        <f>INDEX(Assumptions!$E$5:$E$9,MATCH($D80,Assumptions!$A$5:$A$9,0))</f>
        <v>0</v>
      </c>
      <c r="P80" s="22">
        <f>INDEX(Assumptions!$C$5:$C$9,MATCH($D80,Assumptions!$A$5:$A$9,0))</f>
        <v>1</v>
      </c>
      <c r="Q80" s="19">
        <f>INDEX(Assumptions!$D$14:$D$16,MATCH($C80,Assumptions!$A$14:$A$16,0))</f>
        <v>0.04</v>
      </c>
      <c r="R80" s="23">
        <f t="shared" si="22"/>
        <v>240</v>
      </c>
      <c r="S80" s="19">
        <f>INDEX(Assumptions!$C$14:$C$16,MATCH($C80,Assumptions!$A$14:$A$16,0))</f>
        <v>0.12</v>
      </c>
      <c r="T80" s="20">
        <f t="shared" si="23"/>
        <v>212.15909090909091</v>
      </c>
      <c r="U80" s="24">
        <f t="shared" si="24"/>
        <v>212.15909090909091</v>
      </c>
      <c r="V80" s="25">
        <f t="shared" si="25"/>
        <v>0.22208333333333338</v>
      </c>
      <c r="W80" s="5" t="str">
        <f t="shared" si="26"/>
        <v>M01|US</v>
      </c>
    </row>
    <row r="81" spans="1:23" x14ac:dyDescent="0.2">
      <c r="A81" s="5" t="s">
        <v>135</v>
      </c>
      <c r="B81" s="17" t="str">
        <f>INDEX(SKU_Master!$C$5:$C$34,MATCH($A81,SKU_Master!$A$5:$A$34,0))</f>
        <v>P2425H 24in FHD</v>
      </c>
      <c r="C81" s="17" t="str">
        <f>INDEX(SKU_Master!$D$5:$D$34,MATCH($A81,SKU_Master!$A$5:$A$34,0))</f>
        <v>Monitor</v>
      </c>
      <c r="D81" s="5" t="s">
        <v>64</v>
      </c>
      <c r="E81" s="17" t="str">
        <f>INDEX(Assumptions!$B$5:$B$9,MATCH($D81,Assumptions!$A$5:$A$9,0))</f>
        <v>GBP</v>
      </c>
      <c r="F81" s="18">
        <f>INDEX(SKU_Master!$G$5:$G$34,MATCH($A81,SKU_Master!$A$5:$A$34,0))</f>
        <v>165</v>
      </c>
      <c r="G81" s="19">
        <f>INDEX(SKU_Master!$H$5:$H$34,MATCH($A81,SKU_Master!$A$5:$A$34,0))</f>
        <v>0.02</v>
      </c>
      <c r="H81" s="20">
        <f t="shared" si="18"/>
        <v>161.69999999999999</v>
      </c>
      <c r="I81" s="19">
        <f>INDEX(Assumptions!$D$5:$D$9,MATCH($D81,Assumptions!$A$5:$A$9,0))</f>
        <v>0</v>
      </c>
      <c r="J81" s="20">
        <f t="shared" si="19"/>
        <v>0</v>
      </c>
      <c r="K81" s="18">
        <f>INDEX(Assumptions!$F$5:$H$9,MATCH($D81,Assumptions!$A$5:$A$9,0),MATCH($C81,Assumptions!$F$4:$H$4,0))</f>
        <v>55</v>
      </c>
      <c r="L81" s="21">
        <f t="shared" si="20"/>
        <v>216.7</v>
      </c>
      <c r="M81" s="19">
        <f>INDEX(Assumptions!$B$14:$B$16,MATCH($C81,Assumptions!$A$14:$A$16,0))</f>
        <v>0.18</v>
      </c>
      <c r="N81" s="20">
        <f t="shared" si="21"/>
        <v>264.26829268292681</v>
      </c>
      <c r="O81" s="19">
        <f>INDEX(Assumptions!$E$5:$E$9,MATCH($D81,Assumptions!$A$5:$A$9,0))</f>
        <v>0.02</v>
      </c>
      <c r="P81" s="22">
        <f>INDEX(Assumptions!$C$5:$C$9,MATCH($D81,Assumptions!$A$5:$A$9,0))</f>
        <v>0.79</v>
      </c>
      <c r="Q81" s="19">
        <f>INDEX(Assumptions!$D$14:$D$16,MATCH($C81,Assumptions!$A$14:$A$16,0))</f>
        <v>0.04</v>
      </c>
      <c r="R81" s="23">
        <f t="shared" si="22"/>
        <v>225</v>
      </c>
      <c r="S81" s="19">
        <f>INDEX(Assumptions!$C$14:$C$16,MATCH($C81,Assumptions!$A$14:$A$16,0))</f>
        <v>0.12</v>
      </c>
      <c r="T81" s="20">
        <f t="shared" si="23"/>
        <v>246.25</v>
      </c>
      <c r="U81" s="24">
        <f t="shared" si="24"/>
        <v>198.42825000000002</v>
      </c>
      <c r="V81" s="25">
        <f t="shared" si="25"/>
        <v>0.23914222222222228</v>
      </c>
      <c r="W81" s="5" t="str">
        <f t="shared" si="26"/>
        <v>M01|UK</v>
      </c>
    </row>
    <row r="82" spans="1:23" x14ac:dyDescent="0.2">
      <c r="A82" s="5" t="s">
        <v>135</v>
      </c>
      <c r="B82" s="17" t="str">
        <f>INDEX(SKU_Master!$C$5:$C$34,MATCH($A82,SKU_Master!$A$5:$A$34,0))</f>
        <v>P2425H 24in FHD</v>
      </c>
      <c r="C82" s="17" t="str">
        <f>INDEX(SKU_Master!$D$5:$D$34,MATCH($A82,SKU_Master!$A$5:$A$34,0))</f>
        <v>Monitor</v>
      </c>
      <c r="D82" s="5" t="s">
        <v>66</v>
      </c>
      <c r="E82" s="17" t="str">
        <f>INDEX(Assumptions!$B$5:$B$9,MATCH($D82,Assumptions!$A$5:$A$9,0))</f>
        <v>EUR</v>
      </c>
      <c r="F82" s="18">
        <f>INDEX(SKU_Master!$G$5:$G$34,MATCH($A82,SKU_Master!$A$5:$A$34,0))</f>
        <v>165</v>
      </c>
      <c r="G82" s="19">
        <f>INDEX(SKU_Master!$H$5:$H$34,MATCH($A82,SKU_Master!$A$5:$A$34,0))</f>
        <v>0.02</v>
      </c>
      <c r="H82" s="20">
        <f t="shared" si="18"/>
        <v>161.69999999999999</v>
      </c>
      <c r="I82" s="19">
        <f>INDEX(Assumptions!$D$5:$D$9,MATCH($D82,Assumptions!$A$5:$A$9,0))</f>
        <v>0</v>
      </c>
      <c r="J82" s="20">
        <f t="shared" si="19"/>
        <v>0</v>
      </c>
      <c r="K82" s="18">
        <f>INDEX(Assumptions!$F$5:$H$9,MATCH($D82,Assumptions!$A$5:$A$9,0),MATCH($C82,Assumptions!$F$4:$H$4,0))</f>
        <v>50</v>
      </c>
      <c r="L82" s="21">
        <f t="shared" si="20"/>
        <v>211.7</v>
      </c>
      <c r="M82" s="19">
        <f>INDEX(Assumptions!$B$14:$B$16,MATCH($C82,Assumptions!$A$14:$A$16,0))</f>
        <v>0.18</v>
      </c>
      <c r="N82" s="20">
        <f t="shared" si="21"/>
        <v>258.17073170731703</v>
      </c>
      <c r="O82" s="19">
        <f>INDEX(Assumptions!$E$5:$E$9,MATCH($D82,Assumptions!$A$5:$A$9,0))</f>
        <v>0.02</v>
      </c>
      <c r="P82" s="22">
        <f>INDEX(Assumptions!$C$5:$C$9,MATCH($D82,Assumptions!$A$5:$A$9,0))</f>
        <v>0.92</v>
      </c>
      <c r="Q82" s="19">
        <f>INDEX(Assumptions!$D$14:$D$16,MATCH($C82,Assumptions!$A$14:$A$16,0))</f>
        <v>0.04</v>
      </c>
      <c r="R82" s="23">
        <f t="shared" si="22"/>
        <v>255</v>
      </c>
      <c r="S82" s="19">
        <f>INDEX(Assumptions!$C$14:$C$16,MATCH($C82,Assumptions!$A$14:$A$16,0))</f>
        <v>0.12</v>
      </c>
      <c r="T82" s="20">
        <f t="shared" si="23"/>
        <v>240.56818181818181</v>
      </c>
      <c r="U82" s="24">
        <f t="shared" si="24"/>
        <v>225.74918181818182</v>
      </c>
      <c r="V82" s="25">
        <f t="shared" si="25"/>
        <v>0.23621960784313728</v>
      </c>
      <c r="W82" s="5" t="str">
        <f t="shared" si="26"/>
        <v>M01|DE</v>
      </c>
    </row>
    <row r="83" spans="1:23" x14ac:dyDescent="0.2">
      <c r="A83" s="5" t="s">
        <v>135</v>
      </c>
      <c r="B83" s="17" t="str">
        <f>INDEX(SKU_Master!$C$5:$C$34,MATCH($A83,SKU_Master!$A$5:$A$34,0))</f>
        <v>P2425H 24in FHD</v>
      </c>
      <c r="C83" s="17" t="str">
        <f>INDEX(SKU_Master!$D$5:$D$34,MATCH($A83,SKU_Master!$A$5:$A$34,0))</f>
        <v>Monitor</v>
      </c>
      <c r="D83" s="5" t="s">
        <v>68</v>
      </c>
      <c r="E83" s="17" t="str">
        <f>INDEX(Assumptions!$B$5:$B$9,MATCH($D83,Assumptions!$A$5:$A$9,0))</f>
        <v>CAD</v>
      </c>
      <c r="F83" s="18">
        <f>INDEX(SKU_Master!$G$5:$G$34,MATCH($A83,SKU_Master!$A$5:$A$34,0))</f>
        <v>165</v>
      </c>
      <c r="G83" s="19">
        <f>INDEX(SKU_Master!$H$5:$H$34,MATCH($A83,SKU_Master!$A$5:$A$34,0))</f>
        <v>0.02</v>
      </c>
      <c r="H83" s="20">
        <f t="shared" si="18"/>
        <v>161.69999999999999</v>
      </c>
      <c r="I83" s="19">
        <f>INDEX(Assumptions!$D$5:$D$9,MATCH($D83,Assumptions!$A$5:$A$9,0))</f>
        <v>0</v>
      </c>
      <c r="J83" s="20">
        <f t="shared" si="19"/>
        <v>0</v>
      </c>
      <c r="K83" s="18">
        <f>INDEX(Assumptions!$F$5:$H$9,MATCH($D83,Assumptions!$A$5:$A$9,0),MATCH($C83,Assumptions!$F$4:$H$4,0))</f>
        <v>40</v>
      </c>
      <c r="L83" s="21">
        <f t="shared" si="20"/>
        <v>201.7</v>
      </c>
      <c r="M83" s="19">
        <f>INDEX(Assumptions!$B$14:$B$16,MATCH($C83,Assumptions!$A$14:$A$16,0))</f>
        <v>0.18</v>
      </c>
      <c r="N83" s="20">
        <f t="shared" si="21"/>
        <v>245.97560975609753</v>
      </c>
      <c r="O83" s="19">
        <f>INDEX(Assumptions!$E$5:$E$9,MATCH($D83,Assumptions!$A$5:$A$9,0))</f>
        <v>0.02</v>
      </c>
      <c r="P83" s="22">
        <f>INDEX(Assumptions!$C$5:$C$9,MATCH($D83,Assumptions!$A$5:$A$9,0))</f>
        <v>1.37</v>
      </c>
      <c r="Q83" s="19">
        <f>INDEX(Assumptions!$D$14:$D$16,MATCH($C83,Assumptions!$A$14:$A$16,0))</f>
        <v>0.04</v>
      </c>
      <c r="R83" s="23">
        <f t="shared" si="22"/>
        <v>360</v>
      </c>
      <c r="S83" s="19">
        <f>INDEX(Assumptions!$C$14:$C$16,MATCH($C83,Assumptions!$A$14:$A$16,0))</f>
        <v>0.12</v>
      </c>
      <c r="T83" s="20">
        <f t="shared" si="23"/>
        <v>229.20454545454544</v>
      </c>
      <c r="U83" s="24">
        <f t="shared" si="24"/>
        <v>320.29043181818184</v>
      </c>
      <c r="V83" s="25">
        <f t="shared" si="25"/>
        <v>0.23241944444444437</v>
      </c>
      <c r="W83" s="5" t="str">
        <f t="shared" si="26"/>
        <v>M01|CA</v>
      </c>
    </row>
    <row r="84" spans="1:23" x14ac:dyDescent="0.2">
      <c r="A84" s="5" t="s">
        <v>135</v>
      </c>
      <c r="B84" s="17" t="str">
        <f>INDEX(SKU_Master!$C$5:$C$34,MATCH($A84,SKU_Master!$A$5:$A$34,0))</f>
        <v>P2425H 24in FHD</v>
      </c>
      <c r="C84" s="17" t="str">
        <f>INDEX(SKU_Master!$D$5:$D$34,MATCH($A84,SKU_Master!$A$5:$A$34,0))</f>
        <v>Monitor</v>
      </c>
      <c r="D84" s="5" t="s">
        <v>70</v>
      </c>
      <c r="E84" s="17" t="str">
        <f>INDEX(Assumptions!$B$5:$B$9,MATCH($D84,Assumptions!$A$5:$A$9,0))</f>
        <v>INR</v>
      </c>
      <c r="F84" s="18">
        <f>INDEX(SKU_Master!$G$5:$G$34,MATCH($A84,SKU_Master!$A$5:$A$34,0))</f>
        <v>165</v>
      </c>
      <c r="G84" s="19">
        <f>INDEX(SKU_Master!$H$5:$H$34,MATCH($A84,SKU_Master!$A$5:$A$34,0))</f>
        <v>0.02</v>
      </c>
      <c r="H84" s="20">
        <f t="shared" si="18"/>
        <v>161.69999999999999</v>
      </c>
      <c r="I84" s="19">
        <f>INDEX(Assumptions!$D$5:$D$9,MATCH($D84,Assumptions!$A$5:$A$9,0))</f>
        <v>0.11</v>
      </c>
      <c r="J84" s="20">
        <f t="shared" si="19"/>
        <v>17.786999999999999</v>
      </c>
      <c r="K84" s="18">
        <f>INDEX(Assumptions!$F$5:$H$9,MATCH($D84,Assumptions!$A$5:$A$9,0),MATCH($C84,Assumptions!$F$4:$H$4,0))</f>
        <v>70</v>
      </c>
      <c r="L84" s="21">
        <f t="shared" si="20"/>
        <v>249.48699999999999</v>
      </c>
      <c r="M84" s="19">
        <f>INDEX(Assumptions!$B$14:$B$16,MATCH($C84,Assumptions!$A$14:$A$16,0))</f>
        <v>0.18</v>
      </c>
      <c r="N84" s="20">
        <f t="shared" si="21"/>
        <v>304.25243902439024</v>
      </c>
      <c r="O84" s="19">
        <f>INDEX(Assumptions!$E$5:$E$9,MATCH($D84,Assumptions!$A$5:$A$9,0))</f>
        <v>0.02</v>
      </c>
      <c r="P84" s="22">
        <f>INDEX(Assumptions!$C$5:$C$9,MATCH($D84,Assumptions!$A$5:$A$9,0))</f>
        <v>83.5</v>
      </c>
      <c r="Q84" s="19">
        <f>INDEX(Assumptions!$D$14:$D$16,MATCH($C84,Assumptions!$A$14:$A$16,0))</f>
        <v>0.04</v>
      </c>
      <c r="R84" s="23">
        <f t="shared" si="22"/>
        <v>26950</v>
      </c>
      <c r="S84" s="19">
        <f>INDEX(Assumptions!$C$14:$C$16,MATCH($C84,Assumptions!$A$14:$A$16,0))</f>
        <v>0.12</v>
      </c>
      <c r="T84" s="20">
        <f t="shared" si="23"/>
        <v>283.50795454545454</v>
      </c>
      <c r="U84" s="24">
        <f t="shared" si="24"/>
        <v>24146.372488636367</v>
      </c>
      <c r="V84" s="25">
        <f t="shared" si="25"/>
        <v>0.22700688311688316</v>
      </c>
      <c r="W84" s="5" t="str">
        <f t="shared" si="26"/>
        <v>M01|IN</v>
      </c>
    </row>
    <row r="85" spans="1:23" x14ac:dyDescent="0.2">
      <c r="A85" s="5" t="s">
        <v>138</v>
      </c>
      <c r="B85" s="17" t="str">
        <f>INDEX(SKU_Master!$C$5:$C$34,MATCH($A85,SKU_Master!$A$5:$A$34,0))</f>
        <v>U2724D 27in QHD</v>
      </c>
      <c r="C85" s="17" t="str">
        <f>INDEX(SKU_Master!$D$5:$D$34,MATCH($A85,SKU_Master!$A$5:$A$34,0))</f>
        <v>Monitor</v>
      </c>
      <c r="D85" s="5" t="s">
        <v>62</v>
      </c>
      <c r="E85" s="17" t="str">
        <f>INDEX(Assumptions!$B$5:$B$9,MATCH($D85,Assumptions!$A$5:$A$9,0))</f>
        <v>USD</v>
      </c>
      <c r="F85" s="18">
        <f>INDEX(SKU_Master!$G$5:$G$34,MATCH($A85,SKU_Master!$A$5:$A$34,0))</f>
        <v>340</v>
      </c>
      <c r="G85" s="19">
        <f>INDEX(SKU_Master!$H$5:$H$34,MATCH($A85,SKU_Master!$A$5:$A$34,0))</f>
        <v>0.02</v>
      </c>
      <c r="H85" s="20">
        <f t="shared" si="18"/>
        <v>333.2</v>
      </c>
      <c r="I85" s="19">
        <f>INDEX(Assumptions!$D$5:$D$9,MATCH($D85,Assumptions!$A$5:$A$9,0))</f>
        <v>0</v>
      </c>
      <c r="J85" s="20">
        <f t="shared" si="19"/>
        <v>0</v>
      </c>
      <c r="K85" s="18">
        <f>INDEX(Assumptions!$F$5:$H$9,MATCH($D85,Assumptions!$A$5:$A$9,0),MATCH($C85,Assumptions!$F$4:$H$4,0))</f>
        <v>25</v>
      </c>
      <c r="L85" s="21">
        <f t="shared" si="20"/>
        <v>358.2</v>
      </c>
      <c r="M85" s="19">
        <f>INDEX(Assumptions!$B$14:$B$16,MATCH($C85,Assumptions!$A$14:$A$16,0))</f>
        <v>0.18</v>
      </c>
      <c r="N85" s="20">
        <f t="shared" si="21"/>
        <v>436.82926829268285</v>
      </c>
      <c r="O85" s="19">
        <f>INDEX(Assumptions!$E$5:$E$9,MATCH($D85,Assumptions!$A$5:$A$9,0))</f>
        <v>0</v>
      </c>
      <c r="P85" s="22">
        <f>INDEX(Assumptions!$C$5:$C$9,MATCH($D85,Assumptions!$A$5:$A$9,0))</f>
        <v>1</v>
      </c>
      <c r="Q85" s="19">
        <f>INDEX(Assumptions!$D$14:$D$16,MATCH($C85,Assumptions!$A$14:$A$16,0))</f>
        <v>0.04</v>
      </c>
      <c r="R85" s="23">
        <f t="shared" si="22"/>
        <v>455</v>
      </c>
      <c r="S85" s="19">
        <f>INDEX(Assumptions!$C$14:$C$16,MATCH($C85,Assumptions!$A$14:$A$16,0))</f>
        <v>0.12</v>
      </c>
      <c r="T85" s="20">
        <f t="shared" si="23"/>
        <v>407.0454545454545</v>
      </c>
      <c r="U85" s="24">
        <f t="shared" si="24"/>
        <v>407.0454545454545</v>
      </c>
      <c r="V85" s="25">
        <f t="shared" si="25"/>
        <v>0.21274725274725279</v>
      </c>
      <c r="W85" s="5" t="str">
        <f t="shared" si="26"/>
        <v>M02|US</v>
      </c>
    </row>
    <row r="86" spans="1:23" x14ac:dyDescent="0.2">
      <c r="A86" s="5" t="s">
        <v>138</v>
      </c>
      <c r="B86" s="17" t="str">
        <f>INDEX(SKU_Master!$C$5:$C$34,MATCH($A86,SKU_Master!$A$5:$A$34,0))</f>
        <v>U2724D 27in QHD</v>
      </c>
      <c r="C86" s="17" t="str">
        <f>INDEX(SKU_Master!$D$5:$D$34,MATCH($A86,SKU_Master!$A$5:$A$34,0))</f>
        <v>Monitor</v>
      </c>
      <c r="D86" s="5" t="s">
        <v>64</v>
      </c>
      <c r="E86" s="17" t="str">
        <f>INDEX(Assumptions!$B$5:$B$9,MATCH($D86,Assumptions!$A$5:$A$9,0))</f>
        <v>GBP</v>
      </c>
      <c r="F86" s="18">
        <f>INDEX(SKU_Master!$G$5:$G$34,MATCH($A86,SKU_Master!$A$5:$A$34,0))</f>
        <v>340</v>
      </c>
      <c r="G86" s="19">
        <f>INDEX(SKU_Master!$H$5:$H$34,MATCH($A86,SKU_Master!$A$5:$A$34,0))</f>
        <v>0.02</v>
      </c>
      <c r="H86" s="20">
        <f t="shared" si="18"/>
        <v>333.2</v>
      </c>
      <c r="I86" s="19">
        <f>INDEX(Assumptions!$D$5:$D$9,MATCH($D86,Assumptions!$A$5:$A$9,0))</f>
        <v>0</v>
      </c>
      <c r="J86" s="20">
        <f t="shared" si="19"/>
        <v>0</v>
      </c>
      <c r="K86" s="18">
        <f>INDEX(Assumptions!$F$5:$H$9,MATCH($D86,Assumptions!$A$5:$A$9,0),MATCH($C86,Assumptions!$F$4:$H$4,0))</f>
        <v>55</v>
      </c>
      <c r="L86" s="21">
        <f t="shared" si="20"/>
        <v>388.2</v>
      </c>
      <c r="M86" s="19">
        <f>INDEX(Assumptions!$B$14:$B$16,MATCH($C86,Assumptions!$A$14:$A$16,0))</f>
        <v>0.18</v>
      </c>
      <c r="N86" s="20">
        <f t="shared" si="21"/>
        <v>473.41463414634143</v>
      </c>
      <c r="O86" s="19">
        <f>INDEX(Assumptions!$E$5:$E$9,MATCH($D86,Assumptions!$A$5:$A$9,0))</f>
        <v>0.02</v>
      </c>
      <c r="P86" s="22">
        <f>INDEX(Assumptions!$C$5:$C$9,MATCH($D86,Assumptions!$A$5:$A$9,0))</f>
        <v>0.79</v>
      </c>
      <c r="Q86" s="19">
        <f>INDEX(Assumptions!$D$14:$D$16,MATCH($C86,Assumptions!$A$14:$A$16,0))</f>
        <v>0.04</v>
      </c>
      <c r="R86" s="23">
        <f t="shared" si="22"/>
        <v>400</v>
      </c>
      <c r="S86" s="19">
        <f>INDEX(Assumptions!$C$14:$C$16,MATCH($C86,Assumptions!$A$14:$A$16,0))</f>
        <v>0.12</v>
      </c>
      <c r="T86" s="20">
        <f t="shared" si="23"/>
        <v>441.13636363636363</v>
      </c>
      <c r="U86" s="24">
        <f t="shared" si="24"/>
        <v>355.4676818181818</v>
      </c>
      <c r="V86" s="25">
        <f t="shared" si="25"/>
        <v>0.23330499999999998</v>
      </c>
      <c r="W86" s="5" t="str">
        <f t="shared" si="26"/>
        <v>M02|UK</v>
      </c>
    </row>
    <row r="87" spans="1:23" x14ac:dyDescent="0.2">
      <c r="A87" s="5" t="s">
        <v>138</v>
      </c>
      <c r="B87" s="17" t="str">
        <f>INDEX(SKU_Master!$C$5:$C$34,MATCH($A87,SKU_Master!$A$5:$A$34,0))</f>
        <v>U2724D 27in QHD</v>
      </c>
      <c r="C87" s="17" t="str">
        <f>INDEX(SKU_Master!$D$5:$D$34,MATCH($A87,SKU_Master!$A$5:$A$34,0))</f>
        <v>Monitor</v>
      </c>
      <c r="D87" s="5" t="s">
        <v>66</v>
      </c>
      <c r="E87" s="17" t="str">
        <f>INDEX(Assumptions!$B$5:$B$9,MATCH($D87,Assumptions!$A$5:$A$9,0))</f>
        <v>EUR</v>
      </c>
      <c r="F87" s="18">
        <f>INDEX(SKU_Master!$G$5:$G$34,MATCH($A87,SKU_Master!$A$5:$A$34,0))</f>
        <v>340</v>
      </c>
      <c r="G87" s="19">
        <f>INDEX(SKU_Master!$H$5:$H$34,MATCH($A87,SKU_Master!$A$5:$A$34,0))</f>
        <v>0.02</v>
      </c>
      <c r="H87" s="20">
        <f t="shared" si="18"/>
        <v>333.2</v>
      </c>
      <c r="I87" s="19">
        <f>INDEX(Assumptions!$D$5:$D$9,MATCH($D87,Assumptions!$A$5:$A$9,0))</f>
        <v>0</v>
      </c>
      <c r="J87" s="20">
        <f t="shared" si="19"/>
        <v>0</v>
      </c>
      <c r="K87" s="18">
        <f>INDEX(Assumptions!$F$5:$H$9,MATCH($D87,Assumptions!$A$5:$A$9,0),MATCH($C87,Assumptions!$F$4:$H$4,0))</f>
        <v>50</v>
      </c>
      <c r="L87" s="21">
        <f t="shared" si="20"/>
        <v>383.2</v>
      </c>
      <c r="M87" s="19">
        <f>INDEX(Assumptions!$B$14:$B$16,MATCH($C87,Assumptions!$A$14:$A$16,0))</f>
        <v>0.18</v>
      </c>
      <c r="N87" s="20">
        <f t="shared" si="21"/>
        <v>467.31707317073165</v>
      </c>
      <c r="O87" s="19">
        <f>INDEX(Assumptions!$E$5:$E$9,MATCH($D87,Assumptions!$A$5:$A$9,0))</f>
        <v>0.02</v>
      </c>
      <c r="P87" s="22">
        <f>INDEX(Assumptions!$C$5:$C$9,MATCH($D87,Assumptions!$A$5:$A$9,0))</f>
        <v>0.92</v>
      </c>
      <c r="Q87" s="19">
        <f>INDEX(Assumptions!$D$14:$D$16,MATCH($C87,Assumptions!$A$14:$A$16,0))</f>
        <v>0.04</v>
      </c>
      <c r="R87" s="23">
        <f t="shared" si="22"/>
        <v>460</v>
      </c>
      <c r="S87" s="19">
        <f>INDEX(Assumptions!$C$14:$C$16,MATCH($C87,Assumptions!$A$14:$A$16,0))</f>
        <v>0.12</v>
      </c>
      <c r="T87" s="20">
        <f t="shared" si="23"/>
        <v>435.45454545454544</v>
      </c>
      <c r="U87" s="24">
        <f t="shared" si="24"/>
        <v>408.63054545454543</v>
      </c>
      <c r="V87" s="25">
        <f t="shared" si="25"/>
        <v>0.23360000000000003</v>
      </c>
      <c r="W87" s="5" t="str">
        <f t="shared" si="26"/>
        <v>M02|DE</v>
      </c>
    </row>
    <row r="88" spans="1:23" x14ac:dyDescent="0.2">
      <c r="A88" s="5" t="s">
        <v>138</v>
      </c>
      <c r="B88" s="17" t="str">
        <f>INDEX(SKU_Master!$C$5:$C$34,MATCH($A88,SKU_Master!$A$5:$A$34,0))</f>
        <v>U2724D 27in QHD</v>
      </c>
      <c r="C88" s="17" t="str">
        <f>INDEX(SKU_Master!$D$5:$D$34,MATCH($A88,SKU_Master!$A$5:$A$34,0))</f>
        <v>Monitor</v>
      </c>
      <c r="D88" s="5" t="s">
        <v>68</v>
      </c>
      <c r="E88" s="17" t="str">
        <f>INDEX(Assumptions!$B$5:$B$9,MATCH($D88,Assumptions!$A$5:$A$9,0))</f>
        <v>CAD</v>
      </c>
      <c r="F88" s="18">
        <f>INDEX(SKU_Master!$G$5:$G$34,MATCH($A88,SKU_Master!$A$5:$A$34,0))</f>
        <v>340</v>
      </c>
      <c r="G88" s="19">
        <f>INDEX(SKU_Master!$H$5:$H$34,MATCH($A88,SKU_Master!$A$5:$A$34,0))</f>
        <v>0.02</v>
      </c>
      <c r="H88" s="20">
        <f t="shared" si="18"/>
        <v>333.2</v>
      </c>
      <c r="I88" s="19">
        <f>INDEX(Assumptions!$D$5:$D$9,MATCH($D88,Assumptions!$A$5:$A$9,0))</f>
        <v>0</v>
      </c>
      <c r="J88" s="20">
        <f t="shared" si="19"/>
        <v>0</v>
      </c>
      <c r="K88" s="18">
        <f>INDEX(Assumptions!$F$5:$H$9,MATCH($D88,Assumptions!$A$5:$A$9,0),MATCH($C88,Assumptions!$F$4:$H$4,0))</f>
        <v>40</v>
      </c>
      <c r="L88" s="21">
        <f t="shared" si="20"/>
        <v>373.2</v>
      </c>
      <c r="M88" s="19">
        <f>INDEX(Assumptions!$B$14:$B$16,MATCH($C88,Assumptions!$A$14:$A$16,0))</f>
        <v>0.18</v>
      </c>
      <c r="N88" s="20">
        <f t="shared" si="21"/>
        <v>455.12195121951214</v>
      </c>
      <c r="O88" s="19">
        <f>INDEX(Assumptions!$E$5:$E$9,MATCH($D88,Assumptions!$A$5:$A$9,0))</f>
        <v>0.02</v>
      </c>
      <c r="P88" s="22">
        <f>INDEX(Assumptions!$C$5:$C$9,MATCH($D88,Assumptions!$A$5:$A$9,0))</f>
        <v>1.37</v>
      </c>
      <c r="Q88" s="19">
        <f>INDEX(Assumptions!$D$14:$D$16,MATCH($C88,Assumptions!$A$14:$A$16,0))</f>
        <v>0.04</v>
      </c>
      <c r="R88" s="23">
        <f t="shared" si="22"/>
        <v>665</v>
      </c>
      <c r="S88" s="19">
        <f>INDEX(Assumptions!$C$14:$C$16,MATCH($C88,Assumptions!$A$14:$A$16,0))</f>
        <v>0.12</v>
      </c>
      <c r="T88" s="20">
        <f t="shared" si="23"/>
        <v>424.09090909090907</v>
      </c>
      <c r="U88" s="24">
        <f t="shared" si="24"/>
        <v>592.62463636363634</v>
      </c>
      <c r="V88" s="25">
        <f t="shared" si="25"/>
        <v>0.23115187969924805</v>
      </c>
      <c r="W88" s="5" t="str">
        <f t="shared" si="26"/>
        <v>M02|CA</v>
      </c>
    </row>
    <row r="89" spans="1:23" x14ac:dyDescent="0.2">
      <c r="A89" s="5" t="s">
        <v>138</v>
      </c>
      <c r="B89" s="17" t="str">
        <f>INDEX(SKU_Master!$C$5:$C$34,MATCH($A89,SKU_Master!$A$5:$A$34,0))</f>
        <v>U2724D 27in QHD</v>
      </c>
      <c r="C89" s="17" t="str">
        <f>INDEX(SKU_Master!$D$5:$D$34,MATCH($A89,SKU_Master!$A$5:$A$34,0))</f>
        <v>Monitor</v>
      </c>
      <c r="D89" s="5" t="s">
        <v>70</v>
      </c>
      <c r="E89" s="17" t="str">
        <f>INDEX(Assumptions!$B$5:$B$9,MATCH($D89,Assumptions!$A$5:$A$9,0))</f>
        <v>INR</v>
      </c>
      <c r="F89" s="18">
        <f>INDEX(SKU_Master!$G$5:$G$34,MATCH($A89,SKU_Master!$A$5:$A$34,0))</f>
        <v>340</v>
      </c>
      <c r="G89" s="19">
        <f>INDEX(SKU_Master!$H$5:$H$34,MATCH($A89,SKU_Master!$A$5:$A$34,0))</f>
        <v>0.02</v>
      </c>
      <c r="H89" s="20">
        <f t="shared" si="18"/>
        <v>333.2</v>
      </c>
      <c r="I89" s="19">
        <f>INDEX(Assumptions!$D$5:$D$9,MATCH($D89,Assumptions!$A$5:$A$9,0))</f>
        <v>0.11</v>
      </c>
      <c r="J89" s="20">
        <f t="shared" si="19"/>
        <v>36.652000000000001</v>
      </c>
      <c r="K89" s="18">
        <f>INDEX(Assumptions!$F$5:$H$9,MATCH($D89,Assumptions!$A$5:$A$9,0),MATCH($C89,Assumptions!$F$4:$H$4,0))</f>
        <v>70</v>
      </c>
      <c r="L89" s="21">
        <f t="shared" si="20"/>
        <v>439.85199999999998</v>
      </c>
      <c r="M89" s="19">
        <f>INDEX(Assumptions!$B$14:$B$16,MATCH($C89,Assumptions!$A$14:$A$16,0))</f>
        <v>0.18</v>
      </c>
      <c r="N89" s="20">
        <f t="shared" si="21"/>
        <v>536.40487804878046</v>
      </c>
      <c r="O89" s="19">
        <f>INDEX(Assumptions!$E$5:$E$9,MATCH($D89,Assumptions!$A$5:$A$9,0))</f>
        <v>0.02</v>
      </c>
      <c r="P89" s="22">
        <f>INDEX(Assumptions!$C$5:$C$9,MATCH($D89,Assumptions!$A$5:$A$9,0))</f>
        <v>83.5</v>
      </c>
      <c r="Q89" s="19">
        <f>INDEX(Assumptions!$D$14:$D$16,MATCH($C89,Assumptions!$A$14:$A$16,0))</f>
        <v>0.04</v>
      </c>
      <c r="R89" s="23">
        <f t="shared" si="22"/>
        <v>47515</v>
      </c>
      <c r="S89" s="19">
        <f>INDEX(Assumptions!$C$14:$C$16,MATCH($C89,Assumptions!$A$14:$A$16,0))</f>
        <v>0.12</v>
      </c>
      <c r="T89" s="20">
        <f t="shared" si="23"/>
        <v>499.83181818181816</v>
      </c>
      <c r="U89" s="24">
        <f t="shared" si="24"/>
        <v>42570.675954545455</v>
      </c>
      <c r="V89" s="25">
        <f t="shared" si="25"/>
        <v>0.22703057981689997</v>
      </c>
      <c r="W89" s="5" t="str">
        <f t="shared" si="26"/>
        <v>M02|IN</v>
      </c>
    </row>
    <row r="90" spans="1:23" x14ac:dyDescent="0.2">
      <c r="A90" s="5" t="s">
        <v>141</v>
      </c>
      <c r="B90" s="17" t="str">
        <f>INDEX(SKU_Master!$C$5:$C$34,MATCH($A90,SKU_Master!$A$5:$A$34,0))</f>
        <v>27UP850-W 27in 4K</v>
      </c>
      <c r="C90" s="17" t="str">
        <f>INDEX(SKU_Master!$D$5:$D$34,MATCH($A90,SKU_Master!$A$5:$A$34,0))</f>
        <v>Monitor</v>
      </c>
      <c r="D90" s="5" t="s">
        <v>62</v>
      </c>
      <c r="E90" s="17" t="str">
        <f>INDEX(Assumptions!$B$5:$B$9,MATCH($D90,Assumptions!$A$5:$A$9,0))</f>
        <v>USD</v>
      </c>
      <c r="F90" s="18">
        <f>INDEX(SKU_Master!$G$5:$G$34,MATCH($A90,SKU_Master!$A$5:$A$34,0))</f>
        <v>330</v>
      </c>
      <c r="G90" s="19">
        <f>INDEX(SKU_Master!$H$5:$H$34,MATCH($A90,SKU_Master!$A$5:$A$34,0))</f>
        <v>0.01</v>
      </c>
      <c r="H90" s="20">
        <f t="shared" si="18"/>
        <v>326.7</v>
      </c>
      <c r="I90" s="19">
        <f>INDEX(Assumptions!$D$5:$D$9,MATCH($D90,Assumptions!$A$5:$A$9,0))</f>
        <v>0</v>
      </c>
      <c r="J90" s="20">
        <f t="shared" si="19"/>
        <v>0</v>
      </c>
      <c r="K90" s="18">
        <f>INDEX(Assumptions!$F$5:$H$9,MATCH($D90,Assumptions!$A$5:$A$9,0),MATCH($C90,Assumptions!$F$4:$H$4,0))</f>
        <v>25</v>
      </c>
      <c r="L90" s="21">
        <f t="shared" si="20"/>
        <v>351.7</v>
      </c>
      <c r="M90" s="19">
        <f>INDEX(Assumptions!$B$14:$B$16,MATCH($C90,Assumptions!$A$14:$A$16,0))</f>
        <v>0.18</v>
      </c>
      <c r="N90" s="20">
        <f t="shared" si="21"/>
        <v>428.90243902439022</v>
      </c>
      <c r="O90" s="19">
        <f>INDEX(Assumptions!$E$5:$E$9,MATCH($D90,Assumptions!$A$5:$A$9,0))</f>
        <v>0</v>
      </c>
      <c r="P90" s="22">
        <f>INDEX(Assumptions!$C$5:$C$9,MATCH($D90,Assumptions!$A$5:$A$9,0))</f>
        <v>1</v>
      </c>
      <c r="Q90" s="19">
        <f>INDEX(Assumptions!$D$14:$D$16,MATCH($C90,Assumptions!$A$14:$A$16,0))</f>
        <v>0.04</v>
      </c>
      <c r="R90" s="23">
        <f t="shared" si="22"/>
        <v>450</v>
      </c>
      <c r="S90" s="19">
        <f>INDEX(Assumptions!$C$14:$C$16,MATCH($C90,Assumptions!$A$14:$A$16,0))</f>
        <v>0.12</v>
      </c>
      <c r="T90" s="20">
        <f t="shared" si="23"/>
        <v>399.65909090909088</v>
      </c>
      <c r="U90" s="24">
        <f t="shared" si="24"/>
        <v>399.65909090909088</v>
      </c>
      <c r="V90" s="25">
        <f t="shared" si="25"/>
        <v>0.21844444444444447</v>
      </c>
      <c r="W90" s="5" t="str">
        <f t="shared" si="26"/>
        <v>M03|US</v>
      </c>
    </row>
    <row r="91" spans="1:23" x14ac:dyDescent="0.2">
      <c r="A91" s="5" t="s">
        <v>141</v>
      </c>
      <c r="B91" s="17" t="str">
        <f>INDEX(SKU_Master!$C$5:$C$34,MATCH($A91,SKU_Master!$A$5:$A$34,0))</f>
        <v>27UP850-W 27in 4K</v>
      </c>
      <c r="C91" s="17" t="str">
        <f>INDEX(SKU_Master!$D$5:$D$34,MATCH($A91,SKU_Master!$A$5:$A$34,0))</f>
        <v>Monitor</v>
      </c>
      <c r="D91" s="5" t="s">
        <v>64</v>
      </c>
      <c r="E91" s="17" t="str">
        <f>INDEX(Assumptions!$B$5:$B$9,MATCH($D91,Assumptions!$A$5:$A$9,0))</f>
        <v>GBP</v>
      </c>
      <c r="F91" s="18">
        <f>INDEX(SKU_Master!$G$5:$G$34,MATCH($A91,SKU_Master!$A$5:$A$34,0))</f>
        <v>330</v>
      </c>
      <c r="G91" s="19">
        <f>INDEX(SKU_Master!$H$5:$H$34,MATCH($A91,SKU_Master!$A$5:$A$34,0))</f>
        <v>0.01</v>
      </c>
      <c r="H91" s="20">
        <f t="shared" si="18"/>
        <v>326.7</v>
      </c>
      <c r="I91" s="19">
        <f>INDEX(Assumptions!$D$5:$D$9,MATCH($D91,Assumptions!$A$5:$A$9,0))</f>
        <v>0</v>
      </c>
      <c r="J91" s="20">
        <f t="shared" si="19"/>
        <v>0</v>
      </c>
      <c r="K91" s="18">
        <f>INDEX(Assumptions!$F$5:$H$9,MATCH($D91,Assumptions!$A$5:$A$9,0),MATCH($C91,Assumptions!$F$4:$H$4,0))</f>
        <v>55</v>
      </c>
      <c r="L91" s="21">
        <f t="shared" si="20"/>
        <v>381.7</v>
      </c>
      <c r="M91" s="19">
        <f>INDEX(Assumptions!$B$14:$B$16,MATCH($C91,Assumptions!$A$14:$A$16,0))</f>
        <v>0.18</v>
      </c>
      <c r="N91" s="20">
        <f t="shared" si="21"/>
        <v>465.48780487804873</v>
      </c>
      <c r="O91" s="19">
        <f>INDEX(Assumptions!$E$5:$E$9,MATCH($D91,Assumptions!$A$5:$A$9,0))</f>
        <v>0.02</v>
      </c>
      <c r="P91" s="22">
        <f>INDEX(Assumptions!$C$5:$C$9,MATCH($D91,Assumptions!$A$5:$A$9,0))</f>
        <v>0.79</v>
      </c>
      <c r="Q91" s="19">
        <f>INDEX(Assumptions!$D$14:$D$16,MATCH($C91,Assumptions!$A$14:$A$16,0))</f>
        <v>0.04</v>
      </c>
      <c r="R91" s="23">
        <f t="shared" si="22"/>
        <v>395</v>
      </c>
      <c r="S91" s="19">
        <f>INDEX(Assumptions!$C$14:$C$16,MATCH($C91,Assumptions!$A$14:$A$16,0))</f>
        <v>0.12</v>
      </c>
      <c r="T91" s="20">
        <f t="shared" si="23"/>
        <v>433.75</v>
      </c>
      <c r="U91" s="24">
        <f t="shared" si="24"/>
        <v>349.51575000000003</v>
      </c>
      <c r="V91" s="25">
        <f t="shared" si="25"/>
        <v>0.23660000000000003</v>
      </c>
      <c r="W91" s="5" t="str">
        <f t="shared" si="26"/>
        <v>M03|UK</v>
      </c>
    </row>
    <row r="92" spans="1:23" x14ac:dyDescent="0.2">
      <c r="A92" s="5" t="s">
        <v>141</v>
      </c>
      <c r="B92" s="17" t="str">
        <f>INDEX(SKU_Master!$C$5:$C$34,MATCH($A92,SKU_Master!$A$5:$A$34,0))</f>
        <v>27UP850-W 27in 4K</v>
      </c>
      <c r="C92" s="17" t="str">
        <f>INDEX(SKU_Master!$D$5:$D$34,MATCH($A92,SKU_Master!$A$5:$A$34,0))</f>
        <v>Monitor</v>
      </c>
      <c r="D92" s="5" t="s">
        <v>66</v>
      </c>
      <c r="E92" s="17" t="str">
        <f>INDEX(Assumptions!$B$5:$B$9,MATCH($D92,Assumptions!$A$5:$A$9,0))</f>
        <v>EUR</v>
      </c>
      <c r="F92" s="18">
        <f>INDEX(SKU_Master!$G$5:$G$34,MATCH($A92,SKU_Master!$A$5:$A$34,0))</f>
        <v>330</v>
      </c>
      <c r="G92" s="19">
        <f>INDEX(SKU_Master!$H$5:$H$34,MATCH($A92,SKU_Master!$A$5:$A$34,0))</f>
        <v>0.01</v>
      </c>
      <c r="H92" s="20">
        <f t="shared" si="18"/>
        <v>326.7</v>
      </c>
      <c r="I92" s="19">
        <f>INDEX(Assumptions!$D$5:$D$9,MATCH($D92,Assumptions!$A$5:$A$9,0))</f>
        <v>0</v>
      </c>
      <c r="J92" s="20">
        <f t="shared" si="19"/>
        <v>0</v>
      </c>
      <c r="K92" s="18">
        <f>INDEX(Assumptions!$F$5:$H$9,MATCH($D92,Assumptions!$A$5:$A$9,0),MATCH($C92,Assumptions!$F$4:$H$4,0))</f>
        <v>50</v>
      </c>
      <c r="L92" s="21">
        <f t="shared" si="20"/>
        <v>376.7</v>
      </c>
      <c r="M92" s="19">
        <f>INDEX(Assumptions!$B$14:$B$16,MATCH($C92,Assumptions!$A$14:$A$16,0))</f>
        <v>0.18</v>
      </c>
      <c r="N92" s="20">
        <f t="shared" si="21"/>
        <v>459.39024390243895</v>
      </c>
      <c r="O92" s="19">
        <f>INDEX(Assumptions!$E$5:$E$9,MATCH($D92,Assumptions!$A$5:$A$9,0))</f>
        <v>0.02</v>
      </c>
      <c r="P92" s="22">
        <f>INDEX(Assumptions!$C$5:$C$9,MATCH($D92,Assumptions!$A$5:$A$9,0))</f>
        <v>0.92</v>
      </c>
      <c r="Q92" s="19">
        <f>INDEX(Assumptions!$D$14:$D$16,MATCH($C92,Assumptions!$A$14:$A$16,0))</f>
        <v>0.04</v>
      </c>
      <c r="R92" s="23">
        <f t="shared" si="22"/>
        <v>450</v>
      </c>
      <c r="S92" s="19">
        <f>INDEX(Assumptions!$C$14:$C$16,MATCH($C92,Assumptions!$A$14:$A$16,0))</f>
        <v>0.12</v>
      </c>
      <c r="T92" s="20">
        <f t="shared" si="23"/>
        <v>428.06818181818181</v>
      </c>
      <c r="U92" s="24">
        <f t="shared" si="24"/>
        <v>401.69918181818184</v>
      </c>
      <c r="V92" s="25">
        <f t="shared" si="25"/>
        <v>0.2298577777777778</v>
      </c>
      <c r="W92" s="5" t="str">
        <f t="shared" si="26"/>
        <v>M03|DE</v>
      </c>
    </row>
    <row r="93" spans="1:23" x14ac:dyDescent="0.2">
      <c r="A93" s="5" t="s">
        <v>141</v>
      </c>
      <c r="B93" s="17" t="str">
        <f>INDEX(SKU_Master!$C$5:$C$34,MATCH($A93,SKU_Master!$A$5:$A$34,0))</f>
        <v>27UP850-W 27in 4K</v>
      </c>
      <c r="C93" s="17" t="str">
        <f>INDEX(SKU_Master!$D$5:$D$34,MATCH($A93,SKU_Master!$A$5:$A$34,0))</f>
        <v>Monitor</v>
      </c>
      <c r="D93" s="5" t="s">
        <v>68</v>
      </c>
      <c r="E93" s="17" t="str">
        <f>INDEX(Assumptions!$B$5:$B$9,MATCH($D93,Assumptions!$A$5:$A$9,0))</f>
        <v>CAD</v>
      </c>
      <c r="F93" s="18">
        <f>INDEX(SKU_Master!$G$5:$G$34,MATCH($A93,SKU_Master!$A$5:$A$34,0))</f>
        <v>330</v>
      </c>
      <c r="G93" s="19">
        <f>INDEX(SKU_Master!$H$5:$H$34,MATCH($A93,SKU_Master!$A$5:$A$34,0))</f>
        <v>0.01</v>
      </c>
      <c r="H93" s="20">
        <f t="shared" si="18"/>
        <v>326.7</v>
      </c>
      <c r="I93" s="19">
        <f>INDEX(Assumptions!$D$5:$D$9,MATCH($D93,Assumptions!$A$5:$A$9,0))</f>
        <v>0</v>
      </c>
      <c r="J93" s="20">
        <f t="shared" si="19"/>
        <v>0</v>
      </c>
      <c r="K93" s="18">
        <f>INDEX(Assumptions!$F$5:$H$9,MATCH($D93,Assumptions!$A$5:$A$9,0),MATCH($C93,Assumptions!$F$4:$H$4,0))</f>
        <v>40</v>
      </c>
      <c r="L93" s="21">
        <f t="shared" si="20"/>
        <v>366.7</v>
      </c>
      <c r="M93" s="19">
        <f>INDEX(Assumptions!$B$14:$B$16,MATCH($C93,Assumptions!$A$14:$A$16,0))</f>
        <v>0.18</v>
      </c>
      <c r="N93" s="20">
        <f t="shared" si="21"/>
        <v>447.19512195121945</v>
      </c>
      <c r="O93" s="19">
        <f>INDEX(Assumptions!$E$5:$E$9,MATCH($D93,Assumptions!$A$5:$A$9,0))</f>
        <v>0.02</v>
      </c>
      <c r="P93" s="22">
        <f>INDEX(Assumptions!$C$5:$C$9,MATCH($D93,Assumptions!$A$5:$A$9,0))</f>
        <v>1.37</v>
      </c>
      <c r="Q93" s="19">
        <f>INDEX(Assumptions!$D$14:$D$16,MATCH($C93,Assumptions!$A$14:$A$16,0))</f>
        <v>0.04</v>
      </c>
      <c r="R93" s="23">
        <f t="shared" si="22"/>
        <v>650</v>
      </c>
      <c r="S93" s="19">
        <f>INDEX(Assumptions!$C$14:$C$16,MATCH($C93,Assumptions!$A$14:$A$16,0))</f>
        <v>0.12</v>
      </c>
      <c r="T93" s="20">
        <f t="shared" si="23"/>
        <v>416.70454545454544</v>
      </c>
      <c r="U93" s="24">
        <f t="shared" si="24"/>
        <v>582.30293181818183</v>
      </c>
      <c r="V93" s="25">
        <f t="shared" si="25"/>
        <v>0.22710923076923073</v>
      </c>
      <c r="W93" s="5" t="str">
        <f t="shared" si="26"/>
        <v>M03|CA</v>
      </c>
    </row>
    <row r="94" spans="1:23" x14ac:dyDescent="0.2">
      <c r="A94" s="5" t="s">
        <v>141</v>
      </c>
      <c r="B94" s="17" t="str">
        <f>INDEX(SKU_Master!$C$5:$C$34,MATCH($A94,SKU_Master!$A$5:$A$34,0))</f>
        <v>27UP850-W 27in 4K</v>
      </c>
      <c r="C94" s="17" t="str">
        <f>INDEX(SKU_Master!$D$5:$D$34,MATCH($A94,SKU_Master!$A$5:$A$34,0))</f>
        <v>Monitor</v>
      </c>
      <c r="D94" s="5" t="s">
        <v>70</v>
      </c>
      <c r="E94" s="17" t="str">
        <f>INDEX(Assumptions!$B$5:$B$9,MATCH($D94,Assumptions!$A$5:$A$9,0))</f>
        <v>INR</v>
      </c>
      <c r="F94" s="18">
        <f>INDEX(SKU_Master!$G$5:$G$34,MATCH($A94,SKU_Master!$A$5:$A$34,0))</f>
        <v>330</v>
      </c>
      <c r="G94" s="19">
        <f>INDEX(SKU_Master!$H$5:$H$34,MATCH($A94,SKU_Master!$A$5:$A$34,0))</f>
        <v>0.01</v>
      </c>
      <c r="H94" s="20">
        <f t="shared" si="18"/>
        <v>326.7</v>
      </c>
      <c r="I94" s="19">
        <f>INDEX(Assumptions!$D$5:$D$9,MATCH($D94,Assumptions!$A$5:$A$9,0))</f>
        <v>0.11</v>
      </c>
      <c r="J94" s="20">
        <f t="shared" si="19"/>
        <v>35.936999999999998</v>
      </c>
      <c r="K94" s="18">
        <f>INDEX(Assumptions!$F$5:$H$9,MATCH($D94,Assumptions!$A$5:$A$9,0),MATCH($C94,Assumptions!$F$4:$H$4,0))</f>
        <v>70</v>
      </c>
      <c r="L94" s="21">
        <f t="shared" si="20"/>
        <v>432.637</v>
      </c>
      <c r="M94" s="19">
        <f>INDEX(Assumptions!$B$14:$B$16,MATCH($C94,Assumptions!$A$14:$A$16,0))</f>
        <v>0.18</v>
      </c>
      <c r="N94" s="20">
        <f t="shared" si="21"/>
        <v>527.60609756097563</v>
      </c>
      <c r="O94" s="19">
        <f>INDEX(Assumptions!$E$5:$E$9,MATCH($D94,Assumptions!$A$5:$A$9,0))</f>
        <v>0.02</v>
      </c>
      <c r="P94" s="22">
        <f>INDEX(Assumptions!$C$5:$C$9,MATCH($D94,Assumptions!$A$5:$A$9,0))</f>
        <v>83.5</v>
      </c>
      <c r="Q94" s="19">
        <f>INDEX(Assumptions!$D$14:$D$16,MATCH($C94,Assumptions!$A$14:$A$16,0))</f>
        <v>0.04</v>
      </c>
      <c r="R94" s="23">
        <f t="shared" si="22"/>
        <v>46735</v>
      </c>
      <c r="S94" s="19">
        <f>INDEX(Assumptions!$C$14:$C$16,MATCH($C94,Assumptions!$A$14:$A$16,0))</f>
        <v>0.12</v>
      </c>
      <c r="T94" s="20">
        <f t="shared" si="23"/>
        <v>491.63295454545454</v>
      </c>
      <c r="U94" s="24">
        <f t="shared" si="24"/>
        <v>41872.378738636362</v>
      </c>
      <c r="V94" s="25">
        <f t="shared" si="25"/>
        <v>0.22702065903498453</v>
      </c>
      <c r="W94" s="5" t="str">
        <f t="shared" si="26"/>
        <v>M03|IN</v>
      </c>
    </row>
    <row r="95" spans="1:23" x14ac:dyDescent="0.2">
      <c r="A95" s="5" t="s">
        <v>144</v>
      </c>
      <c r="B95" s="17" t="str">
        <f>INDEX(SKU_Master!$C$5:$C$34,MATCH($A95,SKU_Master!$A$5:$A$34,0))</f>
        <v>ThinkVision T27h-30 27in QHD</v>
      </c>
      <c r="C95" s="17" t="str">
        <f>INDEX(SKU_Master!$D$5:$D$34,MATCH($A95,SKU_Master!$A$5:$A$34,0))</f>
        <v>Monitor</v>
      </c>
      <c r="D95" s="5" t="s">
        <v>62</v>
      </c>
      <c r="E95" s="17" t="str">
        <f>INDEX(Assumptions!$B$5:$B$9,MATCH($D95,Assumptions!$A$5:$A$9,0))</f>
        <v>USD</v>
      </c>
      <c r="F95" s="18">
        <f>INDEX(SKU_Master!$G$5:$G$34,MATCH($A95,SKU_Master!$A$5:$A$34,0))</f>
        <v>270</v>
      </c>
      <c r="G95" s="19">
        <f>INDEX(SKU_Master!$H$5:$H$34,MATCH($A95,SKU_Master!$A$5:$A$34,0))</f>
        <v>0.02</v>
      </c>
      <c r="H95" s="20">
        <f t="shared" si="18"/>
        <v>264.60000000000002</v>
      </c>
      <c r="I95" s="19">
        <f>INDEX(Assumptions!$D$5:$D$9,MATCH($D95,Assumptions!$A$5:$A$9,0))</f>
        <v>0</v>
      </c>
      <c r="J95" s="20">
        <f t="shared" si="19"/>
        <v>0</v>
      </c>
      <c r="K95" s="18">
        <f>INDEX(Assumptions!$F$5:$H$9,MATCH($D95,Assumptions!$A$5:$A$9,0),MATCH($C95,Assumptions!$F$4:$H$4,0))</f>
        <v>25</v>
      </c>
      <c r="L95" s="21">
        <f t="shared" si="20"/>
        <v>289.60000000000002</v>
      </c>
      <c r="M95" s="19">
        <f>INDEX(Assumptions!$B$14:$B$16,MATCH($C95,Assumptions!$A$14:$A$16,0))</f>
        <v>0.18</v>
      </c>
      <c r="N95" s="20">
        <f t="shared" si="21"/>
        <v>353.17073170731709</v>
      </c>
      <c r="O95" s="19">
        <f>INDEX(Assumptions!$E$5:$E$9,MATCH($D95,Assumptions!$A$5:$A$9,0))</f>
        <v>0</v>
      </c>
      <c r="P95" s="22">
        <f>INDEX(Assumptions!$C$5:$C$9,MATCH($D95,Assumptions!$A$5:$A$9,0))</f>
        <v>1</v>
      </c>
      <c r="Q95" s="19">
        <f>INDEX(Assumptions!$D$14:$D$16,MATCH($C95,Assumptions!$A$14:$A$16,0))</f>
        <v>0.04</v>
      </c>
      <c r="R95" s="23">
        <f t="shared" si="22"/>
        <v>370</v>
      </c>
      <c r="S95" s="19">
        <f>INDEX(Assumptions!$C$14:$C$16,MATCH($C95,Assumptions!$A$14:$A$16,0))</f>
        <v>0.12</v>
      </c>
      <c r="T95" s="20">
        <f t="shared" si="23"/>
        <v>329.09090909090912</v>
      </c>
      <c r="U95" s="24">
        <f t="shared" si="24"/>
        <v>329.09090909090912</v>
      </c>
      <c r="V95" s="25">
        <f t="shared" si="25"/>
        <v>0.21729729729729724</v>
      </c>
      <c r="W95" s="5" t="str">
        <f t="shared" si="26"/>
        <v>M04|US</v>
      </c>
    </row>
    <row r="96" spans="1:23" x14ac:dyDescent="0.2">
      <c r="A96" s="5" t="s">
        <v>144</v>
      </c>
      <c r="B96" s="17" t="str">
        <f>INDEX(SKU_Master!$C$5:$C$34,MATCH($A96,SKU_Master!$A$5:$A$34,0))</f>
        <v>ThinkVision T27h-30 27in QHD</v>
      </c>
      <c r="C96" s="17" t="str">
        <f>INDEX(SKU_Master!$D$5:$D$34,MATCH($A96,SKU_Master!$A$5:$A$34,0))</f>
        <v>Monitor</v>
      </c>
      <c r="D96" s="5" t="s">
        <v>64</v>
      </c>
      <c r="E96" s="17" t="str">
        <f>INDEX(Assumptions!$B$5:$B$9,MATCH($D96,Assumptions!$A$5:$A$9,0))</f>
        <v>GBP</v>
      </c>
      <c r="F96" s="18">
        <f>INDEX(SKU_Master!$G$5:$G$34,MATCH($A96,SKU_Master!$A$5:$A$34,0))</f>
        <v>270</v>
      </c>
      <c r="G96" s="19">
        <f>INDEX(SKU_Master!$H$5:$H$34,MATCH($A96,SKU_Master!$A$5:$A$34,0))</f>
        <v>0.02</v>
      </c>
      <c r="H96" s="20">
        <f t="shared" si="18"/>
        <v>264.60000000000002</v>
      </c>
      <c r="I96" s="19">
        <f>INDEX(Assumptions!$D$5:$D$9,MATCH($D96,Assumptions!$A$5:$A$9,0))</f>
        <v>0</v>
      </c>
      <c r="J96" s="20">
        <f t="shared" si="19"/>
        <v>0</v>
      </c>
      <c r="K96" s="18">
        <f>INDEX(Assumptions!$F$5:$H$9,MATCH($D96,Assumptions!$A$5:$A$9,0),MATCH($C96,Assumptions!$F$4:$H$4,0))</f>
        <v>55</v>
      </c>
      <c r="L96" s="21">
        <f t="shared" si="20"/>
        <v>319.60000000000002</v>
      </c>
      <c r="M96" s="19">
        <f>INDEX(Assumptions!$B$14:$B$16,MATCH($C96,Assumptions!$A$14:$A$16,0))</f>
        <v>0.18</v>
      </c>
      <c r="N96" s="20">
        <f t="shared" si="21"/>
        <v>389.7560975609756</v>
      </c>
      <c r="O96" s="19">
        <f>INDEX(Assumptions!$E$5:$E$9,MATCH($D96,Assumptions!$A$5:$A$9,0))</f>
        <v>0.02</v>
      </c>
      <c r="P96" s="22">
        <f>INDEX(Assumptions!$C$5:$C$9,MATCH($D96,Assumptions!$A$5:$A$9,0))</f>
        <v>0.79</v>
      </c>
      <c r="Q96" s="19">
        <f>INDEX(Assumptions!$D$14:$D$16,MATCH($C96,Assumptions!$A$14:$A$16,0))</f>
        <v>0.04</v>
      </c>
      <c r="R96" s="23">
        <f t="shared" si="22"/>
        <v>330</v>
      </c>
      <c r="S96" s="19">
        <f>INDEX(Assumptions!$C$14:$C$16,MATCH($C96,Assumptions!$A$14:$A$16,0))</f>
        <v>0.12</v>
      </c>
      <c r="T96" s="20">
        <f t="shared" si="23"/>
        <v>363.18181818181819</v>
      </c>
      <c r="U96" s="24">
        <f t="shared" si="24"/>
        <v>292.6519090909091</v>
      </c>
      <c r="V96" s="25">
        <f t="shared" si="25"/>
        <v>0.23489696969696963</v>
      </c>
      <c r="W96" s="5" t="str">
        <f t="shared" si="26"/>
        <v>M04|UK</v>
      </c>
    </row>
    <row r="97" spans="1:23" x14ac:dyDescent="0.2">
      <c r="A97" s="5" t="s">
        <v>144</v>
      </c>
      <c r="B97" s="17" t="str">
        <f>INDEX(SKU_Master!$C$5:$C$34,MATCH($A97,SKU_Master!$A$5:$A$34,0))</f>
        <v>ThinkVision T27h-30 27in QHD</v>
      </c>
      <c r="C97" s="17" t="str">
        <f>INDEX(SKU_Master!$D$5:$D$34,MATCH($A97,SKU_Master!$A$5:$A$34,0))</f>
        <v>Monitor</v>
      </c>
      <c r="D97" s="5" t="s">
        <v>66</v>
      </c>
      <c r="E97" s="17" t="str">
        <f>INDEX(Assumptions!$B$5:$B$9,MATCH($D97,Assumptions!$A$5:$A$9,0))</f>
        <v>EUR</v>
      </c>
      <c r="F97" s="18">
        <f>INDEX(SKU_Master!$G$5:$G$34,MATCH($A97,SKU_Master!$A$5:$A$34,0))</f>
        <v>270</v>
      </c>
      <c r="G97" s="19">
        <f>INDEX(SKU_Master!$H$5:$H$34,MATCH($A97,SKU_Master!$A$5:$A$34,0))</f>
        <v>0.02</v>
      </c>
      <c r="H97" s="20">
        <f t="shared" si="18"/>
        <v>264.60000000000002</v>
      </c>
      <c r="I97" s="19">
        <f>INDEX(Assumptions!$D$5:$D$9,MATCH($D97,Assumptions!$A$5:$A$9,0))</f>
        <v>0</v>
      </c>
      <c r="J97" s="20">
        <f t="shared" si="19"/>
        <v>0</v>
      </c>
      <c r="K97" s="18">
        <f>INDEX(Assumptions!$F$5:$H$9,MATCH($D97,Assumptions!$A$5:$A$9,0),MATCH($C97,Assumptions!$F$4:$H$4,0))</f>
        <v>50</v>
      </c>
      <c r="L97" s="21">
        <f t="shared" si="20"/>
        <v>314.60000000000002</v>
      </c>
      <c r="M97" s="19">
        <f>INDEX(Assumptions!$B$14:$B$16,MATCH($C97,Assumptions!$A$14:$A$16,0))</f>
        <v>0.18</v>
      </c>
      <c r="N97" s="20">
        <f t="shared" si="21"/>
        <v>383.65853658536588</v>
      </c>
      <c r="O97" s="19">
        <f>INDEX(Assumptions!$E$5:$E$9,MATCH($D97,Assumptions!$A$5:$A$9,0))</f>
        <v>0.02</v>
      </c>
      <c r="P97" s="22">
        <f>INDEX(Assumptions!$C$5:$C$9,MATCH($D97,Assumptions!$A$5:$A$9,0))</f>
        <v>0.92</v>
      </c>
      <c r="Q97" s="19">
        <f>INDEX(Assumptions!$D$14:$D$16,MATCH($C97,Assumptions!$A$14:$A$16,0))</f>
        <v>0.04</v>
      </c>
      <c r="R97" s="23">
        <f t="shared" si="22"/>
        <v>375</v>
      </c>
      <c r="S97" s="19">
        <f>INDEX(Assumptions!$C$14:$C$16,MATCH($C97,Assumptions!$A$14:$A$16,0))</f>
        <v>0.12</v>
      </c>
      <c r="T97" s="20">
        <f t="shared" si="23"/>
        <v>357.5</v>
      </c>
      <c r="U97" s="24">
        <f t="shared" si="24"/>
        <v>335.47800000000007</v>
      </c>
      <c r="V97" s="25">
        <f t="shared" si="25"/>
        <v>0.22818133333333321</v>
      </c>
      <c r="W97" s="5" t="str">
        <f t="shared" si="26"/>
        <v>M04|DE</v>
      </c>
    </row>
    <row r="98" spans="1:23" x14ac:dyDescent="0.2">
      <c r="A98" s="5" t="s">
        <v>144</v>
      </c>
      <c r="B98" s="17" t="str">
        <f>INDEX(SKU_Master!$C$5:$C$34,MATCH($A98,SKU_Master!$A$5:$A$34,0))</f>
        <v>ThinkVision T27h-30 27in QHD</v>
      </c>
      <c r="C98" s="17" t="str">
        <f>INDEX(SKU_Master!$D$5:$D$34,MATCH($A98,SKU_Master!$A$5:$A$34,0))</f>
        <v>Monitor</v>
      </c>
      <c r="D98" s="5" t="s">
        <v>68</v>
      </c>
      <c r="E98" s="17" t="str">
        <f>INDEX(Assumptions!$B$5:$B$9,MATCH($D98,Assumptions!$A$5:$A$9,0))</f>
        <v>CAD</v>
      </c>
      <c r="F98" s="18">
        <f>INDEX(SKU_Master!$G$5:$G$34,MATCH($A98,SKU_Master!$A$5:$A$34,0))</f>
        <v>270</v>
      </c>
      <c r="G98" s="19">
        <f>INDEX(SKU_Master!$H$5:$H$34,MATCH($A98,SKU_Master!$A$5:$A$34,0))</f>
        <v>0.02</v>
      </c>
      <c r="H98" s="20">
        <f t="shared" si="18"/>
        <v>264.60000000000002</v>
      </c>
      <c r="I98" s="19">
        <f>INDEX(Assumptions!$D$5:$D$9,MATCH($D98,Assumptions!$A$5:$A$9,0))</f>
        <v>0</v>
      </c>
      <c r="J98" s="20">
        <f t="shared" si="19"/>
        <v>0</v>
      </c>
      <c r="K98" s="18">
        <f>INDEX(Assumptions!$F$5:$H$9,MATCH($D98,Assumptions!$A$5:$A$9,0),MATCH($C98,Assumptions!$F$4:$H$4,0))</f>
        <v>40</v>
      </c>
      <c r="L98" s="21">
        <f t="shared" si="20"/>
        <v>304.60000000000002</v>
      </c>
      <c r="M98" s="19">
        <f>INDEX(Assumptions!$B$14:$B$16,MATCH($C98,Assumptions!$A$14:$A$16,0))</f>
        <v>0.18</v>
      </c>
      <c r="N98" s="20">
        <f t="shared" si="21"/>
        <v>371.46341463414632</v>
      </c>
      <c r="O98" s="19">
        <f>INDEX(Assumptions!$E$5:$E$9,MATCH($D98,Assumptions!$A$5:$A$9,0))</f>
        <v>0.02</v>
      </c>
      <c r="P98" s="22">
        <f>INDEX(Assumptions!$C$5:$C$9,MATCH($D98,Assumptions!$A$5:$A$9,0))</f>
        <v>1.37</v>
      </c>
      <c r="Q98" s="19">
        <f>INDEX(Assumptions!$D$14:$D$16,MATCH($C98,Assumptions!$A$14:$A$16,0))</f>
        <v>0.04</v>
      </c>
      <c r="R98" s="23">
        <f t="shared" si="22"/>
        <v>540</v>
      </c>
      <c r="S98" s="19">
        <f>INDEX(Assumptions!$C$14:$C$16,MATCH($C98,Assumptions!$A$14:$A$16,0))</f>
        <v>0.12</v>
      </c>
      <c r="T98" s="20">
        <f t="shared" si="23"/>
        <v>346.13636363636368</v>
      </c>
      <c r="U98" s="24">
        <f t="shared" si="24"/>
        <v>483.69095454545464</v>
      </c>
      <c r="V98" s="25">
        <f t="shared" si="25"/>
        <v>0.2272185185185184</v>
      </c>
      <c r="W98" s="5" t="str">
        <f t="shared" si="26"/>
        <v>M04|CA</v>
      </c>
    </row>
    <row r="99" spans="1:23" x14ac:dyDescent="0.2">
      <c r="A99" s="5" t="s">
        <v>144</v>
      </c>
      <c r="B99" s="17" t="str">
        <f>INDEX(SKU_Master!$C$5:$C$34,MATCH($A99,SKU_Master!$A$5:$A$34,0))</f>
        <v>ThinkVision T27h-30 27in QHD</v>
      </c>
      <c r="C99" s="17" t="str">
        <f>INDEX(SKU_Master!$D$5:$D$34,MATCH($A99,SKU_Master!$A$5:$A$34,0))</f>
        <v>Monitor</v>
      </c>
      <c r="D99" s="5" t="s">
        <v>70</v>
      </c>
      <c r="E99" s="17" t="str">
        <f>INDEX(Assumptions!$B$5:$B$9,MATCH($D99,Assumptions!$A$5:$A$9,0))</f>
        <v>INR</v>
      </c>
      <c r="F99" s="18">
        <f>INDEX(SKU_Master!$G$5:$G$34,MATCH($A99,SKU_Master!$A$5:$A$34,0))</f>
        <v>270</v>
      </c>
      <c r="G99" s="19">
        <f>INDEX(SKU_Master!$H$5:$H$34,MATCH($A99,SKU_Master!$A$5:$A$34,0))</f>
        <v>0.02</v>
      </c>
      <c r="H99" s="20">
        <f t="shared" si="18"/>
        <v>264.60000000000002</v>
      </c>
      <c r="I99" s="19">
        <f>INDEX(Assumptions!$D$5:$D$9,MATCH($D99,Assumptions!$A$5:$A$9,0))</f>
        <v>0.11</v>
      </c>
      <c r="J99" s="20">
        <f t="shared" si="19"/>
        <v>29.106000000000002</v>
      </c>
      <c r="K99" s="18">
        <f>INDEX(Assumptions!$F$5:$H$9,MATCH($D99,Assumptions!$A$5:$A$9,0),MATCH($C99,Assumptions!$F$4:$H$4,0))</f>
        <v>70</v>
      </c>
      <c r="L99" s="21">
        <f t="shared" si="20"/>
        <v>363.70600000000002</v>
      </c>
      <c r="M99" s="19">
        <f>INDEX(Assumptions!$B$14:$B$16,MATCH($C99,Assumptions!$A$14:$A$16,0))</f>
        <v>0.18</v>
      </c>
      <c r="N99" s="20">
        <f t="shared" si="21"/>
        <v>443.54390243902435</v>
      </c>
      <c r="O99" s="19">
        <f>INDEX(Assumptions!$E$5:$E$9,MATCH($D99,Assumptions!$A$5:$A$9,0))</f>
        <v>0.02</v>
      </c>
      <c r="P99" s="22">
        <f>INDEX(Assumptions!$C$5:$C$9,MATCH($D99,Assumptions!$A$5:$A$9,0))</f>
        <v>83.5</v>
      </c>
      <c r="Q99" s="19">
        <f>INDEX(Assumptions!$D$14:$D$16,MATCH($C99,Assumptions!$A$14:$A$16,0))</f>
        <v>0.04</v>
      </c>
      <c r="R99" s="23">
        <f t="shared" si="22"/>
        <v>39290</v>
      </c>
      <c r="S99" s="19">
        <f>INDEX(Assumptions!$C$14:$C$16,MATCH($C99,Assumptions!$A$14:$A$16,0))</f>
        <v>0.12</v>
      </c>
      <c r="T99" s="20">
        <f t="shared" si="23"/>
        <v>413.30227272727274</v>
      </c>
      <c r="U99" s="24">
        <f t="shared" si="24"/>
        <v>35200.95456818182</v>
      </c>
      <c r="V99" s="25">
        <f t="shared" si="25"/>
        <v>0.22704375159073553</v>
      </c>
      <c r="W99" s="5" t="str">
        <f t="shared" si="26"/>
        <v>M04|IN</v>
      </c>
    </row>
    <row r="100" spans="1:23" x14ac:dyDescent="0.2">
      <c r="A100" s="5" t="s">
        <v>146</v>
      </c>
      <c r="B100" s="17" t="str">
        <f>INDEX(SKU_Master!$C$5:$C$34,MATCH($A100,SKU_Master!$A$5:$A$34,0))</f>
        <v>E24 G5 24in FHD</v>
      </c>
      <c r="C100" s="17" t="str">
        <f>INDEX(SKU_Master!$D$5:$D$34,MATCH($A100,SKU_Master!$A$5:$A$34,0))</f>
        <v>Monitor</v>
      </c>
      <c r="D100" s="5" t="s">
        <v>62</v>
      </c>
      <c r="E100" s="17" t="str">
        <f>INDEX(Assumptions!$B$5:$B$9,MATCH($D100,Assumptions!$A$5:$A$9,0))</f>
        <v>USD</v>
      </c>
      <c r="F100" s="18">
        <f>INDEX(SKU_Master!$G$5:$G$34,MATCH($A100,SKU_Master!$A$5:$A$34,0))</f>
        <v>160</v>
      </c>
      <c r="G100" s="19">
        <f>INDEX(SKU_Master!$H$5:$H$34,MATCH($A100,SKU_Master!$A$5:$A$34,0))</f>
        <v>0.02</v>
      </c>
      <c r="H100" s="20">
        <f t="shared" si="18"/>
        <v>156.80000000000001</v>
      </c>
      <c r="I100" s="19">
        <f>INDEX(Assumptions!$D$5:$D$9,MATCH($D100,Assumptions!$A$5:$A$9,0))</f>
        <v>0</v>
      </c>
      <c r="J100" s="20">
        <f t="shared" si="19"/>
        <v>0</v>
      </c>
      <c r="K100" s="18">
        <f>INDEX(Assumptions!$F$5:$H$9,MATCH($D100,Assumptions!$A$5:$A$9,0),MATCH($C100,Assumptions!$F$4:$H$4,0))</f>
        <v>25</v>
      </c>
      <c r="L100" s="21">
        <f t="shared" si="20"/>
        <v>181.8</v>
      </c>
      <c r="M100" s="19">
        <f>INDEX(Assumptions!$B$14:$B$16,MATCH($C100,Assumptions!$A$14:$A$16,0))</f>
        <v>0.18</v>
      </c>
      <c r="N100" s="20">
        <f t="shared" si="21"/>
        <v>221.70731707317074</v>
      </c>
      <c r="O100" s="19">
        <f>INDEX(Assumptions!$E$5:$E$9,MATCH($D100,Assumptions!$A$5:$A$9,0))</f>
        <v>0</v>
      </c>
      <c r="P100" s="22">
        <f>INDEX(Assumptions!$C$5:$C$9,MATCH($D100,Assumptions!$A$5:$A$9,0))</f>
        <v>1</v>
      </c>
      <c r="Q100" s="19">
        <f>INDEX(Assumptions!$D$14:$D$16,MATCH($C100,Assumptions!$A$14:$A$16,0))</f>
        <v>0.04</v>
      </c>
      <c r="R100" s="23">
        <f t="shared" si="22"/>
        <v>235</v>
      </c>
      <c r="S100" s="19">
        <f>INDEX(Assumptions!$C$14:$C$16,MATCH($C100,Assumptions!$A$14:$A$16,0))</f>
        <v>0.12</v>
      </c>
      <c r="T100" s="20">
        <f t="shared" si="23"/>
        <v>206.59090909090909</v>
      </c>
      <c r="U100" s="24">
        <f t="shared" si="24"/>
        <v>206.59090909090909</v>
      </c>
      <c r="V100" s="25">
        <f t="shared" si="25"/>
        <v>0.22638297872340421</v>
      </c>
      <c r="W100" s="5" t="str">
        <f t="shared" si="26"/>
        <v>M05|US</v>
      </c>
    </row>
    <row r="101" spans="1:23" x14ac:dyDescent="0.2">
      <c r="A101" s="5" t="s">
        <v>146</v>
      </c>
      <c r="B101" s="17" t="str">
        <f>INDEX(SKU_Master!$C$5:$C$34,MATCH($A101,SKU_Master!$A$5:$A$34,0))</f>
        <v>E24 G5 24in FHD</v>
      </c>
      <c r="C101" s="17" t="str">
        <f>INDEX(SKU_Master!$D$5:$D$34,MATCH($A101,SKU_Master!$A$5:$A$34,0))</f>
        <v>Monitor</v>
      </c>
      <c r="D101" s="5" t="s">
        <v>64</v>
      </c>
      <c r="E101" s="17" t="str">
        <f>INDEX(Assumptions!$B$5:$B$9,MATCH($D101,Assumptions!$A$5:$A$9,0))</f>
        <v>GBP</v>
      </c>
      <c r="F101" s="18">
        <f>INDEX(SKU_Master!$G$5:$G$34,MATCH($A101,SKU_Master!$A$5:$A$34,0))</f>
        <v>160</v>
      </c>
      <c r="G101" s="19">
        <f>INDEX(SKU_Master!$H$5:$H$34,MATCH($A101,SKU_Master!$A$5:$A$34,0))</f>
        <v>0.02</v>
      </c>
      <c r="H101" s="20">
        <f t="shared" ref="H101:H132" si="27">F101*(1-G101)</f>
        <v>156.80000000000001</v>
      </c>
      <c r="I101" s="19">
        <f>INDEX(Assumptions!$D$5:$D$9,MATCH($D101,Assumptions!$A$5:$A$9,0))</f>
        <v>0</v>
      </c>
      <c r="J101" s="20">
        <f t="shared" ref="J101:J132" si="28">H101*I101</f>
        <v>0</v>
      </c>
      <c r="K101" s="18">
        <f>INDEX(Assumptions!$F$5:$H$9,MATCH($D101,Assumptions!$A$5:$A$9,0),MATCH($C101,Assumptions!$F$4:$H$4,0))</f>
        <v>55</v>
      </c>
      <c r="L101" s="21">
        <f t="shared" ref="L101:L132" si="29">H101+J101+K101</f>
        <v>211.8</v>
      </c>
      <c r="M101" s="19">
        <f>INDEX(Assumptions!$B$14:$B$16,MATCH($C101,Assumptions!$A$14:$A$16,0))</f>
        <v>0.18</v>
      </c>
      <c r="N101" s="20">
        <f t="shared" ref="N101:N132" si="30">L101/(1-M101)</f>
        <v>258.29268292682929</v>
      </c>
      <c r="O101" s="19">
        <f>INDEX(Assumptions!$E$5:$E$9,MATCH($D101,Assumptions!$A$5:$A$9,0))</f>
        <v>0.02</v>
      </c>
      <c r="P101" s="22">
        <f>INDEX(Assumptions!$C$5:$C$9,MATCH($D101,Assumptions!$A$5:$A$9,0))</f>
        <v>0.79</v>
      </c>
      <c r="Q101" s="19">
        <f>INDEX(Assumptions!$D$14:$D$16,MATCH($C101,Assumptions!$A$14:$A$16,0))</f>
        <v>0.04</v>
      </c>
      <c r="R101" s="23">
        <f t="shared" ref="R101:R132" si="31">ROUNDUP(N101*(1+Q101)*(1+O101)*P101/5,0)*5</f>
        <v>220</v>
      </c>
      <c r="S101" s="19">
        <f>INDEX(Assumptions!$C$14:$C$16,MATCH($C101,Assumptions!$A$14:$A$16,0))</f>
        <v>0.12</v>
      </c>
      <c r="T101" s="20">
        <f t="shared" ref="T101:T132" si="32">L101/(1-S101)</f>
        <v>240.68181818181819</v>
      </c>
      <c r="U101" s="24">
        <f t="shared" ref="U101:U132" si="33">T101*(1+O101)*P101</f>
        <v>193.9414090909091</v>
      </c>
      <c r="V101" s="25">
        <f t="shared" ref="V101:V132" si="34">IF(R101=0,0,(R101/P101-L101)/(R101/P101))</f>
        <v>0.23944545454545443</v>
      </c>
      <c r="W101" s="5" t="str">
        <f t="shared" ref="W101:W132" si="35">A101&amp;"|"&amp;D101</f>
        <v>M05|UK</v>
      </c>
    </row>
    <row r="102" spans="1:23" x14ac:dyDescent="0.2">
      <c r="A102" s="5" t="s">
        <v>146</v>
      </c>
      <c r="B102" s="17" t="str">
        <f>INDEX(SKU_Master!$C$5:$C$34,MATCH($A102,SKU_Master!$A$5:$A$34,0))</f>
        <v>E24 G5 24in FHD</v>
      </c>
      <c r="C102" s="17" t="str">
        <f>INDEX(SKU_Master!$D$5:$D$34,MATCH($A102,SKU_Master!$A$5:$A$34,0))</f>
        <v>Monitor</v>
      </c>
      <c r="D102" s="5" t="s">
        <v>66</v>
      </c>
      <c r="E102" s="17" t="str">
        <f>INDEX(Assumptions!$B$5:$B$9,MATCH($D102,Assumptions!$A$5:$A$9,0))</f>
        <v>EUR</v>
      </c>
      <c r="F102" s="18">
        <f>INDEX(SKU_Master!$G$5:$G$34,MATCH($A102,SKU_Master!$A$5:$A$34,0))</f>
        <v>160</v>
      </c>
      <c r="G102" s="19">
        <f>INDEX(SKU_Master!$H$5:$H$34,MATCH($A102,SKU_Master!$A$5:$A$34,0))</f>
        <v>0.02</v>
      </c>
      <c r="H102" s="20">
        <f t="shared" si="27"/>
        <v>156.80000000000001</v>
      </c>
      <c r="I102" s="19">
        <f>INDEX(Assumptions!$D$5:$D$9,MATCH($D102,Assumptions!$A$5:$A$9,0))</f>
        <v>0</v>
      </c>
      <c r="J102" s="20">
        <f t="shared" si="28"/>
        <v>0</v>
      </c>
      <c r="K102" s="18">
        <f>INDEX(Assumptions!$F$5:$H$9,MATCH($D102,Assumptions!$A$5:$A$9,0),MATCH($C102,Assumptions!$F$4:$H$4,0))</f>
        <v>50</v>
      </c>
      <c r="L102" s="21">
        <f t="shared" si="29"/>
        <v>206.8</v>
      </c>
      <c r="M102" s="19">
        <f>INDEX(Assumptions!$B$14:$B$16,MATCH($C102,Assumptions!$A$14:$A$16,0))</f>
        <v>0.18</v>
      </c>
      <c r="N102" s="20">
        <f t="shared" si="30"/>
        <v>252.19512195121951</v>
      </c>
      <c r="O102" s="19">
        <f>INDEX(Assumptions!$E$5:$E$9,MATCH($D102,Assumptions!$A$5:$A$9,0))</f>
        <v>0.02</v>
      </c>
      <c r="P102" s="22">
        <f>INDEX(Assumptions!$C$5:$C$9,MATCH($D102,Assumptions!$A$5:$A$9,0))</f>
        <v>0.92</v>
      </c>
      <c r="Q102" s="19">
        <f>INDEX(Assumptions!$D$14:$D$16,MATCH($C102,Assumptions!$A$14:$A$16,0))</f>
        <v>0.04</v>
      </c>
      <c r="R102" s="23">
        <f t="shared" si="31"/>
        <v>250</v>
      </c>
      <c r="S102" s="19">
        <f>INDEX(Assumptions!$C$14:$C$16,MATCH($C102,Assumptions!$A$14:$A$16,0))</f>
        <v>0.12</v>
      </c>
      <c r="T102" s="20">
        <f t="shared" si="32"/>
        <v>235</v>
      </c>
      <c r="U102" s="24">
        <f t="shared" si="33"/>
        <v>220.52400000000003</v>
      </c>
      <c r="V102" s="25">
        <f t="shared" si="34"/>
        <v>0.23897599999999999</v>
      </c>
      <c r="W102" s="5" t="str">
        <f t="shared" si="35"/>
        <v>M05|DE</v>
      </c>
    </row>
    <row r="103" spans="1:23" x14ac:dyDescent="0.2">
      <c r="A103" s="5" t="s">
        <v>146</v>
      </c>
      <c r="B103" s="17" t="str">
        <f>INDEX(SKU_Master!$C$5:$C$34,MATCH($A103,SKU_Master!$A$5:$A$34,0))</f>
        <v>E24 G5 24in FHD</v>
      </c>
      <c r="C103" s="17" t="str">
        <f>INDEX(SKU_Master!$D$5:$D$34,MATCH($A103,SKU_Master!$A$5:$A$34,0))</f>
        <v>Monitor</v>
      </c>
      <c r="D103" s="5" t="s">
        <v>68</v>
      </c>
      <c r="E103" s="17" t="str">
        <f>INDEX(Assumptions!$B$5:$B$9,MATCH($D103,Assumptions!$A$5:$A$9,0))</f>
        <v>CAD</v>
      </c>
      <c r="F103" s="18">
        <f>INDEX(SKU_Master!$G$5:$G$34,MATCH($A103,SKU_Master!$A$5:$A$34,0))</f>
        <v>160</v>
      </c>
      <c r="G103" s="19">
        <f>INDEX(SKU_Master!$H$5:$H$34,MATCH($A103,SKU_Master!$A$5:$A$34,0))</f>
        <v>0.02</v>
      </c>
      <c r="H103" s="20">
        <f t="shared" si="27"/>
        <v>156.80000000000001</v>
      </c>
      <c r="I103" s="19">
        <f>INDEX(Assumptions!$D$5:$D$9,MATCH($D103,Assumptions!$A$5:$A$9,0))</f>
        <v>0</v>
      </c>
      <c r="J103" s="20">
        <f t="shared" si="28"/>
        <v>0</v>
      </c>
      <c r="K103" s="18">
        <f>INDEX(Assumptions!$F$5:$H$9,MATCH($D103,Assumptions!$A$5:$A$9,0),MATCH($C103,Assumptions!$F$4:$H$4,0))</f>
        <v>40</v>
      </c>
      <c r="L103" s="21">
        <f t="shared" si="29"/>
        <v>196.8</v>
      </c>
      <c r="M103" s="19">
        <f>INDEX(Assumptions!$B$14:$B$16,MATCH($C103,Assumptions!$A$14:$A$16,0))</f>
        <v>0.18</v>
      </c>
      <c r="N103" s="20">
        <f t="shared" si="30"/>
        <v>240</v>
      </c>
      <c r="O103" s="19">
        <f>INDEX(Assumptions!$E$5:$E$9,MATCH($D103,Assumptions!$A$5:$A$9,0))</f>
        <v>0.02</v>
      </c>
      <c r="P103" s="22">
        <f>INDEX(Assumptions!$C$5:$C$9,MATCH($D103,Assumptions!$A$5:$A$9,0))</f>
        <v>1.37</v>
      </c>
      <c r="Q103" s="19">
        <f>INDEX(Assumptions!$D$14:$D$16,MATCH($C103,Assumptions!$A$14:$A$16,0))</f>
        <v>0.04</v>
      </c>
      <c r="R103" s="23">
        <f t="shared" si="31"/>
        <v>350</v>
      </c>
      <c r="S103" s="19">
        <f>INDEX(Assumptions!$C$14:$C$16,MATCH($C103,Assumptions!$A$14:$A$16,0))</f>
        <v>0.12</v>
      </c>
      <c r="T103" s="20">
        <f t="shared" si="32"/>
        <v>223.63636363636365</v>
      </c>
      <c r="U103" s="24">
        <f t="shared" si="33"/>
        <v>312.50945454545462</v>
      </c>
      <c r="V103" s="25">
        <f t="shared" si="34"/>
        <v>0.22966857142857136</v>
      </c>
      <c r="W103" s="5" t="str">
        <f t="shared" si="35"/>
        <v>M05|CA</v>
      </c>
    </row>
    <row r="104" spans="1:23" x14ac:dyDescent="0.2">
      <c r="A104" s="5" t="s">
        <v>146</v>
      </c>
      <c r="B104" s="17" t="str">
        <f>INDEX(SKU_Master!$C$5:$C$34,MATCH($A104,SKU_Master!$A$5:$A$34,0))</f>
        <v>E24 G5 24in FHD</v>
      </c>
      <c r="C104" s="17" t="str">
        <f>INDEX(SKU_Master!$D$5:$D$34,MATCH($A104,SKU_Master!$A$5:$A$34,0))</f>
        <v>Monitor</v>
      </c>
      <c r="D104" s="5" t="s">
        <v>70</v>
      </c>
      <c r="E104" s="17" t="str">
        <f>INDEX(Assumptions!$B$5:$B$9,MATCH($D104,Assumptions!$A$5:$A$9,0))</f>
        <v>INR</v>
      </c>
      <c r="F104" s="18">
        <f>INDEX(SKU_Master!$G$5:$G$34,MATCH($A104,SKU_Master!$A$5:$A$34,0))</f>
        <v>160</v>
      </c>
      <c r="G104" s="19">
        <f>INDEX(SKU_Master!$H$5:$H$34,MATCH($A104,SKU_Master!$A$5:$A$34,0))</f>
        <v>0.02</v>
      </c>
      <c r="H104" s="20">
        <f t="shared" si="27"/>
        <v>156.80000000000001</v>
      </c>
      <c r="I104" s="19">
        <f>INDEX(Assumptions!$D$5:$D$9,MATCH($D104,Assumptions!$A$5:$A$9,0))</f>
        <v>0.11</v>
      </c>
      <c r="J104" s="20">
        <f t="shared" si="28"/>
        <v>17.248000000000001</v>
      </c>
      <c r="K104" s="18">
        <f>INDEX(Assumptions!$F$5:$H$9,MATCH($D104,Assumptions!$A$5:$A$9,0),MATCH($C104,Assumptions!$F$4:$H$4,0))</f>
        <v>70</v>
      </c>
      <c r="L104" s="21">
        <f t="shared" si="29"/>
        <v>244.048</v>
      </c>
      <c r="M104" s="19">
        <f>INDEX(Assumptions!$B$14:$B$16,MATCH($C104,Assumptions!$A$14:$A$16,0))</f>
        <v>0.18</v>
      </c>
      <c r="N104" s="20">
        <f t="shared" si="30"/>
        <v>297.61951219512196</v>
      </c>
      <c r="O104" s="19">
        <f>INDEX(Assumptions!$E$5:$E$9,MATCH($D104,Assumptions!$A$5:$A$9,0))</f>
        <v>0.02</v>
      </c>
      <c r="P104" s="22">
        <f>INDEX(Assumptions!$C$5:$C$9,MATCH($D104,Assumptions!$A$5:$A$9,0))</f>
        <v>83.5</v>
      </c>
      <c r="Q104" s="19">
        <f>INDEX(Assumptions!$D$14:$D$16,MATCH($C104,Assumptions!$A$14:$A$16,0))</f>
        <v>0.04</v>
      </c>
      <c r="R104" s="23">
        <f t="shared" si="31"/>
        <v>26365</v>
      </c>
      <c r="S104" s="19">
        <f>INDEX(Assumptions!$C$14:$C$16,MATCH($C104,Assumptions!$A$14:$A$16,0))</f>
        <v>0.12</v>
      </c>
      <c r="T104" s="20">
        <f t="shared" si="32"/>
        <v>277.32727272727271</v>
      </c>
      <c r="U104" s="24">
        <f t="shared" si="33"/>
        <v>23619.963818181819</v>
      </c>
      <c r="V104" s="25">
        <f t="shared" si="34"/>
        <v>0.22708105442821921</v>
      </c>
      <c r="W104" s="5" t="str">
        <f t="shared" si="35"/>
        <v>M05|IN</v>
      </c>
    </row>
    <row r="105" spans="1:23" x14ac:dyDescent="0.2">
      <c r="A105" s="5" t="s">
        <v>148</v>
      </c>
      <c r="B105" s="17" t="str">
        <f>INDEX(SKU_Master!$C$5:$C$34,MATCH($A105,SKU_Master!$A$5:$A$34,0))</f>
        <v>ViewFinity S6 27in QHD</v>
      </c>
      <c r="C105" s="17" t="str">
        <f>INDEX(SKU_Master!$D$5:$D$34,MATCH($A105,SKU_Master!$A$5:$A$34,0))</f>
        <v>Monitor</v>
      </c>
      <c r="D105" s="5" t="s">
        <v>62</v>
      </c>
      <c r="E105" s="17" t="str">
        <f>INDEX(Assumptions!$B$5:$B$9,MATCH($D105,Assumptions!$A$5:$A$9,0))</f>
        <v>USD</v>
      </c>
      <c r="F105" s="18">
        <f>INDEX(SKU_Master!$G$5:$G$34,MATCH($A105,SKU_Master!$A$5:$A$34,0))</f>
        <v>290</v>
      </c>
      <c r="G105" s="19">
        <f>INDEX(SKU_Master!$H$5:$H$34,MATCH($A105,SKU_Master!$A$5:$A$34,0))</f>
        <v>0</v>
      </c>
      <c r="H105" s="20">
        <f t="shared" si="27"/>
        <v>290</v>
      </c>
      <c r="I105" s="19">
        <f>INDEX(Assumptions!$D$5:$D$9,MATCH($D105,Assumptions!$A$5:$A$9,0))</f>
        <v>0</v>
      </c>
      <c r="J105" s="20">
        <f t="shared" si="28"/>
        <v>0</v>
      </c>
      <c r="K105" s="18">
        <f>INDEX(Assumptions!$F$5:$H$9,MATCH($D105,Assumptions!$A$5:$A$9,0),MATCH($C105,Assumptions!$F$4:$H$4,0))</f>
        <v>25</v>
      </c>
      <c r="L105" s="21">
        <f t="shared" si="29"/>
        <v>315</v>
      </c>
      <c r="M105" s="19">
        <f>INDEX(Assumptions!$B$14:$B$16,MATCH($C105,Assumptions!$A$14:$A$16,0))</f>
        <v>0.18</v>
      </c>
      <c r="N105" s="20">
        <f t="shared" si="30"/>
        <v>384.14634146341461</v>
      </c>
      <c r="O105" s="19">
        <f>INDEX(Assumptions!$E$5:$E$9,MATCH($D105,Assumptions!$A$5:$A$9,0))</f>
        <v>0</v>
      </c>
      <c r="P105" s="22">
        <f>INDEX(Assumptions!$C$5:$C$9,MATCH($D105,Assumptions!$A$5:$A$9,0))</f>
        <v>1</v>
      </c>
      <c r="Q105" s="19">
        <f>INDEX(Assumptions!$D$14:$D$16,MATCH($C105,Assumptions!$A$14:$A$16,0))</f>
        <v>0.04</v>
      </c>
      <c r="R105" s="23">
        <f t="shared" si="31"/>
        <v>400</v>
      </c>
      <c r="S105" s="19">
        <f>INDEX(Assumptions!$C$14:$C$16,MATCH($C105,Assumptions!$A$14:$A$16,0))</f>
        <v>0.12</v>
      </c>
      <c r="T105" s="20">
        <f t="shared" si="32"/>
        <v>357.95454545454544</v>
      </c>
      <c r="U105" s="24">
        <f t="shared" si="33"/>
        <v>357.95454545454544</v>
      </c>
      <c r="V105" s="25">
        <f t="shared" si="34"/>
        <v>0.21249999999999999</v>
      </c>
      <c r="W105" s="5" t="str">
        <f t="shared" si="35"/>
        <v>M06|US</v>
      </c>
    </row>
    <row r="106" spans="1:23" x14ac:dyDescent="0.2">
      <c r="A106" s="5" t="s">
        <v>148</v>
      </c>
      <c r="B106" s="17" t="str">
        <f>INDEX(SKU_Master!$C$5:$C$34,MATCH($A106,SKU_Master!$A$5:$A$34,0))</f>
        <v>ViewFinity S6 27in QHD</v>
      </c>
      <c r="C106" s="17" t="str">
        <f>INDEX(SKU_Master!$D$5:$D$34,MATCH($A106,SKU_Master!$A$5:$A$34,0))</f>
        <v>Monitor</v>
      </c>
      <c r="D106" s="5" t="s">
        <v>64</v>
      </c>
      <c r="E106" s="17" t="str">
        <f>INDEX(Assumptions!$B$5:$B$9,MATCH($D106,Assumptions!$A$5:$A$9,0))</f>
        <v>GBP</v>
      </c>
      <c r="F106" s="18">
        <f>INDEX(SKU_Master!$G$5:$G$34,MATCH($A106,SKU_Master!$A$5:$A$34,0))</f>
        <v>290</v>
      </c>
      <c r="G106" s="19">
        <f>INDEX(SKU_Master!$H$5:$H$34,MATCH($A106,SKU_Master!$A$5:$A$34,0))</f>
        <v>0</v>
      </c>
      <c r="H106" s="20">
        <f t="shared" si="27"/>
        <v>290</v>
      </c>
      <c r="I106" s="19">
        <f>INDEX(Assumptions!$D$5:$D$9,MATCH($D106,Assumptions!$A$5:$A$9,0))</f>
        <v>0</v>
      </c>
      <c r="J106" s="20">
        <f t="shared" si="28"/>
        <v>0</v>
      </c>
      <c r="K106" s="18">
        <f>INDEX(Assumptions!$F$5:$H$9,MATCH($D106,Assumptions!$A$5:$A$9,0),MATCH($C106,Assumptions!$F$4:$H$4,0))</f>
        <v>55</v>
      </c>
      <c r="L106" s="21">
        <f t="shared" si="29"/>
        <v>345</v>
      </c>
      <c r="M106" s="19">
        <f>INDEX(Assumptions!$B$14:$B$16,MATCH($C106,Assumptions!$A$14:$A$16,0))</f>
        <v>0.18</v>
      </c>
      <c r="N106" s="20">
        <f t="shared" si="30"/>
        <v>420.73170731707313</v>
      </c>
      <c r="O106" s="19">
        <f>INDEX(Assumptions!$E$5:$E$9,MATCH($D106,Assumptions!$A$5:$A$9,0))</f>
        <v>0.02</v>
      </c>
      <c r="P106" s="22">
        <f>INDEX(Assumptions!$C$5:$C$9,MATCH($D106,Assumptions!$A$5:$A$9,0))</f>
        <v>0.79</v>
      </c>
      <c r="Q106" s="19">
        <f>INDEX(Assumptions!$D$14:$D$16,MATCH($C106,Assumptions!$A$14:$A$16,0))</f>
        <v>0.04</v>
      </c>
      <c r="R106" s="23">
        <f t="shared" si="31"/>
        <v>355</v>
      </c>
      <c r="S106" s="19">
        <f>INDEX(Assumptions!$C$14:$C$16,MATCH($C106,Assumptions!$A$14:$A$16,0))</f>
        <v>0.12</v>
      </c>
      <c r="T106" s="20">
        <f t="shared" si="32"/>
        <v>392.04545454545456</v>
      </c>
      <c r="U106" s="24">
        <f t="shared" si="33"/>
        <v>315.9102272727273</v>
      </c>
      <c r="V106" s="25">
        <f t="shared" si="34"/>
        <v>0.23225352112676048</v>
      </c>
      <c r="W106" s="5" t="str">
        <f t="shared" si="35"/>
        <v>M06|UK</v>
      </c>
    </row>
    <row r="107" spans="1:23" x14ac:dyDescent="0.2">
      <c r="A107" s="5" t="s">
        <v>148</v>
      </c>
      <c r="B107" s="17" t="str">
        <f>INDEX(SKU_Master!$C$5:$C$34,MATCH($A107,SKU_Master!$A$5:$A$34,0))</f>
        <v>ViewFinity S6 27in QHD</v>
      </c>
      <c r="C107" s="17" t="str">
        <f>INDEX(SKU_Master!$D$5:$D$34,MATCH($A107,SKU_Master!$A$5:$A$34,0))</f>
        <v>Monitor</v>
      </c>
      <c r="D107" s="5" t="s">
        <v>66</v>
      </c>
      <c r="E107" s="17" t="str">
        <f>INDEX(Assumptions!$B$5:$B$9,MATCH($D107,Assumptions!$A$5:$A$9,0))</f>
        <v>EUR</v>
      </c>
      <c r="F107" s="18">
        <f>INDEX(SKU_Master!$G$5:$G$34,MATCH($A107,SKU_Master!$A$5:$A$34,0))</f>
        <v>290</v>
      </c>
      <c r="G107" s="19">
        <f>INDEX(SKU_Master!$H$5:$H$34,MATCH($A107,SKU_Master!$A$5:$A$34,0))</f>
        <v>0</v>
      </c>
      <c r="H107" s="20">
        <f t="shared" si="27"/>
        <v>290</v>
      </c>
      <c r="I107" s="19">
        <f>INDEX(Assumptions!$D$5:$D$9,MATCH($D107,Assumptions!$A$5:$A$9,0))</f>
        <v>0</v>
      </c>
      <c r="J107" s="20">
        <f t="shared" si="28"/>
        <v>0</v>
      </c>
      <c r="K107" s="18">
        <f>INDEX(Assumptions!$F$5:$H$9,MATCH($D107,Assumptions!$A$5:$A$9,0),MATCH($C107,Assumptions!$F$4:$H$4,0))</f>
        <v>50</v>
      </c>
      <c r="L107" s="21">
        <f t="shared" si="29"/>
        <v>340</v>
      </c>
      <c r="M107" s="19">
        <f>INDEX(Assumptions!$B$14:$B$16,MATCH($C107,Assumptions!$A$14:$A$16,0))</f>
        <v>0.18</v>
      </c>
      <c r="N107" s="20">
        <f t="shared" si="30"/>
        <v>414.63414634146341</v>
      </c>
      <c r="O107" s="19">
        <f>INDEX(Assumptions!$E$5:$E$9,MATCH($D107,Assumptions!$A$5:$A$9,0))</f>
        <v>0.02</v>
      </c>
      <c r="P107" s="22">
        <f>INDEX(Assumptions!$C$5:$C$9,MATCH($D107,Assumptions!$A$5:$A$9,0))</f>
        <v>0.92</v>
      </c>
      <c r="Q107" s="19">
        <f>INDEX(Assumptions!$D$14:$D$16,MATCH($C107,Assumptions!$A$14:$A$16,0))</f>
        <v>0.04</v>
      </c>
      <c r="R107" s="23">
        <f t="shared" si="31"/>
        <v>405</v>
      </c>
      <c r="S107" s="19">
        <f>INDEX(Assumptions!$C$14:$C$16,MATCH($C107,Assumptions!$A$14:$A$16,0))</f>
        <v>0.12</v>
      </c>
      <c r="T107" s="20">
        <f t="shared" si="32"/>
        <v>386.36363636363637</v>
      </c>
      <c r="U107" s="24">
        <f t="shared" si="33"/>
        <v>362.56363636363642</v>
      </c>
      <c r="V107" s="25">
        <f t="shared" si="34"/>
        <v>0.22765432098765431</v>
      </c>
      <c r="W107" s="5" t="str">
        <f t="shared" si="35"/>
        <v>M06|DE</v>
      </c>
    </row>
    <row r="108" spans="1:23" x14ac:dyDescent="0.2">
      <c r="A108" s="5" t="s">
        <v>148</v>
      </c>
      <c r="B108" s="17" t="str">
        <f>INDEX(SKU_Master!$C$5:$C$34,MATCH($A108,SKU_Master!$A$5:$A$34,0))</f>
        <v>ViewFinity S6 27in QHD</v>
      </c>
      <c r="C108" s="17" t="str">
        <f>INDEX(SKU_Master!$D$5:$D$34,MATCH($A108,SKU_Master!$A$5:$A$34,0))</f>
        <v>Monitor</v>
      </c>
      <c r="D108" s="5" t="s">
        <v>68</v>
      </c>
      <c r="E108" s="17" t="str">
        <f>INDEX(Assumptions!$B$5:$B$9,MATCH($D108,Assumptions!$A$5:$A$9,0))</f>
        <v>CAD</v>
      </c>
      <c r="F108" s="18">
        <f>INDEX(SKU_Master!$G$5:$G$34,MATCH($A108,SKU_Master!$A$5:$A$34,0))</f>
        <v>290</v>
      </c>
      <c r="G108" s="19">
        <f>INDEX(SKU_Master!$H$5:$H$34,MATCH($A108,SKU_Master!$A$5:$A$34,0))</f>
        <v>0</v>
      </c>
      <c r="H108" s="20">
        <f t="shared" si="27"/>
        <v>290</v>
      </c>
      <c r="I108" s="19">
        <f>INDEX(Assumptions!$D$5:$D$9,MATCH($D108,Assumptions!$A$5:$A$9,0))</f>
        <v>0</v>
      </c>
      <c r="J108" s="20">
        <f t="shared" si="28"/>
        <v>0</v>
      </c>
      <c r="K108" s="18">
        <f>INDEX(Assumptions!$F$5:$H$9,MATCH($D108,Assumptions!$A$5:$A$9,0),MATCH($C108,Assumptions!$F$4:$H$4,0))</f>
        <v>40</v>
      </c>
      <c r="L108" s="21">
        <f t="shared" si="29"/>
        <v>330</v>
      </c>
      <c r="M108" s="19">
        <f>INDEX(Assumptions!$B$14:$B$16,MATCH($C108,Assumptions!$A$14:$A$16,0))</f>
        <v>0.18</v>
      </c>
      <c r="N108" s="20">
        <f t="shared" si="30"/>
        <v>402.43902439024384</v>
      </c>
      <c r="O108" s="19">
        <f>INDEX(Assumptions!$E$5:$E$9,MATCH($D108,Assumptions!$A$5:$A$9,0))</f>
        <v>0.02</v>
      </c>
      <c r="P108" s="22">
        <f>INDEX(Assumptions!$C$5:$C$9,MATCH($D108,Assumptions!$A$5:$A$9,0))</f>
        <v>1.37</v>
      </c>
      <c r="Q108" s="19">
        <f>INDEX(Assumptions!$D$14:$D$16,MATCH($C108,Assumptions!$A$14:$A$16,0))</f>
        <v>0.04</v>
      </c>
      <c r="R108" s="23">
        <f t="shared" si="31"/>
        <v>585</v>
      </c>
      <c r="S108" s="19">
        <f>INDEX(Assumptions!$C$14:$C$16,MATCH($C108,Assumptions!$A$14:$A$16,0))</f>
        <v>0.12</v>
      </c>
      <c r="T108" s="20">
        <f t="shared" si="32"/>
        <v>375</v>
      </c>
      <c r="U108" s="24">
        <f t="shared" si="33"/>
        <v>524.02500000000009</v>
      </c>
      <c r="V108" s="25">
        <f t="shared" si="34"/>
        <v>0.22717948717948713</v>
      </c>
      <c r="W108" s="5" t="str">
        <f t="shared" si="35"/>
        <v>M06|CA</v>
      </c>
    </row>
    <row r="109" spans="1:23" x14ac:dyDescent="0.2">
      <c r="A109" s="5" t="s">
        <v>148</v>
      </c>
      <c r="B109" s="17" t="str">
        <f>INDEX(SKU_Master!$C$5:$C$34,MATCH($A109,SKU_Master!$A$5:$A$34,0))</f>
        <v>ViewFinity S6 27in QHD</v>
      </c>
      <c r="C109" s="17" t="str">
        <f>INDEX(SKU_Master!$D$5:$D$34,MATCH($A109,SKU_Master!$A$5:$A$34,0))</f>
        <v>Monitor</v>
      </c>
      <c r="D109" s="5" t="s">
        <v>70</v>
      </c>
      <c r="E109" s="17" t="str">
        <f>INDEX(Assumptions!$B$5:$B$9,MATCH($D109,Assumptions!$A$5:$A$9,0))</f>
        <v>INR</v>
      </c>
      <c r="F109" s="18">
        <f>INDEX(SKU_Master!$G$5:$G$34,MATCH($A109,SKU_Master!$A$5:$A$34,0))</f>
        <v>290</v>
      </c>
      <c r="G109" s="19">
        <f>INDEX(SKU_Master!$H$5:$H$34,MATCH($A109,SKU_Master!$A$5:$A$34,0))</f>
        <v>0</v>
      </c>
      <c r="H109" s="20">
        <f t="shared" si="27"/>
        <v>290</v>
      </c>
      <c r="I109" s="19">
        <f>INDEX(Assumptions!$D$5:$D$9,MATCH($D109,Assumptions!$A$5:$A$9,0))</f>
        <v>0.11</v>
      </c>
      <c r="J109" s="20">
        <f t="shared" si="28"/>
        <v>31.9</v>
      </c>
      <c r="K109" s="18">
        <f>INDEX(Assumptions!$F$5:$H$9,MATCH($D109,Assumptions!$A$5:$A$9,0),MATCH($C109,Assumptions!$F$4:$H$4,0))</f>
        <v>70</v>
      </c>
      <c r="L109" s="21">
        <f t="shared" si="29"/>
        <v>391.9</v>
      </c>
      <c r="M109" s="19">
        <f>INDEX(Assumptions!$B$14:$B$16,MATCH($C109,Assumptions!$A$14:$A$16,0))</f>
        <v>0.18</v>
      </c>
      <c r="N109" s="20">
        <f t="shared" si="30"/>
        <v>477.92682926829264</v>
      </c>
      <c r="O109" s="19">
        <f>INDEX(Assumptions!$E$5:$E$9,MATCH($D109,Assumptions!$A$5:$A$9,0))</f>
        <v>0.02</v>
      </c>
      <c r="P109" s="22">
        <f>INDEX(Assumptions!$C$5:$C$9,MATCH($D109,Assumptions!$A$5:$A$9,0))</f>
        <v>83.5</v>
      </c>
      <c r="Q109" s="19">
        <f>INDEX(Assumptions!$D$14:$D$16,MATCH($C109,Assumptions!$A$14:$A$16,0))</f>
        <v>0.04</v>
      </c>
      <c r="R109" s="23">
        <f t="shared" si="31"/>
        <v>42335</v>
      </c>
      <c r="S109" s="19">
        <f>INDEX(Assumptions!$C$14:$C$16,MATCH($C109,Assumptions!$A$14:$A$16,0))</f>
        <v>0.12</v>
      </c>
      <c r="T109" s="20">
        <f t="shared" si="32"/>
        <v>445.34090909090907</v>
      </c>
      <c r="U109" s="24">
        <f t="shared" si="33"/>
        <v>37929.685227272726</v>
      </c>
      <c r="V109" s="25">
        <f t="shared" si="34"/>
        <v>0.22703082555804896</v>
      </c>
      <c r="W109" s="5" t="str">
        <f t="shared" si="35"/>
        <v>M06|IN</v>
      </c>
    </row>
    <row r="110" spans="1:23" x14ac:dyDescent="0.2">
      <c r="A110" s="5" t="s">
        <v>151</v>
      </c>
      <c r="B110" s="17" t="str">
        <f>INDEX(SKU_Master!$C$5:$C$34,MATCH($A110,SKU_Master!$A$5:$A$34,0))</f>
        <v>WD22TB4 Thunderbolt Dock</v>
      </c>
      <c r="C110" s="17" t="str">
        <f>INDEX(SKU_Master!$D$5:$D$34,MATCH($A110,SKU_Master!$A$5:$A$34,0))</f>
        <v>Accessory</v>
      </c>
      <c r="D110" s="5" t="s">
        <v>62</v>
      </c>
      <c r="E110" s="17" t="str">
        <f>INDEX(Assumptions!$B$5:$B$9,MATCH($D110,Assumptions!$A$5:$A$9,0))</f>
        <v>USD</v>
      </c>
      <c r="F110" s="18">
        <f>INDEX(SKU_Master!$G$5:$G$34,MATCH($A110,SKU_Master!$A$5:$A$34,0))</f>
        <v>215</v>
      </c>
      <c r="G110" s="19">
        <f>INDEX(SKU_Master!$H$5:$H$34,MATCH($A110,SKU_Master!$A$5:$A$34,0))</f>
        <v>0.02</v>
      </c>
      <c r="H110" s="20">
        <f t="shared" si="27"/>
        <v>210.7</v>
      </c>
      <c r="I110" s="19">
        <f>INDEX(Assumptions!$D$5:$D$9,MATCH($D110,Assumptions!$A$5:$A$9,0))</f>
        <v>0</v>
      </c>
      <c r="J110" s="20">
        <f t="shared" si="28"/>
        <v>0</v>
      </c>
      <c r="K110" s="18">
        <f>INDEX(Assumptions!$F$5:$H$9,MATCH($D110,Assumptions!$A$5:$A$9,0),MATCH($C110,Assumptions!$F$4:$H$4,0))</f>
        <v>6</v>
      </c>
      <c r="L110" s="21">
        <f t="shared" si="29"/>
        <v>216.7</v>
      </c>
      <c r="M110" s="19">
        <f>INDEX(Assumptions!$B$14:$B$16,MATCH($C110,Assumptions!$A$14:$A$16,0))</f>
        <v>0.32</v>
      </c>
      <c r="N110" s="20">
        <f t="shared" si="30"/>
        <v>318.6764705882353</v>
      </c>
      <c r="O110" s="19">
        <f>INDEX(Assumptions!$E$5:$E$9,MATCH($D110,Assumptions!$A$5:$A$9,0))</f>
        <v>0</v>
      </c>
      <c r="P110" s="22">
        <f>INDEX(Assumptions!$C$5:$C$9,MATCH($D110,Assumptions!$A$5:$A$9,0))</f>
        <v>1</v>
      </c>
      <c r="Q110" s="19">
        <f>INDEX(Assumptions!$D$14:$D$16,MATCH($C110,Assumptions!$A$14:$A$16,0))</f>
        <v>0.05</v>
      </c>
      <c r="R110" s="23">
        <f t="shared" si="31"/>
        <v>335</v>
      </c>
      <c r="S110" s="19">
        <f>INDEX(Assumptions!$C$14:$C$16,MATCH($C110,Assumptions!$A$14:$A$16,0))</f>
        <v>0.22</v>
      </c>
      <c r="T110" s="20">
        <f t="shared" si="32"/>
        <v>277.82051282051282</v>
      </c>
      <c r="U110" s="24">
        <f t="shared" si="33"/>
        <v>277.82051282051282</v>
      </c>
      <c r="V110" s="25">
        <f t="shared" si="34"/>
        <v>0.35313432835820902</v>
      </c>
      <c r="W110" s="5" t="str">
        <f t="shared" si="35"/>
        <v>A01|US</v>
      </c>
    </row>
    <row r="111" spans="1:23" x14ac:dyDescent="0.2">
      <c r="A111" s="5" t="s">
        <v>151</v>
      </c>
      <c r="B111" s="17" t="str">
        <f>INDEX(SKU_Master!$C$5:$C$34,MATCH($A111,SKU_Master!$A$5:$A$34,0))</f>
        <v>WD22TB4 Thunderbolt Dock</v>
      </c>
      <c r="C111" s="17" t="str">
        <f>INDEX(SKU_Master!$D$5:$D$34,MATCH($A111,SKU_Master!$A$5:$A$34,0))</f>
        <v>Accessory</v>
      </c>
      <c r="D111" s="5" t="s">
        <v>64</v>
      </c>
      <c r="E111" s="17" t="str">
        <f>INDEX(Assumptions!$B$5:$B$9,MATCH($D111,Assumptions!$A$5:$A$9,0))</f>
        <v>GBP</v>
      </c>
      <c r="F111" s="18">
        <f>INDEX(SKU_Master!$G$5:$G$34,MATCH($A111,SKU_Master!$A$5:$A$34,0))</f>
        <v>215</v>
      </c>
      <c r="G111" s="19">
        <f>INDEX(SKU_Master!$H$5:$H$34,MATCH($A111,SKU_Master!$A$5:$A$34,0))</f>
        <v>0.02</v>
      </c>
      <c r="H111" s="20">
        <f t="shared" si="27"/>
        <v>210.7</v>
      </c>
      <c r="I111" s="19">
        <f>INDEX(Assumptions!$D$5:$D$9,MATCH($D111,Assumptions!$A$5:$A$9,0))</f>
        <v>0</v>
      </c>
      <c r="J111" s="20">
        <f t="shared" si="28"/>
        <v>0</v>
      </c>
      <c r="K111" s="18">
        <f>INDEX(Assumptions!$F$5:$H$9,MATCH($D111,Assumptions!$A$5:$A$9,0),MATCH($C111,Assumptions!$F$4:$H$4,0))</f>
        <v>12</v>
      </c>
      <c r="L111" s="21">
        <f t="shared" si="29"/>
        <v>222.7</v>
      </c>
      <c r="M111" s="19">
        <f>INDEX(Assumptions!$B$14:$B$16,MATCH($C111,Assumptions!$A$14:$A$16,0))</f>
        <v>0.32</v>
      </c>
      <c r="N111" s="20">
        <f t="shared" si="30"/>
        <v>327.5</v>
      </c>
      <c r="O111" s="19">
        <f>INDEX(Assumptions!$E$5:$E$9,MATCH($D111,Assumptions!$A$5:$A$9,0))</f>
        <v>0.02</v>
      </c>
      <c r="P111" s="22">
        <f>INDEX(Assumptions!$C$5:$C$9,MATCH($D111,Assumptions!$A$5:$A$9,0))</f>
        <v>0.79</v>
      </c>
      <c r="Q111" s="19">
        <f>INDEX(Assumptions!$D$14:$D$16,MATCH($C111,Assumptions!$A$14:$A$16,0))</f>
        <v>0.05</v>
      </c>
      <c r="R111" s="23">
        <f t="shared" si="31"/>
        <v>280</v>
      </c>
      <c r="S111" s="19">
        <f>INDEX(Assumptions!$C$14:$C$16,MATCH($C111,Assumptions!$A$14:$A$16,0))</f>
        <v>0.22</v>
      </c>
      <c r="T111" s="20">
        <f t="shared" si="32"/>
        <v>285.5128205128205</v>
      </c>
      <c r="U111" s="24">
        <f t="shared" si="33"/>
        <v>230.06623076923077</v>
      </c>
      <c r="V111" s="25">
        <f t="shared" si="34"/>
        <v>0.37166785714285711</v>
      </c>
      <c r="W111" s="5" t="str">
        <f t="shared" si="35"/>
        <v>A01|UK</v>
      </c>
    </row>
    <row r="112" spans="1:23" x14ac:dyDescent="0.2">
      <c r="A112" s="5" t="s">
        <v>151</v>
      </c>
      <c r="B112" s="17" t="str">
        <f>INDEX(SKU_Master!$C$5:$C$34,MATCH($A112,SKU_Master!$A$5:$A$34,0))</f>
        <v>WD22TB4 Thunderbolt Dock</v>
      </c>
      <c r="C112" s="17" t="str">
        <f>INDEX(SKU_Master!$D$5:$D$34,MATCH($A112,SKU_Master!$A$5:$A$34,0))</f>
        <v>Accessory</v>
      </c>
      <c r="D112" s="5" t="s">
        <v>66</v>
      </c>
      <c r="E112" s="17" t="str">
        <f>INDEX(Assumptions!$B$5:$B$9,MATCH($D112,Assumptions!$A$5:$A$9,0))</f>
        <v>EUR</v>
      </c>
      <c r="F112" s="18">
        <f>INDEX(SKU_Master!$G$5:$G$34,MATCH($A112,SKU_Master!$A$5:$A$34,0))</f>
        <v>215</v>
      </c>
      <c r="G112" s="19">
        <f>INDEX(SKU_Master!$H$5:$H$34,MATCH($A112,SKU_Master!$A$5:$A$34,0))</f>
        <v>0.02</v>
      </c>
      <c r="H112" s="20">
        <f t="shared" si="27"/>
        <v>210.7</v>
      </c>
      <c r="I112" s="19">
        <f>INDEX(Assumptions!$D$5:$D$9,MATCH($D112,Assumptions!$A$5:$A$9,0))</f>
        <v>0</v>
      </c>
      <c r="J112" s="20">
        <f t="shared" si="28"/>
        <v>0</v>
      </c>
      <c r="K112" s="18">
        <f>INDEX(Assumptions!$F$5:$H$9,MATCH($D112,Assumptions!$A$5:$A$9,0),MATCH($C112,Assumptions!$F$4:$H$4,0))</f>
        <v>11</v>
      </c>
      <c r="L112" s="21">
        <f t="shared" si="29"/>
        <v>221.7</v>
      </c>
      <c r="M112" s="19">
        <f>INDEX(Assumptions!$B$14:$B$16,MATCH($C112,Assumptions!$A$14:$A$16,0))</f>
        <v>0.32</v>
      </c>
      <c r="N112" s="20">
        <f t="shared" si="30"/>
        <v>326.02941176470591</v>
      </c>
      <c r="O112" s="19">
        <f>INDEX(Assumptions!$E$5:$E$9,MATCH($D112,Assumptions!$A$5:$A$9,0))</f>
        <v>0.02</v>
      </c>
      <c r="P112" s="22">
        <f>INDEX(Assumptions!$C$5:$C$9,MATCH($D112,Assumptions!$A$5:$A$9,0))</f>
        <v>0.92</v>
      </c>
      <c r="Q112" s="19">
        <f>INDEX(Assumptions!$D$14:$D$16,MATCH($C112,Assumptions!$A$14:$A$16,0))</f>
        <v>0.05</v>
      </c>
      <c r="R112" s="23">
        <f t="shared" si="31"/>
        <v>325</v>
      </c>
      <c r="S112" s="19">
        <f>INDEX(Assumptions!$C$14:$C$16,MATCH($C112,Assumptions!$A$14:$A$16,0))</f>
        <v>0.22</v>
      </c>
      <c r="T112" s="20">
        <f t="shared" si="32"/>
        <v>284.23076923076923</v>
      </c>
      <c r="U112" s="24">
        <f t="shared" si="33"/>
        <v>266.72215384615384</v>
      </c>
      <c r="V112" s="25">
        <f t="shared" si="34"/>
        <v>0.37241846153846153</v>
      </c>
      <c r="W112" s="5" t="str">
        <f t="shared" si="35"/>
        <v>A01|DE</v>
      </c>
    </row>
    <row r="113" spans="1:23" x14ac:dyDescent="0.2">
      <c r="A113" s="5" t="s">
        <v>151</v>
      </c>
      <c r="B113" s="17" t="str">
        <f>INDEX(SKU_Master!$C$5:$C$34,MATCH($A113,SKU_Master!$A$5:$A$34,0))</f>
        <v>WD22TB4 Thunderbolt Dock</v>
      </c>
      <c r="C113" s="17" t="str">
        <f>INDEX(SKU_Master!$D$5:$D$34,MATCH($A113,SKU_Master!$A$5:$A$34,0))</f>
        <v>Accessory</v>
      </c>
      <c r="D113" s="5" t="s">
        <v>68</v>
      </c>
      <c r="E113" s="17" t="str">
        <f>INDEX(Assumptions!$B$5:$B$9,MATCH($D113,Assumptions!$A$5:$A$9,0))</f>
        <v>CAD</v>
      </c>
      <c r="F113" s="18">
        <f>INDEX(SKU_Master!$G$5:$G$34,MATCH($A113,SKU_Master!$A$5:$A$34,0))</f>
        <v>215</v>
      </c>
      <c r="G113" s="19">
        <f>INDEX(SKU_Master!$H$5:$H$34,MATCH($A113,SKU_Master!$A$5:$A$34,0))</f>
        <v>0.02</v>
      </c>
      <c r="H113" s="20">
        <f t="shared" si="27"/>
        <v>210.7</v>
      </c>
      <c r="I113" s="19">
        <f>INDEX(Assumptions!$D$5:$D$9,MATCH($D113,Assumptions!$A$5:$A$9,0))</f>
        <v>0</v>
      </c>
      <c r="J113" s="20">
        <f t="shared" si="28"/>
        <v>0</v>
      </c>
      <c r="K113" s="18">
        <f>INDEX(Assumptions!$F$5:$H$9,MATCH($D113,Assumptions!$A$5:$A$9,0),MATCH($C113,Assumptions!$F$4:$H$4,0))</f>
        <v>9</v>
      </c>
      <c r="L113" s="21">
        <f t="shared" si="29"/>
        <v>219.7</v>
      </c>
      <c r="M113" s="19">
        <f>INDEX(Assumptions!$B$14:$B$16,MATCH($C113,Assumptions!$A$14:$A$16,0))</f>
        <v>0.32</v>
      </c>
      <c r="N113" s="20">
        <f t="shared" si="30"/>
        <v>323.08823529411768</v>
      </c>
      <c r="O113" s="19">
        <f>INDEX(Assumptions!$E$5:$E$9,MATCH($D113,Assumptions!$A$5:$A$9,0))</f>
        <v>0.02</v>
      </c>
      <c r="P113" s="22">
        <f>INDEX(Assumptions!$C$5:$C$9,MATCH($D113,Assumptions!$A$5:$A$9,0))</f>
        <v>1.37</v>
      </c>
      <c r="Q113" s="19">
        <f>INDEX(Assumptions!$D$14:$D$16,MATCH($C113,Assumptions!$A$14:$A$16,0))</f>
        <v>0.05</v>
      </c>
      <c r="R113" s="23">
        <f t="shared" si="31"/>
        <v>475</v>
      </c>
      <c r="S113" s="19">
        <f>INDEX(Assumptions!$C$14:$C$16,MATCH($C113,Assumptions!$A$14:$A$16,0))</f>
        <v>0.22</v>
      </c>
      <c r="T113" s="20">
        <f t="shared" si="32"/>
        <v>281.66666666666663</v>
      </c>
      <c r="U113" s="24">
        <f t="shared" si="33"/>
        <v>393.60099999999994</v>
      </c>
      <c r="V113" s="25">
        <f t="shared" si="34"/>
        <v>0.36633894736842104</v>
      </c>
      <c r="W113" s="5" t="str">
        <f t="shared" si="35"/>
        <v>A01|CA</v>
      </c>
    </row>
    <row r="114" spans="1:23" x14ac:dyDescent="0.2">
      <c r="A114" s="5" t="s">
        <v>151</v>
      </c>
      <c r="B114" s="17" t="str">
        <f>INDEX(SKU_Master!$C$5:$C$34,MATCH($A114,SKU_Master!$A$5:$A$34,0))</f>
        <v>WD22TB4 Thunderbolt Dock</v>
      </c>
      <c r="C114" s="17" t="str">
        <f>INDEX(SKU_Master!$D$5:$D$34,MATCH($A114,SKU_Master!$A$5:$A$34,0))</f>
        <v>Accessory</v>
      </c>
      <c r="D114" s="5" t="s">
        <v>70</v>
      </c>
      <c r="E114" s="17" t="str">
        <f>INDEX(Assumptions!$B$5:$B$9,MATCH($D114,Assumptions!$A$5:$A$9,0))</f>
        <v>INR</v>
      </c>
      <c r="F114" s="18">
        <f>INDEX(SKU_Master!$G$5:$G$34,MATCH($A114,SKU_Master!$A$5:$A$34,0))</f>
        <v>215</v>
      </c>
      <c r="G114" s="19">
        <f>INDEX(SKU_Master!$H$5:$H$34,MATCH($A114,SKU_Master!$A$5:$A$34,0))</f>
        <v>0.02</v>
      </c>
      <c r="H114" s="20">
        <f t="shared" si="27"/>
        <v>210.7</v>
      </c>
      <c r="I114" s="19">
        <f>INDEX(Assumptions!$D$5:$D$9,MATCH($D114,Assumptions!$A$5:$A$9,0))</f>
        <v>0.11</v>
      </c>
      <c r="J114" s="20">
        <f t="shared" si="28"/>
        <v>23.177</v>
      </c>
      <c r="K114" s="18">
        <f>INDEX(Assumptions!$F$5:$H$9,MATCH($D114,Assumptions!$A$5:$A$9,0),MATCH($C114,Assumptions!$F$4:$H$4,0))</f>
        <v>15</v>
      </c>
      <c r="L114" s="21">
        <f t="shared" si="29"/>
        <v>248.87699999999998</v>
      </c>
      <c r="M114" s="19">
        <f>INDEX(Assumptions!$B$14:$B$16,MATCH($C114,Assumptions!$A$14:$A$16,0))</f>
        <v>0.32</v>
      </c>
      <c r="N114" s="20">
        <f t="shared" si="30"/>
        <v>365.99558823529412</v>
      </c>
      <c r="O114" s="19">
        <f>INDEX(Assumptions!$E$5:$E$9,MATCH($D114,Assumptions!$A$5:$A$9,0))</f>
        <v>0.02</v>
      </c>
      <c r="P114" s="22">
        <f>INDEX(Assumptions!$C$5:$C$9,MATCH($D114,Assumptions!$A$5:$A$9,0))</f>
        <v>83.5</v>
      </c>
      <c r="Q114" s="19">
        <f>INDEX(Assumptions!$D$14:$D$16,MATCH($C114,Assumptions!$A$14:$A$16,0))</f>
        <v>0.05</v>
      </c>
      <c r="R114" s="23">
        <f t="shared" si="31"/>
        <v>32735</v>
      </c>
      <c r="S114" s="19">
        <f>INDEX(Assumptions!$C$14:$C$16,MATCH($C114,Assumptions!$A$14:$A$16,0))</f>
        <v>0.22</v>
      </c>
      <c r="T114" s="20">
        <f t="shared" si="32"/>
        <v>319.07307692307688</v>
      </c>
      <c r="U114" s="24">
        <f t="shared" si="33"/>
        <v>27175.45396153846</v>
      </c>
      <c r="V114" s="25">
        <f t="shared" si="34"/>
        <v>0.3651678784175959</v>
      </c>
      <c r="W114" s="5" t="str">
        <f t="shared" si="35"/>
        <v>A01|IN</v>
      </c>
    </row>
    <row r="115" spans="1:23" x14ac:dyDescent="0.2">
      <c r="A115" s="5" t="s">
        <v>154</v>
      </c>
      <c r="B115" s="17" t="str">
        <f>INDEX(SKU_Master!$C$5:$C$34,MATCH($A115,SKU_Master!$A$5:$A$34,0))</f>
        <v>TS4 Thunderbolt Dock</v>
      </c>
      <c r="C115" s="17" t="str">
        <f>INDEX(SKU_Master!$D$5:$D$34,MATCH($A115,SKU_Master!$A$5:$A$34,0))</f>
        <v>Accessory</v>
      </c>
      <c r="D115" s="5" t="s">
        <v>62</v>
      </c>
      <c r="E115" s="17" t="str">
        <f>INDEX(Assumptions!$B$5:$B$9,MATCH($D115,Assumptions!$A$5:$A$9,0))</f>
        <v>USD</v>
      </c>
      <c r="F115" s="18">
        <f>INDEX(SKU_Master!$G$5:$G$34,MATCH($A115,SKU_Master!$A$5:$A$34,0))</f>
        <v>300</v>
      </c>
      <c r="G115" s="19">
        <f>INDEX(SKU_Master!$H$5:$H$34,MATCH($A115,SKU_Master!$A$5:$A$34,0))</f>
        <v>0</v>
      </c>
      <c r="H115" s="20">
        <f t="shared" si="27"/>
        <v>300</v>
      </c>
      <c r="I115" s="19">
        <f>INDEX(Assumptions!$D$5:$D$9,MATCH($D115,Assumptions!$A$5:$A$9,0))</f>
        <v>0</v>
      </c>
      <c r="J115" s="20">
        <f t="shared" si="28"/>
        <v>0</v>
      </c>
      <c r="K115" s="18">
        <f>INDEX(Assumptions!$F$5:$H$9,MATCH($D115,Assumptions!$A$5:$A$9,0),MATCH($C115,Assumptions!$F$4:$H$4,0))</f>
        <v>6</v>
      </c>
      <c r="L115" s="21">
        <f t="shared" si="29"/>
        <v>306</v>
      </c>
      <c r="M115" s="19">
        <f>INDEX(Assumptions!$B$14:$B$16,MATCH($C115,Assumptions!$A$14:$A$16,0))</f>
        <v>0.32</v>
      </c>
      <c r="N115" s="20">
        <f t="shared" si="30"/>
        <v>450.00000000000006</v>
      </c>
      <c r="O115" s="19">
        <f>INDEX(Assumptions!$E$5:$E$9,MATCH($D115,Assumptions!$A$5:$A$9,0))</f>
        <v>0</v>
      </c>
      <c r="P115" s="22">
        <f>INDEX(Assumptions!$C$5:$C$9,MATCH($D115,Assumptions!$A$5:$A$9,0))</f>
        <v>1</v>
      </c>
      <c r="Q115" s="19">
        <f>INDEX(Assumptions!$D$14:$D$16,MATCH($C115,Assumptions!$A$14:$A$16,0))</f>
        <v>0.05</v>
      </c>
      <c r="R115" s="23">
        <f t="shared" si="31"/>
        <v>475</v>
      </c>
      <c r="S115" s="19">
        <f>INDEX(Assumptions!$C$14:$C$16,MATCH($C115,Assumptions!$A$14:$A$16,0))</f>
        <v>0.22</v>
      </c>
      <c r="T115" s="20">
        <f t="shared" si="32"/>
        <v>392.30769230769232</v>
      </c>
      <c r="U115" s="24">
        <f t="shared" si="33"/>
        <v>392.30769230769232</v>
      </c>
      <c r="V115" s="25">
        <f t="shared" si="34"/>
        <v>0.35578947368421054</v>
      </c>
      <c r="W115" s="5" t="str">
        <f t="shared" si="35"/>
        <v>A02|US</v>
      </c>
    </row>
    <row r="116" spans="1:23" x14ac:dyDescent="0.2">
      <c r="A116" s="5" t="s">
        <v>154</v>
      </c>
      <c r="B116" s="17" t="str">
        <f>INDEX(SKU_Master!$C$5:$C$34,MATCH($A116,SKU_Master!$A$5:$A$34,0))</f>
        <v>TS4 Thunderbolt Dock</v>
      </c>
      <c r="C116" s="17" t="str">
        <f>INDEX(SKU_Master!$D$5:$D$34,MATCH($A116,SKU_Master!$A$5:$A$34,0))</f>
        <v>Accessory</v>
      </c>
      <c r="D116" s="5" t="s">
        <v>64</v>
      </c>
      <c r="E116" s="17" t="str">
        <f>INDEX(Assumptions!$B$5:$B$9,MATCH($D116,Assumptions!$A$5:$A$9,0))</f>
        <v>GBP</v>
      </c>
      <c r="F116" s="18">
        <f>INDEX(SKU_Master!$G$5:$G$34,MATCH($A116,SKU_Master!$A$5:$A$34,0))</f>
        <v>300</v>
      </c>
      <c r="G116" s="19">
        <f>INDEX(SKU_Master!$H$5:$H$34,MATCH($A116,SKU_Master!$A$5:$A$34,0))</f>
        <v>0</v>
      </c>
      <c r="H116" s="20">
        <f t="shared" si="27"/>
        <v>300</v>
      </c>
      <c r="I116" s="19">
        <f>INDEX(Assumptions!$D$5:$D$9,MATCH($D116,Assumptions!$A$5:$A$9,0))</f>
        <v>0</v>
      </c>
      <c r="J116" s="20">
        <f t="shared" si="28"/>
        <v>0</v>
      </c>
      <c r="K116" s="18">
        <f>INDEX(Assumptions!$F$5:$H$9,MATCH($D116,Assumptions!$A$5:$A$9,0),MATCH($C116,Assumptions!$F$4:$H$4,0))</f>
        <v>12</v>
      </c>
      <c r="L116" s="21">
        <f t="shared" si="29"/>
        <v>312</v>
      </c>
      <c r="M116" s="19">
        <f>INDEX(Assumptions!$B$14:$B$16,MATCH($C116,Assumptions!$A$14:$A$16,0))</f>
        <v>0.32</v>
      </c>
      <c r="N116" s="20">
        <f t="shared" si="30"/>
        <v>458.82352941176475</v>
      </c>
      <c r="O116" s="19">
        <f>INDEX(Assumptions!$E$5:$E$9,MATCH($D116,Assumptions!$A$5:$A$9,0))</f>
        <v>0.02</v>
      </c>
      <c r="P116" s="22">
        <f>INDEX(Assumptions!$C$5:$C$9,MATCH($D116,Assumptions!$A$5:$A$9,0))</f>
        <v>0.79</v>
      </c>
      <c r="Q116" s="19">
        <f>INDEX(Assumptions!$D$14:$D$16,MATCH($C116,Assumptions!$A$14:$A$16,0))</f>
        <v>0.05</v>
      </c>
      <c r="R116" s="23">
        <f t="shared" si="31"/>
        <v>390</v>
      </c>
      <c r="S116" s="19">
        <f>INDEX(Assumptions!$C$14:$C$16,MATCH($C116,Assumptions!$A$14:$A$16,0))</f>
        <v>0.22</v>
      </c>
      <c r="T116" s="20">
        <f t="shared" si="32"/>
        <v>400</v>
      </c>
      <c r="U116" s="24">
        <f t="shared" si="33"/>
        <v>322.32</v>
      </c>
      <c r="V116" s="25">
        <f t="shared" si="34"/>
        <v>0.36799999999999994</v>
      </c>
      <c r="W116" s="5" t="str">
        <f t="shared" si="35"/>
        <v>A02|UK</v>
      </c>
    </row>
    <row r="117" spans="1:23" x14ac:dyDescent="0.2">
      <c r="A117" s="5" t="s">
        <v>154</v>
      </c>
      <c r="B117" s="17" t="str">
        <f>INDEX(SKU_Master!$C$5:$C$34,MATCH($A117,SKU_Master!$A$5:$A$34,0))</f>
        <v>TS4 Thunderbolt Dock</v>
      </c>
      <c r="C117" s="17" t="str">
        <f>INDEX(SKU_Master!$D$5:$D$34,MATCH($A117,SKU_Master!$A$5:$A$34,0))</f>
        <v>Accessory</v>
      </c>
      <c r="D117" s="5" t="s">
        <v>66</v>
      </c>
      <c r="E117" s="17" t="str">
        <f>INDEX(Assumptions!$B$5:$B$9,MATCH($D117,Assumptions!$A$5:$A$9,0))</f>
        <v>EUR</v>
      </c>
      <c r="F117" s="18">
        <f>INDEX(SKU_Master!$G$5:$G$34,MATCH($A117,SKU_Master!$A$5:$A$34,0))</f>
        <v>300</v>
      </c>
      <c r="G117" s="19">
        <f>INDEX(SKU_Master!$H$5:$H$34,MATCH($A117,SKU_Master!$A$5:$A$34,0))</f>
        <v>0</v>
      </c>
      <c r="H117" s="20">
        <f t="shared" si="27"/>
        <v>300</v>
      </c>
      <c r="I117" s="19">
        <f>INDEX(Assumptions!$D$5:$D$9,MATCH($D117,Assumptions!$A$5:$A$9,0))</f>
        <v>0</v>
      </c>
      <c r="J117" s="20">
        <f t="shared" si="28"/>
        <v>0</v>
      </c>
      <c r="K117" s="18">
        <f>INDEX(Assumptions!$F$5:$H$9,MATCH($D117,Assumptions!$A$5:$A$9,0),MATCH($C117,Assumptions!$F$4:$H$4,0))</f>
        <v>11</v>
      </c>
      <c r="L117" s="21">
        <f t="shared" si="29"/>
        <v>311</v>
      </c>
      <c r="M117" s="19">
        <f>INDEX(Assumptions!$B$14:$B$16,MATCH($C117,Assumptions!$A$14:$A$16,0))</f>
        <v>0.32</v>
      </c>
      <c r="N117" s="20">
        <f t="shared" si="30"/>
        <v>457.35294117647061</v>
      </c>
      <c r="O117" s="19">
        <f>INDEX(Assumptions!$E$5:$E$9,MATCH($D117,Assumptions!$A$5:$A$9,0))</f>
        <v>0.02</v>
      </c>
      <c r="P117" s="22">
        <f>INDEX(Assumptions!$C$5:$C$9,MATCH($D117,Assumptions!$A$5:$A$9,0))</f>
        <v>0.92</v>
      </c>
      <c r="Q117" s="19">
        <f>INDEX(Assumptions!$D$14:$D$16,MATCH($C117,Assumptions!$A$14:$A$16,0))</f>
        <v>0.05</v>
      </c>
      <c r="R117" s="23">
        <f t="shared" si="31"/>
        <v>455</v>
      </c>
      <c r="S117" s="19">
        <f>INDEX(Assumptions!$C$14:$C$16,MATCH($C117,Assumptions!$A$14:$A$16,0))</f>
        <v>0.22</v>
      </c>
      <c r="T117" s="20">
        <f t="shared" si="32"/>
        <v>398.71794871794873</v>
      </c>
      <c r="U117" s="24">
        <f t="shared" si="33"/>
        <v>374.15692307692314</v>
      </c>
      <c r="V117" s="25">
        <f t="shared" si="34"/>
        <v>0.37116483516483512</v>
      </c>
      <c r="W117" s="5" t="str">
        <f t="shared" si="35"/>
        <v>A02|DE</v>
      </c>
    </row>
    <row r="118" spans="1:23" x14ac:dyDescent="0.2">
      <c r="A118" s="5" t="s">
        <v>154</v>
      </c>
      <c r="B118" s="17" t="str">
        <f>INDEX(SKU_Master!$C$5:$C$34,MATCH($A118,SKU_Master!$A$5:$A$34,0))</f>
        <v>TS4 Thunderbolt Dock</v>
      </c>
      <c r="C118" s="17" t="str">
        <f>INDEX(SKU_Master!$D$5:$D$34,MATCH($A118,SKU_Master!$A$5:$A$34,0))</f>
        <v>Accessory</v>
      </c>
      <c r="D118" s="5" t="s">
        <v>68</v>
      </c>
      <c r="E118" s="17" t="str">
        <f>INDEX(Assumptions!$B$5:$B$9,MATCH($D118,Assumptions!$A$5:$A$9,0))</f>
        <v>CAD</v>
      </c>
      <c r="F118" s="18">
        <f>INDEX(SKU_Master!$G$5:$G$34,MATCH($A118,SKU_Master!$A$5:$A$34,0))</f>
        <v>300</v>
      </c>
      <c r="G118" s="19">
        <f>INDEX(SKU_Master!$H$5:$H$34,MATCH($A118,SKU_Master!$A$5:$A$34,0))</f>
        <v>0</v>
      </c>
      <c r="H118" s="20">
        <f t="shared" si="27"/>
        <v>300</v>
      </c>
      <c r="I118" s="19">
        <f>INDEX(Assumptions!$D$5:$D$9,MATCH($D118,Assumptions!$A$5:$A$9,0))</f>
        <v>0</v>
      </c>
      <c r="J118" s="20">
        <f t="shared" si="28"/>
        <v>0</v>
      </c>
      <c r="K118" s="18">
        <f>INDEX(Assumptions!$F$5:$H$9,MATCH($D118,Assumptions!$A$5:$A$9,0),MATCH($C118,Assumptions!$F$4:$H$4,0))</f>
        <v>9</v>
      </c>
      <c r="L118" s="21">
        <f t="shared" si="29"/>
        <v>309</v>
      </c>
      <c r="M118" s="19">
        <f>INDEX(Assumptions!$B$14:$B$16,MATCH($C118,Assumptions!$A$14:$A$16,0))</f>
        <v>0.32</v>
      </c>
      <c r="N118" s="20">
        <f t="shared" si="30"/>
        <v>454.41176470588238</v>
      </c>
      <c r="O118" s="19">
        <f>INDEX(Assumptions!$E$5:$E$9,MATCH($D118,Assumptions!$A$5:$A$9,0))</f>
        <v>0.02</v>
      </c>
      <c r="P118" s="22">
        <f>INDEX(Assumptions!$C$5:$C$9,MATCH($D118,Assumptions!$A$5:$A$9,0))</f>
        <v>1.37</v>
      </c>
      <c r="Q118" s="19">
        <f>INDEX(Assumptions!$D$14:$D$16,MATCH($C118,Assumptions!$A$14:$A$16,0))</f>
        <v>0.05</v>
      </c>
      <c r="R118" s="23">
        <f t="shared" si="31"/>
        <v>670</v>
      </c>
      <c r="S118" s="19">
        <f>INDEX(Assumptions!$C$14:$C$16,MATCH($C118,Assumptions!$A$14:$A$16,0))</f>
        <v>0.22</v>
      </c>
      <c r="T118" s="20">
        <f t="shared" si="32"/>
        <v>396.15384615384613</v>
      </c>
      <c r="U118" s="24">
        <f t="shared" si="33"/>
        <v>553.58538461538456</v>
      </c>
      <c r="V118" s="25">
        <f t="shared" si="34"/>
        <v>0.36816417910447757</v>
      </c>
      <c r="W118" s="5" t="str">
        <f t="shared" si="35"/>
        <v>A02|CA</v>
      </c>
    </row>
    <row r="119" spans="1:23" x14ac:dyDescent="0.2">
      <c r="A119" s="5" t="s">
        <v>154</v>
      </c>
      <c r="B119" s="17" t="str">
        <f>INDEX(SKU_Master!$C$5:$C$34,MATCH($A119,SKU_Master!$A$5:$A$34,0))</f>
        <v>TS4 Thunderbolt Dock</v>
      </c>
      <c r="C119" s="17" t="str">
        <f>INDEX(SKU_Master!$D$5:$D$34,MATCH($A119,SKU_Master!$A$5:$A$34,0))</f>
        <v>Accessory</v>
      </c>
      <c r="D119" s="5" t="s">
        <v>70</v>
      </c>
      <c r="E119" s="17" t="str">
        <f>INDEX(Assumptions!$B$5:$B$9,MATCH($D119,Assumptions!$A$5:$A$9,0))</f>
        <v>INR</v>
      </c>
      <c r="F119" s="18">
        <f>INDEX(SKU_Master!$G$5:$G$34,MATCH($A119,SKU_Master!$A$5:$A$34,0))</f>
        <v>300</v>
      </c>
      <c r="G119" s="19">
        <f>INDEX(SKU_Master!$H$5:$H$34,MATCH($A119,SKU_Master!$A$5:$A$34,0))</f>
        <v>0</v>
      </c>
      <c r="H119" s="20">
        <f t="shared" si="27"/>
        <v>300</v>
      </c>
      <c r="I119" s="19">
        <f>INDEX(Assumptions!$D$5:$D$9,MATCH($D119,Assumptions!$A$5:$A$9,0))</f>
        <v>0.11</v>
      </c>
      <c r="J119" s="20">
        <f t="shared" si="28"/>
        <v>33</v>
      </c>
      <c r="K119" s="18">
        <f>INDEX(Assumptions!$F$5:$H$9,MATCH($D119,Assumptions!$A$5:$A$9,0),MATCH($C119,Assumptions!$F$4:$H$4,0))</f>
        <v>15</v>
      </c>
      <c r="L119" s="21">
        <f t="shared" si="29"/>
        <v>348</v>
      </c>
      <c r="M119" s="19">
        <f>INDEX(Assumptions!$B$14:$B$16,MATCH($C119,Assumptions!$A$14:$A$16,0))</f>
        <v>0.32</v>
      </c>
      <c r="N119" s="20">
        <f t="shared" si="30"/>
        <v>511.76470588235298</v>
      </c>
      <c r="O119" s="19">
        <f>INDEX(Assumptions!$E$5:$E$9,MATCH($D119,Assumptions!$A$5:$A$9,0))</f>
        <v>0.02</v>
      </c>
      <c r="P119" s="22">
        <f>INDEX(Assumptions!$C$5:$C$9,MATCH($D119,Assumptions!$A$5:$A$9,0))</f>
        <v>83.5</v>
      </c>
      <c r="Q119" s="19">
        <f>INDEX(Assumptions!$D$14:$D$16,MATCH($C119,Assumptions!$A$14:$A$16,0))</f>
        <v>0.05</v>
      </c>
      <c r="R119" s="23">
        <f t="shared" si="31"/>
        <v>45770</v>
      </c>
      <c r="S119" s="19">
        <f>INDEX(Assumptions!$C$14:$C$16,MATCH($C119,Assumptions!$A$14:$A$16,0))</f>
        <v>0.22</v>
      </c>
      <c r="T119" s="20">
        <f t="shared" si="32"/>
        <v>446.15384615384613</v>
      </c>
      <c r="U119" s="24">
        <f t="shared" si="33"/>
        <v>37998.923076923071</v>
      </c>
      <c r="V119" s="25">
        <f t="shared" si="34"/>
        <v>0.36512999781516275</v>
      </c>
      <c r="W119" s="5" t="str">
        <f t="shared" si="35"/>
        <v>A02|IN</v>
      </c>
    </row>
    <row r="120" spans="1:23" x14ac:dyDescent="0.2">
      <c r="A120" s="5" t="s">
        <v>157</v>
      </c>
      <c r="B120" s="17" t="str">
        <f>INDEX(SKU_Master!$C$5:$C$34,MATCH($A120,SKU_Master!$A$5:$A$34,0))</f>
        <v>MX Keys S Keyboard</v>
      </c>
      <c r="C120" s="17" t="str">
        <f>INDEX(SKU_Master!$D$5:$D$34,MATCH($A120,SKU_Master!$A$5:$A$34,0))</f>
        <v>Accessory</v>
      </c>
      <c r="D120" s="5" t="s">
        <v>62</v>
      </c>
      <c r="E120" s="17" t="str">
        <f>INDEX(Assumptions!$B$5:$B$9,MATCH($D120,Assumptions!$A$5:$A$9,0))</f>
        <v>USD</v>
      </c>
      <c r="F120" s="18">
        <f>INDEX(SKU_Master!$G$5:$G$34,MATCH($A120,SKU_Master!$A$5:$A$34,0))</f>
        <v>80</v>
      </c>
      <c r="G120" s="19">
        <f>INDEX(SKU_Master!$H$5:$H$34,MATCH($A120,SKU_Master!$A$5:$A$34,0))</f>
        <v>0</v>
      </c>
      <c r="H120" s="20">
        <f t="shared" si="27"/>
        <v>80</v>
      </c>
      <c r="I120" s="19">
        <f>INDEX(Assumptions!$D$5:$D$9,MATCH($D120,Assumptions!$A$5:$A$9,0))</f>
        <v>0</v>
      </c>
      <c r="J120" s="20">
        <f t="shared" si="28"/>
        <v>0</v>
      </c>
      <c r="K120" s="18">
        <f>INDEX(Assumptions!$F$5:$H$9,MATCH($D120,Assumptions!$A$5:$A$9,0),MATCH($C120,Assumptions!$F$4:$H$4,0))</f>
        <v>6</v>
      </c>
      <c r="L120" s="21">
        <f t="shared" si="29"/>
        <v>86</v>
      </c>
      <c r="M120" s="19">
        <f>INDEX(Assumptions!$B$14:$B$16,MATCH($C120,Assumptions!$A$14:$A$16,0))</f>
        <v>0.32</v>
      </c>
      <c r="N120" s="20">
        <f t="shared" si="30"/>
        <v>126.47058823529413</v>
      </c>
      <c r="O120" s="19">
        <f>INDEX(Assumptions!$E$5:$E$9,MATCH($D120,Assumptions!$A$5:$A$9,0))</f>
        <v>0</v>
      </c>
      <c r="P120" s="22">
        <f>INDEX(Assumptions!$C$5:$C$9,MATCH($D120,Assumptions!$A$5:$A$9,0))</f>
        <v>1</v>
      </c>
      <c r="Q120" s="19">
        <f>INDEX(Assumptions!$D$14:$D$16,MATCH($C120,Assumptions!$A$14:$A$16,0))</f>
        <v>0.05</v>
      </c>
      <c r="R120" s="23">
        <f t="shared" si="31"/>
        <v>135</v>
      </c>
      <c r="S120" s="19">
        <f>INDEX(Assumptions!$C$14:$C$16,MATCH($C120,Assumptions!$A$14:$A$16,0))</f>
        <v>0.22</v>
      </c>
      <c r="T120" s="20">
        <f t="shared" si="32"/>
        <v>110.25641025641025</v>
      </c>
      <c r="U120" s="24">
        <f t="shared" si="33"/>
        <v>110.25641025641025</v>
      </c>
      <c r="V120" s="25">
        <f t="shared" si="34"/>
        <v>0.36296296296296299</v>
      </c>
      <c r="W120" s="5" t="str">
        <f t="shared" si="35"/>
        <v>A03|US</v>
      </c>
    </row>
    <row r="121" spans="1:23" x14ac:dyDescent="0.2">
      <c r="A121" s="5" t="s">
        <v>157</v>
      </c>
      <c r="B121" s="17" t="str">
        <f>INDEX(SKU_Master!$C$5:$C$34,MATCH($A121,SKU_Master!$A$5:$A$34,0))</f>
        <v>MX Keys S Keyboard</v>
      </c>
      <c r="C121" s="17" t="str">
        <f>INDEX(SKU_Master!$D$5:$D$34,MATCH($A121,SKU_Master!$A$5:$A$34,0))</f>
        <v>Accessory</v>
      </c>
      <c r="D121" s="5" t="s">
        <v>64</v>
      </c>
      <c r="E121" s="17" t="str">
        <f>INDEX(Assumptions!$B$5:$B$9,MATCH($D121,Assumptions!$A$5:$A$9,0))</f>
        <v>GBP</v>
      </c>
      <c r="F121" s="18">
        <f>INDEX(SKU_Master!$G$5:$G$34,MATCH($A121,SKU_Master!$A$5:$A$34,0))</f>
        <v>80</v>
      </c>
      <c r="G121" s="19">
        <f>INDEX(SKU_Master!$H$5:$H$34,MATCH($A121,SKU_Master!$A$5:$A$34,0))</f>
        <v>0</v>
      </c>
      <c r="H121" s="20">
        <f t="shared" si="27"/>
        <v>80</v>
      </c>
      <c r="I121" s="19">
        <f>INDEX(Assumptions!$D$5:$D$9,MATCH($D121,Assumptions!$A$5:$A$9,0))</f>
        <v>0</v>
      </c>
      <c r="J121" s="20">
        <f t="shared" si="28"/>
        <v>0</v>
      </c>
      <c r="K121" s="18">
        <f>INDEX(Assumptions!$F$5:$H$9,MATCH($D121,Assumptions!$A$5:$A$9,0),MATCH($C121,Assumptions!$F$4:$H$4,0))</f>
        <v>12</v>
      </c>
      <c r="L121" s="21">
        <f t="shared" si="29"/>
        <v>92</v>
      </c>
      <c r="M121" s="19">
        <f>INDEX(Assumptions!$B$14:$B$16,MATCH($C121,Assumptions!$A$14:$A$16,0))</f>
        <v>0.32</v>
      </c>
      <c r="N121" s="20">
        <f t="shared" si="30"/>
        <v>135.29411764705884</v>
      </c>
      <c r="O121" s="19">
        <f>INDEX(Assumptions!$E$5:$E$9,MATCH($D121,Assumptions!$A$5:$A$9,0))</f>
        <v>0.02</v>
      </c>
      <c r="P121" s="22">
        <f>INDEX(Assumptions!$C$5:$C$9,MATCH($D121,Assumptions!$A$5:$A$9,0))</f>
        <v>0.79</v>
      </c>
      <c r="Q121" s="19">
        <f>INDEX(Assumptions!$D$14:$D$16,MATCH($C121,Assumptions!$A$14:$A$16,0))</f>
        <v>0.05</v>
      </c>
      <c r="R121" s="23">
        <f t="shared" si="31"/>
        <v>115</v>
      </c>
      <c r="S121" s="19">
        <f>INDEX(Assumptions!$C$14:$C$16,MATCH($C121,Assumptions!$A$14:$A$16,0))</f>
        <v>0.22</v>
      </c>
      <c r="T121" s="20">
        <f t="shared" si="32"/>
        <v>117.94871794871794</v>
      </c>
      <c r="U121" s="24">
        <f t="shared" si="33"/>
        <v>95.043076923076924</v>
      </c>
      <c r="V121" s="25">
        <f t="shared" si="34"/>
        <v>0.36799999999999994</v>
      </c>
      <c r="W121" s="5" t="str">
        <f t="shared" si="35"/>
        <v>A03|UK</v>
      </c>
    </row>
    <row r="122" spans="1:23" x14ac:dyDescent="0.2">
      <c r="A122" s="5" t="s">
        <v>157</v>
      </c>
      <c r="B122" s="17" t="str">
        <f>INDEX(SKU_Master!$C$5:$C$34,MATCH($A122,SKU_Master!$A$5:$A$34,0))</f>
        <v>MX Keys S Keyboard</v>
      </c>
      <c r="C122" s="17" t="str">
        <f>INDEX(SKU_Master!$D$5:$D$34,MATCH($A122,SKU_Master!$A$5:$A$34,0))</f>
        <v>Accessory</v>
      </c>
      <c r="D122" s="5" t="s">
        <v>66</v>
      </c>
      <c r="E122" s="17" t="str">
        <f>INDEX(Assumptions!$B$5:$B$9,MATCH($D122,Assumptions!$A$5:$A$9,0))</f>
        <v>EUR</v>
      </c>
      <c r="F122" s="18">
        <f>INDEX(SKU_Master!$G$5:$G$34,MATCH($A122,SKU_Master!$A$5:$A$34,0))</f>
        <v>80</v>
      </c>
      <c r="G122" s="19">
        <f>INDEX(SKU_Master!$H$5:$H$34,MATCH($A122,SKU_Master!$A$5:$A$34,0))</f>
        <v>0</v>
      </c>
      <c r="H122" s="20">
        <f t="shared" si="27"/>
        <v>80</v>
      </c>
      <c r="I122" s="19">
        <f>INDEX(Assumptions!$D$5:$D$9,MATCH($D122,Assumptions!$A$5:$A$9,0))</f>
        <v>0</v>
      </c>
      <c r="J122" s="20">
        <f t="shared" si="28"/>
        <v>0</v>
      </c>
      <c r="K122" s="18">
        <f>INDEX(Assumptions!$F$5:$H$9,MATCH($D122,Assumptions!$A$5:$A$9,0),MATCH($C122,Assumptions!$F$4:$H$4,0))</f>
        <v>11</v>
      </c>
      <c r="L122" s="21">
        <f t="shared" si="29"/>
        <v>91</v>
      </c>
      <c r="M122" s="19">
        <f>INDEX(Assumptions!$B$14:$B$16,MATCH($C122,Assumptions!$A$14:$A$16,0))</f>
        <v>0.32</v>
      </c>
      <c r="N122" s="20">
        <f t="shared" si="30"/>
        <v>133.82352941176472</v>
      </c>
      <c r="O122" s="19">
        <f>INDEX(Assumptions!$E$5:$E$9,MATCH($D122,Assumptions!$A$5:$A$9,0))</f>
        <v>0.02</v>
      </c>
      <c r="P122" s="22">
        <f>INDEX(Assumptions!$C$5:$C$9,MATCH($D122,Assumptions!$A$5:$A$9,0))</f>
        <v>0.92</v>
      </c>
      <c r="Q122" s="19">
        <f>INDEX(Assumptions!$D$14:$D$16,MATCH($C122,Assumptions!$A$14:$A$16,0))</f>
        <v>0.05</v>
      </c>
      <c r="R122" s="23">
        <f t="shared" si="31"/>
        <v>135</v>
      </c>
      <c r="S122" s="19">
        <f>INDEX(Assumptions!$C$14:$C$16,MATCH($C122,Assumptions!$A$14:$A$16,0))</f>
        <v>0.22</v>
      </c>
      <c r="T122" s="20">
        <f t="shared" si="32"/>
        <v>116.66666666666666</v>
      </c>
      <c r="U122" s="24">
        <f t="shared" si="33"/>
        <v>109.47999999999999</v>
      </c>
      <c r="V122" s="25">
        <f t="shared" si="34"/>
        <v>0.37985185185185177</v>
      </c>
      <c r="W122" s="5" t="str">
        <f t="shared" si="35"/>
        <v>A03|DE</v>
      </c>
    </row>
    <row r="123" spans="1:23" x14ac:dyDescent="0.2">
      <c r="A123" s="5" t="s">
        <v>157</v>
      </c>
      <c r="B123" s="17" t="str">
        <f>INDEX(SKU_Master!$C$5:$C$34,MATCH($A123,SKU_Master!$A$5:$A$34,0))</f>
        <v>MX Keys S Keyboard</v>
      </c>
      <c r="C123" s="17" t="str">
        <f>INDEX(SKU_Master!$D$5:$D$34,MATCH($A123,SKU_Master!$A$5:$A$34,0))</f>
        <v>Accessory</v>
      </c>
      <c r="D123" s="5" t="s">
        <v>68</v>
      </c>
      <c r="E123" s="17" t="str">
        <f>INDEX(Assumptions!$B$5:$B$9,MATCH($D123,Assumptions!$A$5:$A$9,0))</f>
        <v>CAD</v>
      </c>
      <c r="F123" s="18">
        <f>INDEX(SKU_Master!$G$5:$G$34,MATCH($A123,SKU_Master!$A$5:$A$34,0))</f>
        <v>80</v>
      </c>
      <c r="G123" s="19">
        <f>INDEX(SKU_Master!$H$5:$H$34,MATCH($A123,SKU_Master!$A$5:$A$34,0))</f>
        <v>0</v>
      </c>
      <c r="H123" s="20">
        <f t="shared" si="27"/>
        <v>80</v>
      </c>
      <c r="I123" s="19">
        <f>INDEX(Assumptions!$D$5:$D$9,MATCH($D123,Assumptions!$A$5:$A$9,0))</f>
        <v>0</v>
      </c>
      <c r="J123" s="20">
        <f t="shared" si="28"/>
        <v>0</v>
      </c>
      <c r="K123" s="18">
        <f>INDEX(Assumptions!$F$5:$H$9,MATCH($D123,Assumptions!$A$5:$A$9,0),MATCH($C123,Assumptions!$F$4:$H$4,0))</f>
        <v>9</v>
      </c>
      <c r="L123" s="21">
        <f t="shared" si="29"/>
        <v>89</v>
      </c>
      <c r="M123" s="19">
        <f>INDEX(Assumptions!$B$14:$B$16,MATCH($C123,Assumptions!$A$14:$A$16,0))</f>
        <v>0.32</v>
      </c>
      <c r="N123" s="20">
        <f t="shared" si="30"/>
        <v>130.88235294117649</v>
      </c>
      <c r="O123" s="19">
        <f>INDEX(Assumptions!$E$5:$E$9,MATCH($D123,Assumptions!$A$5:$A$9,0))</f>
        <v>0.02</v>
      </c>
      <c r="P123" s="22">
        <f>INDEX(Assumptions!$C$5:$C$9,MATCH($D123,Assumptions!$A$5:$A$9,0))</f>
        <v>1.37</v>
      </c>
      <c r="Q123" s="19">
        <f>INDEX(Assumptions!$D$14:$D$16,MATCH($C123,Assumptions!$A$14:$A$16,0))</f>
        <v>0.05</v>
      </c>
      <c r="R123" s="23">
        <f t="shared" si="31"/>
        <v>195</v>
      </c>
      <c r="S123" s="19">
        <f>INDEX(Assumptions!$C$14:$C$16,MATCH($C123,Assumptions!$A$14:$A$16,0))</f>
        <v>0.22</v>
      </c>
      <c r="T123" s="20">
        <f t="shared" si="32"/>
        <v>114.1025641025641</v>
      </c>
      <c r="U123" s="24">
        <f t="shared" si="33"/>
        <v>159.4469230769231</v>
      </c>
      <c r="V123" s="25">
        <f t="shared" si="34"/>
        <v>0.37471794871794867</v>
      </c>
      <c r="W123" s="5" t="str">
        <f t="shared" si="35"/>
        <v>A03|CA</v>
      </c>
    </row>
    <row r="124" spans="1:23" x14ac:dyDescent="0.2">
      <c r="A124" s="5" t="s">
        <v>157</v>
      </c>
      <c r="B124" s="17" t="str">
        <f>INDEX(SKU_Master!$C$5:$C$34,MATCH($A124,SKU_Master!$A$5:$A$34,0))</f>
        <v>MX Keys S Keyboard</v>
      </c>
      <c r="C124" s="17" t="str">
        <f>INDEX(SKU_Master!$D$5:$D$34,MATCH($A124,SKU_Master!$A$5:$A$34,0))</f>
        <v>Accessory</v>
      </c>
      <c r="D124" s="5" t="s">
        <v>70</v>
      </c>
      <c r="E124" s="17" t="str">
        <f>INDEX(Assumptions!$B$5:$B$9,MATCH($D124,Assumptions!$A$5:$A$9,0))</f>
        <v>INR</v>
      </c>
      <c r="F124" s="18">
        <f>INDEX(SKU_Master!$G$5:$G$34,MATCH($A124,SKU_Master!$A$5:$A$34,0))</f>
        <v>80</v>
      </c>
      <c r="G124" s="19">
        <f>INDEX(SKU_Master!$H$5:$H$34,MATCH($A124,SKU_Master!$A$5:$A$34,0))</f>
        <v>0</v>
      </c>
      <c r="H124" s="20">
        <f t="shared" si="27"/>
        <v>80</v>
      </c>
      <c r="I124" s="19">
        <f>INDEX(Assumptions!$D$5:$D$9,MATCH($D124,Assumptions!$A$5:$A$9,0))</f>
        <v>0.11</v>
      </c>
      <c r="J124" s="20">
        <f t="shared" si="28"/>
        <v>8.8000000000000007</v>
      </c>
      <c r="K124" s="18">
        <f>INDEX(Assumptions!$F$5:$H$9,MATCH($D124,Assumptions!$A$5:$A$9,0),MATCH($C124,Assumptions!$F$4:$H$4,0))</f>
        <v>15</v>
      </c>
      <c r="L124" s="21">
        <f t="shared" si="29"/>
        <v>103.8</v>
      </c>
      <c r="M124" s="19">
        <f>INDEX(Assumptions!$B$14:$B$16,MATCH($C124,Assumptions!$A$14:$A$16,0))</f>
        <v>0.32</v>
      </c>
      <c r="N124" s="20">
        <f t="shared" si="30"/>
        <v>152.64705882352942</v>
      </c>
      <c r="O124" s="19">
        <f>INDEX(Assumptions!$E$5:$E$9,MATCH($D124,Assumptions!$A$5:$A$9,0))</f>
        <v>0.02</v>
      </c>
      <c r="P124" s="22">
        <f>INDEX(Assumptions!$C$5:$C$9,MATCH($D124,Assumptions!$A$5:$A$9,0))</f>
        <v>83.5</v>
      </c>
      <c r="Q124" s="19">
        <f>INDEX(Assumptions!$D$14:$D$16,MATCH($C124,Assumptions!$A$14:$A$16,0))</f>
        <v>0.05</v>
      </c>
      <c r="R124" s="23">
        <f t="shared" si="31"/>
        <v>13655</v>
      </c>
      <c r="S124" s="19">
        <f>INDEX(Assumptions!$C$14:$C$16,MATCH($C124,Assumptions!$A$14:$A$16,0))</f>
        <v>0.22</v>
      </c>
      <c r="T124" s="20">
        <f t="shared" si="32"/>
        <v>133.07692307692307</v>
      </c>
      <c r="U124" s="24">
        <f t="shared" si="33"/>
        <v>11334.161538461538</v>
      </c>
      <c r="V124" s="25">
        <f t="shared" si="34"/>
        <v>0.3652654705236178</v>
      </c>
      <c r="W124" s="5" t="str">
        <f t="shared" si="35"/>
        <v>A03|IN</v>
      </c>
    </row>
    <row r="125" spans="1:23" x14ac:dyDescent="0.2">
      <c r="A125" s="5" t="s">
        <v>161</v>
      </c>
      <c r="B125" s="17" t="str">
        <f>INDEX(SKU_Master!$C$5:$C$34,MATCH($A125,SKU_Master!$A$5:$A$34,0))</f>
        <v>MX Master 3S Mouse</v>
      </c>
      <c r="C125" s="17" t="str">
        <f>INDEX(SKU_Master!$D$5:$D$34,MATCH($A125,SKU_Master!$A$5:$A$34,0))</f>
        <v>Accessory</v>
      </c>
      <c r="D125" s="5" t="s">
        <v>62</v>
      </c>
      <c r="E125" s="17" t="str">
        <f>INDEX(Assumptions!$B$5:$B$9,MATCH($D125,Assumptions!$A$5:$A$9,0))</f>
        <v>USD</v>
      </c>
      <c r="F125" s="18">
        <f>INDEX(SKU_Master!$G$5:$G$34,MATCH($A125,SKU_Master!$A$5:$A$34,0))</f>
        <v>70</v>
      </c>
      <c r="G125" s="19">
        <f>INDEX(SKU_Master!$H$5:$H$34,MATCH($A125,SKU_Master!$A$5:$A$34,0))</f>
        <v>0</v>
      </c>
      <c r="H125" s="20">
        <f t="shared" si="27"/>
        <v>70</v>
      </c>
      <c r="I125" s="19">
        <f>INDEX(Assumptions!$D$5:$D$9,MATCH($D125,Assumptions!$A$5:$A$9,0))</f>
        <v>0</v>
      </c>
      <c r="J125" s="20">
        <f t="shared" si="28"/>
        <v>0</v>
      </c>
      <c r="K125" s="18">
        <f>INDEX(Assumptions!$F$5:$H$9,MATCH($D125,Assumptions!$A$5:$A$9,0),MATCH($C125,Assumptions!$F$4:$H$4,0))</f>
        <v>6</v>
      </c>
      <c r="L125" s="21">
        <f t="shared" si="29"/>
        <v>76</v>
      </c>
      <c r="M125" s="19">
        <f>INDEX(Assumptions!$B$14:$B$16,MATCH($C125,Assumptions!$A$14:$A$16,0))</f>
        <v>0.32</v>
      </c>
      <c r="N125" s="20">
        <f t="shared" si="30"/>
        <v>111.76470588235296</v>
      </c>
      <c r="O125" s="19">
        <f>INDEX(Assumptions!$E$5:$E$9,MATCH($D125,Assumptions!$A$5:$A$9,0))</f>
        <v>0</v>
      </c>
      <c r="P125" s="22">
        <f>INDEX(Assumptions!$C$5:$C$9,MATCH($D125,Assumptions!$A$5:$A$9,0))</f>
        <v>1</v>
      </c>
      <c r="Q125" s="19">
        <f>INDEX(Assumptions!$D$14:$D$16,MATCH($C125,Assumptions!$A$14:$A$16,0))</f>
        <v>0.05</v>
      </c>
      <c r="R125" s="23">
        <f t="shared" si="31"/>
        <v>120</v>
      </c>
      <c r="S125" s="19">
        <f>INDEX(Assumptions!$C$14:$C$16,MATCH($C125,Assumptions!$A$14:$A$16,0))</f>
        <v>0.22</v>
      </c>
      <c r="T125" s="20">
        <f t="shared" si="32"/>
        <v>97.435897435897431</v>
      </c>
      <c r="U125" s="24">
        <f t="shared" si="33"/>
        <v>97.435897435897431</v>
      </c>
      <c r="V125" s="25">
        <f t="shared" si="34"/>
        <v>0.36666666666666664</v>
      </c>
      <c r="W125" s="5" t="str">
        <f t="shared" si="35"/>
        <v>A04|US</v>
      </c>
    </row>
    <row r="126" spans="1:23" x14ac:dyDescent="0.2">
      <c r="A126" s="5" t="s">
        <v>161</v>
      </c>
      <c r="B126" s="17" t="str">
        <f>INDEX(SKU_Master!$C$5:$C$34,MATCH($A126,SKU_Master!$A$5:$A$34,0))</f>
        <v>MX Master 3S Mouse</v>
      </c>
      <c r="C126" s="17" t="str">
        <f>INDEX(SKU_Master!$D$5:$D$34,MATCH($A126,SKU_Master!$A$5:$A$34,0))</f>
        <v>Accessory</v>
      </c>
      <c r="D126" s="5" t="s">
        <v>64</v>
      </c>
      <c r="E126" s="17" t="str">
        <f>INDEX(Assumptions!$B$5:$B$9,MATCH($D126,Assumptions!$A$5:$A$9,0))</f>
        <v>GBP</v>
      </c>
      <c r="F126" s="18">
        <f>INDEX(SKU_Master!$G$5:$G$34,MATCH($A126,SKU_Master!$A$5:$A$34,0))</f>
        <v>70</v>
      </c>
      <c r="G126" s="19">
        <f>INDEX(SKU_Master!$H$5:$H$34,MATCH($A126,SKU_Master!$A$5:$A$34,0))</f>
        <v>0</v>
      </c>
      <c r="H126" s="20">
        <f t="shared" si="27"/>
        <v>70</v>
      </c>
      <c r="I126" s="19">
        <f>INDEX(Assumptions!$D$5:$D$9,MATCH($D126,Assumptions!$A$5:$A$9,0))</f>
        <v>0</v>
      </c>
      <c r="J126" s="20">
        <f t="shared" si="28"/>
        <v>0</v>
      </c>
      <c r="K126" s="18">
        <f>INDEX(Assumptions!$F$5:$H$9,MATCH($D126,Assumptions!$A$5:$A$9,0),MATCH($C126,Assumptions!$F$4:$H$4,0))</f>
        <v>12</v>
      </c>
      <c r="L126" s="21">
        <f t="shared" si="29"/>
        <v>82</v>
      </c>
      <c r="M126" s="19">
        <f>INDEX(Assumptions!$B$14:$B$16,MATCH($C126,Assumptions!$A$14:$A$16,0))</f>
        <v>0.32</v>
      </c>
      <c r="N126" s="20">
        <f t="shared" si="30"/>
        <v>120.58823529411765</v>
      </c>
      <c r="O126" s="19">
        <f>INDEX(Assumptions!$E$5:$E$9,MATCH($D126,Assumptions!$A$5:$A$9,0))</f>
        <v>0.02</v>
      </c>
      <c r="P126" s="22">
        <f>INDEX(Assumptions!$C$5:$C$9,MATCH($D126,Assumptions!$A$5:$A$9,0))</f>
        <v>0.79</v>
      </c>
      <c r="Q126" s="19">
        <f>INDEX(Assumptions!$D$14:$D$16,MATCH($C126,Assumptions!$A$14:$A$16,0))</f>
        <v>0.05</v>
      </c>
      <c r="R126" s="23">
        <f t="shared" si="31"/>
        <v>105</v>
      </c>
      <c r="S126" s="19">
        <f>INDEX(Assumptions!$C$14:$C$16,MATCH($C126,Assumptions!$A$14:$A$16,0))</f>
        <v>0.22</v>
      </c>
      <c r="T126" s="20">
        <f t="shared" si="32"/>
        <v>105.12820512820512</v>
      </c>
      <c r="U126" s="24">
        <f t="shared" si="33"/>
        <v>84.712307692307689</v>
      </c>
      <c r="V126" s="25">
        <f t="shared" si="34"/>
        <v>0.38304761904761903</v>
      </c>
      <c r="W126" s="5" t="str">
        <f t="shared" si="35"/>
        <v>A04|UK</v>
      </c>
    </row>
    <row r="127" spans="1:23" x14ac:dyDescent="0.2">
      <c r="A127" s="5" t="s">
        <v>161</v>
      </c>
      <c r="B127" s="17" t="str">
        <f>INDEX(SKU_Master!$C$5:$C$34,MATCH($A127,SKU_Master!$A$5:$A$34,0))</f>
        <v>MX Master 3S Mouse</v>
      </c>
      <c r="C127" s="17" t="str">
        <f>INDEX(SKU_Master!$D$5:$D$34,MATCH($A127,SKU_Master!$A$5:$A$34,0))</f>
        <v>Accessory</v>
      </c>
      <c r="D127" s="5" t="s">
        <v>66</v>
      </c>
      <c r="E127" s="17" t="str">
        <f>INDEX(Assumptions!$B$5:$B$9,MATCH($D127,Assumptions!$A$5:$A$9,0))</f>
        <v>EUR</v>
      </c>
      <c r="F127" s="18">
        <f>INDEX(SKU_Master!$G$5:$G$34,MATCH($A127,SKU_Master!$A$5:$A$34,0))</f>
        <v>70</v>
      </c>
      <c r="G127" s="19">
        <f>INDEX(SKU_Master!$H$5:$H$34,MATCH($A127,SKU_Master!$A$5:$A$34,0))</f>
        <v>0</v>
      </c>
      <c r="H127" s="20">
        <f t="shared" si="27"/>
        <v>70</v>
      </c>
      <c r="I127" s="19">
        <f>INDEX(Assumptions!$D$5:$D$9,MATCH($D127,Assumptions!$A$5:$A$9,0))</f>
        <v>0</v>
      </c>
      <c r="J127" s="20">
        <f t="shared" si="28"/>
        <v>0</v>
      </c>
      <c r="K127" s="18">
        <f>INDEX(Assumptions!$F$5:$H$9,MATCH($D127,Assumptions!$A$5:$A$9,0),MATCH($C127,Assumptions!$F$4:$H$4,0))</f>
        <v>11</v>
      </c>
      <c r="L127" s="21">
        <f t="shared" si="29"/>
        <v>81</v>
      </c>
      <c r="M127" s="19">
        <f>INDEX(Assumptions!$B$14:$B$16,MATCH($C127,Assumptions!$A$14:$A$16,0))</f>
        <v>0.32</v>
      </c>
      <c r="N127" s="20">
        <f t="shared" si="30"/>
        <v>119.11764705882354</v>
      </c>
      <c r="O127" s="19">
        <f>INDEX(Assumptions!$E$5:$E$9,MATCH($D127,Assumptions!$A$5:$A$9,0))</f>
        <v>0.02</v>
      </c>
      <c r="P127" s="22">
        <f>INDEX(Assumptions!$C$5:$C$9,MATCH($D127,Assumptions!$A$5:$A$9,0))</f>
        <v>0.92</v>
      </c>
      <c r="Q127" s="19">
        <f>INDEX(Assumptions!$D$14:$D$16,MATCH($C127,Assumptions!$A$14:$A$16,0))</f>
        <v>0.05</v>
      </c>
      <c r="R127" s="23">
        <f t="shared" si="31"/>
        <v>120</v>
      </c>
      <c r="S127" s="19">
        <f>INDEX(Assumptions!$C$14:$C$16,MATCH($C127,Assumptions!$A$14:$A$16,0))</f>
        <v>0.22</v>
      </c>
      <c r="T127" s="20">
        <f t="shared" si="32"/>
        <v>103.84615384615384</v>
      </c>
      <c r="U127" s="24">
        <f t="shared" si="33"/>
        <v>97.449230769230766</v>
      </c>
      <c r="V127" s="25">
        <f t="shared" si="34"/>
        <v>0.379</v>
      </c>
      <c r="W127" s="5" t="str">
        <f t="shared" si="35"/>
        <v>A04|DE</v>
      </c>
    </row>
    <row r="128" spans="1:23" x14ac:dyDescent="0.2">
      <c r="A128" s="5" t="s">
        <v>161</v>
      </c>
      <c r="B128" s="17" t="str">
        <f>INDEX(SKU_Master!$C$5:$C$34,MATCH($A128,SKU_Master!$A$5:$A$34,0))</f>
        <v>MX Master 3S Mouse</v>
      </c>
      <c r="C128" s="17" t="str">
        <f>INDEX(SKU_Master!$D$5:$D$34,MATCH($A128,SKU_Master!$A$5:$A$34,0))</f>
        <v>Accessory</v>
      </c>
      <c r="D128" s="5" t="s">
        <v>68</v>
      </c>
      <c r="E128" s="17" t="str">
        <f>INDEX(Assumptions!$B$5:$B$9,MATCH($D128,Assumptions!$A$5:$A$9,0))</f>
        <v>CAD</v>
      </c>
      <c r="F128" s="18">
        <f>INDEX(SKU_Master!$G$5:$G$34,MATCH($A128,SKU_Master!$A$5:$A$34,0))</f>
        <v>70</v>
      </c>
      <c r="G128" s="19">
        <f>INDEX(SKU_Master!$H$5:$H$34,MATCH($A128,SKU_Master!$A$5:$A$34,0))</f>
        <v>0</v>
      </c>
      <c r="H128" s="20">
        <f t="shared" si="27"/>
        <v>70</v>
      </c>
      <c r="I128" s="19">
        <f>INDEX(Assumptions!$D$5:$D$9,MATCH($D128,Assumptions!$A$5:$A$9,0))</f>
        <v>0</v>
      </c>
      <c r="J128" s="20">
        <f t="shared" si="28"/>
        <v>0</v>
      </c>
      <c r="K128" s="18">
        <f>INDEX(Assumptions!$F$5:$H$9,MATCH($D128,Assumptions!$A$5:$A$9,0),MATCH($C128,Assumptions!$F$4:$H$4,0))</f>
        <v>9</v>
      </c>
      <c r="L128" s="21">
        <f t="shared" si="29"/>
        <v>79</v>
      </c>
      <c r="M128" s="19">
        <f>INDEX(Assumptions!$B$14:$B$16,MATCH($C128,Assumptions!$A$14:$A$16,0))</f>
        <v>0.32</v>
      </c>
      <c r="N128" s="20">
        <f t="shared" si="30"/>
        <v>116.1764705882353</v>
      </c>
      <c r="O128" s="19">
        <f>INDEX(Assumptions!$E$5:$E$9,MATCH($D128,Assumptions!$A$5:$A$9,0))</f>
        <v>0.02</v>
      </c>
      <c r="P128" s="22">
        <f>INDEX(Assumptions!$C$5:$C$9,MATCH($D128,Assumptions!$A$5:$A$9,0))</f>
        <v>1.37</v>
      </c>
      <c r="Q128" s="19">
        <f>INDEX(Assumptions!$D$14:$D$16,MATCH($C128,Assumptions!$A$14:$A$16,0))</f>
        <v>0.05</v>
      </c>
      <c r="R128" s="23">
        <f t="shared" si="31"/>
        <v>175</v>
      </c>
      <c r="S128" s="19">
        <f>INDEX(Assumptions!$C$14:$C$16,MATCH($C128,Assumptions!$A$14:$A$16,0))</f>
        <v>0.22</v>
      </c>
      <c r="T128" s="20">
        <f t="shared" si="32"/>
        <v>101.28205128205128</v>
      </c>
      <c r="U128" s="24">
        <f t="shared" si="33"/>
        <v>141.53153846153847</v>
      </c>
      <c r="V128" s="25">
        <f t="shared" si="34"/>
        <v>0.38154285714285713</v>
      </c>
      <c r="W128" s="5" t="str">
        <f t="shared" si="35"/>
        <v>A04|CA</v>
      </c>
    </row>
    <row r="129" spans="1:23" x14ac:dyDescent="0.2">
      <c r="A129" s="5" t="s">
        <v>161</v>
      </c>
      <c r="B129" s="17" t="str">
        <f>INDEX(SKU_Master!$C$5:$C$34,MATCH($A129,SKU_Master!$A$5:$A$34,0))</f>
        <v>MX Master 3S Mouse</v>
      </c>
      <c r="C129" s="17" t="str">
        <f>INDEX(SKU_Master!$D$5:$D$34,MATCH($A129,SKU_Master!$A$5:$A$34,0))</f>
        <v>Accessory</v>
      </c>
      <c r="D129" s="5" t="s">
        <v>70</v>
      </c>
      <c r="E129" s="17" t="str">
        <f>INDEX(Assumptions!$B$5:$B$9,MATCH($D129,Assumptions!$A$5:$A$9,0))</f>
        <v>INR</v>
      </c>
      <c r="F129" s="18">
        <f>INDEX(SKU_Master!$G$5:$G$34,MATCH($A129,SKU_Master!$A$5:$A$34,0))</f>
        <v>70</v>
      </c>
      <c r="G129" s="19">
        <f>INDEX(SKU_Master!$H$5:$H$34,MATCH($A129,SKU_Master!$A$5:$A$34,0))</f>
        <v>0</v>
      </c>
      <c r="H129" s="20">
        <f t="shared" si="27"/>
        <v>70</v>
      </c>
      <c r="I129" s="19">
        <f>INDEX(Assumptions!$D$5:$D$9,MATCH($D129,Assumptions!$A$5:$A$9,0))</f>
        <v>0.11</v>
      </c>
      <c r="J129" s="20">
        <f t="shared" si="28"/>
        <v>7.7</v>
      </c>
      <c r="K129" s="18">
        <f>INDEX(Assumptions!$F$5:$H$9,MATCH($D129,Assumptions!$A$5:$A$9,0),MATCH($C129,Assumptions!$F$4:$H$4,0))</f>
        <v>15</v>
      </c>
      <c r="L129" s="21">
        <f t="shared" si="29"/>
        <v>92.7</v>
      </c>
      <c r="M129" s="19">
        <f>INDEX(Assumptions!$B$14:$B$16,MATCH($C129,Assumptions!$A$14:$A$16,0))</f>
        <v>0.32</v>
      </c>
      <c r="N129" s="20">
        <f t="shared" si="30"/>
        <v>136.32352941176472</v>
      </c>
      <c r="O129" s="19">
        <f>INDEX(Assumptions!$E$5:$E$9,MATCH($D129,Assumptions!$A$5:$A$9,0))</f>
        <v>0.02</v>
      </c>
      <c r="P129" s="22">
        <f>INDEX(Assumptions!$C$5:$C$9,MATCH($D129,Assumptions!$A$5:$A$9,0))</f>
        <v>83.5</v>
      </c>
      <c r="Q129" s="19">
        <f>INDEX(Assumptions!$D$14:$D$16,MATCH($C129,Assumptions!$A$14:$A$16,0))</f>
        <v>0.05</v>
      </c>
      <c r="R129" s="23">
        <f t="shared" si="31"/>
        <v>12195</v>
      </c>
      <c r="S129" s="19">
        <f>INDEX(Assumptions!$C$14:$C$16,MATCH($C129,Assumptions!$A$14:$A$16,0))</f>
        <v>0.22</v>
      </c>
      <c r="T129" s="20">
        <f t="shared" si="32"/>
        <v>118.84615384615384</v>
      </c>
      <c r="U129" s="24">
        <f t="shared" si="33"/>
        <v>10122.126923076923</v>
      </c>
      <c r="V129" s="25">
        <f t="shared" si="34"/>
        <v>0.36527675276752763</v>
      </c>
      <c r="W129" s="5" t="str">
        <f t="shared" si="35"/>
        <v>A04|IN</v>
      </c>
    </row>
    <row r="130" spans="1:23" x14ac:dyDescent="0.2">
      <c r="A130" s="5" t="s">
        <v>164</v>
      </c>
      <c r="B130" s="17" t="str">
        <f>INDEX(SKU_Master!$C$5:$C$34,MATCH($A130,SKU_Master!$A$5:$A$34,0))</f>
        <v>Magic Keyboard with Touch ID</v>
      </c>
      <c r="C130" s="17" t="str">
        <f>INDEX(SKU_Master!$D$5:$D$34,MATCH($A130,SKU_Master!$A$5:$A$34,0))</f>
        <v>Accessory</v>
      </c>
      <c r="D130" s="5" t="s">
        <v>62</v>
      </c>
      <c r="E130" s="17" t="str">
        <f>INDEX(Assumptions!$B$5:$B$9,MATCH($D130,Assumptions!$A$5:$A$9,0))</f>
        <v>USD</v>
      </c>
      <c r="F130" s="18">
        <f>INDEX(SKU_Master!$G$5:$G$34,MATCH($A130,SKU_Master!$A$5:$A$34,0))</f>
        <v>115</v>
      </c>
      <c r="G130" s="19">
        <f>INDEX(SKU_Master!$H$5:$H$34,MATCH($A130,SKU_Master!$A$5:$A$34,0))</f>
        <v>0</v>
      </c>
      <c r="H130" s="20">
        <f t="shared" si="27"/>
        <v>115</v>
      </c>
      <c r="I130" s="19">
        <f>INDEX(Assumptions!$D$5:$D$9,MATCH($D130,Assumptions!$A$5:$A$9,0))</f>
        <v>0</v>
      </c>
      <c r="J130" s="20">
        <f t="shared" si="28"/>
        <v>0</v>
      </c>
      <c r="K130" s="18">
        <f>INDEX(Assumptions!$F$5:$H$9,MATCH($D130,Assumptions!$A$5:$A$9,0),MATCH($C130,Assumptions!$F$4:$H$4,0))</f>
        <v>6</v>
      </c>
      <c r="L130" s="21">
        <f t="shared" si="29"/>
        <v>121</v>
      </c>
      <c r="M130" s="19">
        <f>INDEX(Assumptions!$B$14:$B$16,MATCH($C130,Assumptions!$A$14:$A$16,0))</f>
        <v>0.32</v>
      </c>
      <c r="N130" s="20">
        <f t="shared" si="30"/>
        <v>177.94117647058826</v>
      </c>
      <c r="O130" s="19">
        <f>INDEX(Assumptions!$E$5:$E$9,MATCH($D130,Assumptions!$A$5:$A$9,0))</f>
        <v>0</v>
      </c>
      <c r="P130" s="22">
        <f>INDEX(Assumptions!$C$5:$C$9,MATCH($D130,Assumptions!$A$5:$A$9,0))</f>
        <v>1</v>
      </c>
      <c r="Q130" s="19">
        <f>INDEX(Assumptions!$D$14:$D$16,MATCH($C130,Assumptions!$A$14:$A$16,0))</f>
        <v>0.05</v>
      </c>
      <c r="R130" s="23">
        <f t="shared" si="31"/>
        <v>190</v>
      </c>
      <c r="S130" s="19">
        <f>INDEX(Assumptions!$C$14:$C$16,MATCH($C130,Assumptions!$A$14:$A$16,0))</f>
        <v>0.22</v>
      </c>
      <c r="T130" s="20">
        <f t="shared" si="32"/>
        <v>155.12820512820511</v>
      </c>
      <c r="U130" s="24">
        <f t="shared" si="33"/>
        <v>155.12820512820511</v>
      </c>
      <c r="V130" s="25">
        <f t="shared" si="34"/>
        <v>0.36315789473684212</v>
      </c>
      <c r="W130" s="5" t="str">
        <f t="shared" si="35"/>
        <v>A05|US</v>
      </c>
    </row>
    <row r="131" spans="1:23" x14ac:dyDescent="0.2">
      <c r="A131" s="5" t="s">
        <v>164</v>
      </c>
      <c r="B131" s="17" t="str">
        <f>INDEX(SKU_Master!$C$5:$C$34,MATCH($A131,SKU_Master!$A$5:$A$34,0))</f>
        <v>Magic Keyboard with Touch ID</v>
      </c>
      <c r="C131" s="17" t="str">
        <f>INDEX(SKU_Master!$D$5:$D$34,MATCH($A131,SKU_Master!$A$5:$A$34,0))</f>
        <v>Accessory</v>
      </c>
      <c r="D131" s="5" t="s">
        <v>64</v>
      </c>
      <c r="E131" s="17" t="str">
        <f>INDEX(Assumptions!$B$5:$B$9,MATCH($D131,Assumptions!$A$5:$A$9,0))</f>
        <v>GBP</v>
      </c>
      <c r="F131" s="18">
        <f>INDEX(SKU_Master!$G$5:$G$34,MATCH($A131,SKU_Master!$A$5:$A$34,0))</f>
        <v>115</v>
      </c>
      <c r="G131" s="19">
        <f>INDEX(SKU_Master!$H$5:$H$34,MATCH($A131,SKU_Master!$A$5:$A$34,0))</f>
        <v>0</v>
      </c>
      <c r="H131" s="20">
        <f t="shared" si="27"/>
        <v>115</v>
      </c>
      <c r="I131" s="19">
        <f>INDEX(Assumptions!$D$5:$D$9,MATCH($D131,Assumptions!$A$5:$A$9,0))</f>
        <v>0</v>
      </c>
      <c r="J131" s="20">
        <f t="shared" si="28"/>
        <v>0</v>
      </c>
      <c r="K131" s="18">
        <f>INDEX(Assumptions!$F$5:$H$9,MATCH($D131,Assumptions!$A$5:$A$9,0),MATCH($C131,Assumptions!$F$4:$H$4,0))</f>
        <v>12</v>
      </c>
      <c r="L131" s="21">
        <f t="shared" si="29"/>
        <v>127</v>
      </c>
      <c r="M131" s="19">
        <f>INDEX(Assumptions!$B$14:$B$16,MATCH($C131,Assumptions!$A$14:$A$16,0))</f>
        <v>0.32</v>
      </c>
      <c r="N131" s="20">
        <f t="shared" si="30"/>
        <v>186.76470588235296</v>
      </c>
      <c r="O131" s="19">
        <f>INDEX(Assumptions!$E$5:$E$9,MATCH($D131,Assumptions!$A$5:$A$9,0))</f>
        <v>0.02</v>
      </c>
      <c r="P131" s="22">
        <f>INDEX(Assumptions!$C$5:$C$9,MATCH($D131,Assumptions!$A$5:$A$9,0))</f>
        <v>0.79</v>
      </c>
      <c r="Q131" s="19">
        <f>INDEX(Assumptions!$D$14:$D$16,MATCH($C131,Assumptions!$A$14:$A$16,0))</f>
        <v>0.05</v>
      </c>
      <c r="R131" s="23">
        <f t="shared" si="31"/>
        <v>160</v>
      </c>
      <c r="S131" s="19">
        <f>INDEX(Assumptions!$C$14:$C$16,MATCH($C131,Assumptions!$A$14:$A$16,0))</f>
        <v>0.22</v>
      </c>
      <c r="T131" s="20">
        <f t="shared" si="32"/>
        <v>162.82051282051282</v>
      </c>
      <c r="U131" s="24">
        <f t="shared" si="33"/>
        <v>131.20076923076923</v>
      </c>
      <c r="V131" s="25">
        <f t="shared" si="34"/>
        <v>0.37293749999999998</v>
      </c>
      <c r="W131" s="5" t="str">
        <f t="shared" si="35"/>
        <v>A05|UK</v>
      </c>
    </row>
    <row r="132" spans="1:23" x14ac:dyDescent="0.2">
      <c r="A132" s="5" t="s">
        <v>164</v>
      </c>
      <c r="B132" s="17" t="str">
        <f>INDEX(SKU_Master!$C$5:$C$34,MATCH($A132,SKU_Master!$A$5:$A$34,0))</f>
        <v>Magic Keyboard with Touch ID</v>
      </c>
      <c r="C132" s="17" t="str">
        <f>INDEX(SKU_Master!$D$5:$D$34,MATCH($A132,SKU_Master!$A$5:$A$34,0))</f>
        <v>Accessory</v>
      </c>
      <c r="D132" s="5" t="s">
        <v>66</v>
      </c>
      <c r="E132" s="17" t="str">
        <f>INDEX(Assumptions!$B$5:$B$9,MATCH($D132,Assumptions!$A$5:$A$9,0))</f>
        <v>EUR</v>
      </c>
      <c r="F132" s="18">
        <f>INDEX(SKU_Master!$G$5:$G$34,MATCH($A132,SKU_Master!$A$5:$A$34,0))</f>
        <v>115</v>
      </c>
      <c r="G132" s="19">
        <f>INDEX(SKU_Master!$H$5:$H$34,MATCH($A132,SKU_Master!$A$5:$A$34,0))</f>
        <v>0</v>
      </c>
      <c r="H132" s="20">
        <f t="shared" si="27"/>
        <v>115</v>
      </c>
      <c r="I132" s="19">
        <f>INDEX(Assumptions!$D$5:$D$9,MATCH($D132,Assumptions!$A$5:$A$9,0))</f>
        <v>0</v>
      </c>
      <c r="J132" s="20">
        <f t="shared" si="28"/>
        <v>0</v>
      </c>
      <c r="K132" s="18">
        <f>INDEX(Assumptions!$F$5:$H$9,MATCH($D132,Assumptions!$A$5:$A$9,0),MATCH($C132,Assumptions!$F$4:$H$4,0))</f>
        <v>11</v>
      </c>
      <c r="L132" s="21">
        <f t="shared" si="29"/>
        <v>126</v>
      </c>
      <c r="M132" s="19">
        <f>INDEX(Assumptions!$B$14:$B$16,MATCH($C132,Assumptions!$A$14:$A$16,0))</f>
        <v>0.32</v>
      </c>
      <c r="N132" s="20">
        <f t="shared" si="30"/>
        <v>185.29411764705884</v>
      </c>
      <c r="O132" s="19">
        <f>INDEX(Assumptions!$E$5:$E$9,MATCH($D132,Assumptions!$A$5:$A$9,0))</f>
        <v>0.02</v>
      </c>
      <c r="P132" s="22">
        <f>INDEX(Assumptions!$C$5:$C$9,MATCH($D132,Assumptions!$A$5:$A$9,0))</f>
        <v>0.92</v>
      </c>
      <c r="Q132" s="19">
        <f>INDEX(Assumptions!$D$14:$D$16,MATCH($C132,Assumptions!$A$14:$A$16,0))</f>
        <v>0.05</v>
      </c>
      <c r="R132" s="23">
        <f t="shared" si="31"/>
        <v>185</v>
      </c>
      <c r="S132" s="19">
        <f>INDEX(Assumptions!$C$14:$C$16,MATCH($C132,Assumptions!$A$14:$A$16,0))</f>
        <v>0.22</v>
      </c>
      <c r="T132" s="20">
        <f t="shared" si="32"/>
        <v>161.53846153846152</v>
      </c>
      <c r="U132" s="24">
        <f t="shared" si="33"/>
        <v>151.58769230769229</v>
      </c>
      <c r="V132" s="25">
        <f t="shared" si="34"/>
        <v>0.3734054054054054</v>
      </c>
      <c r="W132" s="5" t="str">
        <f t="shared" si="35"/>
        <v>A05|DE</v>
      </c>
    </row>
    <row r="133" spans="1:23" x14ac:dyDescent="0.2">
      <c r="A133" s="5" t="s">
        <v>164</v>
      </c>
      <c r="B133" s="17" t="str">
        <f>INDEX(SKU_Master!$C$5:$C$34,MATCH($A133,SKU_Master!$A$5:$A$34,0))</f>
        <v>Magic Keyboard with Touch ID</v>
      </c>
      <c r="C133" s="17" t="str">
        <f>INDEX(SKU_Master!$D$5:$D$34,MATCH($A133,SKU_Master!$A$5:$A$34,0))</f>
        <v>Accessory</v>
      </c>
      <c r="D133" s="5" t="s">
        <v>68</v>
      </c>
      <c r="E133" s="17" t="str">
        <f>INDEX(Assumptions!$B$5:$B$9,MATCH($D133,Assumptions!$A$5:$A$9,0))</f>
        <v>CAD</v>
      </c>
      <c r="F133" s="18">
        <f>INDEX(SKU_Master!$G$5:$G$34,MATCH($A133,SKU_Master!$A$5:$A$34,0))</f>
        <v>115</v>
      </c>
      <c r="G133" s="19">
        <f>INDEX(SKU_Master!$H$5:$H$34,MATCH($A133,SKU_Master!$A$5:$A$34,0))</f>
        <v>0</v>
      </c>
      <c r="H133" s="20">
        <f t="shared" ref="H133:H164" si="36">F133*(1-G133)</f>
        <v>115</v>
      </c>
      <c r="I133" s="19">
        <f>INDEX(Assumptions!$D$5:$D$9,MATCH($D133,Assumptions!$A$5:$A$9,0))</f>
        <v>0</v>
      </c>
      <c r="J133" s="20">
        <f t="shared" ref="J133:J164" si="37">H133*I133</f>
        <v>0</v>
      </c>
      <c r="K133" s="18">
        <f>INDEX(Assumptions!$F$5:$H$9,MATCH($D133,Assumptions!$A$5:$A$9,0),MATCH($C133,Assumptions!$F$4:$H$4,0))</f>
        <v>9</v>
      </c>
      <c r="L133" s="21">
        <f t="shared" ref="L133:L164" si="38">H133+J133+K133</f>
        <v>124</v>
      </c>
      <c r="M133" s="19">
        <f>INDEX(Assumptions!$B$14:$B$16,MATCH($C133,Assumptions!$A$14:$A$16,0))</f>
        <v>0.32</v>
      </c>
      <c r="N133" s="20">
        <f t="shared" ref="N133:N164" si="39">L133/(1-M133)</f>
        <v>182.35294117647061</v>
      </c>
      <c r="O133" s="19">
        <f>INDEX(Assumptions!$E$5:$E$9,MATCH($D133,Assumptions!$A$5:$A$9,0))</f>
        <v>0.02</v>
      </c>
      <c r="P133" s="22">
        <f>INDEX(Assumptions!$C$5:$C$9,MATCH($D133,Assumptions!$A$5:$A$9,0))</f>
        <v>1.37</v>
      </c>
      <c r="Q133" s="19">
        <f>INDEX(Assumptions!$D$14:$D$16,MATCH($C133,Assumptions!$A$14:$A$16,0))</f>
        <v>0.05</v>
      </c>
      <c r="R133" s="23">
        <f t="shared" ref="R133:R164" si="40">ROUNDUP(N133*(1+Q133)*(1+O133)*P133/5,0)*5</f>
        <v>270</v>
      </c>
      <c r="S133" s="19">
        <f>INDEX(Assumptions!$C$14:$C$16,MATCH($C133,Assumptions!$A$14:$A$16,0))</f>
        <v>0.22</v>
      </c>
      <c r="T133" s="20">
        <f t="shared" ref="T133:T164" si="41">L133/(1-S133)</f>
        <v>158.97435897435898</v>
      </c>
      <c r="U133" s="24">
        <f t="shared" ref="U133:U164" si="42">T133*(1+O133)*P133</f>
        <v>222.15076923076927</v>
      </c>
      <c r="V133" s="25">
        <f t="shared" ref="V133:V154" si="43">IF(R133=0,0,(R133/P133-L133)/(R133/P133))</f>
        <v>0.37081481481481476</v>
      </c>
      <c r="W133" s="5" t="str">
        <f t="shared" ref="W133:W154" si="44">A133&amp;"|"&amp;D133</f>
        <v>A05|CA</v>
      </c>
    </row>
    <row r="134" spans="1:23" x14ac:dyDescent="0.2">
      <c r="A134" s="5" t="s">
        <v>164</v>
      </c>
      <c r="B134" s="17" t="str">
        <f>INDEX(SKU_Master!$C$5:$C$34,MATCH($A134,SKU_Master!$A$5:$A$34,0))</f>
        <v>Magic Keyboard with Touch ID</v>
      </c>
      <c r="C134" s="17" t="str">
        <f>INDEX(SKU_Master!$D$5:$D$34,MATCH($A134,SKU_Master!$A$5:$A$34,0))</f>
        <v>Accessory</v>
      </c>
      <c r="D134" s="5" t="s">
        <v>70</v>
      </c>
      <c r="E134" s="17" t="str">
        <f>INDEX(Assumptions!$B$5:$B$9,MATCH($D134,Assumptions!$A$5:$A$9,0))</f>
        <v>INR</v>
      </c>
      <c r="F134" s="18">
        <f>INDEX(SKU_Master!$G$5:$G$34,MATCH($A134,SKU_Master!$A$5:$A$34,0))</f>
        <v>115</v>
      </c>
      <c r="G134" s="19">
        <f>INDEX(SKU_Master!$H$5:$H$34,MATCH($A134,SKU_Master!$A$5:$A$34,0))</f>
        <v>0</v>
      </c>
      <c r="H134" s="20">
        <f t="shared" si="36"/>
        <v>115</v>
      </c>
      <c r="I134" s="19">
        <f>INDEX(Assumptions!$D$5:$D$9,MATCH($D134,Assumptions!$A$5:$A$9,0))</f>
        <v>0.11</v>
      </c>
      <c r="J134" s="20">
        <f t="shared" si="37"/>
        <v>12.65</v>
      </c>
      <c r="K134" s="18">
        <f>INDEX(Assumptions!$F$5:$H$9,MATCH($D134,Assumptions!$A$5:$A$9,0),MATCH($C134,Assumptions!$F$4:$H$4,0))</f>
        <v>15</v>
      </c>
      <c r="L134" s="21">
        <f t="shared" si="38"/>
        <v>142.65</v>
      </c>
      <c r="M134" s="19">
        <f>INDEX(Assumptions!$B$14:$B$16,MATCH($C134,Assumptions!$A$14:$A$16,0))</f>
        <v>0.32</v>
      </c>
      <c r="N134" s="20">
        <f t="shared" si="39"/>
        <v>209.77941176470591</v>
      </c>
      <c r="O134" s="19">
        <f>INDEX(Assumptions!$E$5:$E$9,MATCH($D134,Assumptions!$A$5:$A$9,0))</f>
        <v>0.02</v>
      </c>
      <c r="P134" s="22">
        <f>INDEX(Assumptions!$C$5:$C$9,MATCH($D134,Assumptions!$A$5:$A$9,0))</f>
        <v>83.5</v>
      </c>
      <c r="Q134" s="19">
        <f>INDEX(Assumptions!$D$14:$D$16,MATCH($C134,Assumptions!$A$14:$A$16,0))</f>
        <v>0.05</v>
      </c>
      <c r="R134" s="23">
        <f t="shared" si="40"/>
        <v>18765</v>
      </c>
      <c r="S134" s="19">
        <f>INDEX(Assumptions!$C$14:$C$16,MATCH($C134,Assumptions!$A$14:$A$16,0))</f>
        <v>0.22</v>
      </c>
      <c r="T134" s="20">
        <f t="shared" si="41"/>
        <v>182.88461538461539</v>
      </c>
      <c r="U134" s="24">
        <f t="shared" si="42"/>
        <v>15576.282692307694</v>
      </c>
      <c r="V134" s="25">
        <f t="shared" si="43"/>
        <v>0.36523980815347717</v>
      </c>
      <c r="W134" s="5" t="str">
        <f t="shared" si="44"/>
        <v>A05|IN</v>
      </c>
    </row>
    <row r="135" spans="1:23" x14ac:dyDescent="0.2">
      <c r="A135" s="5" t="s">
        <v>166</v>
      </c>
      <c r="B135" s="17" t="str">
        <f>INDEX(SKU_Master!$C$5:$C$34,MATCH($A135,SKU_Master!$A$5:$A$34,0))</f>
        <v>Evolve2 65 Headset</v>
      </c>
      <c r="C135" s="17" t="str">
        <f>INDEX(SKU_Master!$D$5:$D$34,MATCH($A135,SKU_Master!$A$5:$A$34,0))</f>
        <v>Accessory</v>
      </c>
      <c r="D135" s="5" t="s">
        <v>62</v>
      </c>
      <c r="E135" s="17" t="str">
        <f>INDEX(Assumptions!$B$5:$B$9,MATCH($D135,Assumptions!$A$5:$A$9,0))</f>
        <v>USD</v>
      </c>
      <c r="F135" s="18">
        <f>INDEX(SKU_Master!$G$5:$G$34,MATCH($A135,SKU_Master!$A$5:$A$34,0))</f>
        <v>165</v>
      </c>
      <c r="G135" s="19">
        <f>INDEX(SKU_Master!$H$5:$H$34,MATCH($A135,SKU_Master!$A$5:$A$34,0))</f>
        <v>0.01</v>
      </c>
      <c r="H135" s="20">
        <f t="shared" si="36"/>
        <v>163.35</v>
      </c>
      <c r="I135" s="19">
        <f>INDEX(Assumptions!$D$5:$D$9,MATCH($D135,Assumptions!$A$5:$A$9,0))</f>
        <v>0</v>
      </c>
      <c r="J135" s="20">
        <f t="shared" si="37"/>
        <v>0</v>
      </c>
      <c r="K135" s="18">
        <f>INDEX(Assumptions!$F$5:$H$9,MATCH($D135,Assumptions!$A$5:$A$9,0),MATCH($C135,Assumptions!$F$4:$H$4,0))</f>
        <v>6</v>
      </c>
      <c r="L135" s="21">
        <f t="shared" si="38"/>
        <v>169.35</v>
      </c>
      <c r="M135" s="19">
        <f>INDEX(Assumptions!$B$14:$B$16,MATCH($C135,Assumptions!$A$14:$A$16,0))</f>
        <v>0.32</v>
      </c>
      <c r="N135" s="20">
        <f t="shared" si="39"/>
        <v>249.04411764705884</v>
      </c>
      <c r="O135" s="19">
        <f>INDEX(Assumptions!$E$5:$E$9,MATCH($D135,Assumptions!$A$5:$A$9,0))</f>
        <v>0</v>
      </c>
      <c r="P135" s="22">
        <f>INDEX(Assumptions!$C$5:$C$9,MATCH($D135,Assumptions!$A$5:$A$9,0))</f>
        <v>1</v>
      </c>
      <c r="Q135" s="19">
        <f>INDEX(Assumptions!$D$14:$D$16,MATCH($C135,Assumptions!$A$14:$A$16,0))</f>
        <v>0.05</v>
      </c>
      <c r="R135" s="23">
        <f t="shared" si="40"/>
        <v>265</v>
      </c>
      <c r="S135" s="19">
        <f>INDEX(Assumptions!$C$14:$C$16,MATCH($C135,Assumptions!$A$14:$A$16,0))</f>
        <v>0.22</v>
      </c>
      <c r="T135" s="20">
        <f t="shared" si="41"/>
        <v>217.11538461538461</v>
      </c>
      <c r="U135" s="24">
        <f t="shared" si="42"/>
        <v>217.11538461538461</v>
      </c>
      <c r="V135" s="25">
        <f t="shared" si="43"/>
        <v>0.36094339622641514</v>
      </c>
      <c r="W135" s="5" t="str">
        <f t="shared" si="44"/>
        <v>A06|US</v>
      </c>
    </row>
    <row r="136" spans="1:23" x14ac:dyDescent="0.2">
      <c r="A136" s="5" t="s">
        <v>166</v>
      </c>
      <c r="B136" s="17" t="str">
        <f>INDEX(SKU_Master!$C$5:$C$34,MATCH($A136,SKU_Master!$A$5:$A$34,0))</f>
        <v>Evolve2 65 Headset</v>
      </c>
      <c r="C136" s="17" t="str">
        <f>INDEX(SKU_Master!$D$5:$D$34,MATCH($A136,SKU_Master!$A$5:$A$34,0))</f>
        <v>Accessory</v>
      </c>
      <c r="D136" s="5" t="s">
        <v>64</v>
      </c>
      <c r="E136" s="17" t="str">
        <f>INDEX(Assumptions!$B$5:$B$9,MATCH($D136,Assumptions!$A$5:$A$9,0))</f>
        <v>GBP</v>
      </c>
      <c r="F136" s="18">
        <f>INDEX(SKU_Master!$G$5:$G$34,MATCH($A136,SKU_Master!$A$5:$A$34,0))</f>
        <v>165</v>
      </c>
      <c r="G136" s="19">
        <f>INDEX(SKU_Master!$H$5:$H$34,MATCH($A136,SKU_Master!$A$5:$A$34,0))</f>
        <v>0.01</v>
      </c>
      <c r="H136" s="20">
        <f t="shared" si="36"/>
        <v>163.35</v>
      </c>
      <c r="I136" s="19">
        <f>INDEX(Assumptions!$D$5:$D$9,MATCH($D136,Assumptions!$A$5:$A$9,0))</f>
        <v>0</v>
      </c>
      <c r="J136" s="20">
        <f t="shared" si="37"/>
        <v>0</v>
      </c>
      <c r="K136" s="18">
        <f>INDEX(Assumptions!$F$5:$H$9,MATCH($D136,Assumptions!$A$5:$A$9,0),MATCH($C136,Assumptions!$F$4:$H$4,0))</f>
        <v>12</v>
      </c>
      <c r="L136" s="21">
        <f t="shared" si="38"/>
        <v>175.35</v>
      </c>
      <c r="M136" s="19">
        <f>INDEX(Assumptions!$B$14:$B$16,MATCH($C136,Assumptions!$A$14:$A$16,0))</f>
        <v>0.32</v>
      </c>
      <c r="N136" s="20">
        <f t="shared" si="39"/>
        <v>257.86764705882354</v>
      </c>
      <c r="O136" s="19">
        <f>INDEX(Assumptions!$E$5:$E$9,MATCH($D136,Assumptions!$A$5:$A$9,0))</f>
        <v>0.02</v>
      </c>
      <c r="P136" s="22">
        <f>INDEX(Assumptions!$C$5:$C$9,MATCH($D136,Assumptions!$A$5:$A$9,0))</f>
        <v>0.79</v>
      </c>
      <c r="Q136" s="19">
        <f>INDEX(Assumptions!$D$14:$D$16,MATCH($C136,Assumptions!$A$14:$A$16,0))</f>
        <v>0.05</v>
      </c>
      <c r="R136" s="23">
        <f t="shared" si="40"/>
        <v>220</v>
      </c>
      <c r="S136" s="19">
        <f>INDEX(Assumptions!$C$14:$C$16,MATCH($C136,Assumptions!$A$14:$A$16,0))</f>
        <v>0.22</v>
      </c>
      <c r="T136" s="20">
        <f t="shared" si="41"/>
        <v>224.80769230769229</v>
      </c>
      <c r="U136" s="24">
        <f t="shared" si="42"/>
        <v>181.15003846153846</v>
      </c>
      <c r="V136" s="25">
        <f t="shared" si="43"/>
        <v>0.37033409090909086</v>
      </c>
      <c r="W136" s="5" t="str">
        <f t="shared" si="44"/>
        <v>A06|UK</v>
      </c>
    </row>
    <row r="137" spans="1:23" x14ac:dyDescent="0.2">
      <c r="A137" s="5" t="s">
        <v>166</v>
      </c>
      <c r="B137" s="17" t="str">
        <f>INDEX(SKU_Master!$C$5:$C$34,MATCH($A137,SKU_Master!$A$5:$A$34,0))</f>
        <v>Evolve2 65 Headset</v>
      </c>
      <c r="C137" s="17" t="str">
        <f>INDEX(SKU_Master!$D$5:$D$34,MATCH($A137,SKU_Master!$A$5:$A$34,0))</f>
        <v>Accessory</v>
      </c>
      <c r="D137" s="5" t="s">
        <v>66</v>
      </c>
      <c r="E137" s="17" t="str">
        <f>INDEX(Assumptions!$B$5:$B$9,MATCH($D137,Assumptions!$A$5:$A$9,0))</f>
        <v>EUR</v>
      </c>
      <c r="F137" s="18">
        <f>INDEX(SKU_Master!$G$5:$G$34,MATCH($A137,SKU_Master!$A$5:$A$34,0))</f>
        <v>165</v>
      </c>
      <c r="G137" s="19">
        <f>INDEX(SKU_Master!$H$5:$H$34,MATCH($A137,SKU_Master!$A$5:$A$34,0))</f>
        <v>0.01</v>
      </c>
      <c r="H137" s="20">
        <f t="shared" si="36"/>
        <v>163.35</v>
      </c>
      <c r="I137" s="19">
        <f>INDEX(Assumptions!$D$5:$D$9,MATCH($D137,Assumptions!$A$5:$A$9,0))</f>
        <v>0</v>
      </c>
      <c r="J137" s="20">
        <f t="shared" si="37"/>
        <v>0</v>
      </c>
      <c r="K137" s="18">
        <f>INDEX(Assumptions!$F$5:$H$9,MATCH($D137,Assumptions!$A$5:$A$9,0),MATCH($C137,Assumptions!$F$4:$H$4,0))</f>
        <v>11</v>
      </c>
      <c r="L137" s="21">
        <f t="shared" si="38"/>
        <v>174.35</v>
      </c>
      <c r="M137" s="19">
        <f>INDEX(Assumptions!$B$14:$B$16,MATCH($C137,Assumptions!$A$14:$A$16,0))</f>
        <v>0.32</v>
      </c>
      <c r="N137" s="20">
        <f t="shared" si="39"/>
        <v>256.39705882352945</v>
      </c>
      <c r="O137" s="19">
        <f>INDEX(Assumptions!$E$5:$E$9,MATCH($D137,Assumptions!$A$5:$A$9,0))</f>
        <v>0.02</v>
      </c>
      <c r="P137" s="22">
        <f>INDEX(Assumptions!$C$5:$C$9,MATCH($D137,Assumptions!$A$5:$A$9,0))</f>
        <v>0.92</v>
      </c>
      <c r="Q137" s="19">
        <f>INDEX(Assumptions!$D$14:$D$16,MATCH($C137,Assumptions!$A$14:$A$16,0))</f>
        <v>0.05</v>
      </c>
      <c r="R137" s="23">
        <f t="shared" si="40"/>
        <v>255</v>
      </c>
      <c r="S137" s="19">
        <f>INDEX(Assumptions!$C$14:$C$16,MATCH($C137,Assumptions!$A$14:$A$16,0))</f>
        <v>0.22</v>
      </c>
      <c r="T137" s="20">
        <f t="shared" si="41"/>
        <v>223.52564102564102</v>
      </c>
      <c r="U137" s="24">
        <f t="shared" si="42"/>
        <v>209.75646153846154</v>
      </c>
      <c r="V137" s="25">
        <f t="shared" si="43"/>
        <v>0.37097254901960786</v>
      </c>
      <c r="W137" s="5" t="str">
        <f t="shared" si="44"/>
        <v>A06|DE</v>
      </c>
    </row>
    <row r="138" spans="1:23" x14ac:dyDescent="0.2">
      <c r="A138" s="5" t="s">
        <v>166</v>
      </c>
      <c r="B138" s="17" t="str">
        <f>INDEX(SKU_Master!$C$5:$C$34,MATCH($A138,SKU_Master!$A$5:$A$34,0))</f>
        <v>Evolve2 65 Headset</v>
      </c>
      <c r="C138" s="17" t="str">
        <f>INDEX(SKU_Master!$D$5:$D$34,MATCH($A138,SKU_Master!$A$5:$A$34,0))</f>
        <v>Accessory</v>
      </c>
      <c r="D138" s="5" t="s">
        <v>68</v>
      </c>
      <c r="E138" s="17" t="str">
        <f>INDEX(Assumptions!$B$5:$B$9,MATCH($D138,Assumptions!$A$5:$A$9,0))</f>
        <v>CAD</v>
      </c>
      <c r="F138" s="18">
        <f>INDEX(SKU_Master!$G$5:$G$34,MATCH($A138,SKU_Master!$A$5:$A$34,0))</f>
        <v>165</v>
      </c>
      <c r="G138" s="19">
        <f>INDEX(SKU_Master!$H$5:$H$34,MATCH($A138,SKU_Master!$A$5:$A$34,0))</f>
        <v>0.01</v>
      </c>
      <c r="H138" s="20">
        <f t="shared" si="36"/>
        <v>163.35</v>
      </c>
      <c r="I138" s="19">
        <f>INDEX(Assumptions!$D$5:$D$9,MATCH($D138,Assumptions!$A$5:$A$9,0))</f>
        <v>0</v>
      </c>
      <c r="J138" s="20">
        <f t="shared" si="37"/>
        <v>0</v>
      </c>
      <c r="K138" s="18">
        <f>INDEX(Assumptions!$F$5:$H$9,MATCH($D138,Assumptions!$A$5:$A$9,0),MATCH($C138,Assumptions!$F$4:$H$4,0))</f>
        <v>9</v>
      </c>
      <c r="L138" s="21">
        <f t="shared" si="38"/>
        <v>172.35</v>
      </c>
      <c r="M138" s="19">
        <f>INDEX(Assumptions!$B$14:$B$16,MATCH($C138,Assumptions!$A$14:$A$16,0))</f>
        <v>0.32</v>
      </c>
      <c r="N138" s="20">
        <f t="shared" si="39"/>
        <v>253.45588235294119</v>
      </c>
      <c r="O138" s="19">
        <f>INDEX(Assumptions!$E$5:$E$9,MATCH($D138,Assumptions!$A$5:$A$9,0))</f>
        <v>0.02</v>
      </c>
      <c r="P138" s="22">
        <f>INDEX(Assumptions!$C$5:$C$9,MATCH($D138,Assumptions!$A$5:$A$9,0))</f>
        <v>1.37</v>
      </c>
      <c r="Q138" s="19">
        <f>INDEX(Assumptions!$D$14:$D$16,MATCH($C138,Assumptions!$A$14:$A$16,0))</f>
        <v>0.05</v>
      </c>
      <c r="R138" s="23">
        <f t="shared" si="40"/>
        <v>375</v>
      </c>
      <c r="S138" s="19">
        <f>INDEX(Assumptions!$C$14:$C$16,MATCH($C138,Assumptions!$A$14:$A$16,0))</f>
        <v>0.22</v>
      </c>
      <c r="T138" s="20">
        <f t="shared" si="41"/>
        <v>220.96153846153845</v>
      </c>
      <c r="U138" s="24">
        <f t="shared" si="42"/>
        <v>308.77165384615387</v>
      </c>
      <c r="V138" s="25">
        <f t="shared" si="43"/>
        <v>0.37034800000000001</v>
      </c>
      <c r="W138" s="5" t="str">
        <f t="shared" si="44"/>
        <v>A06|CA</v>
      </c>
    </row>
    <row r="139" spans="1:23" x14ac:dyDescent="0.2">
      <c r="A139" s="5" t="s">
        <v>166</v>
      </c>
      <c r="B139" s="17" t="str">
        <f>INDEX(SKU_Master!$C$5:$C$34,MATCH($A139,SKU_Master!$A$5:$A$34,0))</f>
        <v>Evolve2 65 Headset</v>
      </c>
      <c r="C139" s="17" t="str">
        <f>INDEX(SKU_Master!$D$5:$D$34,MATCH($A139,SKU_Master!$A$5:$A$34,0))</f>
        <v>Accessory</v>
      </c>
      <c r="D139" s="5" t="s">
        <v>70</v>
      </c>
      <c r="E139" s="17" t="str">
        <f>INDEX(Assumptions!$B$5:$B$9,MATCH($D139,Assumptions!$A$5:$A$9,0))</f>
        <v>INR</v>
      </c>
      <c r="F139" s="18">
        <f>INDEX(SKU_Master!$G$5:$G$34,MATCH($A139,SKU_Master!$A$5:$A$34,0))</f>
        <v>165</v>
      </c>
      <c r="G139" s="19">
        <f>INDEX(SKU_Master!$H$5:$H$34,MATCH($A139,SKU_Master!$A$5:$A$34,0))</f>
        <v>0.01</v>
      </c>
      <c r="H139" s="20">
        <f t="shared" si="36"/>
        <v>163.35</v>
      </c>
      <c r="I139" s="19">
        <f>INDEX(Assumptions!$D$5:$D$9,MATCH($D139,Assumptions!$A$5:$A$9,0))</f>
        <v>0.11</v>
      </c>
      <c r="J139" s="20">
        <f t="shared" si="37"/>
        <v>17.968499999999999</v>
      </c>
      <c r="K139" s="18">
        <f>INDEX(Assumptions!$F$5:$H$9,MATCH($D139,Assumptions!$A$5:$A$9,0),MATCH($C139,Assumptions!$F$4:$H$4,0))</f>
        <v>15</v>
      </c>
      <c r="L139" s="21">
        <f t="shared" si="38"/>
        <v>196.3185</v>
      </c>
      <c r="M139" s="19">
        <f>INDEX(Assumptions!$B$14:$B$16,MATCH($C139,Assumptions!$A$14:$A$16,0))</f>
        <v>0.32</v>
      </c>
      <c r="N139" s="20">
        <f t="shared" si="39"/>
        <v>288.70367647058828</v>
      </c>
      <c r="O139" s="19">
        <f>INDEX(Assumptions!$E$5:$E$9,MATCH($D139,Assumptions!$A$5:$A$9,0))</f>
        <v>0.02</v>
      </c>
      <c r="P139" s="22">
        <f>INDEX(Assumptions!$C$5:$C$9,MATCH($D139,Assumptions!$A$5:$A$9,0))</f>
        <v>83.5</v>
      </c>
      <c r="Q139" s="19">
        <f>INDEX(Assumptions!$D$14:$D$16,MATCH($C139,Assumptions!$A$14:$A$16,0))</f>
        <v>0.05</v>
      </c>
      <c r="R139" s="23">
        <f t="shared" si="40"/>
        <v>25820</v>
      </c>
      <c r="S139" s="19">
        <f>INDEX(Assumptions!$C$14:$C$16,MATCH($C139,Assumptions!$A$14:$A$16,0))</f>
        <v>0.22</v>
      </c>
      <c r="T139" s="20">
        <f t="shared" si="41"/>
        <v>251.6903846153846</v>
      </c>
      <c r="U139" s="24">
        <f t="shared" si="42"/>
        <v>21436.470057692306</v>
      </c>
      <c r="V139" s="25">
        <f t="shared" si="43"/>
        <v>0.36512026529821839</v>
      </c>
      <c r="W139" s="5" t="str">
        <f t="shared" si="44"/>
        <v>A06|IN</v>
      </c>
    </row>
    <row r="140" spans="1:23" x14ac:dyDescent="0.2">
      <c r="A140" s="5" t="s">
        <v>170</v>
      </c>
      <c r="B140" s="17" t="str">
        <f>INDEX(SKU_Master!$C$5:$C$34,MATCH($A140,SKU_Master!$A$5:$A$34,0))</f>
        <v>Voyager 4320 Headset</v>
      </c>
      <c r="C140" s="17" t="str">
        <f>INDEX(SKU_Master!$D$5:$D$34,MATCH($A140,SKU_Master!$A$5:$A$34,0))</f>
        <v>Accessory</v>
      </c>
      <c r="D140" s="5" t="s">
        <v>62</v>
      </c>
      <c r="E140" s="17" t="str">
        <f>INDEX(Assumptions!$B$5:$B$9,MATCH($D140,Assumptions!$A$5:$A$9,0))</f>
        <v>USD</v>
      </c>
      <c r="F140" s="18">
        <f>INDEX(SKU_Master!$G$5:$G$34,MATCH($A140,SKU_Master!$A$5:$A$34,0))</f>
        <v>120</v>
      </c>
      <c r="G140" s="19">
        <f>INDEX(SKU_Master!$H$5:$H$34,MATCH($A140,SKU_Master!$A$5:$A$34,0))</f>
        <v>0</v>
      </c>
      <c r="H140" s="20">
        <f t="shared" si="36"/>
        <v>120</v>
      </c>
      <c r="I140" s="19">
        <f>INDEX(Assumptions!$D$5:$D$9,MATCH($D140,Assumptions!$A$5:$A$9,0))</f>
        <v>0</v>
      </c>
      <c r="J140" s="20">
        <f t="shared" si="37"/>
        <v>0</v>
      </c>
      <c r="K140" s="18">
        <f>INDEX(Assumptions!$F$5:$H$9,MATCH($D140,Assumptions!$A$5:$A$9,0),MATCH($C140,Assumptions!$F$4:$H$4,0))</f>
        <v>6</v>
      </c>
      <c r="L140" s="21">
        <f t="shared" si="38"/>
        <v>126</v>
      </c>
      <c r="M140" s="19">
        <f>INDEX(Assumptions!$B$14:$B$16,MATCH($C140,Assumptions!$A$14:$A$16,0))</f>
        <v>0.32</v>
      </c>
      <c r="N140" s="20">
        <f t="shared" si="39"/>
        <v>185.29411764705884</v>
      </c>
      <c r="O140" s="19">
        <f>INDEX(Assumptions!$E$5:$E$9,MATCH($D140,Assumptions!$A$5:$A$9,0))</f>
        <v>0</v>
      </c>
      <c r="P140" s="22">
        <f>INDEX(Assumptions!$C$5:$C$9,MATCH($D140,Assumptions!$A$5:$A$9,0))</f>
        <v>1</v>
      </c>
      <c r="Q140" s="19">
        <f>INDEX(Assumptions!$D$14:$D$16,MATCH($C140,Assumptions!$A$14:$A$16,0))</f>
        <v>0.05</v>
      </c>
      <c r="R140" s="23">
        <f t="shared" si="40"/>
        <v>195</v>
      </c>
      <c r="S140" s="19">
        <f>INDEX(Assumptions!$C$14:$C$16,MATCH($C140,Assumptions!$A$14:$A$16,0))</f>
        <v>0.22</v>
      </c>
      <c r="T140" s="20">
        <f t="shared" si="41"/>
        <v>161.53846153846152</v>
      </c>
      <c r="U140" s="24">
        <f t="shared" si="42"/>
        <v>161.53846153846152</v>
      </c>
      <c r="V140" s="25">
        <f t="shared" si="43"/>
        <v>0.35384615384615387</v>
      </c>
      <c r="W140" s="5" t="str">
        <f t="shared" si="44"/>
        <v>A07|US</v>
      </c>
    </row>
    <row r="141" spans="1:23" x14ac:dyDescent="0.2">
      <c r="A141" s="5" t="s">
        <v>170</v>
      </c>
      <c r="B141" s="17" t="str">
        <f>INDEX(SKU_Master!$C$5:$C$34,MATCH($A141,SKU_Master!$A$5:$A$34,0))</f>
        <v>Voyager 4320 Headset</v>
      </c>
      <c r="C141" s="17" t="str">
        <f>INDEX(SKU_Master!$D$5:$D$34,MATCH($A141,SKU_Master!$A$5:$A$34,0))</f>
        <v>Accessory</v>
      </c>
      <c r="D141" s="5" t="s">
        <v>64</v>
      </c>
      <c r="E141" s="17" t="str">
        <f>INDEX(Assumptions!$B$5:$B$9,MATCH($D141,Assumptions!$A$5:$A$9,0))</f>
        <v>GBP</v>
      </c>
      <c r="F141" s="18">
        <f>INDEX(SKU_Master!$G$5:$G$34,MATCH($A141,SKU_Master!$A$5:$A$34,0))</f>
        <v>120</v>
      </c>
      <c r="G141" s="19">
        <f>INDEX(SKU_Master!$H$5:$H$34,MATCH($A141,SKU_Master!$A$5:$A$34,0))</f>
        <v>0</v>
      </c>
      <c r="H141" s="20">
        <f t="shared" si="36"/>
        <v>120</v>
      </c>
      <c r="I141" s="19">
        <f>INDEX(Assumptions!$D$5:$D$9,MATCH($D141,Assumptions!$A$5:$A$9,0))</f>
        <v>0</v>
      </c>
      <c r="J141" s="20">
        <f t="shared" si="37"/>
        <v>0</v>
      </c>
      <c r="K141" s="18">
        <f>INDEX(Assumptions!$F$5:$H$9,MATCH($D141,Assumptions!$A$5:$A$9,0),MATCH($C141,Assumptions!$F$4:$H$4,0))</f>
        <v>12</v>
      </c>
      <c r="L141" s="21">
        <f t="shared" si="38"/>
        <v>132</v>
      </c>
      <c r="M141" s="19">
        <f>INDEX(Assumptions!$B$14:$B$16,MATCH($C141,Assumptions!$A$14:$A$16,0))</f>
        <v>0.32</v>
      </c>
      <c r="N141" s="20">
        <f t="shared" si="39"/>
        <v>194.11764705882354</v>
      </c>
      <c r="O141" s="19">
        <f>INDEX(Assumptions!$E$5:$E$9,MATCH($D141,Assumptions!$A$5:$A$9,0))</f>
        <v>0.02</v>
      </c>
      <c r="P141" s="22">
        <f>INDEX(Assumptions!$C$5:$C$9,MATCH($D141,Assumptions!$A$5:$A$9,0))</f>
        <v>0.79</v>
      </c>
      <c r="Q141" s="19">
        <f>INDEX(Assumptions!$D$14:$D$16,MATCH($C141,Assumptions!$A$14:$A$16,0))</f>
        <v>0.05</v>
      </c>
      <c r="R141" s="23">
        <f t="shared" si="40"/>
        <v>165</v>
      </c>
      <c r="S141" s="19">
        <f>INDEX(Assumptions!$C$14:$C$16,MATCH($C141,Assumptions!$A$14:$A$16,0))</f>
        <v>0.22</v>
      </c>
      <c r="T141" s="20">
        <f t="shared" si="41"/>
        <v>169.23076923076923</v>
      </c>
      <c r="U141" s="24">
        <f t="shared" si="42"/>
        <v>136.36615384615385</v>
      </c>
      <c r="V141" s="25">
        <f t="shared" si="43"/>
        <v>0.36799999999999999</v>
      </c>
      <c r="W141" s="5" t="str">
        <f t="shared" si="44"/>
        <v>A07|UK</v>
      </c>
    </row>
    <row r="142" spans="1:23" x14ac:dyDescent="0.2">
      <c r="A142" s="5" t="s">
        <v>170</v>
      </c>
      <c r="B142" s="17" t="str">
        <f>INDEX(SKU_Master!$C$5:$C$34,MATCH($A142,SKU_Master!$A$5:$A$34,0))</f>
        <v>Voyager 4320 Headset</v>
      </c>
      <c r="C142" s="17" t="str">
        <f>INDEX(SKU_Master!$D$5:$D$34,MATCH($A142,SKU_Master!$A$5:$A$34,0))</f>
        <v>Accessory</v>
      </c>
      <c r="D142" s="5" t="s">
        <v>66</v>
      </c>
      <c r="E142" s="17" t="str">
        <f>INDEX(Assumptions!$B$5:$B$9,MATCH($D142,Assumptions!$A$5:$A$9,0))</f>
        <v>EUR</v>
      </c>
      <c r="F142" s="18">
        <f>INDEX(SKU_Master!$G$5:$G$34,MATCH($A142,SKU_Master!$A$5:$A$34,0))</f>
        <v>120</v>
      </c>
      <c r="G142" s="19">
        <f>INDEX(SKU_Master!$H$5:$H$34,MATCH($A142,SKU_Master!$A$5:$A$34,0))</f>
        <v>0</v>
      </c>
      <c r="H142" s="20">
        <f t="shared" si="36"/>
        <v>120</v>
      </c>
      <c r="I142" s="19">
        <f>INDEX(Assumptions!$D$5:$D$9,MATCH($D142,Assumptions!$A$5:$A$9,0))</f>
        <v>0</v>
      </c>
      <c r="J142" s="20">
        <f t="shared" si="37"/>
        <v>0</v>
      </c>
      <c r="K142" s="18">
        <f>INDEX(Assumptions!$F$5:$H$9,MATCH($D142,Assumptions!$A$5:$A$9,0),MATCH($C142,Assumptions!$F$4:$H$4,0))</f>
        <v>11</v>
      </c>
      <c r="L142" s="21">
        <f t="shared" si="38"/>
        <v>131</v>
      </c>
      <c r="M142" s="19">
        <f>INDEX(Assumptions!$B$14:$B$16,MATCH($C142,Assumptions!$A$14:$A$16,0))</f>
        <v>0.32</v>
      </c>
      <c r="N142" s="20">
        <f t="shared" si="39"/>
        <v>192.64705882352942</v>
      </c>
      <c r="O142" s="19">
        <f>INDEX(Assumptions!$E$5:$E$9,MATCH($D142,Assumptions!$A$5:$A$9,0))</f>
        <v>0.02</v>
      </c>
      <c r="P142" s="22">
        <f>INDEX(Assumptions!$C$5:$C$9,MATCH($D142,Assumptions!$A$5:$A$9,0))</f>
        <v>0.92</v>
      </c>
      <c r="Q142" s="19">
        <f>INDEX(Assumptions!$D$14:$D$16,MATCH($C142,Assumptions!$A$14:$A$16,0))</f>
        <v>0.05</v>
      </c>
      <c r="R142" s="23">
        <f t="shared" si="40"/>
        <v>190</v>
      </c>
      <c r="S142" s="19">
        <f>INDEX(Assumptions!$C$14:$C$16,MATCH($C142,Assumptions!$A$14:$A$16,0))</f>
        <v>0.22</v>
      </c>
      <c r="T142" s="20">
        <f t="shared" si="41"/>
        <v>167.94871794871796</v>
      </c>
      <c r="U142" s="24">
        <f t="shared" si="42"/>
        <v>157.60307692307694</v>
      </c>
      <c r="V142" s="25">
        <f t="shared" si="43"/>
        <v>0.36568421052631578</v>
      </c>
      <c r="W142" s="5" t="str">
        <f t="shared" si="44"/>
        <v>A07|DE</v>
      </c>
    </row>
    <row r="143" spans="1:23" x14ac:dyDescent="0.2">
      <c r="A143" s="5" t="s">
        <v>170</v>
      </c>
      <c r="B143" s="17" t="str">
        <f>INDEX(SKU_Master!$C$5:$C$34,MATCH($A143,SKU_Master!$A$5:$A$34,0))</f>
        <v>Voyager 4320 Headset</v>
      </c>
      <c r="C143" s="17" t="str">
        <f>INDEX(SKU_Master!$D$5:$D$34,MATCH($A143,SKU_Master!$A$5:$A$34,0))</f>
        <v>Accessory</v>
      </c>
      <c r="D143" s="5" t="s">
        <v>68</v>
      </c>
      <c r="E143" s="17" t="str">
        <f>INDEX(Assumptions!$B$5:$B$9,MATCH($D143,Assumptions!$A$5:$A$9,0))</f>
        <v>CAD</v>
      </c>
      <c r="F143" s="18">
        <f>INDEX(SKU_Master!$G$5:$G$34,MATCH($A143,SKU_Master!$A$5:$A$34,0))</f>
        <v>120</v>
      </c>
      <c r="G143" s="19">
        <f>INDEX(SKU_Master!$H$5:$H$34,MATCH($A143,SKU_Master!$A$5:$A$34,0))</f>
        <v>0</v>
      </c>
      <c r="H143" s="20">
        <f t="shared" si="36"/>
        <v>120</v>
      </c>
      <c r="I143" s="19">
        <f>INDEX(Assumptions!$D$5:$D$9,MATCH($D143,Assumptions!$A$5:$A$9,0))</f>
        <v>0</v>
      </c>
      <c r="J143" s="20">
        <f t="shared" si="37"/>
        <v>0</v>
      </c>
      <c r="K143" s="18">
        <f>INDEX(Assumptions!$F$5:$H$9,MATCH($D143,Assumptions!$A$5:$A$9,0),MATCH($C143,Assumptions!$F$4:$H$4,0))</f>
        <v>9</v>
      </c>
      <c r="L143" s="21">
        <f t="shared" si="38"/>
        <v>129</v>
      </c>
      <c r="M143" s="19">
        <f>INDEX(Assumptions!$B$14:$B$16,MATCH($C143,Assumptions!$A$14:$A$16,0))</f>
        <v>0.32</v>
      </c>
      <c r="N143" s="20">
        <f t="shared" si="39"/>
        <v>189.70588235294119</v>
      </c>
      <c r="O143" s="19">
        <f>INDEX(Assumptions!$E$5:$E$9,MATCH($D143,Assumptions!$A$5:$A$9,0))</f>
        <v>0.02</v>
      </c>
      <c r="P143" s="22">
        <f>INDEX(Assumptions!$C$5:$C$9,MATCH($D143,Assumptions!$A$5:$A$9,0))</f>
        <v>1.37</v>
      </c>
      <c r="Q143" s="19">
        <f>INDEX(Assumptions!$D$14:$D$16,MATCH($C143,Assumptions!$A$14:$A$16,0))</f>
        <v>0.05</v>
      </c>
      <c r="R143" s="23">
        <f t="shared" si="40"/>
        <v>280</v>
      </c>
      <c r="S143" s="19">
        <f>INDEX(Assumptions!$C$14:$C$16,MATCH($C143,Assumptions!$A$14:$A$16,0))</f>
        <v>0.22</v>
      </c>
      <c r="T143" s="20">
        <f t="shared" si="41"/>
        <v>165.38461538461539</v>
      </c>
      <c r="U143" s="24">
        <f t="shared" si="42"/>
        <v>231.10846153846157</v>
      </c>
      <c r="V143" s="25">
        <f t="shared" si="43"/>
        <v>0.36882142857142852</v>
      </c>
      <c r="W143" s="5" t="str">
        <f t="shared" si="44"/>
        <v>A07|CA</v>
      </c>
    </row>
    <row r="144" spans="1:23" x14ac:dyDescent="0.2">
      <c r="A144" s="5" t="s">
        <v>170</v>
      </c>
      <c r="B144" s="17" t="str">
        <f>INDEX(SKU_Master!$C$5:$C$34,MATCH($A144,SKU_Master!$A$5:$A$34,0))</f>
        <v>Voyager 4320 Headset</v>
      </c>
      <c r="C144" s="17" t="str">
        <f>INDEX(SKU_Master!$D$5:$D$34,MATCH($A144,SKU_Master!$A$5:$A$34,0))</f>
        <v>Accessory</v>
      </c>
      <c r="D144" s="5" t="s">
        <v>70</v>
      </c>
      <c r="E144" s="17" t="str">
        <f>INDEX(Assumptions!$B$5:$B$9,MATCH($D144,Assumptions!$A$5:$A$9,0))</f>
        <v>INR</v>
      </c>
      <c r="F144" s="18">
        <f>INDEX(SKU_Master!$G$5:$G$34,MATCH($A144,SKU_Master!$A$5:$A$34,0))</f>
        <v>120</v>
      </c>
      <c r="G144" s="19">
        <f>INDEX(SKU_Master!$H$5:$H$34,MATCH($A144,SKU_Master!$A$5:$A$34,0))</f>
        <v>0</v>
      </c>
      <c r="H144" s="20">
        <f t="shared" si="36"/>
        <v>120</v>
      </c>
      <c r="I144" s="19">
        <f>INDEX(Assumptions!$D$5:$D$9,MATCH($D144,Assumptions!$A$5:$A$9,0))</f>
        <v>0.11</v>
      </c>
      <c r="J144" s="20">
        <f t="shared" si="37"/>
        <v>13.2</v>
      </c>
      <c r="K144" s="18">
        <f>INDEX(Assumptions!$F$5:$H$9,MATCH($D144,Assumptions!$A$5:$A$9,0),MATCH($C144,Assumptions!$F$4:$H$4,0))</f>
        <v>15</v>
      </c>
      <c r="L144" s="21">
        <f t="shared" si="38"/>
        <v>148.19999999999999</v>
      </c>
      <c r="M144" s="19">
        <f>INDEX(Assumptions!$B$14:$B$16,MATCH($C144,Assumptions!$A$14:$A$16,0))</f>
        <v>0.32</v>
      </c>
      <c r="N144" s="20">
        <f t="shared" si="39"/>
        <v>217.94117647058823</v>
      </c>
      <c r="O144" s="19">
        <f>INDEX(Assumptions!$E$5:$E$9,MATCH($D144,Assumptions!$A$5:$A$9,0))</f>
        <v>0.02</v>
      </c>
      <c r="P144" s="22">
        <f>INDEX(Assumptions!$C$5:$C$9,MATCH($D144,Assumptions!$A$5:$A$9,0))</f>
        <v>83.5</v>
      </c>
      <c r="Q144" s="19">
        <f>INDEX(Assumptions!$D$14:$D$16,MATCH($C144,Assumptions!$A$14:$A$16,0))</f>
        <v>0.05</v>
      </c>
      <c r="R144" s="23">
        <f t="shared" si="40"/>
        <v>19495</v>
      </c>
      <c r="S144" s="19">
        <f>INDEX(Assumptions!$C$14:$C$16,MATCH($C144,Assumptions!$A$14:$A$16,0))</f>
        <v>0.22</v>
      </c>
      <c r="T144" s="20">
        <f t="shared" si="41"/>
        <v>189.99999999999997</v>
      </c>
      <c r="U144" s="24">
        <f t="shared" si="42"/>
        <v>16182.3</v>
      </c>
      <c r="V144" s="25">
        <f t="shared" si="43"/>
        <v>0.36523724031803034</v>
      </c>
      <c r="W144" s="5" t="str">
        <f t="shared" si="44"/>
        <v>A07|IN</v>
      </c>
    </row>
    <row r="145" spans="1:23" x14ac:dyDescent="0.2">
      <c r="A145" s="5" t="s">
        <v>173</v>
      </c>
      <c r="B145" s="17" t="str">
        <f>INDEX(SKU_Master!$C$5:$C$34,MATCH($A145,SKU_Master!$A$5:$A$34,0))</f>
        <v>15in Laptop Backpack</v>
      </c>
      <c r="C145" s="17" t="str">
        <f>INDEX(SKU_Master!$D$5:$D$34,MATCH($A145,SKU_Master!$A$5:$A$34,0))</f>
        <v>Accessory</v>
      </c>
      <c r="D145" s="5" t="s">
        <v>62</v>
      </c>
      <c r="E145" s="17" t="str">
        <f>INDEX(Assumptions!$B$5:$B$9,MATCH($D145,Assumptions!$A$5:$A$9,0))</f>
        <v>USD</v>
      </c>
      <c r="F145" s="18">
        <f>INDEX(SKU_Master!$G$5:$G$34,MATCH($A145,SKU_Master!$A$5:$A$34,0))</f>
        <v>28</v>
      </c>
      <c r="G145" s="19">
        <f>INDEX(SKU_Master!$H$5:$H$34,MATCH($A145,SKU_Master!$A$5:$A$34,0))</f>
        <v>0</v>
      </c>
      <c r="H145" s="20">
        <f t="shared" si="36"/>
        <v>28</v>
      </c>
      <c r="I145" s="19">
        <f>INDEX(Assumptions!$D$5:$D$9,MATCH($D145,Assumptions!$A$5:$A$9,0))</f>
        <v>0</v>
      </c>
      <c r="J145" s="20">
        <f t="shared" si="37"/>
        <v>0</v>
      </c>
      <c r="K145" s="18">
        <f>INDEX(Assumptions!$F$5:$H$9,MATCH($D145,Assumptions!$A$5:$A$9,0),MATCH($C145,Assumptions!$F$4:$H$4,0))</f>
        <v>6</v>
      </c>
      <c r="L145" s="21">
        <f t="shared" si="38"/>
        <v>34</v>
      </c>
      <c r="M145" s="19">
        <f>INDEX(Assumptions!$B$14:$B$16,MATCH($C145,Assumptions!$A$14:$A$16,0))</f>
        <v>0.32</v>
      </c>
      <c r="N145" s="20">
        <f t="shared" si="39"/>
        <v>50.000000000000007</v>
      </c>
      <c r="O145" s="19">
        <f>INDEX(Assumptions!$E$5:$E$9,MATCH($D145,Assumptions!$A$5:$A$9,0))</f>
        <v>0</v>
      </c>
      <c r="P145" s="22">
        <f>INDEX(Assumptions!$C$5:$C$9,MATCH($D145,Assumptions!$A$5:$A$9,0))</f>
        <v>1</v>
      </c>
      <c r="Q145" s="19">
        <f>INDEX(Assumptions!$D$14:$D$16,MATCH($C145,Assumptions!$A$14:$A$16,0))</f>
        <v>0.05</v>
      </c>
      <c r="R145" s="23">
        <f t="shared" si="40"/>
        <v>55</v>
      </c>
      <c r="S145" s="19">
        <f>INDEX(Assumptions!$C$14:$C$16,MATCH($C145,Assumptions!$A$14:$A$16,0))</f>
        <v>0.22</v>
      </c>
      <c r="T145" s="20">
        <f t="shared" si="41"/>
        <v>43.589743589743591</v>
      </c>
      <c r="U145" s="24">
        <f t="shared" si="42"/>
        <v>43.589743589743591</v>
      </c>
      <c r="V145" s="25">
        <f t="shared" si="43"/>
        <v>0.38181818181818183</v>
      </c>
      <c r="W145" s="5" t="str">
        <f t="shared" si="44"/>
        <v>A08|US</v>
      </c>
    </row>
    <row r="146" spans="1:23" x14ac:dyDescent="0.2">
      <c r="A146" s="5" t="s">
        <v>173</v>
      </c>
      <c r="B146" s="17" t="str">
        <f>INDEX(SKU_Master!$C$5:$C$34,MATCH($A146,SKU_Master!$A$5:$A$34,0))</f>
        <v>15in Laptop Backpack</v>
      </c>
      <c r="C146" s="17" t="str">
        <f>INDEX(SKU_Master!$D$5:$D$34,MATCH($A146,SKU_Master!$A$5:$A$34,0))</f>
        <v>Accessory</v>
      </c>
      <c r="D146" s="5" t="s">
        <v>64</v>
      </c>
      <c r="E146" s="17" t="str">
        <f>INDEX(Assumptions!$B$5:$B$9,MATCH($D146,Assumptions!$A$5:$A$9,0))</f>
        <v>GBP</v>
      </c>
      <c r="F146" s="18">
        <f>INDEX(SKU_Master!$G$5:$G$34,MATCH($A146,SKU_Master!$A$5:$A$34,0))</f>
        <v>28</v>
      </c>
      <c r="G146" s="19">
        <f>INDEX(SKU_Master!$H$5:$H$34,MATCH($A146,SKU_Master!$A$5:$A$34,0))</f>
        <v>0</v>
      </c>
      <c r="H146" s="20">
        <f t="shared" si="36"/>
        <v>28</v>
      </c>
      <c r="I146" s="19">
        <f>INDEX(Assumptions!$D$5:$D$9,MATCH($D146,Assumptions!$A$5:$A$9,0))</f>
        <v>0</v>
      </c>
      <c r="J146" s="20">
        <f t="shared" si="37"/>
        <v>0</v>
      </c>
      <c r="K146" s="18">
        <f>INDEX(Assumptions!$F$5:$H$9,MATCH($D146,Assumptions!$A$5:$A$9,0),MATCH($C146,Assumptions!$F$4:$H$4,0))</f>
        <v>12</v>
      </c>
      <c r="L146" s="21">
        <f t="shared" si="38"/>
        <v>40</v>
      </c>
      <c r="M146" s="19">
        <f>INDEX(Assumptions!$B$14:$B$16,MATCH($C146,Assumptions!$A$14:$A$16,0))</f>
        <v>0.32</v>
      </c>
      <c r="N146" s="20">
        <f t="shared" si="39"/>
        <v>58.82352941176471</v>
      </c>
      <c r="O146" s="19">
        <f>INDEX(Assumptions!$E$5:$E$9,MATCH($D146,Assumptions!$A$5:$A$9,0))</f>
        <v>0.02</v>
      </c>
      <c r="P146" s="22">
        <f>INDEX(Assumptions!$C$5:$C$9,MATCH($D146,Assumptions!$A$5:$A$9,0))</f>
        <v>0.79</v>
      </c>
      <c r="Q146" s="19">
        <f>INDEX(Assumptions!$D$14:$D$16,MATCH($C146,Assumptions!$A$14:$A$16,0))</f>
        <v>0.05</v>
      </c>
      <c r="R146" s="23">
        <f t="shared" si="40"/>
        <v>50</v>
      </c>
      <c r="S146" s="19">
        <f>INDEX(Assumptions!$C$14:$C$16,MATCH($C146,Assumptions!$A$14:$A$16,0))</f>
        <v>0.22</v>
      </c>
      <c r="T146" s="20">
        <f t="shared" si="41"/>
        <v>51.282051282051277</v>
      </c>
      <c r="U146" s="24">
        <f t="shared" si="42"/>
        <v>41.323076923076925</v>
      </c>
      <c r="V146" s="25">
        <f t="shared" si="43"/>
        <v>0.36799999999999994</v>
      </c>
      <c r="W146" s="5" t="str">
        <f t="shared" si="44"/>
        <v>A08|UK</v>
      </c>
    </row>
    <row r="147" spans="1:23" x14ac:dyDescent="0.2">
      <c r="A147" s="5" t="s">
        <v>173</v>
      </c>
      <c r="B147" s="17" t="str">
        <f>INDEX(SKU_Master!$C$5:$C$34,MATCH($A147,SKU_Master!$A$5:$A$34,0))</f>
        <v>15in Laptop Backpack</v>
      </c>
      <c r="C147" s="17" t="str">
        <f>INDEX(SKU_Master!$D$5:$D$34,MATCH($A147,SKU_Master!$A$5:$A$34,0))</f>
        <v>Accessory</v>
      </c>
      <c r="D147" s="5" t="s">
        <v>66</v>
      </c>
      <c r="E147" s="17" t="str">
        <f>INDEX(Assumptions!$B$5:$B$9,MATCH($D147,Assumptions!$A$5:$A$9,0))</f>
        <v>EUR</v>
      </c>
      <c r="F147" s="18">
        <f>INDEX(SKU_Master!$G$5:$G$34,MATCH($A147,SKU_Master!$A$5:$A$34,0))</f>
        <v>28</v>
      </c>
      <c r="G147" s="19">
        <f>INDEX(SKU_Master!$H$5:$H$34,MATCH($A147,SKU_Master!$A$5:$A$34,0))</f>
        <v>0</v>
      </c>
      <c r="H147" s="20">
        <f t="shared" si="36"/>
        <v>28</v>
      </c>
      <c r="I147" s="19">
        <f>INDEX(Assumptions!$D$5:$D$9,MATCH($D147,Assumptions!$A$5:$A$9,0))</f>
        <v>0</v>
      </c>
      <c r="J147" s="20">
        <f t="shared" si="37"/>
        <v>0</v>
      </c>
      <c r="K147" s="18">
        <f>INDEX(Assumptions!$F$5:$H$9,MATCH($D147,Assumptions!$A$5:$A$9,0),MATCH($C147,Assumptions!$F$4:$H$4,0))</f>
        <v>11</v>
      </c>
      <c r="L147" s="21">
        <f t="shared" si="38"/>
        <v>39</v>
      </c>
      <c r="M147" s="19">
        <f>INDEX(Assumptions!$B$14:$B$16,MATCH($C147,Assumptions!$A$14:$A$16,0))</f>
        <v>0.32</v>
      </c>
      <c r="N147" s="20">
        <f t="shared" si="39"/>
        <v>57.352941176470594</v>
      </c>
      <c r="O147" s="19">
        <f>INDEX(Assumptions!$E$5:$E$9,MATCH($D147,Assumptions!$A$5:$A$9,0))</f>
        <v>0.02</v>
      </c>
      <c r="P147" s="22">
        <f>INDEX(Assumptions!$C$5:$C$9,MATCH($D147,Assumptions!$A$5:$A$9,0))</f>
        <v>0.92</v>
      </c>
      <c r="Q147" s="19">
        <f>INDEX(Assumptions!$D$14:$D$16,MATCH($C147,Assumptions!$A$14:$A$16,0))</f>
        <v>0.05</v>
      </c>
      <c r="R147" s="23">
        <f t="shared" si="40"/>
        <v>60</v>
      </c>
      <c r="S147" s="19">
        <f>INDEX(Assumptions!$C$14:$C$16,MATCH($C147,Assumptions!$A$14:$A$16,0))</f>
        <v>0.22</v>
      </c>
      <c r="T147" s="20">
        <f t="shared" si="41"/>
        <v>50</v>
      </c>
      <c r="U147" s="24">
        <f t="shared" si="42"/>
        <v>46.92</v>
      </c>
      <c r="V147" s="25">
        <f t="shared" si="43"/>
        <v>0.40200000000000002</v>
      </c>
      <c r="W147" s="5" t="str">
        <f t="shared" si="44"/>
        <v>A08|DE</v>
      </c>
    </row>
    <row r="148" spans="1:23" x14ac:dyDescent="0.2">
      <c r="A148" s="5" t="s">
        <v>173</v>
      </c>
      <c r="B148" s="17" t="str">
        <f>INDEX(SKU_Master!$C$5:$C$34,MATCH($A148,SKU_Master!$A$5:$A$34,0))</f>
        <v>15in Laptop Backpack</v>
      </c>
      <c r="C148" s="17" t="str">
        <f>INDEX(SKU_Master!$D$5:$D$34,MATCH($A148,SKU_Master!$A$5:$A$34,0))</f>
        <v>Accessory</v>
      </c>
      <c r="D148" s="5" t="s">
        <v>68</v>
      </c>
      <c r="E148" s="17" t="str">
        <f>INDEX(Assumptions!$B$5:$B$9,MATCH($D148,Assumptions!$A$5:$A$9,0))</f>
        <v>CAD</v>
      </c>
      <c r="F148" s="18">
        <f>INDEX(SKU_Master!$G$5:$G$34,MATCH($A148,SKU_Master!$A$5:$A$34,0))</f>
        <v>28</v>
      </c>
      <c r="G148" s="19">
        <f>INDEX(SKU_Master!$H$5:$H$34,MATCH($A148,SKU_Master!$A$5:$A$34,0))</f>
        <v>0</v>
      </c>
      <c r="H148" s="20">
        <f t="shared" si="36"/>
        <v>28</v>
      </c>
      <c r="I148" s="19">
        <f>INDEX(Assumptions!$D$5:$D$9,MATCH($D148,Assumptions!$A$5:$A$9,0))</f>
        <v>0</v>
      </c>
      <c r="J148" s="20">
        <f t="shared" si="37"/>
        <v>0</v>
      </c>
      <c r="K148" s="18">
        <f>INDEX(Assumptions!$F$5:$H$9,MATCH($D148,Assumptions!$A$5:$A$9,0),MATCH($C148,Assumptions!$F$4:$H$4,0))</f>
        <v>9</v>
      </c>
      <c r="L148" s="21">
        <f t="shared" si="38"/>
        <v>37</v>
      </c>
      <c r="M148" s="19">
        <f>INDEX(Assumptions!$B$14:$B$16,MATCH($C148,Assumptions!$A$14:$A$16,0))</f>
        <v>0.32</v>
      </c>
      <c r="N148" s="20">
        <f t="shared" si="39"/>
        <v>54.411764705882355</v>
      </c>
      <c r="O148" s="19">
        <f>INDEX(Assumptions!$E$5:$E$9,MATCH($D148,Assumptions!$A$5:$A$9,0))</f>
        <v>0.02</v>
      </c>
      <c r="P148" s="22">
        <f>INDEX(Assumptions!$C$5:$C$9,MATCH($D148,Assumptions!$A$5:$A$9,0))</f>
        <v>1.37</v>
      </c>
      <c r="Q148" s="19">
        <f>INDEX(Assumptions!$D$14:$D$16,MATCH($C148,Assumptions!$A$14:$A$16,0))</f>
        <v>0.05</v>
      </c>
      <c r="R148" s="23">
        <f t="shared" si="40"/>
        <v>80</v>
      </c>
      <c r="S148" s="19">
        <f>INDEX(Assumptions!$C$14:$C$16,MATCH($C148,Assumptions!$A$14:$A$16,0))</f>
        <v>0.22</v>
      </c>
      <c r="T148" s="20">
        <f t="shared" si="41"/>
        <v>47.435897435897431</v>
      </c>
      <c r="U148" s="24">
        <f t="shared" si="42"/>
        <v>66.286923076923074</v>
      </c>
      <c r="V148" s="25">
        <f t="shared" si="43"/>
        <v>0.3663749999999999</v>
      </c>
      <c r="W148" s="5" t="str">
        <f t="shared" si="44"/>
        <v>A08|CA</v>
      </c>
    </row>
    <row r="149" spans="1:23" x14ac:dyDescent="0.2">
      <c r="A149" s="5" t="s">
        <v>173</v>
      </c>
      <c r="B149" s="17" t="str">
        <f>INDEX(SKU_Master!$C$5:$C$34,MATCH($A149,SKU_Master!$A$5:$A$34,0))</f>
        <v>15in Laptop Backpack</v>
      </c>
      <c r="C149" s="17" t="str">
        <f>INDEX(SKU_Master!$D$5:$D$34,MATCH($A149,SKU_Master!$A$5:$A$34,0))</f>
        <v>Accessory</v>
      </c>
      <c r="D149" s="5" t="s">
        <v>70</v>
      </c>
      <c r="E149" s="17" t="str">
        <f>INDEX(Assumptions!$B$5:$B$9,MATCH($D149,Assumptions!$A$5:$A$9,0))</f>
        <v>INR</v>
      </c>
      <c r="F149" s="18">
        <f>INDEX(SKU_Master!$G$5:$G$34,MATCH($A149,SKU_Master!$A$5:$A$34,0))</f>
        <v>28</v>
      </c>
      <c r="G149" s="19">
        <f>INDEX(SKU_Master!$H$5:$H$34,MATCH($A149,SKU_Master!$A$5:$A$34,0))</f>
        <v>0</v>
      </c>
      <c r="H149" s="20">
        <f t="shared" si="36"/>
        <v>28</v>
      </c>
      <c r="I149" s="19">
        <f>INDEX(Assumptions!$D$5:$D$9,MATCH($D149,Assumptions!$A$5:$A$9,0))</f>
        <v>0.11</v>
      </c>
      <c r="J149" s="20">
        <f t="shared" si="37"/>
        <v>3.08</v>
      </c>
      <c r="K149" s="18">
        <f>INDEX(Assumptions!$F$5:$H$9,MATCH($D149,Assumptions!$A$5:$A$9,0),MATCH($C149,Assumptions!$F$4:$H$4,0))</f>
        <v>15</v>
      </c>
      <c r="L149" s="21">
        <f t="shared" si="38"/>
        <v>46.08</v>
      </c>
      <c r="M149" s="19">
        <f>INDEX(Assumptions!$B$14:$B$16,MATCH($C149,Assumptions!$A$14:$A$16,0))</f>
        <v>0.32</v>
      </c>
      <c r="N149" s="20">
        <f t="shared" si="39"/>
        <v>67.764705882352942</v>
      </c>
      <c r="O149" s="19">
        <f>INDEX(Assumptions!$E$5:$E$9,MATCH($D149,Assumptions!$A$5:$A$9,0))</f>
        <v>0.02</v>
      </c>
      <c r="P149" s="22">
        <f>INDEX(Assumptions!$C$5:$C$9,MATCH($D149,Assumptions!$A$5:$A$9,0))</f>
        <v>83.5</v>
      </c>
      <c r="Q149" s="19">
        <f>INDEX(Assumptions!$D$14:$D$16,MATCH($C149,Assumptions!$A$14:$A$16,0))</f>
        <v>0.05</v>
      </c>
      <c r="R149" s="23">
        <f t="shared" si="40"/>
        <v>6065</v>
      </c>
      <c r="S149" s="19">
        <f>INDEX(Assumptions!$C$14:$C$16,MATCH($C149,Assumptions!$A$14:$A$16,0))</f>
        <v>0.22</v>
      </c>
      <c r="T149" s="20">
        <f t="shared" si="41"/>
        <v>59.076923076923073</v>
      </c>
      <c r="U149" s="24">
        <f t="shared" si="42"/>
        <v>5031.5815384615389</v>
      </c>
      <c r="V149" s="25">
        <f t="shared" si="43"/>
        <v>0.36559274525968677</v>
      </c>
      <c r="W149" s="5" t="str">
        <f t="shared" si="44"/>
        <v>A08|IN</v>
      </c>
    </row>
    <row r="150" spans="1:23" x14ac:dyDescent="0.2">
      <c r="A150" s="5" t="s">
        <v>177</v>
      </c>
      <c r="B150" s="17" t="str">
        <f>INDEX(SKU_Master!$C$5:$C$34,MATCH($A150,SKU_Master!$A$5:$A$34,0))</f>
        <v>100W USB-C Charger</v>
      </c>
      <c r="C150" s="17" t="str">
        <f>INDEX(SKU_Master!$D$5:$D$34,MATCH($A150,SKU_Master!$A$5:$A$34,0))</f>
        <v>Accessory</v>
      </c>
      <c r="D150" s="5" t="s">
        <v>62</v>
      </c>
      <c r="E150" s="17" t="str">
        <f>INDEX(Assumptions!$B$5:$B$9,MATCH($D150,Assumptions!$A$5:$A$9,0))</f>
        <v>USD</v>
      </c>
      <c r="F150" s="18">
        <f>INDEX(SKU_Master!$G$5:$G$34,MATCH($A150,SKU_Master!$A$5:$A$34,0))</f>
        <v>38</v>
      </c>
      <c r="G150" s="19">
        <f>INDEX(SKU_Master!$H$5:$H$34,MATCH($A150,SKU_Master!$A$5:$A$34,0))</f>
        <v>0</v>
      </c>
      <c r="H150" s="20">
        <f t="shared" si="36"/>
        <v>38</v>
      </c>
      <c r="I150" s="19">
        <f>INDEX(Assumptions!$D$5:$D$9,MATCH($D150,Assumptions!$A$5:$A$9,0))</f>
        <v>0</v>
      </c>
      <c r="J150" s="20">
        <f t="shared" si="37"/>
        <v>0</v>
      </c>
      <c r="K150" s="18">
        <f>INDEX(Assumptions!$F$5:$H$9,MATCH($D150,Assumptions!$A$5:$A$9,0),MATCH($C150,Assumptions!$F$4:$H$4,0))</f>
        <v>6</v>
      </c>
      <c r="L150" s="21">
        <f t="shared" si="38"/>
        <v>44</v>
      </c>
      <c r="M150" s="19">
        <f>INDEX(Assumptions!$B$14:$B$16,MATCH($C150,Assumptions!$A$14:$A$16,0))</f>
        <v>0.32</v>
      </c>
      <c r="N150" s="20">
        <f t="shared" si="39"/>
        <v>64.705882352941188</v>
      </c>
      <c r="O150" s="19">
        <f>INDEX(Assumptions!$E$5:$E$9,MATCH($D150,Assumptions!$A$5:$A$9,0))</f>
        <v>0</v>
      </c>
      <c r="P150" s="22">
        <f>INDEX(Assumptions!$C$5:$C$9,MATCH($D150,Assumptions!$A$5:$A$9,0))</f>
        <v>1</v>
      </c>
      <c r="Q150" s="19">
        <f>INDEX(Assumptions!$D$14:$D$16,MATCH($C150,Assumptions!$A$14:$A$16,0))</f>
        <v>0.05</v>
      </c>
      <c r="R150" s="23">
        <f t="shared" si="40"/>
        <v>70</v>
      </c>
      <c r="S150" s="19">
        <f>INDEX(Assumptions!$C$14:$C$16,MATCH($C150,Assumptions!$A$14:$A$16,0))</f>
        <v>0.22</v>
      </c>
      <c r="T150" s="20">
        <f t="shared" si="41"/>
        <v>56.410256410256409</v>
      </c>
      <c r="U150" s="24">
        <f t="shared" si="42"/>
        <v>56.410256410256409</v>
      </c>
      <c r="V150" s="25">
        <f t="shared" si="43"/>
        <v>0.37142857142857144</v>
      </c>
      <c r="W150" s="5" t="str">
        <f t="shared" si="44"/>
        <v>A09|US</v>
      </c>
    </row>
    <row r="151" spans="1:23" x14ac:dyDescent="0.2">
      <c r="A151" s="5" t="s">
        <v>177</v>
      </c>
      <c r="B151" s="17" t="str">
        <f>INDEX(SKU_Master!$C$5:$C$34,MATCH($A151,SKU_Master!$A$5:$A$34,0))</f>
        <v>100W USB-C Charger</v>
      </c>
      <c r="C151" s="17" t="str">
        <f>INDEX(SKU_Master!$D$5:$D$34,MATCH($A151,SKU_Master!$A$5:$A$34,0))</f>
        <v>Accessory</v>
      </c>
      <c r="D151" s="5" t="s">
        <v>64</v>
      </c>
      <c r="E151" s="17" t="str">
        <f>INDEX(Assumptions!$B$5:$B$9,MATCH($D151,Assumptions!$A$5:$A$9,0))</f>
        <v>GBP</v>
      </c>
      <c r="F151" s="18">
        <f>INDEX(SKU_Master!$G$5:$G$34,MATCH($A151,SKU_Master!$A$5:$A$34,0))</f>
        <v>38</v>
      </c>
      <c r="G151" s="19">
        <f>INDEX(SKU_Master!$H$5:$H$34,MATCH($A151,SKU_Master!$A$5:$A$34,0))</f>
        <v>0</v>
      </c>
      <c r="H151" s="20">
        <f t="shared" si="36"/>
        <v>38</v>
      </c>
      <c r="I151" s="19">
        <f>INDEX(Assumptions!$D$5:$D$9,MATCH($D151,Assumptions!$A$5:$A$9,0))</f>
        <v>0</v>
      </c>
      <c r="J151" s="20">
        <f t="shared" si="37"/>
        <v>0</v>
      </c>
      <c r="K151" s="18">
        <f>INDEX(Assumptions!$F$5:$H$9,MATCH($D151,Assumptions!$A$5:$A$9,0),MATCH($C151,Assumptions!$F$4:$H$4,0))</f>
        <v>12</v>
      </c>
      <c r="L151" s="21">
        <f t="shared" si="38"/>
        <v>50</v>
      </c>
      <c r="M151" s="19">
        <f>INDEX(Assumptions!$B$14:$B$16,MATCH($C151,Assumptions!$A$14:$A$16,0))</f>
        <v>0.32</v>
      </c>
      <c r="N151" s="20">
        <f t="shared" si="39"/>
        <v>73.529411764705884</v>
      </c>
      <c r="O151" s="19">
        <f>INDEX(Assumptions!$E$5:$E$9,MATCH($D151,Assumptions!$A$5:$A$9,0))</f>
        <v>0.02</v>
      </c>
      <c r="P151" s="22">
        <f>INDEX(Assumptions!$C$5:$C$9,MATCH($D151,Assumptions!$A$5:$A$9,0))</f>
        <v>0.79</v>
      </c>
      <c r="Q151" s="19">
        <f>INDEX(Assumptions!$D$14:$D$16,MATCH($C151,Assumptions!$A$14:$A$16,0))</f>
        <v>0.05</v>
      </c>
      <c r="R151" s="23">
        <f t="shared" si="40"/>
        <v>65</v>
      </c>
      <c r="S151" s="19">
        <f>INDEX(Assumptions!$C$14:$C$16,MATCH($C151,Assumptions!$A$14:$A$16,0))</f>
        <v>0.22</v>
      </c>
      <c r="T151" s="20">
        <f t="shared" si="41"/>
        <v>64.102564102564102</v>
      </c>
      <c r="U151" s="24">
        <f t="shared" si="42"/>
        <v>51.65384615384616</v>
      </c>
      <c r="V151" s="25">
        <f t="shared" si="43"/>
        <v>0.39230769230769225</v>
      </c>
      <c r="W151" s="5" t="str">
        <f t="shared" si="44"/>
        <v>A09|UK</v>
      </c>
    </row>
    <row r="152" spans="1:23" x14ac:dyDescent="0.2">
      <c r="A152" s="5" t="s">
        <v>177</v>
      </c>
      <c r="B152" s="17" t="str">
        <f>INDEX(SKU_Master!$C$5:$C$34,MATCH($A152,SKU_Master!$A$5:$A$34,0))</f>
        <v>100W USB-C Charger</v>
      </c>
      <c r="C152" s="17" t="str">
        <f>INDEX(SKU_Master!$D$5:$D$34,MATCH($A152,SKU_Master!$A$5:$A$34,0))</f>
        <v>Accessory</v>
      </c>
      <c r="D152" s="5" t="s">
        <v>66</v>
      </c>
      <c r="E152" s="17" t="str">
        <f>INDEX(Assumptions!$B$5:$B$9,MATCH($D152,Assumptions!$A$5:$A$9,0))</f>
        <v>EUR</v>
      </c>
      <c r="F152" s="18">
        <f>INDEX(SKU_Master!$G$5:$G$34,MATCH($A152,SKU_Master!$A$5:$A$34,0))</f>
        <v>38</v>
      </c>
      <c r="G152" s="19">
        <f>INDEX(SKU_Master!$H$5:$H$34,MATCH($A152,SKU_Master!$A$5:$A$34,0))</f>
        <v>0</v>
      </c>
      <c r="H152" s="20">
        <f t="shared" si="36"/>
        <v>38</v>
      </c>
      <c r="I152" s="19">
        <f>INDEX(Assumptions!$D$5:$D$9,MATCH($D152,Assumptions!$A$5:$A$9,0))</f>
        <v>0</v>
      </c>
      <c r="J152" s="20">
        <f t="shared" si="37"/>
        <v>0</v>
      </c>
      <c r="K152" s="18">
        <f>INDEX(Assumptions!$F$5:$H$9,MATCH($D152,Assumptions!$A$5:$A$9,0),MATCH($C152,Assumptions!$F$4:$H$4,0))</f>
        <v>11</v>
      </c>
      <c r="L152" s="21">
        <f t="shared" si="38"/>
        <v>49</v>
      </c>
      <c r="M152" s="19">
        <f>INDEX(Assumptions!$B$14:$B$16,MATCH($C152,Assumptions!$A$14:$A$16,0))</f>
        <v>0.32</v>
      </c>
      <c r="N152" s="20">
        <f t="shared" si="39"/>
        <v>72.058823529411768</v>
      </c>
      <c r="O152" s="19">
        <f>INDEX(Assumptions!$E$5:$E$9,MATCH($D152,Assumptions!$A$5:$A$9,0))</f>
        <v>0.02</v>
      </c>
      <c r="P152" s="22">
        <f>INDEX(Assumptions!$C$5:$C$9,MATCH($D152,Assumptions!$A$5:$A$9,0))</f>
        <v>0.92</v>
      </c>
      <c r="Q152" s="19">
        <f>INDEX(Assumptions!$D$14:$D$16,MATCH($C152,Assumptions!$A$14:$A$16,0))</f>
        <v>0.05</v>
      </c>
      <c r="R152" s="23">
        <f t="shared" si="40"/>
        <v>75</v>
      </c>
      <c r="S152" s="19">
        <f>INDEX(Assumptions!$C$14:$C$16,MATCH($C152,Assumptions!$A$14:$A$16,0))</f>
        <v>0.22</v>
      </c>
      <c r="T152" s="20">
        <f t="shared" si="41"/>
        <v>62.820512820512818</v>
      </c>
      <c r="U152" s="24">
        <f t="shared" si="42"/>
        <v>58.950769230769239</v>
      </c>
      <c r="V152" s="25">
        <f t="shared" si="43"/>
        <v>0.39893333333333331</v>
      </c>
      <c r="W152" s="5" t="str">
        <f t="shared" si="44"/>
        <v>A09|DE</v>
      </c>
    </row>
    <row r="153" spans="1:23" x14ac:dyDescent="0.2">
      <c r="A153" s="5" t="s">
        <v>177</v>
      </c>
      <c r="B153" s="17" t="str">
        <f>INDEX(SKU_Master!$C$5:$C$34,MATCH($A153,SKU_Master!$A$5:$A$34,0))</f>
        <v>100W USB-C Charger</v>
      </c>
      <c r="C153" s="17" t="str">
        <f>INDEX(SKU_Master!$D$5:$D$34,MATCH($A153,SKU_Master!$A$5:$A$34,0))</f>
        <v>Accessory</v>
      </c>
      <c r="D153" s="5" t="s">
        <v>68</v>
      </c>
      <c r="E153" s="17" t="str">
        <f>INDEX(Assumptions!$B$5:$B$9,MATCH($D153,Assumptions!$A$5:$A$9,0))</f>
        <v>CAD</v>
      </c>
      <c r="F153" s="18">
        <f>INDEX(SKU_Master!$G$5:$G$34,MATCH($A153,SKU_Master!$A$5:$A$34,0))</f>
        <v>38</v>
      </c>
      <c r="G153" s="19">
        <f>INDEX(SKU_Master!$H$5:$H$34,MATCH($A153,SKU_Master!$A$5:$A$34,0))</f>
        <v>0</v>
      </c>
      <c r="H153" s="20">
        <f t="shared" si="36"/>
        <v>38</v>
      </c>
      <c r="I153" s="19">
        <f>INDEX(Assumptions!$D$5:$D$9,MATCH($D153,Assumptions!$A$5:$A$9,0))</f>
        <v>0</v>
      </c>
      <c r="J153" s="20">
        <f t="shared" si="37"/>
        <v>0</v>
      </c>
      <c r="K153" s="18">
        <f>INDEX(Assumptions!$F$5:$H$9,MATCH($D153,Assumptions!$A$5:$A$9,0),MATCH($C153,Assumptions!$F$4:$H$4,0))</f>
        <v>9</v>
      </c>
      <c r="L153" s="21">
        <f t="shared" si="38"/>
        <v>47</v>
      </c>
      <c r="M153" s="19">
        <f>INDEX(Assumptions!$B$14:$B$16,MATCH($C153,Assumptions!$A$14:$A$16,0))</f>
        <v>0.32</v>
      </c>
      <c r="N153" s="20">
        <f t="shared" si="39"/>
        <v>69.117647058823536</v>
      </c>
      <c r="O153" s="19">
        <f>INDEX(Assumptions!$E$5:$E$9,MATCH($D153,Assumptions!$A$5:$A$9,0))</f>
        <v>0.02</v>
      </c>
      <c r="P153" s="22">
        <f>INDEX(Assumptions!$C$5:$C$9,MATCH($D153,Assumptions!$A$5:$A$9,0))</f>
        <v>1.37</v>
      </c>
      <c r="Q153" s="19">
        <f>INDEX(Assumptions!$D$14:$D$16,MATCH($C153,Assumptions!$A$14:$A$16,0))</f>
        <v>0.05</v>
      </c>
      <c r="R153" s="23">
        <f t="shared" si="40"/>
        <v>105</v>
      </c>
      <c r="S153" s="19">
        <f>INDEX(Assumptions!$C$14:$C$16,MATCH($C153,Assumptions!$A$14:$A$16,0))</f>
        <v>0.22</v>
      </c>
      <c r="T153" s="20">
        <f t="shared" si="41"/>
        <v>60.256410256410255</v>
      </c>
      <c r="U153" s="24">
        <f t="shared" si="42"/>
        <v>84.202307692307699</v>
      </c>
      <c r="V153" s="25">
        <f t="shared" si="43"/>
        <v>0.38676190476190475</v>
      </c>
      <c r="W153" s="5" t="str">
        <f t="shared" si="44"/>
        <v>A09|CA</v>
      </c>
    </row>
    <row r="154" spans="1:23" x14ac:dyDescent="0.2">
      <c r="A154" s="5" t="s">
        <v>177</v>
      </c>
      <c r="B154" s="17" t="str">
        <f>INDEX(SKU_Master!$C$5:$C$34,MATCH($A154,SKU_Master!$A$5:$A$34,0))</f>
        <v>100W USB-C Charger</v>
      </c>
      <c r="C154" s="17" t="str">
        <f>INDEX(SKU_Master!$D$5:$D$34,MATCH($A154,SKU_Master!$A$5:$A$34,0))</f>
        <v>Accessory</v>
      </c>
      <c r="D154" s="5" t="s">
        <v>70</v>
      </c>
      <c r="E154" s="17" t="str">
        <f>INDEX(Assumptions!$B$5:$B$9,MATCH($D154,Assumptions!$A$5:$A$9,0))</f>
        <v>INR</v>
      </c>
      <c r="F154" s="18">
        <f>INDEX(SKU_Master!$G$5:$G$34,MATCH($A154,SKU_Master!$A$5:$A$34,0))</f>
        <v>38</v>
      </c>
      <c r="G154" s="19">
        <f>INDEX(SKU_Master!$H$5:$H$34,MATCH($A154,SKU_Master!$A$5:$A$34,0))</f>
        <v>0</v>
      </c>
      <c r="H154" s="20">
        <f t="shared" si="36"/>
        <v>38</v>
      </c>
      <c r="I154" s="19">
        <f>INDEX(Assumptions!$D$5:$D$9,MATCH($D154,Assumptions!$A$5:$A$9,0))</f>
        <v>0.11</v>
      </c>
      <c r="J154" s="20">
        <f t="shared" si="37"/>
        <v>4.18</v>
      </c>
      <c r="K154" s="18">
        <f>INDEX(Assumptions!$F$5:$H$9,MATCH($D154,Assumptions!$A$5:$A$9,0),MATCH($C154,Assumptions!$F$4:$H$4,0))</f>
        <v>15</v>
      </c>
      <c r="L154" s="21">
        <f t="shared" si="38"/>
        <v>57.18</v>
      </c>
      <c r="M154" s="19">
        <f>INDEX(Assumptions!$B$14:$B$16,MATCH($C154,Assumptions!$A$14:$A$16,0))</f>
        <v>0.32</v>
      </c>
      <c r="N154" s="20">
        <f t="shared" si="39"/>
        <v>84.088235294117652</v>
      </c>
      <c r="O154" s="19">
        <f>INDEX(Assumptions!$E$5:$E$9,MATCH($D154,Assumptions!$A$5:$A$9,0))</f>
        <v>0.02</v>
      </c>
      <c r="P154" s="22">
        <f>INDEX(Assumptions!$C$5:$C$9,MATCH($D154,Assumptions!$A$5:$A$9,0))</f>
        <v>83.5</v>
      </c>
      <c r="Q154" s="19">
        <f>INDEX(Assumptions!$D$14:$D$16,MATCH($C154,Assumptions!$A$14:$A$16,0))</f>
        <v>0.05</v>
      </c>
      <c r="R154" s="23">
        <f t="shared" si="40"/>
        <v>7520</v>
      </c>
      <c r="S154" s="19">
        <f>INDEX(Assumptions!$C$14:$C$16,MATCH($C154,Assumptions!$A$14:$A$16,0))</f>
        <v>0.22</v>
      </c>
      <c r="T154" s="20">
        <f t="shared" si="41"/>
        <v>73.307692307692307</v>
      </c>
      <c r="U154" s="24">
        <f t="shared" si="42"/>
        <v>6243.6161538461538</v>
      </c>
      <c r="V154" s="25">
        <f t="shared" si="43"/>
        <v>0.3650890957446809</v>
      </c>
      <c r="W154" s="5" t="str">
        <f t="shared" si="44"/>
        <v>A09|IN</v>
      </c>
    </row>
    <row r="156" spans="1:23" x14ac:dyDescent="0.2">
      <c r="A156" s="2" t="s">
        <v>193</v>
      </c>
    </row>
  </sheetData>
  <autoFilter ref="A4:W15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44" customWidth="1"/>
    <col min="3" max="3" width="22" customWidth="1"/>
    <col min="4" max="4" width="26" customWidth="1"/>
    <col min="5" max="5" width="60" customWidth="1"/>
  </cols>
  <sheetData>
    <row r="1" spans="1:5" ht="18" x14ac:dyDescent="0.2">
      <c r="A1" s="1" t="s">
        <v>194</v>
      </c>
    </row>
    <row r="2" spans="1:5" x14ac:dyDescent="0.2">
      <c r="A2" s="2" t="s">
        <v>195</v>
      </c>
    </row>
    <row r="4" spans="1:5" x14ac:dyDescent="0.2">
      <c r="B4" s="9" t="s">
        <v>196</v>
      </c>
    </row>
    <row r="5" spans="1:5" x14ac:dyDescent="0.2">
      <c r="B5" s="5" t="s">
        <v>86</v>
      </c>
      <c r="C5" s="26" t="s">
        <v>113</v>
      </c>
    </row>
    <row r="6" spans="1:5" x14ac:dyDescent="0.2">
      <c r="B6" s="5" t="s">
        <v>54</v>
      </c>
      <c r="C6" s="26" t="s">
        <v>62</v>
      </c>
    </row>
    <row r="7" spans="1:5" x14ac:dyDescent="0.2">
      <c r="B7" s="5" t="s">
        <v>197</v>
      </c>
      <c r="C7" s="27">
        <v>500</v>
      </c>
    </row>
    <row r="8" spans="1:5" x14ac:dyDescent="0.2">
      <c r="B8" s="5" t="s">
        <v>198</v>
      </c>
      <c r="C8" s="28">
        <v>1600</v>
      </c>
    </row>
    <row r="9" spans="1:5" x14ac:dyDescent="0.2">
      <c r="B9" s="5" t="s">
        <v>88</v>
      </c>
      <c r="C9" s="17" t="str">
        <f>INDEX(SKU_Master!$C$5:$C$34,MATCH($C$5,SKU_Master!$A$5:$A$34,0))</f>
        <v>ThinkPad X1 Carbon Gen 12 i7/32GB/1TB</v>
      </c>
    </row>
    <row r="10" spans="1:5" x14ac:dyDescent="0.2">
      <c r="B10" s="5" t="s">
        <v>74</v>
      </c>
      <c r="C10" s="17" t="str">
        <f>INDEX(SKU_Master!$D$5:$D$34,MATCH($C$5,SKU_Master!$A$5:$A$34,0))</f>
        <v>Laptop</v>
      </c>
    </row>
    <row r="11" spans="1:5" x14ac:dyDescent="0.2">
      <c r="B11" s="5" t="s">
        <v>55</v>
      </c>
      <c r="C11" s="17" t="str">
        <f>INDEX(Assumptions!$B$5:$B$9,MATCH($C$6,Assumptions!$A$5:$A$9,0))</f>
        <v>USD</v>
      </c>
    </row>
    <row r="13" spans="1:5" ht="30" customHeight="1" x14ac:dyDescent="0.2">
      <c r="A13" s="29"/>
      <c r="B13" s="10" t="s">
        <v>199</v>
      </c>
      <c r="C13" s="10" t="s">
        <v>200</v>
      </c>
      <c r="D13" s="10" t="s">
        <v>201</v>
      </c>
      <c r="E13" s="10" t="s">
        <v>202</v>
      </c>
    </row>
    <row r="14" spans="1:5" x14ac:dyDescent="0.2">
      <c r="B14" s="30" t="s">
        <v>203</v>
      </c>
      <c r="C14" s="31">
        <v>0</v>
      </c>
      <c r="D14" s="31">
        <v>0.02</v>
      </c>
      <c r="E14" s="2" t="s">
        <v>204</v>
      </c>
    </row>
    <row r="15" spans="1:5" x14ac:dyDescent="0.2">
      <c r="B15" s="30" t="s">
        <v>205</v>
      </c>
      <c r="C15" s="31">
        <v>0</v>
      </c>
      <c r="D15" s="31">
        <v>0.2</v>
      </c>
      <c r="E15" s="2" t="s">
        <v>206</v>
      </c>
    </row>
    <row r="16" spans="1:5" x14ac:dyDescent="0.2">
      <c r="B16" s="30" t="s">
        <v>207</v>
      </c>
      <c r="C16" s="32">
        <f>INDEX(Price_Book!$R$5:$R$154,MATCH($C$5&amp;"|"&amp;$C$6,Price_Book!$W$5:$W$154,0))</f>
        <v>1740</v>
      </c>
      <c r="D16" s="32">
        <f>INDEX(Price_Book!$R$5:$R$154,MATCH($C$5&amp;"|"&amp;$C$6,Price_Book!$W$5:$W$154,0))</f>
        <v>1740</v>
      </c>
      <c r="E16" s="2" t="s">
        <v>208</v>
      </c>
    </row>
    <row r="17" spans="2:5" x14ac:dyDescent="0.2">
      <c r="B17" s="30" t="s">
        <v>209</v>
      </c>
      <c r="C17" s="33">
        <f>IF(C16=0,0,1-$C$8/C16)</f>
        <v>8.0459770114942541E-2</v>
      </c>
      <c r="D17" s="33">
        <f>IF(D16=0,0,1-$C$8/D16)</f>
        <v>8.0459770114942541E-2</v>
      </c>
      <c r="E17" s="2"/>
    </row>
    <row r="18" spans="2:5" x14ac:dyDescent="0.2">
      <c r="B18" s="30" t="s">
        <v>91</v>
      </c>
      <c r="C18" s="34">
        <f>INDEX(SKU_Master!$G$5:$G$34,MATCH($C$5,SKU_Master!$A$5:$A$34,0))</f>
        <v>1520</v>
      </c>
      <c r="D18" s="34">
        <f>INDEX(SKU_Master!$G$5:$G$34,MATCH($C$5,SKU_Master!$A$5:$A$34,0))</f>
        <v>1520</v>
      </c>
      <c r="E18" s="2"/>
    </row>
    <row r="19" spans="2:5" x14ac:dyDescent="0.2">
      <c r="B19" s="30" t="s">
        <v>210</v>
      </c>
      <c r="C19" s="34">
        <f>C18*(1-INDEX(SKU_Master!$H$5:$H$34,MATCH($C$5,SKU_Master!$A$5:$A$34,0))-C14)</f>
        <v>1466.8</v>
      </c>
      <c r="D19" s="34">
        <f>D18*(1-INDEX(SKU_Master!$H$5:$H$34,MATCH($C$5,SKU_Master!$A$5:$A$34,0))-D14)</f>
        <v>1436.3999999999999</v>
      </c>
      <c r="E19" s="2" t="s">
        <v>211</v>
      </c>
    </row>
    <row r="20" spans="2:5" x14ac:dyDescent="0.2">
      <c r="B20" s="30" t="s">
        <v>212</v>
      </c>
      <c r="C20" s="34">
        <f>C19*INDEX(Assumptions!$D$5:$D$9,MATCH($C$6,Assumptions!$A$5:$A$9,0))</f>
        <v>0</v>
      </c>
      <c r="D20" s="34">
        <f>D19*INDEX(Assumptions!$D$5:$D$9,MATCH($C$6,Assumptions!$A$5:$A$9,0))</f>
        <v>0</v>
      </c>
      <c r="E20" s="2"/>
    </row>
    <row r="21" spans="2:5" x14ac:dyDescent="0.2">
      <c r="B21" s="30" t="s">
        <v>213</v>
      </c>
      <c r="C21" s="34">
        <f>INDEX(Assumptions!$F$5:$H$9,MATCH($C$6,Assumptions!$A$5:$A$9,0),MATCH($C$10,Assumptions!$F$4:$H$4,0))*(1-C15)</f>
        <v>18</v>
      </c>
      <c r="D21" s="34">
        <f>INDEX(Assumptions!$F$5:$H$9,MATCH($C$6,Assumptions!$A$5:$A$9,0),MATCH($C$10,Assumptions!$F$4:$H$4,0))*(1-D15)</f>
        <v>14.4</v>
      </c>
      <c r="E21" s="2"/>
    </row>
    <row r="22" spans="2:5" x14ac:dyDescent="0.2">
      <c r="B22" s="30" t="s">
        <v>214</v>
      </c>
      <c r="C22" s="35">
        <f>C19+C20+C21</f>
        <v>1484.8</v>
      </c>
      <c r="D22" s="35">
        <f>D19+D20+D21</f>
        <v>1450.8</v>
      </c>
      <c r="E22" s="2"/>
    </row>
    <row r="23" spans="2:5" x14ac:dyDescent="0.2">
      <c r="B23" s="30" t="s">
        <v>215</v>
      </c>
      <c r="C23" s="36">
        <f>INDEX(Assumptions!$C$5:$C$9,MATCH($C$6,Assumptions!$A$5:$A$9,0))</f>
        <v>1</v>
      </c>
      <c r="D23" s="36">
        <f>INDEX(Assumptions!$C$5:$C$9,MATCH($C$6,Assumptions!$A$5:$A$9,0))</f>
        <v>1</v>
      </c>
      <c r="E23" s="2"/>
    </row>
    <row r="24" spans="2:5" x14ac:dyDescent="0.2">
      <c r="B24" s="30" t="s">
        <v>216</v>
      </c>
      <c r="C24" s="35">
        <f>$C$8/C23</f>
        <v>1600</v>
      </c>
      <c r="D24" s="35">
        <f>$C$8/D23</f>
        <v>1600</v>
      </c>
      <c r="E24" s="2"/>
    </row>
    <row r="25" spans="2:5" x14ac:dyDescent="0.2">
      <c r="B25" s="30" t="s">
        <v>217</v>
      </c>
      <c r="C25" s="35">
        <f>C24-C22</f>
        <v>115.20000000000005</v>
      </c>
      <c r="D25" s="35">
        <f>D24-D22</f>
        <v>149.20000000000005</v>
      </c>
      <c r="E25" s="2"/>
    </row>
    <row r="26" spans="2:5" x14ac:dyDescent="0.2">
      <c r="B26" s="37" t="s">
        <v>218</v>
      </c>
      <c r="C26" s="38">
        <f>IF(C24=0,0,C25/C24)</f>
        <v>7.2000000000000022E-2</v>
      </c>
      <c r="D26" s="38">
        <f>IF(D24=0,0,D25/D24)</f>
        <v>9.3250000000000027E-2</v>
      </c>
      <c r="E26" s="2" t="s">
        <v>219</v>
      </c>
    </row>
    <row r="27" spans="2:5" x14ac:dyDescent="0.2">
      <c r="B27" s="30" t="s">
        <v>75</v>
      </c>
      <c r="C27" s="39">
        <f>INDEX(Assumptions!$B$14:$B$16,MATCH($C$10,Assumptions!$A$14:$A$16,0))</f>
        <v>0.12</v>
      </c>
      <c r="D27" s="39">
        <f>INDEX(Assumptions!$B$14:$B$16,MATCH($C$10,Assumptions!$A$14:$A$16,0))</f>
        <v>0.12</v>
      </c>
      <c r="E27" s="2"/>
    </row>
    <row r="28" spans="2:5" x14ac:dyDescent="0.2">
      <c r="B28" s="30" t="s">
        <v>76</v>
      </c>
      <c r="C28" s="39">
        <f>INDEX(Assumptions!$C$14:$C$16,MATCH($C$10,Assumptions!$A$14:$A$16,0))</f>
        <v>0.08</v>
      </c>
      <c r="D28" s="39">
        <f>INDEX(Assumptions!$C$14:$C$16,MATCH($C$10,Assumptions!$A$14:$A$16,0))</f>
        <v>0.08</v>
      </c>
      <c r="E28" s="2"/>
    </row>
    <row r="29" spans="2:5" x14ac:dyDescent="0.2">
      <c r="B29" s="30" t="s">
        <v>220</v>
      </c>
      <c r="C29" s="40">
        <f>C24*$C$7</f>
        <v>800000</v>
      </c>
      <c r="D29" s="40">
        <f>D24*$C$7</f>
        <v>800000</v>
      </c>
      <c r="E29" s="2"/>
    </row>
    <row r="30" spans="2:5" x14ac:dyDescent="0.2">
      <c r="B30" s="30" t="s">
        <v>221</v>
      </c>
      <c r="C30" s="40">
        <f>C25*$C$7</f>
        <v>57600.000000000022</v>
      </c>
      <c r="D30" s="40">
        <f>D25*$C$7</f>
        <v>74600.000000000029</v>
      </c>
      <c r="E30" s="2"/>
    </row>
    <row r="31" spans="2:5" x14ac:dyDescent="0.2">
      <c r="B31" s="37" t="s">
        <v>222</v>
      </c>
      <c r="C31" s="41" t="str">
        <f>IF(C26&lt;0,"Reject",IF(C26&lt;C28,"Finance (VP) approval",IF(C26&lt;C27,"Sales Lead approval","Auto-approve")))</f>
        <v>Finance (VP) approval</v>
      </c>
      <c r="D31" s="41" t="str">
        <f>IF(D26&lt;0,"Reject",IF(D26&lt;D28,"Finance (VP) approval",IF(D26&lt;D27,"Sales Lead approval","Auto-approve")))</f>
        <v>Sales Lead approval</v>
      </c>
      <c r="E31" s="2" t="s">
        <v>223</v>
      </c>
    </row>
    <row r="32" spans="2:5" x14ac:dyDescent="0.2">
      <c r="B32" s="30" t="s">
        <v>224</v>
      </c>
      <c r="C32" s="42">
        <f>C22/(1-C28)*C23</f>
        <v>1613.9130434782608</v>
      </c>
      <c r="D32" s="42">
        <f>D22/(1-D28)*D23</f>
        <v>1576.9565217391303</v>
      </c>
      <c r="E32" s="2" t="s">
        <v>225</v>
      </c>
    </row>
    <row r="33" spans="2:5" x14ac:dyDescent="0.2">
      <c r="B33" s="30" t="s">
        <v>226</v>
      </c>
      <c r="C33" s="42">
        <f>ROUNDUP(C22/(1-C27)*C23/5,0)*5</f>
        <v>1690</v>
      </c>
      <c r="D33" s="42">
        <f>ROUNDUP(D22/(1-D27)*D23/5,0)*5</f>
        <v>1650</v>
      </c>
      <c r="E33" s="2" t="s">
        <v>227</v>
      </c>
    </row>
    <row r="34" spans="2:5" x14ac:dyDescent="0.2">
      <c r="B34" s="30" t="s">
        <v>228</v>
      </c>
      <c r="C34" s="33">
        <f>IF(C16=0,0,1-C32/C16)</f>
        <v>7.2463768115942129E-2</v>
      </c>
      <c r="D34" s="33">
        <f>IF(D16=0,0,1-D32/D16)</f>
        <v>9.3703148425787197E-2</v>
      </c>
      <c r="E34" s="2"/>
    </row>
    <row r="36" spans="2:5" x14ac:dyDescent="0.2">
      <c r="B36" s="9" t="s">
        <v>229</v>
      </c>
    </row>
    <row r="37" spans="2:5" ht="30" customHeight="1" x14ac:dyDescent="0.2">
      <c r="B37" s="71" t="str">
        <f>"Scenario A margin "&amp;TEXT(C26,"0.0%")&amp;" -&gt; "&amp;C31&amp;". Registering the deal and consolidating freight lifts it to "&amp;TEXT(D26,"0.0%")&amp;" -&gt; "&amp;D31&amp;", adding "&amp;TEXT(D30-C30,"$#,##0")&amp;" gross profit at the same customer price."</f>
        <v>Scenario A margin 7.2% -&gt; Finance (VP) approval. Registering the deal and consolidating freight lifts it to 9.3% -&gt; Sales Lead approval, adding $17,000 gross profit at the same customer price.</v>
      </c>
      <c r="C37" s="72"/>
      <c r="D37" s="72"/>
      <c r="E37" s="72"/>
    </row>
    <row r="38" spans="2:5" x14ac:dyDescent="0.2">
      <c r="B38" s="72"/>
      <c r="C38" s="72"/>
      <c r="D38" s="72"/>
      <c r="E38" s="72"/>
    </row>
    <row r="39" spans="2:5" x14ac:dyDescent="0.2">
      <c r="B39" s="2" t="s">
        <v>230</v>
      </c>
    </row>
  </sheetData>
  <mergeCells count="1">
    <mergeCell ref="B37:E38"/>
  </mergeCells>
  <conditionalFormatting sqref="C31:D31">
    <cfRule type="expression" dxfId="12" priority="1">
      <formula>LEFT(C31,7)="Finance"</formula>
    </cfRule>
    <cfRule type="expression" dxfId="11" priority="2">
      <formula>C31="Reject"</formula>
    </cfRule>
    <cfRule type="expression" dxfId="10" priority="3">
      <formula>LEFT(C31,5)="Sales"</formula>
    </cfRule>
    <cfRule type="expression" dxfId="9" priority="4">
      <formula>C31="Auto-approve"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SKU_Master!$A$5:$A$34</xm:f>
          </x14:formula1>
          <xm:sqref>C5</xm:sqref>
        </x14:dataValidation>
        <x14:dataValidation type="list" xr:uid="{00000000-0002-0000-0400-000001000000}">
          <x14:formula1>
            <xm:f>Assumptions!$A$5:$A$9</xm:f>
          </x14:formula1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36" customWidth="1"/>
    <col min="3" max="7" width="16" customWidth="1"/>
  </cols>
  <sheetData>
    <row r="1" spans="1:7" ht="18" x14ac:dyDescent="0.2">
      <c r="A1" s="1" t="s">
        <v>231</v>
      </c>
    </row>
    <row r="2" spans="1:7" x14ac:dyDescent="0.2">
      <c r="A2" s="2" t="s">
        <v>232</v>
      </c>
    </row>
    <row r="4" spans="1:7" x14ac:dyDescent="0.2">
      <c r="B4" s="5" t="s">
        <v>86</v>
      </c>
      <c r="C4" s="43" t="s">
        <v>93</v>
      </c>
    </row>
    <row r="5" spans="1:7" x14ac:dyDescent="0.2">
      <c r="B5" s="5" t="s">
        <v>54</v>
      </c>
      <c r="C5" s="43" t="s">
        <v>64</v>
      </c>
    </row>
    <row r="6" spans="1:7" x14ac:dyDescent="0.2">
      <c r="B6" s="5" t="s">
        <v>88</v>
      </c>
      <c r="C6" s="17" t="str">
        <f>INDEX(SKU_Master!$C$5:$C$34,MATCH($C$4,SKU_Master!$A$5:$A$34,0))</f>
        <v>MacBook Air 13 M3 16GB/512GB</v>
      </c>
    </row>
    <row r="7" spans="1:7" x14ac:dyDescent="0.2">
      <c r="B7" s="5" t="s">
        <v>35</v>
      </c>
      <c r="C7" s="44">
        <f>INDEX(Price_Book!$R$5:$R$154,MATCH($C$4&amp;"|"&amp;$C$5,Price_Book!$W$5:$W$154,0))</f>
        <v>1145</v>
      </c>
    </row>
    <row r="8" spans="1:7" x14ac:dyDescent="0.2">
      <c r="B8" s="5" t="s">
        <v>31</v>
      </c>
      <c r="C8" s="18">
        <f>INDEX(Price_Book!$L$5:$L$154,MATCH($C$4&amp;"|"&amp;$C$5,Price_Book!$W$5:$W$154,0))</f>
        <v>1210.2</v>
      </c>
    </row>
    <row r="9" spans="1:7" x14ac:dyDescent="0.2">
      <c r="B9" s="5" t="s">
        <v>233</v>
      </c>
      <c r="C9" s="22">
        <f>INDEX(Price_Book!$P$5:$P$154,MATCH($C$4&amp;"|"&amp;$C$5,Price_Book!$W$5:$W$154,0))</f>
        <v>0.79</v>
      </c>
    </row>
    <row r="10" spans="1:7" x14ac:dyDescent="0.2">
      <c r="B10" s="5" t="s">
        <v>76</v>
      </c>
      <c r="C10" s="19">
        <f>INDEX(Price_Book!$S$5:$S$154,MATCH($C$4&amp;"|"&amp;$C$5,Price_Book!$W$5:$W$154,0))</f>
        <v>0.08</v>
      </c>
    </row>
    <row r="11" spans="1:7" x14ac:dyDescent="0.2">
      <c r="B11" s="5" t="s">
        <v>234</v>
      </c>
      <c r="C11" s="45">
        <f>C7/(C8/(1-C10))</f>
        <v>0.87043463890266071</v>
      </c>
    </row>
    <row r="12" spans="1:7" x14ac:dyDescent="0.2">
      <c r="B12" s="5" t="s">
        <v>235</v>
      </c>
      <c r="C12" s="46">
        <f>C11/C9-1</f>
        <v>0.1018159986109628</v>
      </c>
    </row>
    <row r="14" spans="1:7" ht="30" customHeight="1" x14ac:dyDescent="0.2">
      <c r="B14" s="10" t="s">
        <v>236</v>
      </c>
      <c r="C14" s="10" t="s">
        <v>237</v>
      </c>
      <c r="D14" s="10" t="s">
        <v>238</v>
      </c>
      <c r="E14" s="10" t="s">
        <v>239</v>
      </c>
      <c r="F14" s="10" t="s">
        <v>240</v>
      </c>
      <c r="G14" s="10" t="s">
        <v>241</v>
      </c>
    </row>
    <row r="15" spans="1:7" x14ac:dyDescent="0.2">
      <c r="B15" s="13">
        <v>-0.1</v>
      </c>
      <c r="C15" s="47">
        <f t="shared" ref="C15:C23" si="0">$C$9*(1+B15)</f>
        <v>0.71100000000000008</v>
      </c>
      <c r="D15" s="20">
        <f t="shared" ref="D15:D23" si="1">$C$7/C15</f>
        <v>1610.4078762306608</v>
      </c>
      <c r="E15" s="20">
        <f t="shared" ref="E15:E23" si="2">D15-$C$8</f>
        <v>400.20787623066076</v>
      </c>
      <c r="F15" s="25">
        <f t="shared" ref="F15:F23" si="3">IF(D15=0,0,E15/D15)</f>
        <v>0.24851336244541472</v>
      </c>
      <c r="G15" s="5" t="str">
        <f t="shared" ref="G15:G23" si="4">IF(F15&lt;0,"Loss",IF(F15&lt;$C$10,"Below floor","OK"))</f>
        <v>OK</v>
      </c>
    </row>
    <row r="16" spans="1:7" x14ac:dyDescent="0.2">
      <c r="B16" s="13">
        <v>-7.4999999999999997E-2</v>
      </c>
      <c r="C16" s="47">
        <f t="shared" si="0"/>
        <v>0.73075000000000012</v>
      </c>
      <c r="D16" s="20">
        <f t="shared" si="1"/>
        <v>1566.8833390352374</v>
      </c>
      <c r="E16" s="20">
        <f t="shared" si="2"/>
        <v>356.6833390352374</v>
      </c>
      <c r="F16" s="25">
        <f t="shared" si="3"/>
        <v>0.22763873362445397</v>
      </c>
      <c r="G16" s="5" t="str">
        <f t="shared" si="4"/>
        <v>OK</v>
      </c>
    </row>
    <row r="17" spans="2:7" x14ac:dyDescent="0.2">
      <c r="B17" s="13">
        <v>-0.05</v>
      </c>
      <c r="C17" s="47">
        <f t="shared" si="0"/>
        <v>0.75049999999999994</v>
      </c>
      <c r="D17" s="20">
        <f t="shared" si="1"/>
        <v>1525.6495669553633</v>
      </c>
      <c r="E17" s="20">
        <f t="shared" si="2"/>
        <v>315.44956695536325</v>
      </c>
      <c r="F17" s="25">
        <f t="shared" si="3"/>
        <v>0.20676410480349353</v>
      </c>
      <c r="G17" s="5" t="str">
        <f t="shared" si="4"/>
        <v>OK</v>
      </c>
    </row>
    <row r="18" spans="2:7" x14ac:dyDescent="0.2">
      <c r="B18" s="13">
        <v>-2.5000000000000001E-2</v>
      </c>
      <c r="C18" s="47">
        <f t="shared" si="0"/>
        <v>0.77024999999999999</v>
      </c>
      <c r="D18" s="20">
        <f t="shared" si="1"/>
        <v>1486.5303472898411</v>
      </c>
      <c r="E18" s="20">
        <f t="shared" si="2"/>
        <v>276.33034728984103</v>
      </c>
      <c r="F18" s="25">
        <f t="shared" si="3"/>
        <v>0.18588947598253278</v>
      </c>
      <c r="G18" s="5" t="str">
        <f t="shared" si="4"/>
        <v>OK</v>
      </c>
    </row>
    <row r="19" spans="2:7" x14ac:dyDescent="0.2">
      <c r="B19" s="13">
        <v>0</v>
      </c>
      <c r="C19" s="47">
        <f t="shared" si="0"/>
        <v>0.79</v>
      </c>
      <c r="D19" s="20">
        <f t="shared" si="1"/>
        <v>1449.367088607595</v>
      </c>
      <c r="E19" s="20">
        <f t="shared" si="2"/>
        <v>239.16708860759491</v>
      </c>
      <c r="F19" s="25">
        <f t="shared" si="3"/>
        <v>0.16501484716157203</v>
      </c>
      <c r="G19" s="5" t="str">
        <f t="shared" si="4"/>
        <v>OK</v>
      </c>
    </row>
    <row r="20" spans="2:7" x14ac:dyDescent="0.2">
      <c r="B20" s="13">
        <v>2.5000000000000001E-2</v>
      </c>
      <c r="C20" s="47">
        <f t="shared" si="0"/>
        <v>0.80974999999999997</v>
      </c>
      <c r="D20" s="20">
        <f t="shared" si="1"/>
        <v>1414.0166718122878</v>
      </c>
      <c r="E20" s="20">
        <f t="shared" si="2"/>
        <v>203.81667181228772</v>
      </c>
      <c r="F20" s="25">
        <f t="shared" si="3"/>
        <v>0.14414021834061133</v>
      </c>
      <c r="G20" s="5" t="str">
        <f t="shared" si="4"/>
        <v>OK</v>
      </c>
    </row>
    <row r="21" spans="2:7" x14ac:dyDescent="0.2">
      <c r="B21" s="13">
        <v>0.05</v>
      </c>
      <c r="C21" s="47">
        <f t="shared" si="0"/>
        <v>0.82950000000000013</v>
      </c>
      <c r="D21" s="20">
        <f t="shared" si="1"/>
        <v>1380.3496081977094</v>
      </c>
      <c r="E21" s="20">
        <f t="shared" si="2"/>
        <v>170.14960819770931</v>
      </c>
      <c r="F21" s="25">
        <f t="shared" si="3"/>
        <v>0.12326558951965055</v>
      </c>
      <c r="G21" s="5" t="str">
        <f t="shared" si="4"/>
        <v>OK</v>
      </c>
    </row>
    <row r="22" spans="2:7" x14ac:dyDescent="0.2">
      <c r="B22" s="13">
        <v>7.4999999999999997E-2</v>
      </c>
      <c r="C22" s="47">
        <f t="shared" si="0"/>
        <v>0.84924999999999995</v>
      </c>
      <c r="D22" s="20">
        <f t="shared" si="1"/>
        <v>1348.2484545186931</v>
      </c>
      <c r="E22" s="20">
        <f t="shared" si="2"/>
        <v>138.04845451869301</v>
      </c>
      <c r="F22" s="25">
        <f t="shared" si="3"/>
        <v>0.10239096069868998</v>
      </c>
      <c r="G22" s="5" t="str">
        <f t="shared" si="4"/>
        <v>OK</v>
      </c>
    </row>
    <row r="23" spans="2:7" x14ac:dyDescent="0.2">
      <c r="B23" s="13">
        <v>0.1</v>
      </c>
      <c r="C23" s="47">
        <f t="shared" si="0"/>
        <v>0.86900000000000011</v>
      </c>
      <c r="D23" s="20">
        <f t="shared" si="1"/>
        <v>1317.6064441887224</v>
      </c>
      <c r="E23" s="20">
        <f t="shared" si="2"/>
        <v>107.40644418872239</v>
      </c>
      <c r="F23" s="25">
        <f t="shared" si="3"/>
        <v>8.1516331877729054E-2</v>
      </c>
      <c r="G23" s="5" t="str">
        <f t="shared" si="4"/>
        <v>OK</v>
      </c>
    </row>
  </sheetData>
  <conditionalFormatting sqref="G15:G23">
    <cfRule type="expression" dxfId="8" priority="1">
      <formula>G15&lt;&gt;"OK"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SKU_Master!$A$5:$A$34</xm:f>
          </x14:formula1>
          <xm:sqref>C4</xm:sqref>
        </x14:dataValidation>
        <x14:dataValidation type="list" xr:uid="{00000000-0002-0000-0500-000001000000}">
          <x14:formula1>
            <xm:f>Assumptions!$A$5:$A$9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96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5" customWidth="1"/>
    <col min="3" max="3" width="11" customWidth="1"/>
    <col min="4" max="5" width="9" customWidth="1"/>
    <col min="6" max="6" width="11" customWidth="1"/>
    <col min="7" max="7" width="6" customWidth="1"/>
    <col min="8" max="8" width="7" customWidth="1"/>
    <col min="9" max="9" width="6" customWidth="1"/>
    <col min="10" max="10" width="7" customWidth="1"/>
    <col min="11" max="34" width="11" customWidth="1"/>
  </cols>
  <sheetData>
    <row r="1" spans="1:34" ht="18" x14ac:dyDescent="0.2">
      <c r="A1" s="1" t="s">
        <v>242</v>
      </c>
    </row>
    <row r="2" spans="1:34" x14ac:dyDescent="0.2">
      <c r="A2" s="2" t="s">
        <v>243</v>
      </c>
    </row>
    <row r="4" spans="1:34" ht="30" customHeight="1" x14ac:dyDescent="0.2">
      <c r="A4" s="10" t="s">
        <v>244</v>
      </c>
      <c r="B4" s="10" t="s">
        <v>245</v>
      </c>
      <c r="C4" s="10" t="s">
        <v>246</v>
      </c>
      <c r="D4" s="10" t="s">
        <v>247</v>
      </c>
      <c r="E4" s="10" t="s">
        <v>248</v>
      </c>
      <c r="F4" s="10" t="s">
        <v>249</v>
      </c>
      <c r="G4" s="10" t="s">
        <v>250</v>
      </c>
      <c r="H4" s="10" t="s">
        <v>54</v>
      </c>
      <c r="I4" s="10" t="s">
        <v>86</v>
      </c>
      <c r="J4" s="10" t="s">
        <v>251</v>
      </c>
      <c r="K4" s="10" t="s">
        <v>35</v>
      </c>
      <c r="L4" s="10" t="s">
        <v>252</v>
      </c>
      <c r="M4" s="10" t="s">
        <v>253</v>
      </c>
      <c r="N4" s="10" t="s">
        <v>254</v>
      </c>
      <c r="O4" s="10" t="s">
        <v>255</v>
      </c>
      <c r="P4" s="10" t="s">
        <v>256</v>
      </c>
      <c r="Q4" s="10" t="s">
        <v>257</v>
      </c>
      <c r="R4" s="10" t="s">
        <v>74</v>
      </c>
      <c r="S4" s="10" t="s">
        <v>258</v>
      </c>
      <c r="T4" s="10" t="s">
        <v>259</v>
      </c>
      <c r="U4" s="10" t="s">
        <v>260</v>
      </c>
      <c r="V4" s="10" t="s">
        <v>261</v>
      </c>
      <c r="W4" s="10" t="s">
        <v>44</v>
      </c>
      <c r="X4" s="10" t="s">
        <v>262</v>
      </c>
      <c r="Y4" s="10" t="s">
        <v>263</v>
      </c>
      <c r="Z4" s="10" t="s">
        <v>264</v>
      </c>
      <c r="AA4" s="10" t="s">
        <v>265</v>
      </c>
      <c r="AB4" s="10" t="s">
        <v>266</v>
      </c>
      <c r="AC4" s="10" t="s">
        <v>240</v>
      </c>
      <c r="AD4" s="10" t="s">
        <v>75</v>
      </c>
      <c r="AE4" s="10" t="s">
        <v>76</v>
      </c>
      <c r="AF4" s="10" t="s">
        <v>267</v>
      </c>
      <c r="AG4" s="10" t="s">
        <v>268</v>
      </c>
      <c r="AH4" s="10" t="s">
        <v>269</v>
      </c>
    </row>
    <row r="5" spans="1:34" x14ac:dyDescent="0.2">
      <c r="A5" s="48" t="s">
        <v>270</v>
      </c>
      <c r="B5" s="48">
        <v>1</v>
      </c>
      <c r="C5" s="48" t="s">
        <v>271</v>
      </c>
      <c r="D5" s="48" t="s">
        <v>272</v>
      </c>
      <c r="E5" s="48" t="s">
        <v>273</v>
      </c>
      <c r="F5" s="48" t="s">
        <v>274</v>
      </c>
      <c r="G5" s="48" t="s">
        <v>275</v>
      </c>
      <c r="H5" s="48" t="s">
        <v>66</v>
      </c>
      <c r="I5" s="48" t="s">
        <v>113</v>
      </c>
      <c r="J5" s="49">
        <v>5</v>
      </c>
      <c r="K5" s="50">
        <v>1655</v>
      </c>
      <c r="L5" s="50">
        <v>1652.26</v>
      </c>
      <c r="M5" s="48" t="s">
        <v>276</v>
      </c>
      <c r="N5" s="51">
        <v>0.92</v>
      </c>
      <c r="O5" s="51">
        <v>0.91659999999999997</v>
      </c>
      <c r="P5" s="52">
        <v>1504.8</v>
      </c>
      <c r="Q5" s="52">
        <v>1504.8</v>
      </c>
      <c r="R5" s="53" t="str">
        <f>INDEX(SKU_Master!$D$5:$D$34,MATCH($I5,SKU_Master!$A$5:$A$34,0))</f>
        <v>Laptop</v>
      </c>
      <c r="S5" s="54">
        <f t="shared" ref="S5:S68" si="0">IF(K5=0,0,1-L5/K5)</f>
        <v>1.6555891238670961E-3</v>
      </c>
      <c r="T5" s="55">
        <f t="shared" ref="T5:T68" si="1">J5*K5/N5</f>
        <v>8994.565217391304</v>
      </c>
      <c r="U5" s="55">
        <f t="shared" ref="U5:U68" si="2">J5*L5/N5</f>
        <v>8979.6739130434762</v>
      </c>
      <c r="V5" s="55">
        <f t="shared" ref="V5:V68" si="3">U5-T5</f>
        <v>-14.891304347827827</v>
      </c>
      <c r="W5" s="55">
        <f t="shared" ref="W5:W68" si="4">J5*L5/O5</f>
        <v>9012.9827623827186</v>
      </c>
      <c r="X5" s="55">
        <f t="shared" ref="X5:X68" si="5">W5-U5</f>
        <v>33.308849339242443</v>
      </c>
      <c r="Y5" s="55">
        <f t="shared" ref="Y5:Y68" si="6">J5*P5</f>
        <v>7524</v>
      </c>
      <c r="Z5" s="55">
        <f t="shared" ref="Z5:Z68" si="7">J5*Q5</f>
        <v>7524</v>
      </c>
      <c r="AA5" s="55">
        <f t="shared" ref="AA5:AA68" si="8">Y5-Z5</f>
        <v>0</v>
      </c>
      <c r="AB5" s="55">
        <f t="shared" ref="AB5:AB68" si="9">W5-Z5</f>
        <v>1488.9827623827186</v>
      </c>
      <c r="AC5" s="54">
        <f t="shared" ref="AC5:AC68" si="10">IF(W5=0,0,AB5/W5)</f>
        <v>0.16520421725394308</v>
      </c>
      <c r="AD5" s="56">
        <f>INDEX(Assumptions!$B$14:$B$16,MATCH($R5,Assumptions!$A$14:$A$16,0))</f>
        <v>0.12</v>
      </c>
      <c r="AE5" s="56">
        <f>INDEX(Assumptions!$C$14:$C$16,MATCH($R5,Assumptions!$A$14:$A$16,0))</f>
        <v>0.08</v>
      </c>
      <c r="AF5" s="49">
        <f t="shared" ref="AF5:AF68" si="11">IF(AC5&lt;AE5,1,0)</f>
        <v>0</v>
      </c>
      <c r="AG5" s="49">
        <f t="shared" ref="AG5:AG68" si="12">IF(AND(AF5=1,M5="N"),1,0)</f>
        <v>0</v>
      </c>
      <c r="AH5" s="55">
        <f t="shared" ref="AH5:AH68" si="13">MAX(0,W5*AD5-AB5)</f>
        <v>0</v>
      </c>
    </row>
    <row r="6" spans="1:34" x14ac:dyDescent="0.2">
      <c r="A6" s="48" t="s">
        <v>270</v>
      </c>
      <c r="B6" s="48">
        <v>2</v>
      </c>
      <c r="C6" s="48" t="s">
        <v>271</v>
      </c>
      <c r="D6" s="48" t="s">
        <v>272</v>
      </c>
      <c r="E6" s="48" t="s">
        <v>273</v>
      </c>
      <c r="F6" s="48" t="s">
        <v>274</v>
      </c>
      <c r="G6" s="48" t="s">
        <v>275</v>
      </c>
      <c r="H6" s="48" t="s">
        <v>66</v>
      </c>
      <c r="I6" s="48" t="s">
        <v>138</v>
      </c>
      <c r="J6" s="49">
        <v>3</v>
      </c>
      <c r="K6" s="50">
        <v>460</v>
      </c>
      <c r="L6" s="50">
        <v>451.37</v>
      </c>
      <c r="M6" s="48" t="s">
        <v>276</v>
      </c>
      <c r="N6" s="51">
        <v>0.92</v>
      </c>
      <c r="O6" s="51">
        <v>0.91659999999999997</v>
      </c>
      <c r="P6" s="52">
        <v>383.2</v>
      </c>
      <c r="Q6" s="52">
        <v>383.2</v>
      </c>
      <c r="R6" s="53" t="str">
        <f>INDEX(SKU_Master!$D$5:$D$34,MATCH($I6,SKU_Master!$A$5:$A$34,0))</f>
        <v>Monitor</v>
      </c>
      <c r="S6" s="54">
        <f t="shared" si="0"/>
        <v>1.8760869565217386E-2</v>
      </c>
      <c r="T6" s="55">
        <f t="shared" si="1"/>
        <v>1500</v>
      </c>
      <c r="U6" s="55">
        <f t="shared" si="2"/>
        <v>1471.858695652174</v>
      </c>
      <c r="V6" s="55">
        <f t="shared" si="3"/>
        <v>-28.141304347826008</v>
      </c>
      <c r="W6" s="55">
        <f t="shared" si="4"/>
        <v>1477.3183504254857</v>
      </c>
      <c r="X6" s="55">
        <f t="shared" si="5"/>
        <v>5.4596547733117404</v>
      </c>
      <c r="Y6" s="55">
        <f t="shared" si="6"/>
        <v>1149.5999999999999</v>
      </c>
      <c r="Z6" s="55">
        <f t="shared" si="7"/>
        <v>1149.5999999999999</v>
      </c>
      <c r="AA6" s="55">
        <f t="shared" si="8"/>
        <v>0</v>
      </c>
      <c r="AB6" s="55">
        <f t="shared" si="9"/>
        <v>327.71835042548582</v>
      </c>
      <c r="AC6" s="54">
        <f t="shared" si="10"/>
        <v>0.22183326317655158</v>
      </c>
      <c r="AD6" s="56">
        <f>INDEX(Assumptions!$B$14:$B$16,MATCH($R6,Assumptions!$A$14:$A$16,0))</f>
        <v>0.18</v>
      </c>
      <c r="AE6" s="56">
        <f>INDEX(Assumptions!$C$14:$C$16,MATCH($R6,Assumptions!$A$14:$A$16,0))</f>
        <v>0.12</v>
      </c>
      <c r="AF6" s="49">
        <f t="shared" si="11"/>
        <v>0</v>
      </c>
      <c r="AG6" s="49">
        <f t="shared" si="12"/>
        <v>0</v>
      </c>
      <c r="AH6" s="55">
        <f t="shared" si="13"/>
        <v>0</v>
      </c>
    </row>
    <row r="7" spans="1:34" x14ac:dyDescent="0.2">
      <c r="A7" s="48" t="s">
        <v>277</v>
      </c>
      <c r="B7" s="48">
        <v>1</v>
      </c>
      <c r="C7" s="48" t="s">
        <v>278</v>
      </c>
      <c r="D7" s="48" t="s">
        <v>272</v>
      </c>
      <c r="E7" s="48" t="s">
        <v>279</v>
      </c>
      <c r="F7" s="48" t="s">
        <v>280</v>
      </c>
      <c r="G7" s="48" t="s">
        <v>281</v>
      </c>
      <c r="H7" s="48" t="s">
        <v>64</v>
      </c>
      <c r="I7" s="48" t="s">
        <v>103</v>
      </c>
      <c r="J7" s="49">
        <v>19</v>
      </c>
      <c r="K7" s="50">
        <v>940</v>
      </c>
      <c r="L7" s="50">
        <v>913.47</v>
      </c>
      <c r="M7" s="48" t="s">
        <v>276</v>
      </c>
      <c r="N7" s="51">
        <v>0.79</v>
      </c>
      <c r="O7" s="51">
        <v>0.7893</v>
      </c>
      <c r="P7" s="52">
        <v>992.6</v>
      </c>
      <c r="Q7" s="52">
        <v>992.6</v>
      </c>
      <c r="R7" s="53" t="str">
        <f>INDEX(SKU_Master!$D$5:$D$34,MATCH($I7,SKU_Master!$A$5:$A$34,0))</f>
        <v>Laptop</v>
      </c>
      <c r="S7" s="54">
        <f t="shared" si="0"/>
        <v>2.8223404255319107E-2</v>
      </c>
      <c r="T7" s="55">
        <f t="shared" si="1"/>
        <v>22607.594936708861</v>
      </c>
      <c r="U7" s="55">
        <f t="shared" si="2"/>
        <v>21969.531645569619</v>
      </c>
      <c r="V7" s="55">
        <f t="shared" si="3"/>
        <v>-638.06329113924221</v>
      </c>
      <c r="W7" s="55">
        <f t="shared" si="4"/>
        <v>21989.015583428354</v>
      </c>
      <c r="X7" s="55">
        <f t="shared" si="5"/>
        <v>19.483937858734862</v>
      </c>
      <c r="Y7" s="55">
        <f t="shared" si="6"/>
        <v>18859.400000000001</v>
      </c>
      <c r="Z7" s="55">
        <f t="shared" si="7"/>
        <v>18859.400000000001</v>
      </c>
      <c r="AA7" s="55">
        <f t="shared" si="8"/>
        <v>0</v>
      </c>
      <c r="AB7" s="55">
        <f t="shared" si="9"/>
        <v>3129.6155834283527</v>
      </c>
      <c r="AC7" s="54">
        <f t="shared" si="10"/>
        <v>0.14232631613517679</v>
      </c>
      <c r="AD7" s="56">
        <f>INDEX(Assumptions!$B$14:$B$16,MATCH($R7,Assumptions!$A$14:$A$16,0))</f>
        <v>0.12</v>
      </c>
      <c r="AE7" s="56">
        <f>INDEX(Assumptions!$C$14:$C$16,MATCH($R7,Assumptions!$A$14:$A$16,0))</f>
        <v>0.08</v>
      </c>
      <c r="AF7" s="49">
        <f t="shared" si="11"/>
        <v>0</v>
      </c>
      <c r="AG7" s="49">
        <f t="shared" si="12"/>
        <v>0</v>
      </c>
      <c r="AH7" s="55">
        <f t="shared" si="13"/>
        <v>0</v>
      </c>
    </row>
    <row r="8" spans="1:34" x14ac:dyDescent="0.2">
      <c r="A8" s="48" t="s">
        <v>277</v>
      </c>
      <c r="B8" s="48">
        <v>2</v>
      </c>
      <c r="C8" s="48" t="s">
        <v>278</v>
      </c>
      <c r="D8" s="48" t="s">
        <v>272</v>
      </c>
      <c r="E8" s="48" t="s">
        <v>279</v>
      </c>
      <c r="F8" s="48" t="s">
        <v>280</v>
      </c>
      <c r="G8" s="48" t="s">
        <v>281</v>
      </c>
      <c r="H8" s="48" t="s">
        <v>64</v>
      </c>
      <c r="I8" s="48" t="s">
        <v>138</v>
      </c>
      <c r="J8" s="49">
        <v>7</v>
      </c>
      <c r="K8" s="50">
        <v>400</v>
      </c>
      <c r="L8" s="50">
        <v>384.43</v>
      </c>
      <c r="M8" s="48" t="s">
        <v>276</v>
      </c>
      <c r="N8" s="51">
        <v>0.79</v>
      </c>
      <c r="O8" s="51">
        <v>0.7893</v>
      </c>
      <c r="P8" s="52">
        <v>388.2</v>
      </c>
      <c r="Q8" s="52">
        <v>388.2</v>
      </c>
      <c r="R8" s="53" t="str">
        <f>INDEX(SKU_Master!$D$5:$D$34,MATCH($I8,SKU_Master!$A$5:$A$34,0))</f>
        <v>Monitor</v>
      </c>
      <c r="S8" s="54">
        <f t="shared" si="0"/>
        <v>3.8924999999999987E-2</v>
      </c>
      <c r="T8" s="55">
        <f t="shared" si="1"/>
        <v>3544.3037974683543</v>
      </c>
      <c r="U8" s="55">
        <f t="shared" si="2"/>
        <v>3406.341772151899</v>
      </c>
      <c r="V8" s="55">
        <f t="shared" si="3"/>
        <v>-137.96202531645531</v>
      </c>
      <c r="W8" s="55">
        <f t="shared" si="4"/>
        <v>3409.3627264664897</v>
      </c>
      <c r="X8" s="55">
        <f t="shared" si="5"/>
        <v>3.0209543145906537</v>
      </c>
      <c r="Y8" s="55">
        <f t="shared" si="6"/>
        <v>2717.4</v>
      </c>
      <c r="Z8" s="55">
        <f t="shared" si="7"/>
        <v>2717.4</v>
      </c>
      <c r="AA8" s="55">
        <f t="shared" si="8"/>
        <v>0</v>
      </c>
      <c r="AB8" s="55">
        <f t="shared" si="9"/>
        <v>691.96272646648958</v>
      </c>
      <c r="AC8" s="54">
        <f t="shared" si="10"/>
        <v>0.20295955050334266</v>
      </c>
      <c r="AD8" s="56">
        <f>INDEX(Assumptions!$B$14:$B$16,MATCH($R8,Assumptions!$A$14:$A$16,0))</f>
        <v>0.18</v>
      </c>
      <c r="AE8" s="56">
        <f>INDEX(Assumptions!$C$14:$C$16,MATCH($R8,Assumptions!$A$14:$A$16,0))</f>
        <v>0.12</v>
      </c>
      <c r="AF8" s="49">
        <f t="shared" si="11"/>
        <v>0</v>
      </c>
      <c r="AG8" s="49">
        <f t="shared" si="12"/>
        <v>0</v>
      </c>
      <c r="AH8" s="55">
        <f t="shared" si="13"/>
        <v>0</v>
      </c>
    </row>
    <row r="9" spans="1:34" x14ac:dyDescent="0.2">
      <c r="A9" s="48" t="s">
        <v>277</v>
      </c>
      <c r="B9" s="48">
        <v>3</v>
      </c>
      <c r="C9" s="48" t="s">
        <v>278</v>
      </c>
      <c r="D9" s="48" t="s">
        <v>272</v>
      </c>
      <c r="E9" s="48" t="s">
        <v>279</v>
      </c>
      <c r="F9" s="48" t="s">
        <v>280</v>
      </c>
      <c r="G9" s="48" t="s">
        <v>281</v>
      </c>
      <c r="H9" s="48" t="s">
        <v>64</v>
      </c>
      <c r="I9" s="48" t="s">
        <v>173</v>
      </c>
      <c r="J9" s="49">
        <v>9</v>
      </c>
      <c r="K9" s="50">
        <v>50</v>
      </c>
      <c r="L9" s="50">
        <v>48.53</v>
      </c>
      <c r="M9" s="48" t="s">
        <v>276</v>
      </c>
      <c r="N9" s="51">
        <v>0.79</v>
      </c>
      <c r="O9" s="51">
        <v>0.7893</v>
      </c>
      <c r="P9" s="52">
        <v>40</v>
      </c>
      <c r="Q9" s="52">
        <v>40</v>
      </c>
      <c r="R9" s="53" t="str">
        <f>INDEX(SKU_Master!$D$5:$D$34,MATCH($I9,SKU_Master!$A$5:$A$34,0))</f>
        <v>Accessory</v>
      </c>
      <c r="S9" s="54">
        <f t="shared" si="0"/>
        <v>2.9399999999999982E-2</v>
      </c>
      <c r="T9" s="55">
        <f t="shared" si="1"/>
        <v>569.62025316455697</v>
      </c>
      <c r="U9" s="55">
        <f t="shared" si="2"/>
        <v>552.87341772151899</v>
      </c>
      <c r="V9" s="55">
        <f t="shared" si="3"/>
        <v>-16.74683544303798</v>
      </c>
      <c r="W9" s="55">
        <f t="shared" si="4"/>
        <v>553.36374002280502</v>
      </c>
      <c r="X9" s="55">
        <f t="shared" si="5"/>
        <v>0.49032230128602805</v>
      </c>
      <c r="Y9" s="55">
        <f t="shared" si="6"/>
        <v>360</v>
      </c>
      <c r="Z9" s="55">
        <f t="shared" si="7"/>
        <v>360</v>
      </c>
      <c r="AA9" s="55">
        <f t="shared" si="8"/>
        <v>0</v>
      </c>
      <c r="AB9" s="55">
        <f t="shared" si="9"/>
        <v>193.36374002280502</v>
      </c>
      <c r="AC9" s="54">
        <f t="shared" si="10"/>
        <v>0.34943334020193695</v>
      </c>
      <c r="AD9" s="56">
        <f>INDEX(Assumptions!$B$14:$B$16,MATCH($R9,Assumptions!$A$14:$A$16,0))</f>
        <v>0.32</v>
      </c>
      <c r="AE9" s="56">
        <f>INDEX(Assumptions!$C$14:$C$16,MATCH($R9,Assumptions!$A$14:$A$16,0))</f>
        <v>0.22</v>
      </c>
      <c r="AF9" s="49">
        <f t="shared" si="11"/>
        <v>0</v>
      </c>
      <c r="AG9" s="49">
        <f t="shared" si="12"/>
        <v>0</v>
      </c>
      <c r="AH9" s="55">
        <f t="shared" si="13"/>
        <v>0</v>
      </c>
    </row>
    <row r="10" spans="1:34" x14ac:dyDescent="0.2">
      <c r="A10" s="48" t="s">
        <v>282</v>
      </c>
      <c r="B10" s="48">
        <v>1</v>
      </c>
      <c r="C10" s="48" t="s">
        <v>283</v>
      </c>
      <c r="D10" s="48" t="s">
        <v>272</v>
      </c>
      <c r="E10" s="48" t="s">
        <v>284</v>
      </c>
      <c r="F10" s="48" t="s">
        <v>274</v>
      </c>
      <c r="G10" s="48" t="s">
        <v>275</v>
      </c>
      <c r="H10" s="48" t="s">
        <v>64</v>
      </c>
      <c r="I10" s="48" t="s">
        <v>113</v>
      </c>
      <c r="J10" s="49">
        <v>3</v>
      </c>
      <c r="K10" s="50">
        <v>1425</v>
      </c>
      <c r="L10" s="50">
        <v>1403.09</v>
      </c>
      <c r="M10" s="48" t="s">
        <v>276</v>
      </c>
      <c r="N10" s="51">
        <v>0.79</v>
      </c>
      <c r="O10" s="51">
        <v>0.7893</v>
      </c>
      <c r="P10" s="52">
        <v>1508.8</v>
      </c>
      <c r="Q10" s="52">
        <v>1508.8</v>
      </c>
      <c r="R10" s="53" t="str">
        <f>INDEX(SKU_Master!$D$5:$D$34,MATCH($I10,SKU_Master!$A$5:$A$34,0))</f>
        <v>Laptop</v>
      </c>
      <c r="S10" s="54">
        <f t="shared" si="0"/>
        <v>1.5375438596491264E-2</v>
      </c>
      <c r="T10" s="55">
        <f t="shared" si="1"/>
        <v>5411.3924050632913</v>
      </c>
      <c r="U10" s="55">
        <f t="shared" si="2"/>
        <v>5328.1898734177203</v>
      </c>
      <c r="V10" s="55">
        <f t="shared" si="3"/>
        <v>-83.202531645571071</v>
      </c>
      <c r="W10" s="55">
        <f t="shared" si="4"/>
        <v>5332.9152413530974</v>
      </c>
      <c r="X10" s="55">
        <f t="shared" si="5"/>
        <v>4.7253679353771076</v>
      </c>
      <c r="Y10" s="55">
        <f t="shared" si="6"/>
        <v>4526.3999999999996</v>
      </c>
      <c r="Z10" s="55">
        <f t="shared" si="7"/>
        <v>4526.3999999999996</v>
      </c>
      <c r="AA10" s="55">
        <f t="shared" si="8"/>
        <v>0</v>
      </c>
      <c r="AB10" s="55">
        <f t="shared" si="9"/>
        <v>806.51524135309774</v>
      </c>
      <c r="AC10" s="54">
        <f t="shared" si="10"/>
        <v>0.15123346328460757</v>
      </c>
      <c r="AD10" s="56">
        <f>INDEX(Assumptions!$B$14:$B$16,MATCH($R10,Assumptions!$A$14:$A$16,0))</f>
        <v>0.12</v>
      </c>
      <c r="AE10" s="56">
        <f>INDEX(Assumptions!$C$14:$C$16,MATCH($R10,Assumptions!$A$14:$A$16,0))</f>
        <v>0.08</v>
      </c>
      <c r="AF10" s="49">
        <f t="shared" si="11"/>
        <v>0</v>
      </c>
      <c r="AG10" s="49">
        <f t="shared" si="12"/>
        <v>0</v>
      </c>
      <c r="AH10" s="55">
        <f t="shared" si="13"/>
        <v>0</v>
      </c>
    </row>
    <row r="11" spans="1:34" x14ac:dyDescent="0.2">
      <c r="A11" s="48" t="s">
        <v>282</v>
      </c>
      <c r="B11" s="48">
        <v>2</v>
      </c>
      <c r="C11" s="48" t="s">
        <v>283</v>
      </c>
      <c r="D11" s="48" t="s">
        <v>272</v>
      </c>
      <c r="E11" s="48" t="s">
        <v>284</v>
      </c>
      <c r="F11" s="48" t="s">
        <v>274</v>
      </c>
      <c r="G11" s="48" t="s">
        <v>275</v>
      </c>
      <c r="H11" s="48" t="s">
        <v>64</v>
      </c>
      <c r="I11" s="48" t="s">
        <v>151</v>
      </c>
      <c r="J11" s="49">
        <v>3</v>
      </c>
      <c r="K11" s="50">
        <v>280</v>
      </c>
      <c r="L11" s="50">
        <v>278.70999999999998</v>
      </c>
      <c r="M11" s="48" t="s">
        <v>276</v>
      </c>
      <c r="N11" s="51">
        <v>0.79</v>
      </c>
      <c r="O11" s="51">
        <v>0.7893</v>
      </c>
      <c r="P11" s="52">
        <v>222.7</v>
      </c>
      <c r="Q11" s="52">
        <v>222.7</v>
      </c>
      <c r="R11" s="53" t="str">
        <f>INDEX(SKU_Master!$D$5:$D$34,MATCH($I11,SKU_Master!$A$5:$A$34,0))</f>
        <v>Accessory</v>
      </c>
      <c r="S11" s="54">
        <f t="shared" si="0"/>
        <v>4.6071428571429207E-3</v>
      </c>
      <c r="T11" s="55">
        <f t="shared" si="1"/>
        <v>1063.2911392405063</v>
      </c>
      <c r="U11" s="55">
        <f t="shared" si="2"/>
        <v>1058.3924050632909</v>
      </c>
      <c r="V11" s="55">
        <f t="shared" si="3"/>
        <v>-4.8987341772153741</v>
      </c>
      <c r="W11" s="55">
        <f t="shared" si="4"/>
        <v>1059.3310528316229</v>
      </c>
      <c r="X11" s="55">
        <f t="shared" si="5"/>
        <v>0.93864776833197539</v>
      </c>
      <c r="Y11" s="55">
        <f t="shared" si="6"/>
        <v>668.09999999999991</v>
      </c>
      <c r="Z11" s="55">
        <f t="shared" si="7"/>
        <v>668.09999999999991</v>
      </c>
      <c r="AA11" s="55">
        <f t="shared" si="8"/>
        <v>0</v>
      </c>
      <c r="AB11" s="55">
        <f t="shared" si="9"/>
        <v>391.23105283162295</v>
      </c>
      <c r="AC11" s="54">
        <f t="shared" si="10"/>
        <v>0.36931896953822974</v>
      </c>
      <c r="AD11" s="56">
        <f>INDEX(Assumptions!$B$14:$B$16,MATCH($R11,Assumptions!$A$14:$A$16,0))</f>
        <v>0.32</v>
      </c>
      <c r="AE11" s="56">
        <f>INDEX(Assumptions!$C$14:$C$16,MATCH($R11,Assumptions!$A$14:$A$16,0))</f>
        <v>0.22</v>
      </c>
      <c r="AF11" s="49">
        <f t="shared" si="11"/>
        <v>0</v>
      </c>
      <c r="AG11" s="49">
        <f t="shared" si="12"/>
        <v>0</v>
      </c>
      <c r="AH11" s="55">
        <f t="shared" si="13"/>
        <v>0</v>
      </c>
    </row>
    <row r="12" spans="1:34" x14ac:dyDescent="0.2">
      <c r="A12" s="48" t="s">
        <v>285</v>
      </c>
      <c r="B12" s="48">
        <v>1</v>
      </c>
      <c r="C12" s="48" t="s">
        <v>286</v>
      </c>
      <c r="D12" s="48" t="s">
        <v>272</v>
      </c>
      <c r="E12" s="48" t="s">
        <v>287</v>
      </c>
      <c r="F12" s="48" t="s">
        <v>274</v>
      </c>
      <c r="G12" s="48" t="s">
        <v>288</v>
      </c>
      <c r="H12" s="48" t="s">
        <v>62</v>
      </c>
      <c r="I12" s="48" t="s">
        <v>118</v>
      </c>
      <c r="J12" s="49">
        <v>2</v>
      </c>
      <c r="K12" s="50">
        <v>1365</v>
      </c>
      <c r="L12" s="50">
        <v>1342.93</v>
      </c>
      <c r="M12" s="48" t="s">
        <v>276</v>
      </c>
      <c r="N12" s="51">
        <v>1</v>
      </c>
      <c r="O12" s="51">
        <v>1</v>
      </c>
      <c r="P12" s="52">
        <v>1162.5999999999999</v>
      </c>
      <c r="Q12" s="52">
        <v>1162.5999999999999</v>
      </c>
      <c r="R12" s="53" t="str">
        <f>INDEX(SKU_Master!$D$5:$D$34,MATCH($I12,SKU_Master!$A$5:$A$34,0))</f>
        <v>Laptop</v>
      </c>
      <c r="S12" s="54">
        <f t="shared" si="0"/>
        <v>1.616849816849808E-2</v>
      </c>
      <c r="T12" s="55">
        <f t="shared" si="1"/>
        <v>2730</v>
      </c>
      <c r="U12" s="55">
        <f t="shared" si="2"/>
        <v>2685.86</v>
      </c>
      <c r="V12" s="55">
        <f t="shared" si="3"/>
        <v>-44.139999999999873</v>
      </c>
      <c r="W12" s="55">
        <f t="shared" si="4"/>
        <v>2685.86</v>
      </c>
      <c r="X12" s="55">
        <f t="shared" si="5"/>
        <v>0</v>
      </c>
      <c r="Y12" s="55">
        <f t="shared" si="6"/>
        <v>2325.1999999999998</v>
      </c>
      <c r="Z12" s="55">
        <f t="shared" si="7"/>
        <v>2325.1999999999998</v>
      </c>
      <c r="AA12" s="55">
        <f t="shared" si="8"/>
        <v>0</v>
      </c>
      <c r="AB12" s="55">
        <f t="shared" si="9"/>
        <v>360.66000000000031</v>
      </c>
      <c r="AC12" s="54">
        <f t="shared" si="10"/>
        <v>0.1342810124131564</v>
      </c>
      <c r="AD12" s="56">
        <f>INDEX(Assumptions!$B$14:$B$16,MATCH($R12,Assumptions!$A$14:$A$16,0))</f>
        <v>0.12</v>
      </c>
      <c r="AE12" s="56">
        <f>INDEX(Assumptions!$C$14:$C$16,MATCH($R12,Assumptions!$A$14:$A$16,0))</f>
        <v>0.08</v>
      </c>
      <c r="AF12" s="49">
        <f t="shared" si="11"/>
        <v>0</v>
      </c>
      <c r="AG12" s="49">
        <f t="shared" si="12"/>
        <v>0</v>
      </c>
      <c r="AH12" s="55">
        <f t="shared" si="13"/>
        <v>0</v>
      </c>
    </row>
    <row r="13" spans="1:34" x14ac:dyDescent="0.2">
      <c r="A13" s="48" t="s">
        <v>285</v>
      </c>
      <c r="B13" s="48">
        <v>2</v>
      </c>
      <c r="C13" s="48" t="s">
        <v>286</v>
      </c>
      <c r="D13" s="48" t="s">
        <v>272</v>
      </c>
      <c r="E13" s="48" t="s">
        <v>287</v>
      </c>
      <c r="F13" s="48" t="s">
        <v>274</v>
      </c>
      <c r="G13" s="48" t="s">
        <v>288</v>
      </c>
      <c r="H13" s="48" t="s">
        <v>62</v>
      </c>
      <c r="I13" s="48" t="s">
        <v>157</v>
      </c>
      <c r="J13" s="49">
        <v>2</v>
      </c>
      <c r="K13" s="50">
        <v>135</v>
      </c>
      <c r="L13" s="50">
        <v>134.21</v>
      </c>
      <c r="M13" s="48" t="s">
        <v>276</v>
      </c>
      <c r="N13" s="51">
        <v>1</v>
      </c>
      <c r="O13" s="51">
        <v>1</v>
      </c>
      <c r="P13" s="52">
        <v>86</v>
      </c>
      <c r="Q13" s="52">
        <v>86</v>
      </c>
      <c r="R13" s="53" t="str">
        <f>INDEX(SKU_Master!$D$5:$D$34,MATCH($I13,SKU_Master!$A$5:$A$34,0))</f>
        <v>Accessory</v>
      </c>
      <c r="S13" s="54">
        <f t="shared" si="0"/>
        <v>5.8518518518517748E-3</v>
      </c>
      <c r="T13" s="55">
        <f t="shared" si="1"/>
        <v>270</v>
      </c>
      <c r="U13" s="55">
        <f t="shared" si="2"/>
        <v>268.42</v>
      </c>
      <c r="V13" s="55">
        <f t="shared" si="3"/>
        <v>-1.5799999999999841</v>
      </c>
      <c r="W13" s="55">
        <f t="shared" si="4"/>
        <v>268.42</v>
      </c>
      <c r="X13" s="55">
        <f t="shared" si="5"/>
        <v>0</v>
      </c>
      <c r="Y13" s="55">
        <f t="shared" si="6"/>
        <v>172</v>
      </c>
      <c r="Z13" s="55">
        <f t="shared" si="7"/>
        <v>172</v>
      </c>
      <c r="AA13" s="55">
        <f t="shared" si="8"/>
        <v>0</v>
      </c>
      <c r="AB13" s="55">
        <f t="shared" si="9"/>
        <v>96.420000000000016</v>
      </c>
      <c r="AC13" s="54">
        <f t="shared" si="10"/>
        <v>0.3592131733849937</v>
      </c>
      <c r="AD13" s="56">
        <f>INDEX(Assumptions!$B$14:$B$16,MATCH($R13,Assumptions!$A$14:$A$16,0))</f>
        <v>0.32</v>
      </c>
      <c r="AE13" s="56">
        <f>INDEX(Assumptions!$C$14:$C$16,MATCH($R13,Assumptions!$A$14:$A$16,0))</f>
        <v>0.22</v>
      </c>
      <c r="AF13" s="49">
        <f t="shared" si="11"/>
        <v>0</v>
      </c>
      <c r="AG13" s="49">
        <f t="shared" si="12"/>
        <v>0</v>
      </c>
      <c r="AH13" s="55">
        <f t="shared" si="13"/>
        <v>0</v>
      </c>
    </row>
    <row r="14" spans="1:34" x14ac:dyDescent="0.2">
      <c r="A14" s="48" t="s">
        <v>289</v>
      </c>
      <c r="B14" s="48">
        <v>1</v>
      </c>
      <c r="C14" s="48" t="s">
        <v>290</v>
      </c>
      <c r="D14" s="48" t="s">
        <v>272</v>
      </c>
      <c r="E14" s="48" t="s">
        <v>273</v>
      </c>
      <c r="F14" s="48" t="s">
        <v>274</v>
      </c>
      <c r="G14" s="48" t="s">
        <v>275</v>
      </c>
      <c r="H14" s="48" t="s">
        <v>66</v>
      </c>
      <c r="I14" s="48" t="s">
        <v>93</v>
      </c>
      <c r="J14" s="49">
        <v>3</v>
      </c>
      <c r="K14" s="50">
        <v>1325</v>
      </c>
      <c r="L14" s="50">
        <v>1313.47</v>
      </c>
      <c r="M14" s="48" t="s">
        <v>276</v>
      </c>
      <c r="N14" s="51">
        <v>0.92</v>
      </c>
      <c r="O14" s="51">
        <v>0.91659999999999997</v>
      </c>
      <c r="P14" s="52">
        <v>1206.2</v>
      </c>
      <c r="Q14" s="52">
        <v>1206.2</v>
      </c>
      <c r="R14" s="53" t="str">
        <f>INDEX(SKU_Master!$D$5:$D$34,MATCH($I14,SKU_Master!$A$5:$A$34,0))</f>
        <v>Laptop</v>
      </c>
      <c r="S14" s="54">
        <f t="shared" si="0"/>
        <v>8.7018867924527621E-3</v>
      </c>
      <c r="T14" s="55">
        <f t="shared" si="1"/>
        <v>4320.652173913043</v>
      </c>
      <c r="U14" s="55">
        <f t="shared" si="2"/>
        <v>4283.054347826087</v>
      </c>
      <c r="V14" s="55">
        <f t="shared" si="3"/>
        <v>-37.597826086956047</v>
      </c>
      <c r="W14" s="55">
        <f t="shared" si="4"/>
        <v>4298.9417412175435</v>
      </c>
      <c r="X14" s="55">
        <f t="shared" si="5"/>
        <v>15.887393391456499</v>
      </c>
      <c r="Y14" s="55">
        <f t="shared" si="6"/>
        <v>3618.6000000000004</v>
      </c>
      <c r="Z14" s="55">
        <f t="shared" si="7"/>
        <v>3618.6000000000004</v>
      </c>
      <c r="AA14" s="55">
        <f t="shared" si="8"/>
        <v>0</v>
      </c>
      <c r="AB14" s="55">
        <f t="shared" si="9"/>
        <v>680.34174121754313</v>
      </c>
      <c r="AC14" s="54">
        <f t="shared" si="10"/>
        <v>0.15825795792823588</v>
      </c>
      <c r="AD14" s="56">
        <f>INDEX(Assumptions!$B$14:$B$16,MATCH($R14,Assumptions!$A$14:$A$16,0))</f>
        <v>0.12</v>
      </c>
      <c r="AE14" s="56">
        <f>INDEX(Assumptions!$C$14:$C$16,MATCH($R14,Assumptions!$A$14:$A$16,0))</f>
        <v>0.08</v>
      </c>
      <c r="AF14" s="49">
        <f t="shared" si="11"/>
        <v>0</v>
      </c>
      <c r="AG14" s="49">
        <f t="shared" si="12"/>
        <v>0</v>
      </c>
      <c r="AH14" s="55">
        <f t="shared" si="13"/>
        <v>0</v>
      </c>
    </row>
    <row r="15" spans="1:34" x14ac:dyDescent="0.2">
      <c r="A15" s="48" t="s">
        <v>289</v>
      </c>
      <c r="B15" s="48">
        <v>2</v>
      </c>
      <c r="C15" s="48" t="s">
        <v>290</v>
      </c>
      <c r="D15" s="48" t="s">
        <v>272</v>
      </c>
      <c r="E15" s="48" t="s">
        <v>273</v>
      </c>
      <c r="F15" s="48" t="s">
        <v>274</v>
      </c>
      <c r="G15" s="48" t="s">
        <v>275</v>
      </c>
      <c r="H15" s="48" t="s">
        <v>66</v>
      </c>
      <c r="I15" s="48" t="s">
        <v>146</v>
      </c>
      <c r="J15" s="49">
        <v>3</v>
      </c>
      <c r="K15" s="50">
        <v>250</v>
      </c>
      <c r="L15" s="50">
        <v>246.26</v>
      </c>
      <c r="M15" s="48" t="s">
        <v>276</v>
      </c>
      <c r="N15" s="51">
        <v>0.92</v>
      </c>
      <c r="O15" s="51">
        <v>0.91659999999999997</v>
      </c>
      <c r="P15" s="52">
        <v>206.8</v>
      </c>
      <c r="Q15" s="52">
        <v>206.8</v>
      </c>
      <c r="R15" s="53" t="str">
        <f>INDEX(SKU_Master!$D$5:$D$34,MATCH($I15,SKU_Master!$A$5:$A$34,0))</f>
        <v>Monitor</v>
      </c>
      <c r="S15" s="54">
        <f t="shared" si="0"/>
        <v>1.4960000000000084E-2</v>
      </c>
      <c r="T15" s="55">
        <f t="shared" si="1"/>
        <v>815.21739130434776</v>
      </c>
      <c r="U15" s="55">
        <f t="shared" si="2"/>
        <v>803.02173913043475</v>
      </c>
      <c r="V15" s="55">
        <f t="shared" si="3"/>
        <v>-12.195652173913004</v>
      </c>
      <c r="W15" s="55">
        <f t="shared" si="4"/>
        <v>806.00043639537421</v>
      </c>
      <c r="X15" s="55">
        <f t="shared" si="5"/>
        <v>2.9786972649394556</v>
      </c>
      <c r="Y15" s="55">
        <f t="shared" si="6"/>
        <v>620.40000000000009</v>
      </c>
      <c r="Z15" s="55">
        <f t="shared" si="7"/>
        <v>620.40000000000009</v>
      </c>
      <c r="AA15" s="55">
        <f t="shared" si="8"/>
        <v>0</v>
      </c>
      <c r="AB15" s="55">
        <f t="shared" si="9"/>
        <v>185.60043639537412</v>
      </c>
      <c r="AC15" s="54">
        <f t="shared" si="10"/>
        <v>0.23027336960935585</v>
      </c>
      <c r="AD15" s="56">
        <f>INDEX(Assumptions!$B$14:$B$16,MATCH($R15,Assumptions!$A$14:$A$16,0))</f>
        <v>0.18</v>
      </c>
      <c r="AE15" s="56">
        <f>INDEX(Assumptions!$C$14:$C$16,MATCH($R15,Assumptions!$A$14:$A$16,0))</f>
        <v>0.12</v>
      </c>
      <c r="AF15" s="49">
        <f t="shared" si="11"/>
        <v>0</v>
      </c>
      <c r="AG15" s="49">
        <f t="shared" si="12"/>
        <v>0</v>
      </c>
      <c r="AH15" s="55">
        <f t="shared" si="13"/>
        <v>0</v>
      </c>
    </row>
    <row r="16" spans="1:34" x14ac:dyDescent="0.2">
      <c r="A16" s="48" t="s">
        <v>291</v>
      </c>
      <c r="B16" s="48">
        <v>1</v>
      </c>
      <c r="C16" s="48" t="s">
        <v>292</v>
      </c>
      <c r="D16" s="48" t="s">
        <v>272</v>
      </c>
      <c r="E16" s="48" t="s">
        <v>293</v>
      </c>
      <c r="F16" s="48" t="s">
        <v>274</v>
      </c>
      <c r="G16" s="48" t="s">
        <v>275</v>
      </c>
      <c r="H16" s="48" t="s">
        <v>66</v>
      </c>
      <c r="I16" s="48" t="s">
        <v>101</v>
      </c>
      <c r="J16" s="49">
        <v>9</v>
      </c>
      <c r="K16" s="50">
        <v>3250</v>
      </c>
      <c r="L16" s="50">
        <v>3199.82</v>
      </c>
      <c r="M16" s="48" t="s">
        <v>276</v>
      </c>
      <c r="N16" s="51">
        <v>0.92</v>
      </c>
      <c r="O16" s="51">
        <v>0.91659999999999997</v>
      </c>
      <c r="P16" s="52">
        <v>2958.5</v>
      </c>
      <c r="Q16" s="52">
        <v>2958.5</v>
      </c>
      <c r="R16" s="53" t="str">
        <f>INDEX(SKU_Master!$D$5:$D$34,MATCH($I16,SKU_Master!$A$5:$A$34,0))</f>
        <v>Laptop</v>
      </c>
      <c r="S16" s="54">
        <f t="shared" si="0"/>
        <v>1.5439999999999898E-2</v>
      </c>
      <c r="T16" s="55">
        <f t="shared" si="1"/>
        <v>31793.478260869564</v>
      </c>
      <c r="U16" s="55">
        <f t="shared" si="2"/>
        <v>31302.58695652174</v>
      </c>
      <c r="V16" s="55">
        <f t="shared" si="3"/>
        <v>-490.89130434782419</v>
      </c>
      <c r="W16" s="55">
        <f t="shared" si="4"/>
        <v>31418.699541784859</v>
      </c>
      <c r="X16" s="55">
        <f t="shared" si="5"/>
        <v>116.1125852631194</v>
      </c>
      <c r="Y16" s="55">
        <f t="shared" si="6"/>
        <v>26626.5</v>
      </c>
      <c r="Z16" s="55">
        <f t="shared" si="7"/>
        <v>26626.5</v>
      </c>
      <c r="AA16" s="55">
        <f t="shared" si="8"/>
        <v>0</v>
      </c>
      <c r="AB16" s="55">
        <f t="shared" si="9"/>
        <v>4792.1995417848593</v>
      </c>
      <c r="AC16" s="54">
        <f t="shared" si="10"/>
        <v>0.15252698589295655</v>
      </c>
      <c r="AD16" s="56">
        <f>INDEX(Assumptions!$B$14:$B$16,MATCH($R16,Assumptions!$A$14:$A$16,0))</f>
        <v>0.12</v>
      </c>
      <c r="AE16" s="56">
        <f>INDEX(Assumptions!$C$14:$C$16,MATCH($R16,Assumptions!$A$14:$A$16,0))</f>
        <v>0.08</v>
      </c>
      <c r="AF16" s="49">
        <f t="shared" si="11"/>
        <v>0</v>
      </c>
      <c r="AG16" s="49">
        <f t="shared" si="12"/>
        <v>0</v>
      </c>
      <c r="AH16" s="55">
        <f t="shared" si="13"/>
        <v>0</v>
      </c>
    </row>
    <row r="17" spans="1:34" x14ac:dyDescent="0.2">
      <c r="A17" s="48" t="s">
        <v>291</v>
      </c>
      <c r="B17" s="48">
        <v>2</v>
      </c>
      <c r="C17" s="48" t="s">
        <v>292</v>
      </c>
      <c r="D17" s="48" t="s">
        <v>272</v>
      </c>
      <c r="E17" s="48" t="s">
        <v>293</v>
      </c>
      <c r="F17" s="48" t="s">
        <v>274</v>
      </c>
      <c r="G17" s="48" t="s">
        <v>275</v>
      </c>
      <c r="H17" s="48" t="s">
        <v>66</v>
      </c>
      <c r="I17" s="48" t="s">
        <v>166</v>
      </c>
      <c r="J17" s="49">
        <v>6</v>
      </c>
      <c r="K17" s="50">
        <v>255</v>
      </c>
      <c r="L17" s="50">
        <v>254.52</v>
      </c>
      <c r="M17" s="48" t="s">
        <v>276</v>
      </c>
      <c r="N17" s="51">
        <v>0.92</v>
      </c>
      <c r="O17" s="51">
        <v>0.91659999999999997</v>
      </c>
      <c r="P17" s="52">
        <v>174.35</v>
      </c>
      <c r="Q17" s="52">
        <v>174.35</v>
      </c>
      <c r="R17" s="53" t="str">
        <f>INDEX(SKU_Master!$D$5:$D$34,MATCH($I17,SKU_Master!$A$5:$A$34,0))</f>
        <v>Accessory</v>
      </c>
      <c r="S17" s="54">
        <f t="shared" si="0"/>
        <v>1.8823529411764461E-3</v>
      </c>
      <c r="T17" s="55">
        <f t="shared" si="1"/>
        <v>1663.0434782608695</v>
      </c>
      <c r="U17" s="55">
        <f t="shared" si="2"/>
        <v>1659.913043478261</v>
      </c>
      <c r="V17" s="55">
        <f t="shared" si="3"/>
        <v>-3.1304347826085177</v>
      </c>
      <c r="W17" s="55">
        <f t="shared" si="4"/>
        <v>1666.0702596552478</v>
      </c>
      <c r="X17" s="55">
        <f t="shared" si="5"/>
        <v>6.1572161769868217</v>
      </c>
      <c r="Y17" s="55">
        <f t="shared" si="6"/>
        <v>1046.0999999999999</v>
      </c>
      <c r="Z17" s="55">
        <f t="shared" si="7"/>
        <v>1046.0999999999999</v>
      </c>
      <c r="AA17" s="55">
        <f t="shared" si="8"/>
        <v>0</v>
      </c>
      <c r="AB17" s="55">
        <f t="shared" si="9"/>
        <v>619.9702596552479</v>
      </c>
      <c r="AC17" s="54">
        <f t="shared" si="10"/>
        <v>0.37211531510293899</v>
      </c>
      <c r="AD17" s="56">
        <f>INDEX(Assumptions!$B$14:$B$16,MATCH($R17,Assumptions!$A$14:$A$16,0))</f>
        <v>0.32</v>
      </c>
      <c r="AE17" s="56">
        <f>INDEX(Assumptions!$C$14:$C$16,MATCH($R17,Assumptions!$A$14:$A$16,0))</f>
        <v>0.22</v>
      </c>
      <c r="AF17" s="49">
        <f t="shared" si="11"/>
        <v>0</v>
      </c>
      <c r="AG17" s="49">
        <f t="shared" si="12"/>
        <v>0</v>
      </c>
      <c r="AH17" s="55">
        <f t="shared" si="13"/>
        <v>0</v>
      </c>
    </row>
    <row r="18" spans="1:34" x14ac:dyDescent="0.2">
      <c r="A18" s="48" t="s">
        <v>294</v>
      </c>
      <c r="B18" s="48">
        <v>1</v>
      </c>
      <c r="C18" s="48" t="s">
        <v>295</v>
      </c>
      <c r="D18" s="48" t="s">
        <v>272</v>
      </c>
      <c r="E18" s="48" t="s">
        <v>296</v>
      </c>
      <c r="F18" s="48" t="s">
        <v>297</v>
      </c>
      <c r="G18" s="48" t="s">
        <v>298</v>
      </c>
      <c r="H18" s="48" t="s">
        <v>66</v>
      </c>
      <c r="I18" s="48" t="s">
        <v>93</v>
      </c>
      <c r="J18" s="49">
        <v>76</v>
      </c>
      <c r="K18" s="50">
        <v>1325</v>
      </c>
      <c r="L18" s="50">
        <v>1270.97</v>
      </c>
      <c r="M18" s="48" t="s">
        <v>276</v>
      </c>
      <c r="N18" s="51">
        <v>0.92</v>
      </c>
      <c r="O18" s="51">
        <v>0.91659999999999997</v>
      </c>
      <c r="P18" s="52">
        <v>1206.2</v>
      </c>
      <c r="Q18" s="52">
        <v>1206.2</v>
      </c>
      <c r="R18" s="53" t="str">
        <f>INDEX(SKU_Master!$D$5:$D$34,MATCH($I18,SKU_Master!$A$5:$A$34,0))</f>
        <v>Laptop</v>
      </c>
      <c r="S18" s="54">
        <f t="shared" si="0"/>
        <v>4.0777358490565963E-2</v>
      </c>
      <c r="T18" s="55">
        <f t="shared" si="1"/>
        <v>109456.52173913043</v>
      </c>
      <c r="U18" s="55">
        <f t="shared" si="2"/>
        <v>104993.17391304347</v>
      </c>
      <c r="V18" s="55">
        <f t="shared" si="3"/>
        <v>-4463.3478260869597</v>
      </c>
      <c r="W18" s="55">
        <f t="shared" si="4"/>
        <v>105382.63146410648</v>
      </c>
      <c r="X18" s="55">
        <f t="shared" si="5"/>
        <v>389.4575510630093</v>
      </c>
      <c r="Y18" s="55">
        <f t="shared" si="6"/>
        <v>91671.2</v>
      </c>
      <c r="Z18" s="55">
        <f t="shared" si="7"/>
        <v>91671.2</v>
      </c>
      <c r="AA18" s="55">
        <f t="shared" si="8"/>
        <v>0</v>
      </c>
      <c r="AB18" s="55">
        <f t="shared" si="9"/>
        <v>13711.431464106485</v>
      </c>
      <c r="AC18" s="54">
        <f t="shared" si="10"/>
        <v>0.13011092315318226</v>
      </c>
      <c r="AD18" s="56">
        <f>INDEX(Assumptions!$B$14:$B$16,MATCH($R18,Assumptions!$A$14:$A$16,0))</f>
        <v>0.12</v>
      </c>
      <c r="AE18" s="56">
        <f>INDEX(Assumptions!$C$14:$C$16,MATCH($R18,Assumptions!$A$14:$A$16,0))</f>
        <v>0.08</v>
      </c>
      <c r="AF18" s="49">
        <f t="shared" si="11"/>
        <v>0</v>
      </c>
      <c r="AG18" s="49">
        <f t="shared" si="12"/>
        <v>0</v>
      </c>
      <c r="AH18" s="55">
        <f t="shared" si="13"/>
        <v>0</v>
      </c>
    </row>
    <row r="19" spans="1:34" x14ac:dyDescent="0.2">
      <c r="A19" s="48" t="s">
        <v>294</v>
      </c>
      <c r="B19" s="48">
        <v>2</v>
      </c>
      <c r="C19" s="48" t="s">
        <v>295</v>
      </c>
      <c r="D19" s="48" t="s">
        <v>272</v>
      </c>
      <c r="E19" s="48" t="s">
        <v>296</v>
      </c>
      <c r="F19" s="48" t="s">
        <v>297</v>
      </c>
      <c r="G19" s="48" t="s">
        <v>298</v>
      </c>
      <c r="H19" s="48" t="s">
        <v>66</v>
      </c>
      <c r="I19" s="48" t="s">
        <v>135</v>
      </c>
      <c r="J19" s="49">
        <v>41</v>
      </c>
      <c r="K19" s="50">
        <v>255</v>
      </c>
      <c r="L19" s="50">
        <v>246.08</v>
      </c>
      <c r="M19" s="48" t="s">
        <v>276</v>
      </c>
      <c r="N19" s="51">
        <v>0.92</v>
      </c>
      <c r="O19" s="51">
        <v>0.91659999999999997</v>
      </c>
      <c r="P19" s="52">
        <v>211.7</v>
      </c>
      <c r="Q19" s="52">
        <v>211.7</v>
      </c>
      <c r="R19" s="53" t="str">
        <f>INDEX(SKU_Master!$D$5:$D$34,MATCH($I19,SKU_Master!$A$5:$A$34,0))</f>
        <v>Monitor</v>
      </c>
      <c r="S19" s="54">
        <f t="shared" si="0"/>
        <v>3.4980392156862661E-2</v>
      </c>
      <c r="T19" s="55">
        <f t="shared" si="1"/>
        <v>11364.130434782608</v>
      </c>
      <c r="U19" s="55">
        <f t="shared" si="2"/>
        <v>10966.608695652174</v>
      </c>
      <c r="V19" s="55">
        <f t="shared" si="3"/>
        <v>-397.52173913043407</v>
      </c>
      <c r="W19" s="55">
        <f t="shared" si="4"/>
        <v>11007.287802749292</v>
      </c>
      <c r="X19" s="55">
        <f t="shared" si="5"/>
        <v>40.679107097117594</v>
      </c>
      <c r="Y19" s="55">
        <f t="shared" si="6"/>
        <v>8679.6999999999989</v>
      </c>
      <c r="Z19" s="55">
        <f t="shared" si="7"/>
        <v>8679.6999999999989</v>
      </c>
      <c r="AA19" s="55">
        <f t="shared" si="8"/>
        <v>0</v>
      </c>
      <c r="AB19" s="55">
        <f t="shared" si="9"/>
        <v>2327.5878027492927</v>
      </c>
      <c r="AC19" s="54">
        <f t="shared" si="10"/>
        <v>0.2114587938881666</v>
      </c>
      <c r="AD19" s="56">
        <f>INDEX(Assumptions!$B$14:$B$16,MATCH($R19,Assumptions!$A$14:$A$16,0))</f>
        <v>0.18</v>
      </c>
      <c r="AE19" s="56">
        <f>INDEX(Assumptions!$C$14:$C$16,MATCH($R19,Assumptions!$A$14:$A$16,0))</f>
        <v>0.12</v>
      </c>
      <c r="AF19" s="49">
        <f t="shared" si="11"/>
        <v>0</v>
      </c>
      <c r="AG19" s="49">
        <f t="shared" si="12"/>
        <v>0</v>
      </c>
      <c r="AH19" s="55">
        <f t="shared" si="13"/>
        <v>0</v>
      </c>
    </row>
    <row r="20" spans="1:34" x14ac:dyDescent="0.2">
      <c r="A20" s="48" t="s">
        <v>299</v>
      </c>
      <c r="B20" s="48">
        <v>1</v>
      </c>
      <c r="C20" s="48" t="s">
        <v>300</v>
      </c>
      <c r="D20" s="48" t="s">
        <v>272</v>
      </c>
      <c r="E20" s="48" t="s">
        <v>301</v>
      </c>
      <c r="F20" s="48" t="s">
        <v>274</v>
      </c>
      <c r="G20" s="48" t="s">
        <v>302</v>
      </c>
      <c r="H20" s="48" t="s">
        <v>62</v>
      </c>
      <c r="I20" s="48" t="s">
        <v>113</v>
      </c>
      <c r="J20" s="49">
        <v>8</v>
      </c>
      <c r="K20" s="50">
        <v>1740</v>
      </c>
      <c r="L20" s="50">
        <v>1663.87</v>
      </c>
      <c r="M20" s="48" t="s">
        <v>276</v>
      </c>
      <c r="N20" s="51">
        <v>1</v>
      </c>
      <c r="O20" s="51">
        <v>1</v>
      </c>
      <c r="P20" s="52">
        <v>1484.8</v>
      </c>
      <c r="Q20" s="52">
        <v>1484.8</v>
      </c>
      <c r="R20" s="53" t="str">
        <f>INDEX(SKU_Master!$D$5:$D$34,MATCH($I20,SKU_Master!$A$5:$A$34,0))</f>
        <v>Laptop</v>
      </c>
      <c r="S20" s="54">
        <f t="shared" si="0"/>
        <v>4.3752873563218442E-2</v>
      </c>
      <c r="T20" s="55">
        <f t="shared" si="1"/>
        <v>13920</v>
      </c>
      <c r="U20" s="55">
        <f t="shared" si="2"/>
        <v>13310.96</v>
      </c>
      <c r="V20" s="55">
        <f t="shared" si="3"/>
        <v>-609.04000000000087</v>
      </c>
      <c r="W20" s="55">
        <f t="shared" si="4"/>
        <v>13310.96</v>
      </c>
      <c r="X20" s="55">
        <f t="shared" si="5"/>
        <v>0</v>
      </c>
      <c r="Y20" s="55">
        <f t="shared" si="6"/>
        <v>11878.4</v>
      </c>
      <c r="Z20" s="55">
        <f t="shared" si="7"/>
        <v>11878.4</v>
      </c>
      <c r="AA20" s="55">
        <f t="shared" si="8"/>
        <v>0</v>
      </c>
      <c r="AB20" s="55">
        <f t="shared" si="9"/>
        <v>1432.5599999999995</v>
      </c>
      <c r="AC20" s="54">
        <f t="shared" si="10"/>
        <v>0.10762259070720666</v>
      </c>
      <c r="AD20" s="56">
        <f>INDEX(Assumptions!$B$14:$B$16,MATCH($R20,Assumptions!$A$14:$A$16,0))</f>
        <v>0.12</v>
      </c>
      <c r="AE20" s="56">
        <f>INDEX(Assumptions!$C$14:$C$16,MATCH($R20,Assumptions!$A$14:$A$16,0))</f>
        <v>0.08</v>
      </c>
      <c r="AF20" s="49">
        <f t="shared" si="11"/>
        <v>0</v>
      </c>
      <c r="AG20" s="49">
        <f t="shared" si="12"/>
        <v>0</v>
      </c>
      <c r="AH20" s="55">
        <f t="shared" si="13"/>
        <v>164.75520000000029</v>
      </c>
    </row>
    <row r="21" spans="1:34" x14ac:dyDescent="0.2">
      <c r="A21" s="48" t="s">
        <v>299</v>
      </c>
      <c r="B21" s="48">
        <v>2</v>
      </c>
      <c r="C21" s="48" t="s">
        <v>300</v>
      </c>
      <c r="D21" s="48" t="s">
        <v>272</v>
      </c>
      <c r="E21" s="48" t="s">
        <v>301</v>
      </c>
      <c r="F21" s="48" t="s">
        <v>274</v>
      </c>
      <c r="G21" s="48" t="s">
        <v>302</v>
      </c>
      <c r="H21" s="48" t="s">
        <v>62</v>
      </c>
      <c r="I21" s="48" t="s">
        <v>135</v>
      </c>
      <c r="J21" s="49">
        <v>4</v>
      </c>
      <c r="K21" s="50">
        <v>240</v>
      </c>
      <c r="L21" s="50">
        <v>239.37</v>
      </c>
      <c r="M21" s="48" t="s">
        <v>276</v>
      </c>
      <c r="N21" s="51">
        <v>1</v>
      </c>
      <c r="O21" s="51">
        <v>1</v>
      </c>
      <c r="P21" s="52">
        <v>186.7</v>
      </c>
      <c r="Q21" s="52">
        <v>186.7</v>
      </c>
      <c r="R21" s="53" t="str">
        <f>INDEX(SKU_Master!$D$5:$D$34,MATCH($I21,SKU_Master!$A$5:$A$34,0))</f>
        <v>Monitor</v>
      </c>
      <c r="S21" s="54">
        <f t="shared" si="0"/>
        <v>2.6249999999999885E-3</v>
      </c>
      <c r="T21" s="55">
        <f t="shared" si="1"/>
        <v>960</v>
      </c>
      <c r="U21" s="55">
        <f t="shared" si="2"/>
        <v>957.48</v>
      </c>
      <c r="V21" s="55">
        <f t="shared" si="3"/>
        <v>-2.5199999999999818</v>
      </c>
      <c r="W21" s="55">
        <f t="shared" si="4"/>
        <v>957.48</v>
      </c>
      <c r="X21" s="55">
        <f t="shared" si="5"/>
        <v>0</v>
      </c>
      <c r="Y21" s="55">
        <f t="shared" si="6"/>
        <v>746.8</v>
      </c>
      <c r="Z21" s="55">
        <f t="shared" si="7"/>
        <v>746.8</v>
      </c>
      <c r="AA21" s="55">
        <f t="shared" si="8"/>
        <v>0</v>
      </c>
      <c r="AB21" s="55">
        <f t="shared" si="9"/>
        <v>210.68000000000006</v>
      </c>
      <c r="AC21" s="54">
        <f t="shared" si="10"/>
        <v>0.2200359276433973</v>
      </c>
      <c r="AD21" s="56">
        <f>INDEX(Assumptions!$B$14:$B$16,MATCH($R21,Assumptions!$A$14:$A$16,0))</f>
        <v>0.18</v>
      </c>
      <c r="AE21" s="56">
        <f>INDEX(Assumptions!$C$14:$C$16,MATCH($R21,Assumptions!$A$14:$A$16,0))</f>
        <v>0.12</v>
      </c>
      <c r="AF21" s="49">
        <f t="shared" si="11"/>
        <v>0</v>
      </c>
      <c r="AG21" s="49">
        <f t="shared" si="12"/>
        <v>0</v>
      </c>
      <c r="AH21" s="55">
        <f t="shared" si="13"/>
        <v>0</v>
      </c>
    </row>
    <row r="22" spans="1:34" x14ac:dyDescent="0.2">
      <c r="A22" s="48" t="s">
        <v>299</v>
      </c>
      <c r="B22" s="48">
        <v>3</v>
      </c>
      <c r="C22" s="48" t="s">
        <v>300</v>
      </c>
      <c r="D22" s="48" t="s">
        <v>272</v>
      </c>
      <c r="E22" s="48" t="s">
        <v>301</v>
      </c>
      <c r="F22" s="48" t="s">
        <v>274</v>
      </c>
      <c r="G22" s="48" t="s">
        <v>302</v>
      </c>
      <c r="H22" s="48" t="s">
        <v>62</v>
      </c>
      <c r="I22" s="48" t="s">
        <v>151</v>
      </c>
      <c r="J22" s="49">
        <v>6</v>
      </c>
      <c r="K22" s="50">
        <v>335</v>
      </c>
      <c r="L22" s="50">
        <v>321.64</v>
      </c>
      <c r="M22" s="48" t="s">
        <v>276</v>
      </c>
      <c r="N22" s="51">
        <v>1</v>
      </c>
      <c r="O22" s="51">
        <v>1</v>
      </c>
      <c r="P22" s="52">
        <v>216.7</v>
      </c>
      <c r="Q22" s="52">
        <v>216.7</v>
      </c>
      <c r="R22" s="53" t="str">
        <f>INDEX(SKU_Master!$D$5:$D$34,MATCH($I22,SKU_Master!$A$5:$A$34,0))</f>
        <v>Accessory</v>
      </c>
      <c r="S22" s="54">
        <f t="shared" si="0"/>
        <v>3.9880597014925412E-2</v>
      </c>
      <c r="T22" s="55">
        <f t="shared" si="1"/>
        <v>2010</v>
      </c>
      <c r="U22" s="55">
        <f t="shared" si="2"/>
        <v>1929.84</v>
      </c>
      <c r="V22" s="55">
        <f t="shared" si="3"/>
        <v>-80.160000000000082</v>
      </c>
      <c r="W22" s="55">
        <f t="shared" si="4"/>
        <v>1929.84</v>
      </c>
      <c r="X22" s="55">
        <f t="shared" si="5"/>
        <v>0</v>
      </c>
      <c r="Y22" s="55">
        <f t="shared" si="6"/>
        <v>1300.1999999999998</v>
      </c>
      <c r="Z22" s="55">
        <f t="shared" si="7"/>
        <v>1300.1999999999998</v>
      </c>
      <c r="AA22" s="55">
        <f t="shared" si="8"/>
        <v>0</v>
      </c>
      <c r="AB22" s="55">
        <f t="shared" si="9"/>
        <v>629.6400000000001</v>
      </c>
      <c r="AC22" s="54">
        <f t="shared" si="10"/>
        <v>0.32626538987688103</v>
      </c>
      <c r="AD22" s="56">
        <f>INDEX(Assumptions!$B$14:$B$16,MATCH($R22,Assumptions!$A$14:$A$16,0))</f>
        <v>0.32</v>
      </c>
      <c r="AE22" s="56">
        <f>INDEX(Assumptions!$C$14:$C$16,MATCH($R22,Assumptions!$A$14:$A$16,0))</f>
        <v>0.22</v>
      </c>
      <c r="AF22" s="49">
        <f t="shared" si="11"/>
        <v>0</v>
      </c>
      <c r="AG22" s="49">
        <f t="shared" si="12"/>
        <v>0</v>
      </c>
      <c r="AH22" s="55">
        <f t="shared" si="13"/>
        <v>0</v>
      </c>
    </row>
    <row r="23" spans="1:34" x14ac:dyDescent="0.2">
      <c r="A23" s="48" t="s">
        <v>303</v>
      </c>
      <c r="B23" s="48">
        <v>1</v>
      </c>
      <c r="C23" s="48" t="s">
        <v>304</v>
      </c>
      <c r="D23" s="48" t="s">
        <v>272</v>
      </c>
      <c r="E23" s="48" t="s">
        <v>305</v>
      </c>
      <c r="F23" s="48" t="s">
        <v>274</v>
      </c>
      <c r="G23" s="48" t="s">
        <v>306</v>
      </c>
      <c r="H23" s="48" t="s">
        <v>62</v>
      </c>
      <c r="I23" s="48" t="s">
        <v>93</v>
      </c>
      <c r="J23" s="49">
        <v>8</v>
      </c>
      <c r="K23" s="50">
        <v>1390</v>
      </c>
      <c r="L23" s="50">
        <v>1364.21</v>
      </c>
      <c r="M23" s="48" t="s">
        <v>276</v>
      </c>
      <c r="N23" s="51">
        <v>1</v>
      </c>
      <c r="O23" s="51">
        <v>1</v>
      </c>
      <c r="P23" s="52">
        <v>1186.2</v>
      </c>
      <c r="Q23" s="52">
        <v>1186.2</v>
      </c>
      <c r="R23" s="53" t="str">
        <f>INDEX(SKU_Master!$D$5:$D$34,MATCH($I23,SKU_Master!$A$5:$A$34,0))</f>
        <v>Laptop</v>
      </c>
      <c r="S23" s="54">
        <f t="shared" si="0"/>
        <v>1.8553956834532315E-2</v>
      </c>
      <c r="T23" s="55">
        <f t="shared" si="1"/>
        <v>11120</v>
      </c>
      <c r="U23" s="55">
        <f t="shared" si="2"/>
        <v>10913.68</v>
      </c>
      <c r="V23" s="55">
        <f t="shared" si="3"/>
        <v>-206.31999999999971</v>
      </c>
      <c r="W23" s="55">
        <f t="shared" si="4"/>
        <v>10913.68</v>
      </c>
      <c r="X23" s="55">
        <f t="shared" si="5"/>
        <v>0</v>
      </c>
      <c r="Y23" s="55">
        <f t="shared" si="6"/>
        <v>9489.6</v>
      </c>
      <c r="Z23" s="55">
        <f t="shared" si="7"/>
        <v>9489.6</v>
      </c>
      <c r="AA23" s="55">
        <f t="shared" si="8"/>
        <v>0</v>
      </c>
      <c r="AB23" s="55">
        <f t="shared" si="9"/>
        <v>1424.08</v>
      </c>
      <c r="AC23" s="54">
        <f t="shared" si="10"/>
        <v>0.13048577565037639</v>
      </c>
      <c r="AD23" s="56">
        <f>INDEX(Assumptions!$B$14:$B$16,MATCH($R23,Assumptions!$A$14:$A$16,0))</f>
        <v>0.12</v>
      </c>
      <c r="AE23" s="56">
        <f>INDEX(Assumptions!$C$14:$C$16,MATCH($R23,Assumptions!$A$14:$A$16,0))</f>
        <v>0.08</v>
      </c>
      <c r="AF23" s="49">
        <f t="shared" si="11"/>
        <v>0</v>
      </c>
      <c r="AG23" s="49">
        <f t="shared" si="12"/>
        <v>0</v>
      </c>
      <c r="AH23" s="55">
        <f t="shared" si="13"/>
        <v>0</v>
      </c>
    </row>
    <row r="24" spans="1:34" x14ac:dyDescent="0.2">
      <c r="A24" s="48" t="s">
        <v>307</v>
      </c>
      <c r="B24" s="48">
        <v>1</v>
      </c>
      <c r="C24" s="48" t="s">
        <v>308</v>
      </c>
      <c r="D24" s="48" t="s">
        <v>272</v>
      </c>
      <c r="E24" s="48" t="s">
        <v>309</v>
      </c>
      <c r="F24" s="48" t="s">
        <v>280</v>
      </c>
      <c r="G24" s="48" t="s">
        <v>298</v>
      </c>
      <c r="H24" s="48" t="s">
        <v>70</v>
      </c>
      <c r="I24" s="48" t="s">
        <v>110</v>
      </c>
      <c r="J24" s="49">
        <v>14</v>
      </c>
      <c r="K24" s="50">
        <v>113335</v>
      </c>
      <c r="L24" s="50">
        <v>108410.96</v>
      </c>
      <c r="M24" s="48" t="s">
        <v>276</v>
      </c>
      <c r="N24" s="51">
        <v>83.5</v>
      </c>
      <c r="O24" s="51">
        <v>83.820400000000006</v>
      </c>
      <c r="P24" s="52">
        <v>1136.8599999999999</v>
      </c>
      <c r="Q24" s="52">
        <v>1156.8599999999999</v>
      </c>
      <c r="R24" s="53" t="str">
        <f>INDEX(SKU_Master!$D$5:$D$34,MATCH($I24,SKU_Master!$A$5:$A$34,0))</f>
        <v>Laptop</v>
      </c>
      <c r="S24" s="54">
        <f t="shared" si="0"/>
        <v>4.3446772841575831E-2</v>
      </c>
      <c r="T24" s="55">
        <f t="shared" si="1"/>
        <v>19002.275449101795</v>
      </c>
      <c r="U24" s="55">
        <f t="shared" si="2"/>
        <v>18176.687904191618</v>
      </c>
      <c r="V24" s="55">
        <f t="shared" si="3"/>
        <v>-825.5875449101768</v>
      </c>
      <c r="W24" s="55">
        <f t="shared" si="4"/>
        <v>18107.208269108713</v>
      </c>
      <c r="X24" s="55">
        <f t="shared" si="5"/>
        <v>-69.479635082905588</v>
      </c>
      <c r="Y24" s="55">
        <f t="shared" si="6"/>
        <v>15916.039999999999</v>
      </c>
      <c r="Z24" s="55">
        <f t="shared" si="7"/>
        <v>16196.039999999999</v>
      </c>
      <c r="AA24" s="55">
        <f t="shared" si="8"/>
        <v>-280</v>
      </c>
      <c r="AB24" s="55">
        <f t="shared" si="9"/>
        <v>1911.1682691087135</v>
      </c>
      <c r="AC24" s="54">
        <f t="shared" si="10"/>
        <v>0.10554737321761565</v>
      </c>
      <c r="AD24" s="56">
        <f>INDEX(Assumptions!$B$14:$B$16,MATCH($R24,Assumptions!$A$14:$A$16,0))</f>
        <v>0.12</v>
      </c>
      <c r="AE24" s="56">
        <f>INDEX(Assumptions!$C$14:$C$16,MATCH($R24,Assumptions!$A$14:$A$16,0))</f>
        <v>0.08</v>
      </c>
      <c r="AF24" s="49">
        <f t="shared" si="11"/>
        <v>0</v>
      </c>
      <c r="AG24" s="49">
        <f t="shared" si="12"/>
        <v>0</v>
      </c>
      <c r="AH24" s="55">
        <f t="shared" si="13"/>
        <v>261.69672318433186</v>
      </c>
    </row>
    <row r="25" spans="1:34" x14ac:dyDescent="0.2">
      <c r="A25" s="48" t="s">
        <v>307</v>
      </c>
      <c r="B25" s="48">
        <v>2</v>
      </c>
      <c r="C25" s="48" t="s">
        <v>308</v>
      </c>
      <c r="D25" s="48" t="s">
        <v>272</v>
      </c>
      <c r="E25" s="48" t="s">
        <v>309</v>
      </c>
      <c r="F25" s="48" t="s">
        <v>280</v>
      </c>
      <c r="G25" s="48" t="s">
        <v>298</v>
      </c>
      <c r="H25" s="48" t="s">
        <v>70</v>
      </c>
      <c r="I25" s="48" t="s">
        <v>135</v>
      </c>
      <c r="J25" s="49">
        <v>15</v>
      </c>
      <c r="K25" s="50">
        <v>26950</v>
      </c>
      <c r="L25" s="50">
        <v>26657.05</v>
      </c>
      <c r="M25" s="48" t="s">
        <v>276</v>
      </c>
      <c r="N25" s="51">
        <v>83.5</v>
      </c>
      <c r="O25" s="51">
        <v>83.820400000000006</v>
      </c>
      <c r="P25" s="52">
        <v>249.49</v>
      </c>
      <c r="Q25" s="52">
        <v>269.49</v>
      </c>
      <c r="R25" s="53" t="str">
        <f>INDEX(SKU_Master!$D$5:$D$34,MATCH($I25,SKU_Master!$A$5:$A$34,0))</f>
        <v>Monitor</v>
      </c>
      <c r="S25" s="54">
        <f t="shared" si="0"/>
        <v>1.0870129870129919E-2</v>
      </c>
      <c r="T25" s="55">
        <f t="shared" si="1"/>
        <v>4841.3173652694613</v>
      </c>
      <c r="U25" s="55">
        <f t="shared" si="2"/>
        <v>4788.6916167664667</v>
      </c>
      <c r="V25" s="55">
        <f t="shared" si="3"/>
        <v>-52.625748502994611</v>
      </c>
      <c r="W25" s="55">
        <f t="shared" si="4"/>
        <v>4770.3870418179822</v>
      </c>
      <c r="X25" s="55">
        <f t="shared" si="5"/>
        <v>-18.304574948484515</v>
      </c>
      <c r="Y25" s="55">
        <f t="shared" si="6"/>
        <v>3742.3500000000004</v>
      </c>
      <c r="Z25" s="55">
        <f t="shared" si="7"/>
        <v>4042.3500000000004</v>
      </c>
      <c r="AA25" s="55">
        <f t="shared" si="8"/>
        <v>-300</v>
      </c>
      <c r="AB25" s="55">
        <f t="shared" si="9"/>
        <v>728.03704181798184</v>
      </c>
      <c r="AC25" s="54">
        <f t="shared" si="10"/>
        <v>0.15261592726877121</v>
      </c>
      <c r="AD25" s="56">
        <f>INDEX(Assumptions!$B$14:$B$16,MATCH($R25,Assumptions!$A$14:$A$16,0))</f>
        <v>0.18</v>
      </c>
      <c r="AE25" s="56">
        <f>INDEX(Assumptions!$C$14:$C$16,MATCH($R25,Assumptions!$A$14:$A$16,0))</f>
        <v>0.12</v>
      </c>
      <c r="AF25" s="49">
        <f t="shared" si="11"/>
        <v>0</v>
      </c>
      <c r="AG25" s="49">
        <f t="shared" si="12"/>
        <v>0</v>
      </c>
      <c r="AH25" s="55">
        <f t="shared" si="13"/>
        <v>130.63262570925497</v>
      </c>
    </row>
    <row r="26" spans="1:34" x14ac:dyDescent="0.2">
      <c r="A26" s="48" t="s">
        <v>307</v>
      </c>
      <c r="B26" s="48">
        <v>3</v>
      </c>
      <c r="C26" s="48" t="s">
        <v>308</v>
      </c>
      <c r="D26" s="48" t="s">
        <v>272</v>
      </c>
      <c r="E26" s="48" t="s">
        <v>309</v>
      </c>
      <c r="F26" s="48" t="s">
        <v>280</v>
      </c>
      <c r="G26" s="48" t="s">
        <v>298</v>
      </c>
      <c r="H26" s="48" t="s">
        <v>70</v>
      </c>
      <c r="I26" s="48" t="s">
        <v>161</v>
      </c>
      <c r="J26" s="49">
        <v>12</v>
      </c>
      <c r="K26" s="50">
        <v>12195</v>
      </c>
      <c r="L26" s="50">
        <v>12027.85</v>
      </c>
      <c r="M26" s="48" t="s">
        <v>276</v>
      </c>
      <c r="N26" s="51">
        <v>83.5</v>
      </c>
      <c r="O26" s="51">
        <v>83.820400000000006</v>
      </c>
      <c r="P26" s="52">
        <v>92.7</v>
      </c>
      <c r="Q26" s="52">
        <v>97.7</v>
      </c>
      <c r="R26" s="53" t="str">
        <f>INDEX(SKU_Master!$D$5:$D$34,MATCH($I26,SKU_Master!$A$5:$A$34,0))</f>
        <v>Accessory</v>
      </c>
      <c r="S26" s="54">
        <f t="shared" si="0"/>
        <v>1.370643706437058E-2</v>
      </c>
      <c r="T26" s="55">
        <f t="shared" si="1"/>
        <v>1752.5748502994013</v>
      </c>
      <c r="U26" s="55">
        <f t="shared" si="2"/>
        <v>1728.5532934131738</v>
      </c>
      <c r="V26" s="55">
        <f t="shared" si="3"/>
        <v>-24.021556886227472</v>
      </c>
      <c r="W26" s="55">
        <f t="shared" si="4"/>
        <v>1721.9459701934136</v>
      </c>
      <c r="X26" s="55">
        <f t="shared" si="5"/>
        <v>-6.6073232197602465</v>
      </c>
      <c r="Y26" s="55">
        <f t="shared" si="6"/>
        <v>1112.4000000000001</v>
      </c>
      <c r="Z26" s="55">
        <f t="shared" si="7"/>
        <v>1172.4000000000001</v>
      </c>
      <c r="AA26" s="55">
        <f t="shared" si="8"/>
        <v>-60</v>
      </c>
      <c r="AB26" s="55">
        <f t="shared" si="9"/>
        <v>549.5459701934135</v>
      </c>
      <c r="AC26" s="54">
        <f t="shared" si="10"/>
        <v>0.31914240034586394</v>
      </c>
      <c r="AD26" s="56">
        <f>INDEX(Assumptions!$B$14:$B$16,MATCH($R26,Assumptions!$A$14:$A$16,0))</f>
        <v>0.32</v>
      </c>
      <c r="AE26" s="56">
        <f>INDEX(Assumptions!$C$14:$C$16,MATCH($R26,Assumptions!$A$14:$A$16,0))</f>
        <v>0.22</v>
      </c>
      <c r="AF26" s="49">
        <f t="shared" si="11"/>
        <v>0</v>
      </c>
      <c r="AG26" s="49">
        <f t="shared" si="12"/>
        <v>0</v>
      </c>
      <c r="AH26" s="55">
        <f t="shared" si="13"/>
        <v>1.4767402684789204</v>
      </c>
    </row>
    <row r="27" spans="1:34" x14ac:dyDescent="0.2">
      <c r="A27" s="48" t="s">
        <v>310</v>
      </c>
      <c r="B27" s="48">
        <v>1</v>
      </c>
      <c r="C27" s="48" t="s">
        <v>278</v>
      </c>
      <c r="D27" s="48" t="s">
        <v>272</v>
      </c>
      <c r="E27" s="48" t="s">
        <v>311</v>
      </c>
      <c r="F27" s="48" t="s">
        <v>297</v>
      </c>
      <c r="G27" s="48" t="s">
        <v>302</v>
      </c>
      <c r="H27" s="48" t="s">
        <v>62</v>
      </c>
      <c r="I27" s="48" t="s">
        <v>123</v>
      </c>
      <c r="J27" s="49">
        <v>25</v>
      </c>
      <c r="K27" s="50">
        <v>1465</v>
      </c>
      <c r="L27" s="50">
        <v>1342.45</v>
      </c>
      <c r="M27" s="48" t="s">
        <v>312</v>
      </c>
      <c r="N27" s="51">
        <v>1</v>
      </c>
      <c r="O27" s="51">
        <v>1</v>
      </c>
      <c r="P27" s="52">
        <v>1249.25</v>
      </c>
      <c r="Q27" s="52">
        <v>1249.25</v>
      </c>
      <c r="R27" s="53" t="str">
        <f>INDEX(SKU_Master!$D$5:$D$34,MATCH($I27,SKU_Master!$A$5:$A$34,0))</f>
        <v>Laptop</v>
      </c>
      <c r="S27" s="54">
        <f t="shared" si="0"/>
        <v>8.3651877133105734E-2</v>
      </c>
      <c r="T27" s="55">
        <f t="shared" si="1"/>
        <v>36625</v>
      </c>
      <c r="U27" s="55">
        <f t="shared" si="2"/>
        <v>33561.25</v>
      </c>
      <c r="V27" s="55">
        <f t="shared" si="3"/>
        <v>-3063.75</v>
      </c>
      <c r="W27" s="55">
        <f t="shared" si="4"/>
        <v>33561.25</v>
      </c>
      <c r="X27" s="55">
        <f t="shared" si="5"/>
        <v>0</v>
      </c>
      <c r="Y27" s="55">
        <f t="shared" si="6"/>
        <v>31231.25</v>
      </c>
      <c r="Z27" s="55">
        <f t="shared" si="7"/>
        <v>31231.25</v>
      </c>
      <c r="AA27" s="55">
        <f t="shared" si="8"/>
        <v>0</v>
      </c>
      <c r="AB27" s="55">
        <f t="shared" si="9"/>
        <v>2330</v>
      </c>
      <c r="AC27" s="54">
        <f t="shared" si="10"/>
        <v>6.9425304480613806E-2</v>
      </c>
      <c r="AD27" s="56">
        <f>INDEX(Assumptions!$B$14:$B$16,MATCH($R27,Assumptions!$A$14:$A$16,0))</f>
        <v>0.12</v>
      </c>
      <c r="AE27" s="56">
        <f>INDEX(Assumptions!$C$14:$C$16,MATCH($R27,Assumptions!$A$14:$A$16,0))</f>
        <v>0.08</v>
      </c>
      <c r="AF27" s="49">
        <f t="shared" si="11"/>
        <v>1</v>
      </c>
      <c r="AG27" s="49">
        <f t="shared" si="12"/>
        <v>0</v>
      </c>
      <c r="AH27" s="55">
        <f t="shared" si="13"/>
        <v>1697.35</v>
      </c>
    </row>
    <row r="28" spans="1:34" x14ac:dyDescent="0.2">
      <c r="A28" s="48" t="s">
        <v>310</v>
      </c>
      <c r="B28" s="48">
        <v>2</v>
      </c>
      <c r="C28" s="48" t="s">
        <v>278</v>
      </c>
      <c r="D28" s="48" t="s">
        <v>272</v>
      </c>
      <c r="E28" s="48" t="s">
        <v>311</v>
      </c>
      <c r="F28" s="48" t="s">
        <v>297</v>
      </c>
      <c r="G28" s="48" t="s">
        <v>302</v>
      </c>
      <c r="H28" s="48" t="s">
        <v>62</v>
      </c>
      <c r="I28" s="48" t="s">
        <v>135</v>
      </c>
      <c r="J28" s="49">
        <v>26</v>
      </c>
      <c r="K28" s="50">
        <v>240</v>
      </c>
      <c r="L28" s="50">
        <v>221.8</v>
      </c>
      <c r="M28" s="48" t="s">
        <v>276</v>
      </c>
      <c r="N28" s="51">
        <v>1</v>
      </c>
      <c r="O28" s="51">
        <v>1</v>
      </c>
      <c r="P28" s="52">
        <v>186.7</v>
      </c>
      <c r="Q28" s="52">
        <v>186.7</v>
      </c>
      <c r="R28" s="53" t="str">
        <f>INDEX(SKU_Master!$D$5:$D$34,MATCH($I28,SKU_Master!$A$5:$A$34,0))</f>
        <v>Monitor</v>
      </c>
      <c r="S28" s="54">
        <f t="shared" si="0"/>
        <v>7.5833333333333308E-2</v>
      </c>
      <c r="T28" s="55">
        <f t="shared" si="1"/>
        <v>6240</v>
      </c>
      <c r="U28" s="55">
        <f t="shared" si="2"/>
        <v>5766.8</v>
      </c>
      <c r="V28" s="55">
        <f t="shared" si="3"/>
        <v>-473.19999999999982</v>
      </c>
      <c r="W28" s="55">
        <f t="shared" si="4"/>
        <v>5766.8</v>
      </c>
      <c r="X28" s="55">
        <f t="shared" si="5"/>
        <v>0</v>
      </c>
      <c r="Y28" s="55">
        <f t="shared" si="6"/>
        <v>4854.2</v>
      </c>
      <c r="Z28" s="55">
        <f t="shared" si="7"/>
        <v>4854.2</v>
      </c>
      <c r="AA28" s="55">
        <f t="shared" si="8"/>
        <v>0</v>
      </c>
      <c r="AB28" s="55">
        <f t="shared" si="9"/>
        <v>912.60000000000036</v>
      </c>
      <c r="AC28" s="54">
        <f t="shared" si="10"/>
        <v>0.15825067628494144</v>
      </c>
      <c r="AD28" s="56">
        <f>INDEX(Assumptions!$B$14:$B$16,MATCH($R28,Assumptions!$A$14:$A$16,0))</f>
        <v>0.18</v>
      </c>
      <c r="AE28" s="56">
        <f>INDEX(Assumptions!$C$14:$C$16,MATCH($R28,Assumptions!$A$14:$A$16,0))</f>
        <v>0.12</v>
      </c>
      <c r="AF28" s="49">
        <f t="shared" si="11"/>
        <v>0</v>
      </c>
      <c r="AG28" s="49">
        <f t="shared" si="12"/>
        <v>0</v>
      </c>
      <c r="AH28" s="55">
        <f t="shared" si="13"/>
        <v>125.42399999999952</v>
      </c>
    </row>
    <row r="29" spans="1:34" x14ac:dyDescent="0.2">
      <c r="A29" s="48" t="s">
        <v>313</v>
      </c>
      <c r="B29" s="48">
        <v>1</v>
      </c>
      <c r="C29" s="48" t="s">
        <v>295</v>
      </c>
      <c r="D29" s="48" t="s">
        <v>272</v>
      </c>
      <c r="E29" s="48" t="s">
        <v>314</v>
      </c>
      <c r="F29" s="48" t="s">
        <v>274</v>
      </c>
      <c r="G29" s="48" t="s">
        <v>298</v>
      </c>
      <c r="H29" s="48" t="s">
        <v>68</v>
      </c>
      <c r="I29" s="48" t="s">
        <v>103</v>
      </c>
      <c r="J29" s="49">
        <v>6</v>
      </c>
      <c r="K29" s="50">
        <v>1605</v>
      </c>
      <c r="L29" s="50">
        <v>1592.99</v>
      </c>
      <c r="M29" s="48" t="s">
        <v>276</v>
      </c>
      <c r="N29" s="51">
        <v>1.37</v>
      </c>
      <c r="O29" s="51">
        <v>1.3624000000000001</v>
      </c>
      <c r="P29" s="52">
        <v>980.6</v>
      </c>
      <c r="Q29" s="52">
        <v>980.6</v>
      </c>
      <c r="R29" s="53" t="str">
        <f>INDEX(SKU_Master!$D$5:$D$34,MATCH($I29,SKU_Master!$A$5:$A$34,0))</f>
        <v>Laptop</v>
      </c>
      <c r="S29" s="54">
        <f t="shared" si="0"/>
        <v>7.4828660436137007E-3</v>
      </c>
      <c r="T29" s="55">
        <f t="shared" si="1"/>
        <v>7029.1970802919705</v>
      </c>
      <c r="U29" s="55">
        <f t="shared" si="2"/>
        <v>6976.5985401459857</v>
      </c>
      <c r="V29" s="55">
        <f t="shared" si="3"/>
        <v>-52.598540145984771</v>
      </c>
      <c r="W29" s="55">
        <f t="shared" si="4"/>
        <v>7015.5167351732234</v>
      </c>
      <c r="X29" s="55">
        <f t="shared" si="5"/>
        <v>38.918195027237743</v>
      </c>
      <c r="Y29" s="55">
        <f t="shared" si="6"/>
        <v>5883.6</v>
      </c>
      <c r="Z29" s="55">
        <f t="shared" si="7"/>
        <v>5883.6</v>
      </c>
      <c r="AA29" s="55">
        <f t="shared" si="8"/>
        <v>0</v>
      </c>
      <c r="AB29" s="55">
        <f t="shared" si="9"/>
        <v>1131.9167351732231</v>
      </c>
      <c r="AC29" s="54">
        <f t="shared" si="10"/>
        <v>0.16134474164935114</v>
      </c>
      <c r="AD29" s="56">
        <f>INDEX(Assumptions!$B$14:$B$16,MATCH($R29,Assumptions!$A$14:$A$16,0))</f>
        <v>0.12</v>
      </c>
      <c r="AE29" s="56">
        <f>INDEX(Assumptions!$C$14:$C$16,MATCH($R29,Assumptions!$A$14:$A$16,0))</f>
        <v>0.08</v>
      </c>
      <c r="AF29" s="49">
        <f t="shared" si="11"/>
        <v>0</v>
      </c>
      <c r="AG29" s="49">
        <f t="shared" si="12"/>
        <v>0</v>
      </c>
      <c r="AH29" s="55">
        <f t="shared" si="13"/>
        <v>0</v>
      </c>
    </row>
    <row r="30" spans="1:34" x14ac:dyDescent="0.2">
      <c r="A30" s="48" t="s">
        <v>313</v>
      </c>
      <c r="B30" s="48">
        <v>2</v>
      </c>
      <c r="C30" s="48" t="s">
        <v>295</v>
      </c>
      <c r="D30" s="48" t="s">
        <v>272</v>
      </c>
      <c r="E30" s="48" t="s">
        <v>314</v>
      </c>
      <c r="F30" s="48" t="s">
        <v>274</v>
      </c>
      <c r="G30" s="48" t="s">
        <v>298</v>
      </c>
      <c r="H30" s="48" t="s">
        <v>68</v>
      </c>
      <c r="I30" s="48" t="s">
        <v>161</v>
      </c>
      <c r="J30" s="49">
        <v>5</v>
      </c>
      <c r="K30" s="50">
        <v>175</v>
      </c>
      <c r="L30" s="50">
        <v>171.96</v>
      </c>
      <c r="M30" s="48" t="s">
        <v>276</v>
      </c>
      <c r="N30" s="51">
        <v>1.37</v>
      </c>
      <c r="O30" s="51">
        <v>1.3624000000000001</v>
      </c>
      <c r="P30" s="52">
        <v>79</v>
      </c>
      <c r="Q30" s="52">
        <v>79</v>
      </c>
      <c r="R30" s="53" t="str">
        <f>INDEX(SKU_Master!$D$5:$D$34,MATCH($I30,SKU_Master!$A$5:$A$34,0))</f>
        <v>Accessory</v>
      </c>
      <c r="S30" s="54">
        <f t="shared" si="0"/>
        <v>1.7371428571428482E-2</v>
      </c>
      <c r="T30" s="55">
        <f t="shared" si="1"/>
        <v>638.68613138686123</v>
      </c>
      <c r="U30" s="55">
        <f t="shared" si="2"/>
        <v>627.59124087591238</v>
      </c>
      <c r="V30" s="55">
        <f t="shared" si="3"/>
        <v>-11.094890510948858</v>
      </c>
      <c r="W30" s="55">
        <f t="shared" si="4"/>
        <v>631.09219025249558</v>
      </c>
      <c r="X30" s="55">
        <f t="shared" si="5"/>
        <v>3.5009493765832076</v>
      </c>
      <c r="Y30" s="55">
        <f t="shared" si="6"/>
        <v>395</v>
      </c>
      <c r="Z30" s="55">
        <f t="shared" si="7"/>
        <v>395</v>
      </c>
      <c r="AA30" s="55">
        <f t="shared" si="8"/>
        <v>0</v>
      </c>
      <c r="AB30" s="55">
        <f t="shared" si="9"/>
        <v>236.09219025249558</v>
      </c>
      <c r="AC30" s="54">
        <f t="shared" si="10"/>
        <v>0.37410095371016516</v>
      </c>
      <c r="AD30" s="56">
        <f>INDEX(Assumptions!$B$14:$B$16,MATCH($R30,Assumptions!$A$14:$A$16,0))</f>
        <v>0.32</v>
      </c>
      <c r="AE30" s="56">
        <f>INDEX(Assumptions!$C$14:$C$16,MATCH($R30,Assumptions!$A$14:$A$16,0))</f>
        <v>0.22</v>
      </c>
      <c r="AF30" s="49">
        <f t="shared" si="11"/>
        <v>0</v>
      </c>
      <c r="AG30" s="49">
        <f t="shared" si="12"/>
        <v>0</v>
      </c>
      <c r="AH30" s="55">
        <f t="shared" si="13"/>
        <v>0</v>
      </c>
    </row>
    <row r="31" spans="1:34" x14ac:dyDescent="0.2">
      <c r="A31" s="48" t="s">
        <v>315</v>
      </c>
      <c r="B31" s="48">
        <v>1</v>
      </c>
      <c r="C31" s="48" t="s">
        <v>316</v>
      </c>
      <c r="D31" s="48" t="s">
        <v>272</v>
      </c>
      <c r="E31" s="48" t="s">
        <v>317</v>
      </c>
      <c r="F31" s="48" t="s">
        <v>280</v>
      </c>
      <c r="G31" s="48" t="s">
        <v>306</v>
      </c>
      <c r="H31" s="48" t="s">
        <v>62</v>
      </c>
      <c r="I31" s="48" t="s">
        <v>115</v>
      </c>
      <c r="J31" s="49">
        <v>29</v>
      </c>
      <c r="K31" s="50">
        <v>850</v>
      </c>
      <c r="L31" s="50">
        <v>838.37</v>
      </c>
      <c r="M31" s="48" t="s">
        <v>276</v>
      </c>
      <c r="N31" s="51">
        <v>1</v>
      </c>
      <c r="O31" s="51">
        <v>1</v>
      </c>
      <c r="P31" s="52">
        <v>723.6</v>
      </c>
      <c r="Q31" s="52">
        <v>723.6</v>
      </c>
      <c r="R31" s="53" t="str">
        <f>INDEX(SKU_Master!$D$5:$D$34,MATCH($I31,SKU_Master!$A$5:$A$34,0))</f>
        <v>Laptop</v>
      </c>
      <c r="S31" s="54">
        <f t="shared" si="0"/>
        <v>1.3682352941176479E-2</v>
      </c>
      <c r="T31" s="55">
        <f t="shared" si="1"/>
        <v>24650</v>
      </c>
      <c r="U31" s="55">
        <f t="shared" si="2"/>
        <v>24312.73</v>
      </c>
      <c r="V31" s="55">
        <f t="shared" si="3"/>
        <v>-337.27000000000044</v>
      </c>
      <c r="W31" s="55">
        <f t="shared" si="4"/>
        <v>24312.73</v>
      </c>
      <c r="X31" s="55">
        <f t="shared" si="5"/>
        <v>0</v>
      </c>
      <c r="Y31" s="55">
        <f t="shared" si="6"/>
        <v>20984.400000000001</v>
      </c>
      <c r="Z31" s="55">
        <f t="shared" si="7"/>
        <v>20984.400000000001</v>
      </c>
      <c r="AA31" s="55">
        <f t="shared" si="8"/>
        <v>0</v>
      </c>
      <c r="AB31" s="55">
        <f t="shared" si="9"/>
        <v>3328.3299999999981</v>
      </c>
      <c r="AC31" s="54">
        <f t="shared" si="10"/>
        <v>0.13689659696792578</v>
      </c>
      <c r="AD31" s="56">
        <f>INDEX(Assumptions!$B$14:$B$16,MATCH($R31,Assumptions!$A$14:$A$16,0))</f>
        <v>0.12</v>
      </c>
      <c r="AE31" s="56">
        <f>INDEX(Assumptions!$C$14:$C$16,MATCH($R31,Assumptions!$A$14:$A$16,0))</f>
        <v>0.08</v>
      </c>
      <c r="AF31" s="49">
        <f t="shared" si="11"/>
        <v>0</v>
      </c>
      <c r="AG31" s="49">
        <f t="shared" si="12"/>
        <v>0</v>
      </c>
      <c r="AH31" s="55">
        <f t="shared" si="13"/>
        <v>0</v>
      </c>
    </row>
    <row r="32" spans="1:34" x14ac:dyDescent="0.2">
      <c r="A32" s="48" t="s">
        <v>315</v>
      </c>
      <c r="B32" s="48">
        <v>2</v>
      </c>
      <c r="C32" s="48" t="s">
        <v>316</v>
      </c>
      <c r="D32" s="48" t="s">
        <v>272</v>
      </c>
      <c r="E32" s="48" t="s">
        <v>317</v>
      </c>
      <c r="F32" s="48" t="s">
        <v>280</v>
      </c>
      <c r="G32" s="48" t="s">
        <v>306</v>
      </c>
      <c r="H32" s="48" t="s">
        <v>62</v>
      </c>
      <c r="I32" s="48" t="s">
        <v>135</v>
      </c>
      <c r="J32" s="49">
        <v>25</v>
      </c>
      <c r="K32" s="50">
        <v>240</v>
      </c>
      <c r="L32" s="50">
        <v>236.37</v>
      </c>
      <c r="M32" s="48" t="s">
        <v>276</v>
      </c>
      <c r="N32" s="51">
        <v>1</v>
      </c>
      <c r="O32" s="51">
        <v>1</v>
      </c>
      <c r="P32" s="52">
        <v>186.7</v>
      </c>
      <c r="Q32" s="52">
        <v>186.7</v>
      </c>
      <c r="R32" s="53" t="str">
        <f>INDEX(SKU_Master!$D$5:$D$34,MATCH($I32,SKU_Master!$A$5:$A$34,0))</f>
        <v>Monitor</v>
      </c>
      <c r="S32" s="54">
        <f t="shared" si="0"/>
        <v>1.5124999999999944E-2</v>
      </c>
      <c r="T32" s="55">
        <f t="shared" si="1"/>
        <v>6000</v>
      </c>
      <c r="U32" s="55">
        <f t="shared" si="2"/>
        <v>5909.25</v>
      </c>
      <c r="V32" s="55">
        <f t="shared" si="3"/>
        <v>-90.75</v>
      </c>
      <c r="W32" s="55">
        <f t="shared" si="4"/>
        <v>5909.25</v>
      </c>
      <c r="X32" s="55">
        <f t="shared" si="5"/>
        <v>0</v>
      </c>
      <c r="Y32" s="55">
        <f t="shared" si="6"/>
        <v>4667.5</v>
      </c>
      <c r="Z32" s="55">
        <f t="shared" si="7"/>
        <v>4667.5</v>
      </c>
      <c r="AA32" s="55">
        <f t="shared" si="8"/>
        <v>0</v>
      </c>
      <c r="AB32" s="55">
        <f t="shared" si="9"/>
        <v>1241.75</v>
      </c>
      <c r="AC32" s="54">
        <f t="shared" si="10"/>
        <v>0.21013665016711089</v>
      </c>
      <c r="AD32" s="56">
        <f>INDEX(Assumptions!$B$14:$B$16,MATCH($R32,Assumptions!$A$14:$A$16,0))</f>
        <v>0.18</v>
      </c>
      <c r="AE32" s="56">
        <f>INDEX(Assumptions!$C$14:$C$16,MATCH($R32,Assumptions!$A$14:$A$16,0))</f>
        <v>0.12</v>
      </c>
      <c r="AF32" s="49">
        <f t="shared" si="11"/>
        <v>0</v>
      </c>
      <c r="AG32" s="49">
        <f t="shared" si="12"/>
        <v>0</v>
      </c>
      <c r="AH32" s="55">
        <f t="shared" si="13"/>
        <v>0</v>
      </c>
    </row>
    <row r="33" spans="1:34" x14ac:dyDescent="0.2">
      <c r="A33" s="48" t="s">
        <v>315</v>
      </c>
      <c r="B33" s="48">
        <v>3</v>
      </c>
      <c r="C33" s="48" t="s">
        <v>316</v>
      </c>
      <c r="D33" s="48" t="s">
        <v>272</v>
      </c>
      <c r="E33" s="48" t="s">
        <v>317</v>
      </c>
      <c r="F33" s="48" t="s">
        <v>280</v>
      </c>
      <c r="G33" s="48" t="s">
        <v>306</v>
      </c>
      <c r="H33" s="48" t="s">
        <v>62</v>
      </c>
      <c r="I33" s="48" t="s">
        <v>173</v>
      </c>
      <c r="J33" s="49">
        <v>18</v>
      </c>
      <c r="K33" s="50">
        <v>55</v>
      </c>
      <c r="L33" s="50">
        <v>54.17</v>
      </c>
      <c r="M33" s="48" t="s">
        <v>276</v>
      </c>
      <c r="N33" s="51">
        <v>1</v>
      </c>
      <c r="O33" s="51">
        <v>1</v>
      </c>
      <c r="P33" s="52">
        <v>34</v>
      </c>
      <c r="Q33" s="52">
        <v>34</v>
      </c>
      <c r="R33" s="53" t="str">
        <f>INDEX(SKU_Master!$D$5:$D$34,MATCH($I33,SKU_Master!$A$5:$A$34,0))</f>
        <v>Accessory</v>
      </c>
      <c r="S33" s="54">
        <f t="shared" si="0"/>
        <v>1.5090909090909044E-2</v>
      </c>
      <c r="T33" s="55">
        <f t="shared" si="1"/>
        <v>990</v>
      </c>
      <c r="U33" s="55">
        <f t="shared" si="2"/>
        <v>975.06000000000006</v>
      </c>
      <c r="V33" s="55">
        <f t="shared" si="3"/>
        <v>-14.939999999999941</v>
      </c>
      <c r="W33" s="55">
        <f t="shared" si="4"/>
        <v>975.06000000000006</v>
      </c>
      <c r="X33" s="55">
        <f t="shared" si="5"/>
        <v>0</v>
      </c>
      <c r="Y33" s="55">
        <f t="shared" si="6"/>
        <v>612</v>
      </c>
      <c r="Z33" s="55">
        <f t="shared" si="7"/>
        <v>612</v>
      </c>
      <c r="AA33" s="55">
        <f t="shared" si="8"/>
        <v>0</v>
      </c>
      <c r="AB33" s="55">
        <f t="shared" si="9"/>
        <v>363.06000000000006</v>
      </c>
      <c r="AC33" s="54">
        <f t="shared" si="10"/>
        <v>0.37234631714971389</v>
      </c>
      <c r="AD33" s="56">
        <f>INDEX(Assumptions!$B$14:$B$16,MATCH($R33,Assumptions!$A$14:$A$16,0))</f>
        <v>0.32</v>
      </c>
      <c r="AE33" s="56">
        <f>INDEX(Assumptions!$C$14:$C$16,MATCH($R33,Assumptions!$A$14:$A$16,0))</f>
        <v>0.22</v>
      </c>
      <c r="AF33" s="49">
        <f t="shared" si="11"/>
        <v>0</v>
      </c>
      <c r="AG33" s="49">
        <f t="shared" si="12"/>
        <v>0</v>
      </c>
      <c r="AH33" s="55">
        <f t="shared" si="13"/>
        <v>0</v>
      </c>
    </row>
    <row r="34" spans="1:34" x14ac:dyDescent="0.2">
      <c r="A34" s="48" t="s">
        <v>318</v>
      </c>
      <c r="B34" s="48">
        <v>1</v>
      </c>
      <c r="C34" s="48" t="s">
        <v>319</v>
      </c>
      <c r="D34" s="48" t="s">
        <v>272</v>
      </c>
      <c r="E34" s="48" t="s">
        <v>296</v>
      </c>
      <c r="F34" s="48" t="s">
        <v>297</v>
      </c>
      <c r="G34" s="48" t="s">
        <v>298</v>
      </c>
      <c r="H34" s="48" t="s">
        <v>66</v>
      </c>
      <c r="I34" s="48" t="s">
        <v>93</v>
      </c>
      <c r="J34" s="49">
        <v>74</v>
      </c>
      <c r="K34" s="50">
        <v>1325</v>
      </c>
      <c r="L34" s="50">
        <v>1294.67</v>
      </c>
      <c r="M34" s="48" t="s">
        <v>276</v>
      </c>
      <c r="N34" s="51">
        <v>0.92</v>
      </c>
      <c r="O34" s="51">
        <v>0.91659999999999997</v>
      </c>
      <c r="P34" s="52">
        <v>1206.2</v>
      </c>
      <c r="Q34" s="52">
        <v>1206.2</v>
      </c>
      <c r="R34" s="53" t="str">
        <f>INDEX(SKU_Master!$D$5:$D$34,MATCH($I34,SKU_Master!$A$5:$A$34,0))</f>
        <v>Laptop</v>
      </c>
      <c r="S34" s="54">
        <f t="shared" si="0"/>
        <v>2.289056603773576E-2</v>
      </c>
      <c r="T34" s="55">
        <f t="shared" si="1"/>
        <v>106576.08695652173</v>
      </c>
      <c r="U34" s="55">
        <f t="shared" si="2"/>
        <v>104136.5</v>
      </c>
      <c r="V34" s="55">
        <f t="shared" si="3"/>
        <v>-2439.586956521729</v>
      </c>
      <c r="W34" s="55">
        <f t="shared" si="4"/>
        <v>104522.77983853372</v>
      </c>
      <c r="X34" s="55">
        <f t="shared" si="5"/>
        <v>386.2798385337228</v>
      </c>
      <c r="Y34" s="55">
        <f t="shared" si="6"/>
        <v>89258.8</v>
      </c>
      <c r="Z34" s="55">
        <f t="shared" si="7"/>
        <v>89258.8</v>
      </c>
      <c r="AA34" s="55">
        <f t="shared" si="8"/>
        <v>0</v>
      </c>
      <c r="AB34" s="55">
        <f t="shared" si="9"/>
        <v>15263.97983853372</v>
      </c>
      <c r="AC34" s="54">
        <f t="shared" si="10"/>
        <v>0.14603495871534838</v>
      </c>
      <c r="AD34" s="56">
        <f>INDEX(Assumptions!$B$14:$B$16,MATCH($R34,Assumptions!$A$14:$A$16,0))</f>
        <v>0.12</v>
      </c>
      <c r="AE34" s="56">
        <f>INDEX(Assumptions!$C$14:$C$16,MATCH($R34,Assumptions!$A$14:$A$16,0))</f>
        <v>0.08</v>
      </c>
      <c r="AF34" s="49">
        <f t="shared" si="11"/>
        <v>0</v>
      </c>
      <c r="AG34" s="49">
        <f t="shared" si="12"/>
        <v>0</v>
      </c>
      <c r="AH34" s="55">
        <f t="shared" si="13"/>
        <v>0</v>
      </c>
    </row>
    <row r="35" spans="1:34" x14ac:dyDescent="0.2">
      <c r="A35" s="48" t="s">
        <v>318</v>
      </c>
      <c r="B35" s="48">
        <v>2</v>
      </c>
      <c r="C35" s="48" t="s">
        <v>319</v>
      </c>
      <c r="D35" s="48" t="s">
        <v>272</v>
      </c>
      <c r="E35" s="48" t="s">
        <v>296</v>
      </c>
      <c r="F35" s="48" t="s">
        <v>297</v>
      </c>
      <c r="G35" s="48" t="s">
        <v>298</v>
      </c>
      <c r="H35" s="48" t="s">
        <v>66</v>
      </c>
      <c r="I35" s="48" t="s">
        <v>135</v>
      </c>
      <c r="J35" s="49">
        <v>32</v>
      </c>
      <c r="K35" s="50">
        <v>255</v>
      </c>
      <c r="L35" s="50">
        <v>248.79</v>
      </c>
      <c r="M35" s="48" t="s">
        <v>276</v>
      </c>
      <c r="N35" s="51">
        <v>0.92</v>
      </c>
      <c r="O35" s="51">
        <v>0.91659999999999997</v>
      </c>
      <c r="P35" s="52">
        <v>211.7</v>
      </c>
      <c r="Q35" s="52">
        <v>211.7</v>
      </c>
      <c r="R35" s="53" t="str">
        <f>INDEX(SKU_Master!$D$5:$D$34,MATCH($I35,SKU_Master!$A$5:$A$34,0))</f>
        <v>Monitor</v>
      </c>
      <c r="S35" s="54">
        <f t="shared" si="0"/>
        <v>2.4352941176470577E-2</v>
      </c>
      <c r="T35" s="55">
        <f t="shared" si="1"/>
        <v>8869.565217391304</v>
      </c>
      <c r="U35" s="55">
        <f t="shared" si="2"/>
        <v>8653.565217391304</v>
      </c>
      <c r="V35" s="55">
        <f t="shared" si="3"/>
        <v>-216</v>
      </c>
      <c r="W35" s="55">
        <f t="shared" si="4"/>
        <v>8685.6644119572338</v>
      </c>
      <c r="X35" s="55">
        <f t="shared" si="5"/>
        <v>32.099194565929793</v>
      </c>
      <c r="Y35" s="55">
        <f t="shared" si="6"/>
        <v>6774.4</v>
      </c>
      <c r="Z35" s="55">
        <f t="shared" si="7"/>
        <v>6774.4</v>
      </c>
      <c r="AA35" s="55">
        <f t="shared" si="8"/>
        <v>0</v>
      </c>
      <c r="AB35" s="55">
        <f t="shared" si="9"/>
        <v>1911.2644119572342</v>
      </c>
      <c r="AC35" s="54">
        <f t="shared" si="10"/>
        <v>0.22004815306081443</v>
      </c>
      <c r="AD35" s="56">
        <f>INDEX(Assumptions!$B$14:$B$16,MATCH($R35,Assumptions!$A$14:$A$16,0))</f>
        <v>0.18</v>
      </c>
      <c r="AE35" s="56">
        <f>INDEX(Assumptions!$C$14:$C$16,MATCH($R35,Assumptions!$A$14:$A$16,0))</f>
        <v>0.12</v>
      </c>
      <c r="AF35" s="49">
        <f t="shared" si="11"/>
        <v>0</v>
      </c>
      <c r="AG35" s="49">
        <f t="shared" si="12"/>
        <v>0</v>
      </c>
      <c r="AH35" s="55">
        <f t="shared" si="13"/>
        <v>0</v>
      </c>
    </row>
    <row r="36" spans="1:34" x14ac:dyDescent="0.2">
      <c r="A36" s="48" t="s">
        <v>318</v>
      </c>
      <c r="B36" s="48">
        <v>3</v>
      </c>
      <c r="C36" s="48" t="s">
        <v>319</v>
      </c>
      <c r="D36" s="48" t="s">
        <v>272</v>
      </c>
      <c r="E36" s="48" t="s">
        <v>296</v>
      </c>
      <c r="F36" s="48" t="s">
        <v>297</v>
      </c>
      <c r="G36" s="48" t="s">
        <v>298</v>
      </c>
      <c r="H36" s="48" t="s">
        <v>66</v>
      </c>
      <c r="I36" s="48" t="s">
        <v>151</v>
      </c>
      <c r="J36" s="49">
        <v>64</v>
      </c>
      <c r="K36" s="50">
        <v>325</v>
      </c>
      <c r="L36" s="50">
        <v>312.97000000000003</v>
      </c>
      <c r="M36" s="48" t="s">
        <v>276</v>
      </c>
      <c r="N36" s="51">
        <v>0.92</v>
      </c>
      <c r="O36" s="51">
        <v>0.91659999999999997</v>
      </c>
      <c r="P36" s="52">
        <v>221.7</v>
      </c>
      <c r="Q36" s="52">
        <v>221.7</v>
      </c>
      <c r="R36" s="53" t="str">
        <f>INDEX(SKU_Master!$D$5:$D$34,MATCH($I36,SKU_Master!$A$5:$A$34,0))</f>
        <v>Accessory</v>
      </c>
      <c r="S36" s="54">
        <f t="shared" si="0"/>
        <v>3.7015384615384561E-2</v>
      </c>
      <c r="T36" s="55">
        <f t="shared" si="1"/>
        <v>22608.695652173912</v>
      </c>
      <c r="U36" s="55">
        <f t="shared" si="2"/>
        <v>21771.826086956524</v>
      </c>
      <c r="V36" s="55">
        <f t="shared" si="3"/>
        <v>-836.8695652173883</v>
      </c>
      <c r="W36" s="55">
        <f t="shared" si="4"/>
        <v>21852.585642592192</v>
      </c>
      <c r="X36" s="55">
        <f t="shared" si="5"/>
        <v>80.759555635668221</v>
      </c>
      <c r="Y36" s="55">
        <f t="shared" si="6"/>
        <v>14188.8</v>
      </c>
      <c r="Z36" s="55">
        <f t="shared" si="7"/>
        <v>14188.8</v>
      </c>
      <c r="AA36" s="55">
        <f t="shared" si="8"/>
        <v>0</v>
      </c>
      <c r="AB36" s="55">
        <f t="shared" si="9"/>
        <v>7663.7856425921927</v>
      </c>
      <c r="AC36" s="54">
        <f t="shared" si="10"/>
        <v>0.35070383742850764</v>
      </c>
      <c r="AD36" s="56">
        <f>INDEX(Assumptions!$B$14:$B$16,MATCH($R36,Assumptions!$A$14:$A$16,0))</f>
        <v>0.32</v>
      </c>
      <c r="AE36" s="56">
        <f>INDEX(Assumptions!$C$14:$C$16,MATCH($R36,Assumptions!$A$14:$A$16,0))</f>
        <v>0.22</v>
      </c>
      <c r="AF36" s="49">
        <f t="shared" si="11"/>
        <v>0</v>
      </c>
      <c r="AG36" s="49">
        <f t="shared" si="12"/>
        <v>0</v>
      </c>
      <c r="AH36" s="55">
        <f t="shared" si="13"/>
        <v>0</v>
      </c>
    </row>
    <row r="37" spans="1:34" x14ac:dyDescent="0.2">
      <c r="A37" s="48" t="s">
        <v>320</v>
      </c>
      <c r="B37" s="48">
        <v>1</v>
      </c>
      <c r="C37" s="48" t="s">
        <v>321</v>
      </c>
      <c r="D37" s="48" t="s">
        <v>272</v>
      </c>
      <c r="E37" s="48" t="s">
        <v>322</v>
      </c>
      <c r="F37" s="48" t="s">
        <v>274</v>
      </c>
      <c r="G37" s="48" t="s">
        <v>288</v>
      </c>
      <c r="H37" s="48" t="s">
        <v>62</v>
      </c>
      <c r="I37" s="48" t="s">
        <v>118</v>
      </c>
      <c r="J37" s="49">
        <v>7</v>
      </c>
      <c r="K37" s="50">
        <v>1365</v>
      </c>
      <c r="L37" s="50">
        <v>1363.81</v>
      </c>
      <c r="M37" s="48" t="s">
        <v>276</v>
      </c>
      <c r="N37" s="51">
        <v>1</v>
      </c>
      <c r="O37" s="51">
        <v>1</v>
      </c>
      <c r="P37" s="52">
        <v>1162.5999999999999</v>
      </c>
      <c r="Q37" s="52">
        <v>1162.5999999999999</v>
      </c>
      <c r="R37" s="53" t="str">
        <f>INDEX(SKU_Master!$D$5:$D$34,MATCH($I37,SKU_Master!$A$5:$A$34,0))</f>
        <v>Laptop</v>
      </c>
      <c r="S37" s="54">
        <f t="shared" si="0"/>
        <v>8.7179487179489534E-4</v>
      </c>
      <c r="T37" s="55">
        <f t="shared" si="1"/>
        <v>9555</v>
      </c>
      <c r="U37" s="55">
        <f t="shared" si="2"/>
        <v>9546.67</v>
      </c>
      <c r="V37" s="55">
        <f t="shared" si="3"/>
        <v>-8.3299999999999272</v>
      </c>
      <c r="W37" s="55">
        <f t="shared" si="4"/>
        <v>9546.67</v>
      </c>
      <c r="X37" s="55">
        <f t="shared" si="5"/>
        <v>0</v>
      </c>
      <c r="Y37" s="55">
        <f t="shared" si="6"/>
        <v>8138.1999999999989</v>
      </c>
      <c r="Z37" s="55">
        <f t="shared" si="7"/>
        <v>8138.1999999999989</v>
      </c>
      <c r="AA37" s="55">
        <f t="shared" si="8"/>
        <v>0</v>
      </c>
      <c r="AB37" s="55">
        <f t="shared" si="9"/>
        <v>1408.4700000000012</v>
      </c>
      <c r="AC37" s="54">
        <f t="shared" si="10"/>
        <v>0.14753521384943663</v>
      </c>
      <c r="AD37" s="56">
        <f>INDEX(Assumptions!$B$14:$B$16,MATCH($R37,Assumptions!$A$14:$A$16,0))</f>
        <v>0.12</v>
      </c>
      <c r="AE37" s="56">
        <f>INDEX(Assumptions!$C$14:$C$16,MATCH($R37,Assumptions!$A$14:$A$16,0))</f>
        <v>0.08</v>
      </c>
      <c r="AF37" s="49">
        <f t="shared" si="11"/>
        <v>0</v>
      </c>
      <c r="AG37" s="49">
        <f t="shared" si="12"/>
        <v>0</v>
      </c>
      <c r="AH37" s="55">
        <f t="shared" si="13"/>
        <v>0</v>
      </c>
    </row>
    <row r="38" spans="1:34" x14ac:dyDescent="0.2">
      <c r="A38" s="48" t="s">
        <v>320</v>
      </c>
      <c r="B38" s="48">
        <v>2</v>
      </c>
      <c r="C38" s="48" t="s">
        <v>321</v>
      </c>
      <c r="D38" s="48" t="s">
        <v>272</v>
      </c>
      <c r="E38" s="48" t="s">
        <v>322</v>
      </c>
      <c r="F38" s="48" t="s">
        <v>274</v>
      </c>
      <c r="G38" s="48" t="s">
        <v>288</v>
      </c>
      <c r="H38" s="48" t="s">
        <v>62</v>
      </c>
      <c r="I38" s="48" t="s">
        <v>135</v>
      </c>
      <c r="J38" s="49">
        <v>4</v>
      </c>
      <c r="K38" s="50">
        <v>240</v>
      </c>
      <c r="L38" s="50">
        <v>238.8</v>
      </c>
      <c r="M38" s="48" t="s">
        <v>276</v>
      </c>
      <c r="N38" s="51">
        <v>1</v>
      </c>
      <c r="O38" s="51">
        <v>1</v>
      </c>
      <c r="P38" s="52">
        <v>186.7</v>
      </c>
      <c r="Q38" s="52">
        <v>186.7</v>
      </c>
      <c r="R38" s="53" t="str">
        <f>INDEX(SKU_Master!$D$5:$D$34,MATCH($I38,SKU_Master!$A$5:$A$34,0))</f>
        <v>Monitor</v>
      </c>
      <c r="S38" s="54">
        <f t="shared" si="0"/>
        <v>5.0000000000000044E-3</v>
      </c>
      <c r="T38" s="55">
        <f t="shared" si="1"/>
        <v>960</v>
      </c>
      <c r="U38" s="55">
        <f t="shared" si="2"/>
        <v>955.2</v>
      </c>
      <c r="V38" s="55">
        <f t="shared" si="3"/>
        <v>-4.7999999999999545</v>
      </c>
      <c r="W38" s="55">
        <f t="shared" si="4"/>
        <v>955.2</v>
      </c>
      <c r="X38" s="55">
        <f t="shared" si="5"/>
        <v>0</v>
      </c>
      <c r="Y38" s="55">
        <f t="shared" si="6"/>
        <v>746.8</v>
      </c>
      <c r="Z38" s="55">
        <f t="shared" si="7"/>
        <v>746.8</v>
      </c>
      <c r="AA38" s="55">
        <f t="shared" si="8"/>
        <v>0</v>
      </c>
      <c r="AB38" s="55">
        <f t="shared" si="9"/>
        <v>208.40000000000009</v>
      </c>
      <c r="AC38" s="54">
        <f t="shared" si="10"/>
        <v>0.21817420435510895</v>
      </c>
      <c r="AD38" s="56">
        <f>INDEX(Assumptions!$B$14:$B$16,MATCH($R38,Assumptions!$A$14:$A$16,0))</f>
        <v>0.18</v>
      </c>
      <c r="AE38" s="56">
        <f>INDEX(Assumptions!$C$14:$C$16,MATCH($R38,Assumptions!$A$14:$A$16,0))</f>
        <v>0.12</v>
      </c>
      <c r="AF38" s="49">
        <f t="shared" si="11"/>
        <v>0</v>
      </c>
      <c r="AG38" s="49">
        <f t="shared" si="12"/>
        <v>0</v>
      </c>
      <c r="AH38" s="55">
        <f t="shared" si="13"/>
        <v>0</v>
      </c>
    </row>
    <row r="39" spans="1:34" x14ac:dyDescent="0.2">
      <c r="A39" s="48" t="s">
        <v>320</v>
      </c>
      <c r="B39" s="48">
        <v>3</v>
      </c>
      <c r="C39" s="48" t="s">
        <v>321</v>
      </c>
      <c r="D39" s="48" t="s">
        <v>272</v>
      </c>
      <c r="E39" s="48" t="s">
        <v>322</v>
      </c>
      <c r="F39" s="48" t="s">
        <v>274</v>
      </c>
      <c r="G39" s="48" t="s">
        <v>288</v>
      </c>
      <c r="H39" s="48" t="s">
        <v>62</v>
      </c>
      <c r="I39" s="48" t="s">
        <v>164</v>
      </c>
      <c r="J39" s="49">
        <v>5</v>
      </c>
      <c r="K39" s="50">
        <v>190</v>
      </c>
      <c r="L39" s="50">
        <v>189.81</v>
      </c>
      <c r="M39" s="48" t="s">
        <v>276</v>
      </c>
      <c r="N39" s="51">
        <v>1</v>
      </c>
      <c r="O39" s="51">
        <v>1</v>
      </c>
      <c r="P39" s="52">
        <v>121</v>
      </c>
      <c r="Q39" s="52">
        <v>121</v>
      </c>
      <c r="R39" s="53" t="str">
        <f>INDEX(SKU_Master!$D$5:$D$34,MATCH($I39,SKU_Master!$A$5:$A$34,0))</f>
        <v>Accessory</v>
      </c>
      <c r="S39" s="54">
        <f t="shared" si="0"/>
        <v>1.0000000000000009E-3</v>
      </c>
      <c r="T39" s="55">
        <f t="shared" si="1"/>
        <v>950</v>
      </c>
      <c r="U39" s="55">
        <f t="shared" si="2"/>
        <v>949.05</v>
      </c>
      <c r="V39" s="55">
        <f t="shared" si="3"/>
        <v>-0.95000000000004547</v>
      </c>
      <c r="W39" s="55">
        <f t="shared" si="4"/>
        <v>949.05</v>
      </c>
      <c r="X39" s="55">
        <f t="shared" si="5"/>
        <v>0</v>
      </c>
      <c r="Y39" s="55">
        <f t="shared" si="6"/>
        <v>605</v>
      </c>
      <c r="Z39" s="55">
        <f t="shared" si="7"/>
        <v>605</v>
      </c>
      <c r="AA39" s="55">
        <f t="shared" si="8"/>
        <v>0</v>
      </c>
      <c r="AB39" s="55">
        <f t="shared" si="9"/>
        <v>344.04999999999995</v>
      </c>
      <c r="AC39" s="54">
        <f t="shared" si="10"/>
        <v>0.36252041515199407</v>
      </c>
      <c r="AD39" s="56">
        <f>INDEX(Assumptions!$B$14:$B$16,MATCH($R39,Assumptions!$A$14:$A$16,0))</f>
        <v>0.32</v>
      </c>
      <c r="AE39" s="56">
        <f>INDEX(Assumptions!$C$14:$C$16,MATCH($R39,Assumptions!$A$14:$A$16,0))</f>
        <v>0.22</v>
      </c>
      <c r="AF39" s="49">
        <f t="shared" si="11"/>
        <v>0</v>
      </c>
      <c r="AG39" s="49">
        <f t="shared" si="12"/>
        <v>0</v>
      </c>
      <c r="AH39" s="55">
        <f t="shared" si="13"/>
        <v>0</v>
      </c>
    </row>
    <row r="40" spans="1:34" x14ac:dyDescent="0.2">
      <c r="A40" s="48" t="s">
        <v>323</v>
      </c>
      <c r="B40" s="48">
        <v>1</v>
      </c>
      <c r="C40" s="48" t="s">
        <v>324</v>
      </c>
      <c r="D40" s="48" t="s">
        <v>272</v>
      </c>
      <c r="E40" s="48" t="s">
        <v>325</v>
      </c>
      <c r="F40" s="48" t="s">
        <v>274</v>
      </c>
      <c r="G40" s="48" t="s">
        <v>298</v>
      </c>
      <c r="H40" s="48" t="s">
        <v>62</v>
      </c>
      <c r="I40" s="48" t="s">
        <v>118</v>
      </c>
      <c r="J40" s="49">
        <v>4</v>
      </c>
      <c r="K40" s="50">
        <v>1365</v>
      </c>
      <c r="L40" s="50">
        <v>1363.58</v>
      </c>
      <c r="M40" s="48" t="s">
        <v>276</v>
      </c>
      <c r="N40" s="51">
        <v>1</v>
      </c>
      <c r="O40" s="51">
        <v>1</v>
      </c>
      <c r="P40" s="52">
        <v>1162.5999999999999</v>
      </c>
      <c r="Q40" s="52">
        <v>1162.5999999999999</v>
      </c>
      <c r="R40" s="53" t="str">
        <f>INDEX(SKU_Master!$D$5:$D$34,MATCH($I40,SKU_Master!$A$5:$A$34,0))</f>
        <v>Laptop</v>
      </c>
      <c r="S40" s="54">
        <f t="shared" si="0"/>
        <v>1.0402930402930721E-3</v>
      </c>
      <c r="T40" s="55">
        <f t="shared" si="1"/>
        <v>5460</v>
      </c>
      <c r="U40" s="55">
        <f t="shared" si="2"/>
        <v>5454.32</v>
      </c>
      <c r="V40" s="55">
        <f t="shared" si="3"/>
        <v>-5.680000000000291</v>
      </c>
      <c r="W40" s="55">
        <f t="shared" si="4"/>
        <v>5454.32</v>
      </c>
      <c r="X40" s="55">
        <f t="shared" si="5"/>
        <v>0</v>
      </c>
      <c r="Y40" s="55">
        <f t="shared" si="6"/>
        <v>4650.3999999999996</v>
      </c>
      <c r="Z40" s="55">
        <f t="shared" si="7"/>
        <v>4650.3999999999996</v>
      </c>
      <c r="AA40" s="55">
        <f t="shared" si="8"/>
        <v>0</v>
      </c>
      <c r="AB40" s="55">
        <f t="shared" si="9"/>
        <v>803.92000000000007</v>
      </c>
      <c r="AC40" s="54">
        <f t="shared" si="10"/>
        <v>0.14739142551225454</v>
      </c>
      <c r="AD40" s="56">
        <f>INDEX(Assumptions!$B$14:$B$16,MATCH($R40,Assumptions!$A$14:$A$16,0))</f>
        <v>0.12</v>
      </c>
      <c r="AE40" s="56">
        <f>INDEX(Assumptions!$C$14:$C$16,MATCH($R40,Assumptions!$A$14:$A$16,0))</f>
        <v>0.08</v>
      </c>
      <c r="AF40" s="49">
        <f t="shared" si="11"/>
        <v>0</v>
      </c>
      <c r="AG40" s="49">
        <f t="shared" si="12"/>
        <v>0</v>
      </c>
      <c r="AH40" s="55">
        <f t="shared" si="13"/>
        <v>0</v>
      </c>
    </row>
    <row r="41" spans="1:34" x14ac:dyDescent="0.2">
      <c r="A41" s="48" t="s">
        <v>323</v>
      </c>
      <c r="B41" s="48">
        <v>2</v>
      </c>
      <c r="C41" s="48" t="s">
        <v>324</v>
      </c>
      <c r="D41" s="48" t="s">
        <v>272</v>
      </c>
      <c r="E41" s="48" t="s">
        <v>325</v>
      </c>
      <c r="F41" s="48" t="s">
        <v>274</v>
      </c>
      <c r="G41" s="48" t="s">
        <v>298</v>
      </c>
      <c r="H41" s="48" t="s">
        <v>62</v>
      </c>
      <c r="I41" s="48" t="s">
        <v>146</v>
      </c>
      <c r="J41" s="49">
        <v>1</v>
      </c>
      <c r="K41" s="50">
        <v>235</v>
      </c>
      <c r="L41" s="50">
        <v>231.04</v>
      </c>
      <c r="M41" s="48" t="s">
        <v>276</v>
      </c>
      <c r="N41" s="51">
        <v>1</v>
      </c>
      <c r="O41" s="51">
        <v>1</v>
      </c>
      <c r="P41" s="52">
        <v>181.8</v>
      </c>
      <c r="Q41" s="52">
        <v>181.8</v>
      </c>
      <c r="R41" s="53" t="str">
        <f>INDEX(SKU_Master!$D$5:$D$34,MATCH($I41,SKU_Master!$A$5:$A$34,0))</f>
        <v>Monitor</v>
      </c>
      <c r="S41" s="54">
        <f t="shared" si="0"/>
        <v>1.6851063829787294E-2</v>
      </c>
      <c r="T41" s="55">
        <f t="shared" si="1"/>
        <v>235</v>
      </c>
      <c r="U41" s="55">
        <f t="shared" si="2"/>
        <v>231.04</v>
      </c>
      <c r="V41" s="55">
        <f t="shared" si="3"/>
        <v>-3.960000000000008</v>
      </c>
      <c r="W41" s="55">
        <f t="shared" si="4"/>
        <v>231.04</v>
      </c>
      <c r="X41" s="55">
        <f t="shared" si="5"/>
        <v>0</v>
      </c>
      <c r="Y41" s="55">
        <f t="shared" si="6"/>
        <v>181.8</v>
      </c>
      <c r="Z41" s="55">
        <f t="shared" si="7"/>
        <v>181.8</v>
      </c>
      <c r="AA41" s="55">
        <f t="shared" si="8"/>
        <v>0</v>
      </c>
      <c r="AB41" s="55">
        <f t="shared" si="9"/>
        <v>49.239999999999981</v>
      </c>
      <c r="AC41" s="54">
        <f t="shared" si="10"/>
        <v>0.21312326869806086</v>
      </c>
      <c r="AD41" s="56">
        <f>INDEX(Assumptions!$B$14:$B$16,MATCH($R41,Assumptions!$A$14:$A$16,0))</f>
        <v>0.18</v>
      </c>
      <c r="AE41" s="56">
        <f>INDEX(Assumptions!$C$14:$C$16,MATCH($R41,Assumptions!$A$14:$A$16,0))</f>
        <v>0.12</v>
      </c>
      <c r="AF41" s="49">
        <f t="shared" si="11"/>
        <v>0</v>
      </c>
      <c r="AG41" s="49">
        <f t="shared" si="12"/>
        <v>0</v>
      </c>
      <c r="AH41" s="55">
        <f t="shared" si="13"/>
        <v>0</v>
      </c>
    </row>
    <row r="42" spans="1:34" x14ac:dyDescent="0.2">
      <c r="A42" s="48" t="s">
        <v>323</v>
      </c>
      <c r="B42" s="48">
        <v>3</v>
      </c>
      <c r="C42" s="48" t="s">
        <v>324</v>
      </c>
      <c r="D42" s="48" t="s">
        <v>272</v>
      </c>
      <c r="E42" s="48" t="s">
        <v>325</v>
      </c>
      <c r="F42" s="48" t="s">
        <v>274</v>
      </c>
      <c r="G42" s="48" t="s">
        <v>298</v>
      </c>
      <c r="H42" s="48" t="s">
        <v>62</v>
      </c>
      <c r="I42" s="48" t="s">
        <v>173</v>
      </c>
      <c r="J42" s="49">
        <v>4</v>
      </c>
      <c r="K42" s="50">
        <v>55</v>
      </c>
      <c r="L42" s="50">
        <v>54.12</v>
      </c>
      <c r="M42" s="48" t="s">
        <v>276</v>
      </c>
      <c r="N42" s="51">
        <v>1</v>
      </c>
      <c r="O42" s="51">
        <v>1</v>
      </c>
      <c r="P42" s="52">
        <v>34</v>
      </c>
      <c r="Q42" s="52">
        <v>34</v>
      </c>
      <c r="R42" s="53" t="str">
        <f>INDEX(SKU_Master!$D$5:$D$34,MATCH($I42,SKU_Master!$A$5:$A$34,0))</f>
        <v>Accessory</v>
      </c>
      <c r="S42" s="54">
        <f t="shared" si="0"/>
        <v>1.6000000000000014E-2</v>
      </c>
      <c r="T42" s="55">
        <f t="shared" si="1"/>
        <v>220</v>
      </c>
      <c r="U42" s="55">
        <f t="shared" si="2"/>
        <v>216.48</v>
      </c>
      <c r="V42" s="55">
        <f t="shared" si="3"/>
        <v>-3.5200000000000102</v>
      </c>
      <c r="W42" s="55">
        <f t="shared" si="4"/>
        <v>216.48</v>
      </c>
      <c r="X42" s="55">
        <f t="shared" si="5"/>
        <v>0</v>
      </c>
      <c r="Y42" s="55">
        <f t="shared" si="6"/>
        <v>136</v>
      </c>
      <c r="Z42" s="55">
        <f t="shared" si="7"/>
        <v>136</v>
      </c>
      <c r="AA42" s="55">
        <f t="shared" si="8"/>
        <v>0</v>
      </c>
      <c r="AB42" s="55">
        <f t="shared" si="9"/>
        <v>80.47999999999999</v>
      </c>
      <c r="AC42" s="54">
        <f t="shared" si="10"/>
        <v>0.37176644493717659</v>
      </c>
      <c r="AD42" s="56">
        <f>INDEX(Assumptions!$B$14:$B$16,MATCH($R42,Assumptions!$A$14:$A$16,0))</f>
        <v>0.32</v>
      </c>
      <c r="AE42" s="56">
        <f>INDEX(Assumptions!$C$14:$C$16,MATCH($R42,Assumptions!$A$14:$A$16,0))</f>
        <v>0.22</v>
      </c>
      <c r="AF42" s="49">
        <f t="shared" si="11"/>
        <v>0</v>
      </c>
      <c r="AG42" s="49">
        <f t="shared" si="12"/>
        <v>0</v>
      </c>
      <c r="AH42" s="55">
        <f t="shared" si="13"/>
        <v>0</v>
      </c>
    </row>
    <row r="43" spans="1:34" x14ac:dyDescent="0.2">
      <c r="A43" s="48" t="s">
        <v>326</v>
      </c>
      <c r="B43" s="48">
        <v>1</v>
      </c>
      <c r="C43" s="48" t="s">
        <v>304</v>
      </c>
      <c r="D43" s="48" t="s">
        <v>272</v>
      </c>
      <c r="E43" s="48" t="s">
        <v>314</v>
      </c>
      <c r="F43" s="48" t="s">
        <v>274</v>
      </c>
      <c r="G43" s="48" t="s">
        <v>298</v>
      </c>
      <c r="H43" s="48" t="s">
        <v>68</v>
      </c>
      <c r="I43" s="48" t="s">
        <v>108</v>
      </c>
      <c r="J43" s="49">
        <v>7</v>
      </c>
      <c r="K43" s="50">
        <v>1895</v>
      </c>
      <c r="L43" s="50">
        <v>1875.51</v>
      </c>
      <c r="M43" s="48" t="s">
        <v>276</v>
      </c>
      <c r="N43" s="51">
        <v>1.37</v>
      </c>
      <c r="O43" s="51">
        <v>1.3624000000000001</v>
      </c>
      <c r="P43" s="52">
        <v>1157</v>
      </c>
      <c r="Q43" s="52">
        <v>1157</v>
      </c>
      <c r="R43" s="53" t="str">
        <f>INDEX(SKU_Master!$D$5:$D$34,MATCH($I43,SKU_Master!$A$5:$A$34,0))</f>
        <v>Laptop</v>
      </c>
      <c r="S43" s="54">
        <f t="shared" si="0"/>
        <v>1.0284960422163647E-2</v>
      </c>
      <c r="T43" s="55">
        <f t="shared" si="1"/>
        <v>9682.4817518248165</v>
      </c>
      <c r="U43" s="55">
        <f t="shared" si="2"/>
        <v>9582.8978102189776</v>
      </c>
      <c r="V43" s="55">
        <f t="shared" si="3"/>
        <v>-99.583941605838845</v>
      </c>
      <c r="W43" s="55">
        <f t="shared" si="4"/>
        <v>9636.3549618320612</v>
      </c>
      <c r="X43" s="55">
        <f t="shared" si="5"/>
        <v>53.457151613083624</v>
      </c>
      <c r="Y43" s="55">
        <f t="shared" si="6"/>
        <v>8099</v>
      </c>
      <c r="Z43" s="55">
        <f t="shared" si="7"/>
        <v>8099</v>
      </c>
      <c r="AA43" s="55">
        <f t="shared" si="8"/>
        <v>0</v>
      </c>
      <c r="AB43" s="55">
        <f t="shared" si="9"/>
        <v>1537.3549618320612</v>
      </c>
      <c r="AC43" s="54">
        <f t="shared" si="10"/>
        <v>0.15953697927497057</v>
      </c>
      <c r="AD43" s="56">
        <f>INDEX(Assumptions!$B$14:$B$16,MATCH($R43,Assumptions!$A$14:$A$16,0))</f>
        <v>0.12</v>
      </c>
      <c r="AE43" s="56">
        <f>INDEX(Assumptions!$C$14:$C$16,MATCH($R43,Assumptions!$A$14:$A$16,0))</f>
        <v>0.08</v>
      </c>
      <c r="AF43" s="49">
        <f t="shared" si="11"/>
        <v>0</v>
      </c>
      <c r="AG43" s="49">
        <f t="shared" si="12"/>
        <v>0</v>
      </c>
      <c r="AH43" s="55">
        <f t="shared" si="13"/>
        <v>0</v>
      </c>
    </row>
    <row r="44" spans="1:34" x14ac:dyDescent="0.2">
      <c r="A44" s="48" t="s">
        <v>327</v>
      </c>
      <c r="B44" s="48">
        <v>1</v>
      </c>
      <c r="C44" s="48" t="s">
        <v>328</v>
      </c>
      <c r="D44" s="48" t="s">
        <v>272</v>
      </c>
      <c r="E44" s="48" t="s">
        <v>309</v>
      </c>
      <c r="F44" s="48" t="s">
        <v>280</v>
      </c>
      <c r="G44" s="48" t="s">
        <v>298</v>
      </c>
      <c r="H44" s="48" t="s">
        <v>70</v>
      </c>
      <c r="I44" s="48" t="s">
        <v>110</v>
      </c>
      <c r="J44" s="49">
        <v>26</v>
      </c>
      <c r="K44" s="50">
        <v>113335</v>
      </c>
      <c r="L44" s="50">
        <v>111144.66</v>
      </c>
      <c r="M44" s="48" t="s">
        <v>276</v>
      </c>
      <c r="N44" s="51">
        <v>83.5</v>
      </c>
      <c r="O44" s="51">
        <v>83.820400000000006</v>
      </c>
      <c r="P44" s="52">
        <v>1136.8599999999999</v>
      </c>
      <c r="Q44" s="52">
        <v>1156.8599999999999</v>
      </c>
      <c r="R44" s="53" t="str">
        <f>INDEX(SKU_Master!$D$5:$D$34,MATCH($I44,SKU_Master!$A$5:$A$34,0))</f>
        <v>Laptop</v>
      </c>
      <c r="S44" s="54">
        <f t="shared" si="0"/>
        <v>1.9326245202276437E-2</v>
      </c>
      <c r="T44" s="55">
        <f t="shared" si="1"/>
        <v>35289.940119760482</v>
      </c>
      <c r="U44" s="55">
        <f t="shared" si="2"/>
        <v>34607.918083832337</v>
      </c>
      <c r="V44" s="55">
        <f t="shared" si="3"/>
        <v>-682.02203592814476</v>
      </c>
      <c r="W44" s="55">
        <f t="shared" si="4"/>
        <v>34475.630753372687</v>
      </c>
      <c r="X44" s="55">
        <f t="shared" si="5"/>
        <v>-132.28733045965055</v>
      </c>
      <c r="Y44" s="55">
        <f t="shared" si="6"/>
        <v>29558.359999999997</v>
      </c>
      <c r="Z44" s="55">
        <f t="shared" si="7"/>
        <v>30078.359999999997</v>
      </c>
      <c r="AA44" s="55">
        <f t="shared" si="8"/>
        <v>-520</v>
      </c>
      <c r="AB44" s="55">
        <f t="shared" si="9"/>
        <v>4397.2707533726898</v>
      </c>
      <c r="AC44" s="54">
        <f t="shared" si="10"/>
        <v>0.12754721689733009</v>
      </c>
      <c r="AD44" s="56">
        <f>INDEX(Assumptions!$B$14:$B$16,MATCH($R44,Assumptions!$A$14:$A$16,0))</f>
        <v>0.12</v>
      </c>
      <c r="AE44" s="56">
        <f>INDEX(Assumptions!$C$14:$C$16,MATCH($R44,Assumptions!$A$14:$A$16,0))</f>
        <v>0.08</v>
      </c>
      <c r="AF44" s="49">
        <f t="shared" si="11"/>
        <v>0</v>
      </c>
      <c r="AG44" s="49">
        <f t="shared" si="12"/>
        <v>0</v>
      </c>
      <c r="AH44" s="55">
        <f t="shared" si="13"/>
        <v>0</v>
      </c>
    </row>
    <row r="45" spans="1:34" x14ac:dyDescent="0.2">
      <c r="A45" s="48" t="s">
        <v>327</v>
      </c>
      <c r="B45" s="48">
        <v>2</v>
      </c>
      <c r="C45" s="48" t="s">
        <v>328</v>
      </c>
      <c r="D45" s="48" t="s">
        <v>272</v>
      </c>
      <c r="E45" s="48" t="s">
        <v>309</v>
      </c>
      <c r="F45" s="48" t="s">
        <v>280</v>
      </c>
      <c r="G45" s="48" t="s">
        <v>298</v>
      </c>
      <c r="H45" s="48" t="s">
        <v>70</v>
      </c>
      <c r="I45" s="48" t="s">
        <v>135</v>
      </c>
      <c r="J45" s="49">
        <v>20</v>
      </c>
      <c r="K45" s="50">
        <v>26950</v>
      </c>
      <c r="L45" s="50">
        <v>26287.27</v>
      </c>
      <c r="M45" s="48" t="s">
        <v>276</v>
      </c>
      <c r="N45" s="51">
        <v>83.5</v>
      </c>
      <c r="O45" s="51">
        <v>83.820400000000006</v>
      </c>
      <c r="P45" s="52">
        <v>249.49</v>
      </c>
      <c r="Q45" s="52">
        <v>269.49</v>
      </c>
      <c r="R45" s="53" t="str">
        <f>INDEX(SKU_Master!$D$5:$D$34,MATCH($I45,SKU_Master!$A$5:$A$34,0))</f>
        <v>Monitor</v>
      </c>
      <c r="S45" s="54">
        <f t="shared" si="0"/>
        <v>2.4591094619666021E-2</v>
      </c>
      <c r="T45" s="55">
        <f t="shared" si="1"/>
        <v>6455.0898203592815</v>
      </c>
      <c r="U45" s="55">
        <f t="shared" si="2"/>
        <v>6296.3520958083836</v>
      </c>
      <c r="V45" s="55">
        <f t="shared" si="3"/>
        <v>-158.73772455089784</v>
      </c>
      <c r="W45" s="55">
        <f t="shared" si="4"/>
        <v>6272.2845512548256</v>
      </c>
      <c r="X45" s="55">
        <f t="shared" si="5"/>
        <v>-24.067544553558037</v>
      </c>
      <c r="Y45" s="55">
        <f t="shared" si="6"/>
        <v>4989.8</v>
      </c>
      <c r="Z45" s="55">
        <f t="shared" si="7"/>
        <v>5389.8</v>
      </c>
      <c r="AA45" s="55">
        <f t="shared" si="8"/>
        <v>-400</v>
      </c>
      <c r="AB45" s="55">
        <f t="shared" si="9"/>
        <v>882.48455125482542</v>
      </c>
      <c r="AC45" s="54">
        <f t="shared" si="10"/>
        <v>0.14069587309751064</v>
      </c>
      <c r="AD45" s="56">
        <f>INDEX(Assumptions!$B$14:$B$16,MATCH($R45,Assumptions!$A$14:$A$16,0))</f>
        <v>0.18</v>
      </c>
      <c r="AE45" s="56">
        <f>INDEX(Assumptions!$C$14:$C$16,MATCH($R45,Assumptions!$A$14:$A$16,0))</f>
        <v>0.12</v>
      </c>
      <c r="AF45" s="49">
        <f t="shared" si="11"/>
        <v>0</v>
      </c>
      <c r="AG45" s="49">
        <f t="shared" si="12"/>
        <v>0</v>
      </c>
      <c r="AH45" s="55">
        <f t="shared" si="13"/>
        <v>246.52666797104325</v>
      </c>
    </row>
    <row r="46" spans="1:34" x14ac:dyDescent="0.2">
      <c r="A46" s="48" t="s">
        <v>327</v>
      </c>
      <c r="B46" s="48">
        <v>3</v>
      </c>
      <c r="C46" s="48" t="s">
        <v>328</v>
      </c>
      <c r="D46" s="48" t="s">
        <v>272</v>
      </c>
      <c r="E46" s="48" t="s">
        <v>309</v>
      </c>
      <c r="F46" s="48" t="s">
        <v>280</v>
      </c>
      <c r="G46" s="48" t="s">
        <v>298</v>
      </c>
      <c r="H46" s="48" t="s">
        <v>70</v>
      </c>
      <c r="I46" s="48" t="s">
        <v>157</v>
      </c>
      <c r="J46" s="49">
        <v>18</v>
      </c>
      <c r="K46" s="50">
        <v>13655</v>
      </c>
      <c r="L46" s="50">
        <v>13343.34</v>
      </c>
      <c r="M46" s="48" t="s">
        <v>276</v>
      </c>
      <c r="N46" s="51">
        <v>83.5</v>
      </c>
      <c r="O46" s="51">
        <v>83.820400000000006</v>
      </c>
      <c r="P46" s="52">
        <v>103.8</v>
      </c>
      <c r="Q46" s="52">
        <v>108.8</v>
      </c>
      <c r="R46" s="53" t="str">
        <f>INDEX(SKU_Master!$D$5:$D$34,MATCH($I46,SKU_Master!$A$5:$A$34,0))</f>
        <v>Accessory</v>
      </c>
      <c r="S46" s="54">
        <f t="shared" si="0"/>
        <v>2.2823874038813585E-2</v>
      </c>
      <c r="T46" s="55">
        <f t="shared" si="1"/>
        <v>2943.5928143712576</v>
      </c>
      <c r="U46" s="55">
        <f t="shared" si="2"/>
        <v>2876.4086227544908</v>
      </c>
      <c r="V46" s="55">
        <f t="shared" si="3"/>
        <v>-67.184191616766839</v>
      </c>
      <c r="W46" s="55">
        <f t="shared" si="4"/>
        <v>2865.4136701805287</v>
      </c>
      <c r="X46" s="55">
        <f t="shared" si="5"/>
        <v>-10.994952573962109</v>
      </c>
      <c r="Y46" s="55">
        <f t="shared" si="6"/>
        <v>1868.3999999999999</v>
      </c>
      <c r="Z46" s="55">
        <f t="shared" si="7"/>
        <v>1958.3999999999999</v>
      </c>
      <c r="AA46" s="55">
        <f t="shared" si="8"/>
        <v>-90</v>
      </c>
      <c r="AB46" s="55">
        <f t="shared" si="9"/>
        <v>907.01367018052883</v>
      </c>
      <c r="AC46" s="54">
        <f t="shared" si="10"/>
        <v>0.31653847387535655</v>
      </c>
      <c r="AD46" s="56">
        <f>INDEX(Assumptions!$B$14:$B$16,MATCH($R46,Assumptions!$A$14:$A$16,0))</f>
        <v>0.32</v>
      </c>
      <c r="AE46" s="56">
        <f>INDEX(Assumptions!$C$14:$C$16,MATCH($R46,Assumptions!$A$14:$A$16,0))</f>
        <v>0.22</v>
      </c>
      <c r="AF46" s="49">
        <f t="shared" si="11"/>
        <v>0</v>
      </c>
      <c r="AG46" s="49">
        <f t="shared" si="12"/>
        <v>0</v>
      </c>
      <c r="AH46" s="55">
        <f t="shared" si="13"/>
        <v>9.9187042772404084</v>
      </c>
    </row>
    <row r="47" spans="1:34" x14ac:dyDescent="0.2">
      <c r="A47" s="48" t="s">
        <v>329</v>
      </c>
      <c r="B47" s="48">
        <v>1</v>
      </c>
      <c r="C47" s="48" t="s">
        <v>330</v>
      </c>
      <c r="D47" s="48" t="s">
        <v>272</v>
      </c>
      <c r="E47" s="48" t="s">
        <v>296</v>
      </c>
      <c r="F47" s="48" t="s">
        <v>297</v>
      </c>
      <c r="G47" s="48" t="s">
        <v>298</v>
      </c>
      <c r="H47" s="48" t="s">
        <v>66</v>
      </c>
      <c r="I47" s="48" t="s">
        <v>123</v>
      </c>
      <c r="J47" s="49">
        <v>30</v>
      </c>
      <c r="K47" s="50">
        <v>1395</v>
      </c>
      <c r="L47" s="50">
        <v>1335.14</v>
      </c>
      <c r="M47" s="48" t="s">
        <v>276</v>
      </c>
      <c r="N47" s="51">
        <v>0.92</v>
      </c>
      <c r="O47" s="51">
        <v>0.91659999999999997</v>
      </c>
      <c r="P47" s="52">
        <v>1269.25</v>
      </c>
      <c r="Q47" s="52">
        <v>1269.25</v>
      </c>
      <c r="R47" s="53" t="str">
        <f>INDEX(SKU_Master!$D$5:$D$34,MATCH($I47,SKU_Master!$A$5:$A$34,0))</f>
        <v>Laptop</v>
      </c>
      <c r="S47" s="54">
        <f t="shared" si="0"/>
        <v>4.291039426523291E-2</v>
      </c>
      <c r="T47" s="55">
        <f t="shared" si="1"/>
        <v>45489.130434782608</v>
      </c>
      <c r="U47" s="55">
        <f t="shared" si="2"/>
        <v>43537.17391304348</v>
      </c>
      <c r="V47" s="55">
        <f t="shared" si="3"/>
        <v>-1951.9565217391282</v>
      </c>
      <c r="W47" s="55">
        <f t="shared" si="4"/>
        <v>43698.668994108666</v>
      </c>
      <c r="X47" s="55">
        <f t="shared" si="5"/>
        <v>161.49508106518624</v>
      </c>
      <c r="Y47" s="55">
        <f t="shared" si="6"/>
        <v>38077.5</v>
      </c>
      <c r="Z47" s="55">
        <f t="shared" si="7"/>
        <v>38077.5</v>
      </c>
      <c r="AA47" s="55">
        <f t="shared" si="8"/>
        <v>0</v>
      </c>
      <c r="AB47" s="55">
        <f t="shared" si="9"/>
        <v>5621.1689941086661</v>
      </c>
      <c r="AC47" s="54">
        <f t="shared" si="10"/>
        <v>0.12863478736312303</v>
      </c>
      <c r="AD47" s="56">
        <f>INDEX(Assumptions!$B$14:$B$16,MATCH($R47,Assumptions!$A$14:$A$16,0))</f>
        <v>0.12</v>
      </c>
      <c r="AE47" s="56">
        <f>INDEX(Assumptions!$C$14:$C$16,MATCH($R47,Assumptions!$A$14:$A$16,0))</f>
        <v>0.08</v>
      </c>
      <c r="AF47" s="49">
        <f t="shared" si="11"/>
        <v>0</v>
      </c>
      <c r="AG47" s="49">
        <f t="shared" si="12"/>
        <v>0</v>
      </c>
      <c r="AH47" s="55">
        <f t="shared" si="13"/>
        <v>0</v>
      </c>
    </row>
    <row r="48" spans="1:34" x14ac:dyDescent="0.2">
      <c r="A48" s="48" t="s">
        <v>329</v>
      </c>
      <c r="B48" s="48">
        <v>2</v>
      </c>
      <c r="C48" s="48" t="s">
        <v>330</v>
      </c>
      <c r="D48" s="48" t="s">
        <v>272</v>
      </c>
      <c r="E48" s="48" t="s">
        <v>296</v>
      </c>
      <c r="F48" s="48" t="s">
        <v>297</v>
      </c>
      <c r="G48" s="48" t="s">
        <v>298</v>
      </c>
      <c r="H48" s="48" t="s">
        <v>66</v>
      </c>
      <c r="I48" s="48" t="s">
        <v>138</v>
      </c>
      <c r="J48" s="49">
        <v>19</v>
      </c>
      <c r="K48" s="50">
        <v>460</v>
      </c>
      <c r="L48" s="50">
        <v>444.64</v>
      </c>
      <c r="M48" s="48" t="s">
        <v>276</v>
      </c>
      <c r="N48" s="51">
        <v>0.92</v>
      </c>
      <c r="O48" s="51">
        <v>0.91659999999999997</v>
      </c>
      <c r="P48" s="52">
        <v>383.2</v>
      </c>
      <c r="Q48" s="52">
        <v>383.2</v>
      </c>
      <c r="R48" s="53" t="str">
        <f>INDEX(SKU_Master!$D$5:$D$34,MATCH($I48,SKU_Master!$A$5:$A$34,0))</f>
        <v>Monitor</v>
      </c>
      <c r="S48" s="54">
        <f t="shared" si="0"/>
        <v>3.3391304347826112E-2</v>
      </c>
      <c r="T48" s="55">
        <f t="shared" si="1"/>
        <v>9500</v>
      </c>
      <c r="U48" s="55">
        <f t="shared" si="2"/>
        <v>9182.782608695652</v>
      </c>
      <c r="V48" s="55">
        <f t="shared" si="3"/>
        <v>-317.21739130434798</v>
      </c>
      <c r="W48" s="55">
        <f t="shared" si="4"/>
        <v>9216.8448614444696</v>
      </c>
      <c r="X48" s="55">
        <f t="shared" si="5"/>
        <v>34.062252748817627</v>
      </c>
      <c r="Y48" s="55">
        <f t="shared" si="6"/>
        <v>7280.8</v>
      </c>
      <c r="Z48" s="55">
        <f t="shared" si="7"/>
        <v>7280.8</v>
      </c>
      <c r="AA48" s="55">
        <f t="shared" si="8"/>
        <v>0</v>
      </c>
      <c r="AB48" s="55">
        <f t="shared" si="9"/>
        <v>1936.0448614444695</v>
      </c>
      <c r="AC48" s="54">
        <f t="shared" si="10"/>
        <v>0.21005505577545885</v>
      </c>
      <c r="AD48" s="56">
        <f>INDEX(Assumptions!$B$14:$B$16,MATCH($R48,Assumptions!$A$14:$A$16,0))</f>
        <v>0.18</v>
      </c>
      <c r="AE48" s="56">
        <f>INDEX(Assumptions!$C$14:$C$16,MATCH($R48,Assumptions!$A$14:$A$16,0))</f>
        <v>0.12</v>
      </c>
      <c r="AF48" s="49">
        <f t="shared" si="11"/>
        <v>0</v>
      </c>
      <c r="AG48" s="49">
        <f t="shared" si="12"/>
        <v>0</v>
      </c>
      <c r="AH48" s="55">
        <f t="shared" si="13"/>
        <v>0</v>
      </c>
    </row>
    <row r="49" spans="1:34" x14ac:dyDescent="0.2">
      <c r="A49" s="48" t="s">
        <v>329</v>
      </c>
      <c r="B49" s="48">
        <v>3</v>
      </c>
      <c r="C49" s="48" t="s">
        <v>330</v>
      </c>
      <c r="D49" s="48" t="s">
        <v>272</v>
      </c>
      <c r="E49" s="48" t="s">
        <v>296</v>
      </c>
      <c r="F49" s="48" t="s">
        <v>297</v>
      </c>
      <c r="G49" s="48" t="s">
        <v>298</v>
      </c>
      <c r="H49" s="48" t="s">
        <v>66</v>
      </c>
      <c r="I49" s="48" t="s">
        <v>173</v>
      </c>
      <c r="J49" s="49">
        <v>27</v>
      </c>
      <c r="K49" s="50">
        <v>60</v>
      </c>
      <c r="L49" s="50">
        <v>57.59</v>
      </c>
      <c r="M49" s="48" t="s">
        <v>276</v>
      </c>
      <c r="N49" s="51">
        <v>0.92</v>
      </c>
      <c r="O49" s="51">
        <v>0.91659999999999997</v>
      </c>
      <c r="P49" s="52">
        <v>39</v>
      </c>
      <c r="Q49" s="52">
        <v>39</v>
      </c>
      <c r="R49" s="53" t="str">
        <f>INDEX(SKU_Master!$D$5:$D$34,MATCH($I49,SKU_Master!$A$5:$A$34,0))</f>
        <v>Accessory</v>
      </c>
      <c r="S49" s="54">
        <f t="shared" si="0"/>
        <v>4.0166666666666573E-2</v>
      </c>
      <c r="T49" s="55">
        <f t="shared" si="1"/>
        <v>1760.8695652173913</v>
      </c>
      <c r="U49" s="55">
        <f t="shared" si="2"/>
        <v>1690.141304347826</v>
      </c>
      <c r="V49" s="55">
        <f t="shared" si="3"/>
        <v>-70.728260869565247</v>
      </c>
      <c r="W49" s="55">
        <f t="shared" si="4"/>
        <v>1696.4106480471307</v>
      </c>
      <c r="X49" s="55">
        <f t="shared" si="5"/>
        <v>6.2693436993047271</v>
      </c>
      <c r="Y49" s="55">
        <f t="shared" si="6"/>
        <v>1053</v>
      </c>
      <c r="Z49" s="55">
        <f t="shared" si="7"/>
        <v>1053</v>
      </c>
      <c r="AA49" s="55">
        <f t="shared" si="8"/>
        <v>0</v>
      </c>
      <c r="AB49" s="55">
        <f t="shared" si="9"/>
        <v>643.41064804713073</v>
      </c>
      <c r="AC49" s="54">
        <f t="shared" si="10"/>
        <v>0.37927765237020317</v>
      </c>
      <c r="AD49" s="56">
        <f>INDEX(Assumptions!$B$14:$B$16,MATCH($R49,Assumptions!$A$14:$A$16,0))</f>
        <v>0.32</v>
      </c>
      <c r="AE49" s="56">
        <f>INDEX(Assumptions!$C$14:$C$16,MATCH($R49,Assumptions!$A$14:$A$16,0))</f>
        <v>0.22</v>
      </c>
      <c r="AF49" s="49">
        <f t="shared" si="11"/>
        <v>0</v>
      </c>
      <c r="AG49" s="49">
        <f t="shared" si="12"/>
        <v>0</v>
      </c>
      <c r="AH49" s="55">
        <f t="shared" si="13"/>
        <v>0</v>
      </c>
    </row>
    <row r="50" spans="1:34" x14ac:dyDescent="0.2">
      <c r="A50" s="48" t="s">
        <v>331</v>
      </c>
      <c r="B50" s="48">
        <v>1</v>
      </c>
      <c r="C50" s="48" t="s">
        <v>332</v>
      </c>
      <c r="D50" s="48" t="s">
        <v>272</v>
      </c>
      <c r="E50" s="48" t="s">
        <v>333</v>
      </c>
      <c r="F50" s="48" t="s">
        <v>297</v>
      </c>
      <c r="G50" s="48" t="s">
        <v>302</v>
      </c>
      <c r="H50" s="48" t="s">
        <v>70</v>
      </c>
      <c r="I50" s="48" t="s">
        <v>113</v>
      </c>
      <c r="J50" s="49">
        <v>49</v>
      </c>
      <c r="K50" s="50">
        <v>167790</v>
      </c>
      <c r="L50" s="50">
        <v>163585.16</v>
      </c>
      <c r="M50" s="48" t="s">
        <v>276</v>
      </c>
      <c r="N50" s="51">
        <v>83.5</v>
      </c>
      <c r="O50" s="51">
        <v>83.820400000000006</v>
      </c>
      <c r="P50" s="52">
        <v>1683.15</v>
      </c>
      <c r="Q50" s="52">
        <v>1703.15</v>
      </c>
      <c r="R50" s="53" t="str">
        <f>INDEX(SKU_Master!$D$5:$D$34,MATCH($I50,SKU_Master!$A$5:$A$34,0))</f>
        <v>Laptop</v>
      </c>
      <c r="S50" s="54">
        <f t="shared" si="0"/>
        <v>2.5060134692174718E-2</v>
      </c>
      <c r="T50" s="55">
        <f t="shared" si="1"/>
        <v>98463.592814371252</v>
      </c>
      <c r="U50" s="55">
        <f t="shared" si="2"/>
        <v>95996.081916167663</v>
      </c>
      <c r="V50" s="55">
        <f t="shared" si="3"/>
        <v>-2467.510898203589</v>
      </c>
      <c r="W50" s="55">
        <f t="shared" si="4"/>
        <v>95629.140877399768</v>
      </c>
      <c r="X50" s="55">
        <f t="shared" si="5"/>
        <v>-366.9410387678945</v>
      </c>
      <c r="Y50" s="55">
        <f t="shared" si="6"/>
        <v>82474.350000000006</v>
      </c>
      <c r="Z50" s="55">
        <f t="shared" si="7"/>
        <v>83454.350000000006</v>
      </c>
      <c r="AA50" s="55">
        <f t="shared" si="8"/>
        <v>-980</v>
      </c>
      <c r="AB50" s="55">
        <f t="shared" si="9"/>
        <v>12174.790877399762</v>
      </c>
      <c r="AC50" s="54">
        <f t="shared" si="10"/>
        <v>0.1273125614817382</v>
      </c>
      <c r="AD50" s="56">
        <f>INDEX(Assumptions!$B$14:$B$16,MATCH($R50,Assumptions!$A$14:$A$16,0))</f>
        <v>0.12</v>
      </c>
      <c r="AE50" s="56">
        <f>INDEX(Assumptions!$C$14:$C$16,MATCH($R50,Assumptions!$A$14:$A$16,0))</f>
        <v>0.08</v>
      </c>
      <c r="AF50" s="49">
        <f t="shared" si="11"/>
        <v>0</v>
      </c>
      <c r="AG50" s="49">
        <f t="shared" si="12"/>
        <v>0</v>
      </c>
      <c r="AH50" s="55">
        <f t="shared" si="13"/>
        <v>0</v>
      </c>
    </row>
    <row r="51" spans="1:34" x14ac:dyDescent="0.2">
      <c r="A51" s="48" t="s">
        <v>331</v>
      </c>
      <c r="B51" s="48">
        <v>2</v>
      </c>
      <c r="C51" s="48" t="s">
        <v>332</v>
      </c>
      <c r="D51" s="48" t="s">
        <v>272</v>
      </c>
      <c r="E51" s="48" t="s">
        <v>333</v>
      </c>
      <c r="F51" s="48" t="s">
        <v>297</v>
      </c>
      <c r="G51" s="48" t="s">
        <v>302</v>
      </c>
      <c r="H51" s="48" t="s">
        <v>70</v>
      </c>
      <c r="I51" s="48" t="s">
        <v>173</v>
      </c>
      <c r="J51" s="49">
        <v>24</v>
      </c>
      <c r="K51" s="50">
        <v>6065</v>
      </c>
      <c r="L51" s="50">
        <v>5597.2</v>
      </c>
      <c r="M51" s="48" t="s">
        <v>276</v>
      </c>
      <c r="N51" s="51">
        <v>83.5</v>
      </c>
      <c r="O51" s="51">
        <v>83.820400000000006</v>
      </c>
      <c r="P51" s="52">
        <v>46.08</v>
      </c>
      <c r="Q51" s="52">
        <v>51.08</v>
      </c>
      <c r="R51" s="53" t="str">
        <f>INDEX(SKU_Master!$D$5:$D$34,MATCH($I51,SKU_Master!$A$5:$A$34,0))</f>
        <v>Accessory</v>
      </c>
      <c r="S51" s="54">
        <f t="shared" si="0"/>
        <v>7.7131079967023952E-2</v>
      </c>
      <c r="T51" s="55">
        <f t="shared" si="1"/>
        <v>1743.2335329341317</v>
      </c>
      <c r="U51" s="55">
        <f t="shared" si="2"/>
        <v>1608.7760479041915</v>
      </c>
      <c r="V51" s="55">
        <f t="shared" si="3"/>
        <v>-134.45748502994024</v>
      </c>
      <c r="W51" s="55">
        <f t="shared" si="4"/>
        <v>1602.6265682339858</v>
      </c>
      <c r="X51" s="55">
        <f t="shared" si="5"/>
        <v>-6.1494796702056647</v>
      </c>
      <c r="Y51" s="55">
        <f t="shared" si="6"/>
        <v>1105.92</v>
      </c>
      <c r="Z51" s="55">
        <f t="shared" si="7"/>
        <v>1225.92</v>
      </c>
      <c r="AA51" s="55">
        <f t="shared" si="8"/>
        <v>-120</v>
      </c>
      <c r="AB51" s="55">
        <f t="shared" si="9"/>
        <v>376.70656823398576</v>
      </c>
      <c r="AC51" s="54">
        <f t="shared" si="10"/>
        <v>0.23505573643964828</v>
      </c>
      <c r="AD51" s="56">
        <f>INDEX(Assumptions!$B$14:$B$16,MATCH($R51,Assumptions!$A$14:$A$16,0))</f>
        <v>0.32</v>
      </c>
      <c r="AE51" s="56">
        <f>INDEX(Assumptions!$C$14:$C$16,MATCH($R51,Assumptions!$A$14:$A$16,0))</f>
        <v>0.22</v>
      </c>
      <c r="AF51" s="49">
        <f t="shared" si="11"/>
        <v>0</v>
      </c>
      <c r="AG51" s="49">
        <f t="shared" si="12"/>
        <v>0</v>
      </c>
      <c r="AH51" s="55">
        <f t="shared" si="13"/>
        <v>136.13393360088969</v>
      </c>
    </row>
    <row r="52" spans="1:34" x14ac:dyDescent="0.2">
      <c r="A52" s="48" t="s">
        <v>334</v>
      </c>
      <c r="B52" s="48">
        <v>1</v>
      </c>
      <c r="C52" s="48" t="s">
        <v>308</v>
      </c>
      <c r="D52" s="48" t="s">
        <v>272</v>
      </c>
      <c r="E52" s="48" t="s">
        <v>314</v>
      </c>
      <c r="F52" s="48" t="s">
        <v>274</v>
      </c>
      <c r="G52" s="48" t="s">
        <v>298</v>
      </c>
      <c r="H52" s="48" t="s">
        <v>68</v>
      </c>
      <c r="I52" s="48" t="s">
        <v>115</v>
      </c>
      <c r="J52" s="49">
        <v>9</v>
      </c>
      <c r="K52" s="50">
        <v>1205</v>
      </c>
      <c r="L52" s="50">
        <v>1190.69</v>
      </c>
      <c r="M52" s="48" t="s">
        <v>276</v>
      </c>
      <c r="N52" s="51">
        <v>1.37</v>
      </c>
      <c r="O52" s="51">
        <v>1.3624000000000001</v>
      </c>
      <c r="P52" s="52">
        <v>735.6</v>
      </c>
      <c r="Q52" s="52">
        <v>735.6</v>
      </c>
      <c r="R52" s="53" t="str">
        <f>INDEX(SKU_Master!$D$5:$D$34,MATCH($I52,SKU_Master!$A$5:$A$34,0))</f>
        <v>Laptop</v>
      </c>
      <c r="S52" s="54">
        <f t="shared" si="0"/>
        <v>1.1875518672199159E-2</v>
      </c>
      <c r="T52" s="55">
        <f t="shared" si="1"/>
        <v>7916.0583941605837</v>
      </c>
      <c r="U52" s="55">
        <f t="shared" si="2"/>
        <v>7822.0510948905112</v>
      </c>
      <c r="V52" s="55">
        <f t="shared" si="3"/>
        <v>-94.007299270072508</v>
      </c>
      <c r="W52" s="55">
        <f t="shared" si="4"/>
        <v>7865.6855549031125</v>
      </c>
      <c r="X52" s="55">
        <f t="shared" si="5"/>
        <v>43.634460012601266</v>
      </c>
      <c r="Y52" s="55">
        <f t="shared" si="6"/>
        <v>6620.4000000000005</v>
      </c>
      <c r="Z52" s="55">
        <f t="shared" si="7"/>
        <v>6620.4000000000005</v>
      </c>
      <c r="AA52" s="55">
        <f t="shared" si="8"/>
        <v>0</v>
      </c>
      <c r="AB52" s="55">
        <f t="shared" si="9"/>
        <v>1245.2855549031119</v>
      </c>
      <c r="AC52" s="54">
        <f t="shared" si="10"/>
        <v>0.15831875635135925</v>
      </c>
      <c r="AD52" s="56">
        <f>INDEX(Assumptions!$B$14:$B$16,MATCH($R52,Assumptions!$A$14:$A$16,0))</f>
        <v>0.12</v>
      </c>
      <c r="AE52" s="56">
        <f>INDEX(Assumptions!$C$14:$C$16,MATCH($R52,Assumptions!$A$14:$A$16,0))</f>
        <v>0.08</v>
      </c>
      <c r="AF52" s="49">
        <f t="shared" si="11"/>
        <v>0</v>
      </c>
      <c r="AG52" s="49">
        <f t="shared" si="12"/>
        <v>0</v>
      </c>
      <c r="AH52" s="55">
        <f t="shared" si="13"/>
        <v>0</v>
      </c>
    </row>
    <row r="53" spans="1:34" x14ac:dyDescent="0.2">
      <c r="A53" s="48" t="s">
        <v>334</v>
      </c>
      <c r="B53" s="48">
        <v>2</v>
      </c>
      <c r="C53" s="48" t="s">
        <v>308</v>
      </c>
      <c r="D53" s="48" t="s">
        <v>272</v>
      </c>
      <c r="E53" s="48" t="s">
        <v>314</v>
      </c>
      <c r="F53" s="48" t="s">
        <v>274</v>
      </c>
      <c r="G53" s="48" t="s">
        <v>298</v>
      </c>
      <c r="H53" s="48" t="s">
        <v>68</v>
      </c>
      <c r="I53" s="48" t="s">
        <v>166</v>
      </c>
      <c r="J53" s="49">
        <v>9</v>
      </c>
      <c r="K53" s="50">
        <v>375</v>
      </c>
      <c r="L53" s="50">
        <v>367.9</v>
      </c>
      <c r="M53" s="48" t="s">
        <v>276</v>
      </c>
      <c r="N53" s="51">
        <v>1.37</v>
      </c>
      <c r="O53" s="51">
        <v>1.3624000000000001</v>
      </c>
      <c r="P53" s="52">
        <v>172.35</v>
      </c>
      <c r="Q53" s="52">
        <v>172.35</v>
      </c>
      <c r="R53" s="53" t="str">
        <f>INDEX(SKU_Master!$D$5:$D$34,MATCH($I53,SKU_Master!$A$5:$A$34,0))</f>
        <v>Accessory</v>
      </c>
      <c r="S53" s="54">
        <f t="shared" si="0"/>
        <v>1.8933333333333358E-2</v>
      </c>
      <c r="T53" s="55">
        <f t="shared" si="1"/>
        <v>2463.5036496350363</v>
      </c>
      <c r="U53" s="55">
        <f t="shared" si="2"/>
        <v>2416.8613138686128</v>
      </c>
      <c r="V53" s="55">
        <f t="shared" si="3"/>
        <v>-46.642335766423457</v>
      </c>
      <c r="W53" s="55">
        <f t="shared" si="4"/>
        <v>2430.3435114503814</v>
      </c>
      <c r="X53" s="55">
        <f t="shared" si="5"/>
        <v>13.48219758176856</v>
      </c>
      <c r="Y53" s="55">
        <f t="shared" si="6"/>
        <v>1551.1499999999999</v>
      </c>
      <c r="Z53" s="55">
        <f t="shared" si="7"/>
        <v>1551.1499999999999</v>
      </c>
      <c r="AA53" s="55">
        <f t="shared" si="8"/>
        <v>0</v>
      </c>
      <c r="AB53" s="55">
        <f t="shared" si="9"/>
        <v>879.19351145038149</v>
      </c>
      <c r="AC53" s="54">
        <f t="shared" si="10"/>
        <v>0.36175689045936393</v>
      </c>
      <c r="AD53" s="56">
        <f>INDEX(Assumptions!$B$14:$B$16,MATCH($R53,Assumptions!$A$14:$A$16,0))</f>
        <v>0.32</v>
      </c>
      <c r="AE53" s="56">
        <f>INDEX(Assumptions!$C$14:$C$16,MATCH($R53,Assumptions!$A$14:$A$16,0))</f>
        <v>0.22</v>
      </c>
      <c r="AF53" s="49">
        <f t="shared" si="11"/>
        <v>0</v>
      </c>
      <c r="AG53" s="49">
        <f t="shared" si="12"/>
        <v>0</v>
      </c>
      <c r="AH53" s="55">
        <f t="shared" si="13"/>
        <v>0</v>
      </c>
    </row>
    <row r="54" spans="1:34" x14ac:dyDescent="0.2">
      <c r="A54" s="48" t="s">
        <v>335</v>
      </c>
      <c r="B54" s="48">
        <v>1</v>
      </c>
      <c r="C54" s="48" t="s">
        <v>308</v>
      </c>
      <c r="D54" s="48" t="s">
        <v>272</v>
      </c>
      <c r="E54" s="48" t="s">
        <v>336</v>
      </c>
      <c r="F54" s="48" t="s">
        <v>274</v>
      </c>
      <c r="G54" s="48" t="s">
        <v>288</v>
      </c>
      <c r="H54" s="48" t="s">
        <v>62</v>
      </c>
      <c r="I54" s="48" t="s">
        <v>110</v>
      </c>
      <c r="J54" s="49">
        <v>4</v>
      </c>
      <c r="K54" s="50">
        <v>1165</v>
      </c>
      <c r="L54" s="50">
        <v>1161.01</v>
      </c>
      <c r="M54" s="48" t="s">
        <v>276</v>
      </c>
      <c r="N54" s="51">
        <v>1</v>
      </c>
      <c r="O54" s="51">
        <v>1</v>
      </c>
      <c r="P54" s="52">
        <v>992.65</v>
      </c>
      <c r="Q54" s="52">
        <v>992.65</v>
      </c>
      <c r="R54" s="53" t="str">
        <f>INDEX(SKU_Master!$D$5:$D$34,MATCH($I54,SKU_Master!$A$5:$A$34,0))</f>
        <v>Laptop</v>
      </c>
      <c r="S54" s="54">
        <f t="shared" si="0"/>
        <v>3.4248927038627031E-3</v>
      </c>
      <c r="T54" s="55">
        <f t="shared" si="1"/>
        <v>4660</v>
      </c>
      <c r="U54" s="55">
        <f t="shared" si="2"/>
        <v>4644.04</v>
      </c>
      <c r="V54" s="55">
        <f t="shared" si="3"/>
        <v>-15.960000000000036</v>
      </c>
      <c r="W54" s="55">
        <f t="shared" si="4"/>
        <v>4644.04</v>
      </c>
      <c r="X54" s="55">
        <f t="shared" si="5"/>
        <v>0</v>
      </c>
      <c r="Y54" s="55">
        <f t="shared" si="6"/>
        <v>3970.6</v>
      </c>
      <c r="Z54" s="55">
        <f t="shared" si="7"/>
        <v>3970.6</v>
      </c>
      <c r="AA54" s="55">
        <f t="shared" si="8"/>
        <v>0</v>
      </c>
      <c r="AB54" s="55">
        <f t="shared" si="9"/>
        <v>673.44</v>
      </c>
      <c r="AC54" s="54">
        <f t="shared" si="10"/>
        <v>0.14501167087277458</v>
      </c>
      <c r="AD54" s="56">
        <f>INDEX(Assumptions!$B$14:$B$16,MATCH($R54,Assumptions!$A$14:$A$16,0))</f>
        <v>0.12</v>
      </c>
      <c r="AE54" s="56">
        <f>INDEX(Assumptions!$C$14:$C$16,MATCH($R54,Assumptions!$A$14:$A$16,0))</f>
        <v>0.08</v>
      </c>
      <c r="AF54" s="49">
        <f t="shared" si="11"/>
        <v>0</v>
      </c>
      <c r="AG54" s="49">
        <f t="shared" si="12"/>
        <v>0</v>
      </c>
      <c r="AH54" s="55">
        <f t="shared" si="13"/>
        <v>0</v>
      </c>
    </row>
    <row r="55" spans="1:34" x14ac:dyDescent="0.2">
      <c r="A55" s="48" t="s">
        <v>335</v>
      </c>
      <c r="B55" s="48">
        <v>2</v>
      </c>
      <c r="C55" s="48" t="s">
        <v>308</v>
      </c>
      <c r="D55" s="48" t="s">
        <v>272</v>
      </c>
      <c r="E55" s="48" t="s">
        <v>336</v>
      </c>
      <c r="F55" s="48" t="s">
        <v>274</v>
      </c>
      <c r="G55" s="48" t="s">
        <v>288</v>
      </c>
      <c r="H55" s="48" t="s">
        <v>62</v>
      </c>
      <c r="I55" s="48" t="s">
        <v>161</v>
      </c>
      <c r="J55" s="49">
        <v>3</v>
      </c>
      <c r="K55" s="50">
        <v>120</v>
      </c>
      <c r="L55" s="50">
        <v>118.88</v>
      </c>
      <c r="M55" s="48" t="s">
        <v>276</v>
      </c>
      <c r="N55" s="51">
        <v>1</v>
      </c>
      <c r="O55" s="51">
        <v>1</v>
      </c>
      <c r="P55" s="52">
        <v>76</v>
      </c>
      <c r="Q55" s="52">
        <v>76</v>
      </c>
      <c r="R55" s="53" t="str">
        <f>INDEX(SKU_Master!$D$5:$D$34,MATCH($I55,SKU_Master!$A$5:$A$34,0))</f>
        <v>Accessory</v>
      </c>
      <c r="S55" s="54">
        <f t="shared" si="0"/>
        <v>9.3333333333334156E-3</v>
      </c>
      <c r="T55" s="55">
        <f t="shared" si="1"/>
        <v>360</v>
      </c>
      <c r="U55" s="55">
        <f t="shared" si="2"/>
        <v>356.64</v>
      </c>
      <c r="V55" s="55">
        <f t="shared" si="3"/>
        <v>-3.3600000000000136</v>
      </c>
      <c r="W55" s="55">
        <f t="shared" si="4"/>
        <v>356.64</v>
      </c>
      <c r="X55" s="55">
        <f t="shared" si="5"/>
        <v>0</v>
      </c>
      <c r="Y55" s="55">
        <f t="shared" si="6"/>
        <v>228</v>
      </c>
      <c r="Z55" s="55">
        <f t="shared" si="7"/>
        <v>228</v>
      </c>
      <c r="AA55" s="55">
        <f t="shared" si="8"/>
        <v>0</v>
      </c>
      <c r="AB55" s="55">
        <f t="shared" si="9"/>
        <v>128.63999999999999</v>
      </c>
      <c r="AC55" s="54">
        <f t="shared" si="10"/>
        <v>0.36069986541049798</v>
      </c>
      <c r="AD55" s="56">
        <f>INDEX(Assumptions!$B$14:$B$16,MATCH($R55,Assumptions!$A$14:$A$16,0))</f>
        <v>0.32</v>
      </c>
      <c r="AE55" s="56">
        <f>INDEX(Assumptions!$C$14:$C$16,MATCH($R55,Assumptions!$A$14:$A$16,0))</f>
        <v>0.22</v>
      </c>
      <c r="AF55" s="49">
        <f t="shared" si="11"/>
        <v>0</v>
      </c>
      <c r="AG55" s="49">
        <f t="shared" si="12"/>
        <v>0</v>
      </c>
      <c r="AH55" s="55">
        <f t="shared" si="13"/>
        <v>0</v>
      </c>
    </row>
    <row r="56" spans="1:34" x14ac:dyDescent="0.2">
      <c r="A56" s="48" t="s">
        <v>337</v>
      </c>
      <c r="B56" s="48">
        <v>1</v>
      </c>
      <c r="C56" s="48" t="s">
        <v>338</v>
      </c>
      <c r="D56" s="48" t="s">
        <v>272</v>
      </c>
      <c r="E56" s="48" t="s">
        <v>339</v>
      </c>
      <c r="F56" s="48" t="s">
        <v>280</v>
      </c>
      <c r="G56" s="48" t="s">
        <v>302</v>
      </c>
      <c r="H56" s="48" t="s">
        <v>62</v>
      </c>
      <c r="I56" s="48" t="s">
        <v>110</v>
      </c>
      <c r="J56" s="49">
        <v>17</v>
      </c>
      <c r="K56" s="50">
        <v>1165</v>
      </c>
      <c r="L56" s="50">
        <v>1087.99</v>
      </c>
      <c r="M56" s="48" t="s">
        <v>276</v>
      </c>
      <c r="N56" s="51">
        <v>1</v>
      </c>
      <c r="O56" s="51">
        <v>1</v>
      </c>
      <c r="P56" s="52">
        <v>992.65</v>
      </c>
      <c r="Q56" s="52">
        <v>992.65</v>
      </c>
      <c r="R56" s="53" t="str">
        <f>INDEX(SKU_Master!$D$5:$D$34,MATCH($I56,SKU_Master!$A$5:$A$34,0))</f>
        <v>Laptop</v>
      </c>
      <c r="S56" s="54">
        <f t="shared" si="0"/>
        <v>6.6103004291845457E-2</v>
      </c>
      <c r="T56" s="55">
        <f t="shared" si="1"/>
        <v>19805</v>
      </c>
      <c r="U56" s="55">
        <f t="shared" si="2"/>
        <v>18495.830000000002</v>
      </c>
      <c r="V56" s="55">
        <f t="shared" si="3"/>
        <v>-1309.1699999999983</v>
      </c>
      <c r="W56" s="55">
        <f t="shared" si="4"/>
        <v>18495.830000000002</v>
      </c>
      <c r="X56" s="55">
        <f t="shared" si="5"/>
        <v>0</v>
      </c>
      <c r="Y56" s="55">
        <f t="shared" si="6"/>
        <v>16875.05</v>
      </c>
      <c r="Z56" s="55">
        <f t="shared" si="7"/>
        <v>16875.05</v>
      </c>
      <c r="AA56" s="55">
        <f t="shared" si="8"/>
        <v>0</v>
      </c>
      <c r="AB56" s="55">
        <f t="shared" si="9"/>
        <v>1620.7800000000025</v>
      </c>
      <c r="AC56" s="54">
        <f t="shared" si="10"/>
        <v>8.7629481888620422E-2</v>
      </c>
      <c r="AD56" s="56">
        <f>INDEX(Assumptions!$B$14:$B$16,MATCH($R56,Assumptions!$A$14:$A$16,0))</f>
        <v>0.12</v>
      </c>
      <c r="AE56" s="56">
        <f>INDEX(Assumptions!$C$14:$C$16,MATCH($R56,Assumptions!$A$14:$A$16,0))</f>
        <v>0.08</v>
      </c>
      <c r="AF56" s="49">
        <f t="shared" si="11"/>
        <v>0</v>
      </c>
      <c r="AG56" s="49">
        <f t="shared" si="12"/>
        <v>0</v>
      </c>
      <c r="AH56" s="55">
        <f t="shared" si="13"/>
        <v>598.71959999999763</v>
      </c>
    </row>
    <row r="57" spans="1:34" x14ac:dyDescent="0.2">
      <c r="A57" s="48" t="s">
        <v>340</v>
      </c>
      <c r="B57" s="48">
        <v>1</v>
      </c>
      <c r="C57" s="48" t="s">
        <v>300</v>
      </c>
      <c r="D57" s="48" t="s">
        <v>272</v>
      </c>
      <c r="E57" s="48" t="s">
        <v>279</v>
      </c>
      <c r="F57" s="48" t="s">
        <v>280</v>
      </c>
      <c r="G57" s="48" t="s">
        <v>281</v>
      </c>
      <c r="H57" s="48" t="s">
        <v>64</v>
      </c>
      <c r="I57" s="48" t="s">
        <v>113</v>
      </c>
      <c r="J57" s="49">
        <v>7</v>
      </c>
      <c r="K57" s="50">
        <v>1425</v>
      </c>
      <c r="L57" s="50">
        <v>1377.27</v>
      </c>
      <c r="M57" s="48" t="s">
        <v>276</v>
      </c>
      <c r="N57" s="51">
        <v>0.79</v>
      </c>
      <c r="O57" s="51">
        <v>0.7893</v>
      </c>
      <c r="P57" s="52">
        <v>1508.8</v>
      </c>
      <c r="Q57" s="52">
        <v>1508.8</v>
      </c>
      <c r="R57" s="53" t="str">
        <f>INDEX(SKU_Master!$D$5:$D$34,MATCH($I57,SKU_Master!$A$5:$A$34,0))</f>
        <v>Laptop</v>
      </c>
      <c r="S57" s="54">
        <f t="shared" si="0"/>
        <v>3.3494736842105244E-2</v>
      </c>
      <c r="T57" s="55">
        <f t="shared" si="1"/>
        <v>12626.582278481012</v>
      </c>
      <c r="U57" s="55">
        <f t="shared" si="2"/>
        <v>12203.6582278481</v>
      </c>
      <c r="V57" s="55">
        <f t="shared" si="3"/>
        <v>-422.92405063291153</v>
      </c>
      <c r="W57" s="55">
        <f t="shared" si="4"/>
        <v>12214.481185860888</v>
      </c>
      <c r="X57" s="55">
        <f t="shared" si="5"/>
        <v>10.822958012788149</v>
      </c>
      <c r="Y57" s="55">
        <f t="shared" si="6"/>
        <v>10561.6</v>
      </c>
      <c r="Z57" s="55">
        <f t="shared" si="7"/>
        <v>10561.6</v>
      </c>
      <c r="AA57" s="55">
        <f t="shared" si="8"/>
        <v>0</v>
      </c>
      <c r="AB57" s="55">
        <f t="shared" si="9"/>
        <v>1652.8811858608879</v>
      </c>
      <c r="AC57" s="54">
        <f t="shared" si="10"/>
        <v>0.1353214402404756</v>
      </c>
      <c r="AD57" s="56">
        <f>INDEX(Assumptions!$B$14:$B$16,MATCH($R57,Assumptions!$A$14:$A$16,0))</f>
        <v>0.12</v>
      </c>
      <c r="AE57" s="56">
        <f>INDEX(Assumptions!$C$14:$C$16,MATCH($R57,Assumptions!$A$14:$A$16,0))</f>
        <v>0.08</v>
      </c>
      <c r="AF57" s="49">
        <f t="shared" si="11"/>
        <v>0</v>
      </c>
      <c r="AG57" s="49">
        <f t="shared" si="12"/>
        <v>0</v>
      </c>
      <c r="AH57" s="55">
        <f t="shared" si="13"/>
        <v>0</v>
      </c>
    </row>
    <row r="58" spans="1:34" x14ac:dyDescent="0.2">
      <c r="A58" s="48" t="s">
        <v>340</v>
      </c>
      <c r="B58" s="48">
        <v>2</v>
      </c>
      <c r="C58" s="48" t="s">
        <v>300</v>
      </c>
      <c r="D58" s="48" t="s">
        <v>272</v>
      </c>
      <c r="E58" s="48" t="s">
        <v>279</v>
      </c>
      <c r="F58" s="48" t="s">
        <v>280</v>
      </c>
      <c r="G58" s="48" t="s">
        <v>281</v>
      </c>
      <c r="H58" s="48" t="s">
        <v>64</v>
      </c>
      <c r="I58" s="48" t="s">
        <v>157</v>
      </c>
      <c r="J58" s="49">
        <v>7</v>
      </c>
      <c r="K58" s="50">
        <v>115</v>
      </c>
      <c r="L58" s="50">
        <v>110.78</v>
      </c>
      <c r="M58" s="48" t="s">
        <v>276</v>
      </c>
      <c r="N58" s="51">
        <v>0.79</v>
      </c>
      <c r="O58" s="51">
        <v>0.7893</v>
      </c>
      <c r="P58" s="52">
        <v>92</v>
      </c>
      <c r="Q58" s="52">
        <v>92</v>
      </c>
      <c r="R58" s="53" t="str">
        <f>INDEX(SKU_Master!$D$5:$D$34,MATCH($I58,SKU_Master!$A$5:$A$34,0))</f>
        <v>Accessory</v>
      </c>
      <c r="S58" s="54">
        <f t="shared" si="0"/>
        <v>3.6695652173913018E-2</v>
      </c>
      <c r="T58" s="55">
        <f t="shared" si="1"/>
        <v>1018.9873417721518</v>
      </c>
      <c r="U58" s="55">
        <f t="shared" si="2"/>
        <v>981.59493670886081</v>
      </c>
      <c r="V58" s="55">
        <f t="shared" si="3"/>
        <v>-37.392405063290994</v>
      </c>
      <c r="W58" s="55">
        <f t="shared" si="4"/>
        <v>982.46547573799569</v>
      </c>
      <c r="X58" s="55">
        <f t="shared" si="5"/>
        <v>0.87053902913487491</v>
      </c>
      <c r="Y58" s="55">
        <f t="shared" si="6"/>
        <v>644</v>
      </c>
      <c r="Z58" s="55">
        <f t="shared" si="7"/>
        <v>644</v>
      </c>
      <c r="AA58" s="55">
        <f t="shared" si="8"/>
        <v>0</v>
      </c>
      <c r="AB58" s="55">
        <f t="shared" si="9"/>
        <v>338.46547573799569</v>
      </c>
      <c r="AC58" s="54">
        <f t="shared" si="10"/>
        <v>0.34450622856111213</v>
      </c>
      <c r="AD58" s="56">
        <f>INDEX(Assumptions!$B$14:$B$16,MATCH($R58,Assumptions!$A$14:$A$16,0))</f>
        <v>0.32</v>
      </c>
      <c r="AE58" s="56">
        <f>INDEX(Assumptions!$C$14:$C$16,MATCH($R58,Assumptions!$A$14:$A$16,0))</f>
        <v>0.22</v>
      </c>
      <c r="AF58" s="49">
        <f t="shared" si="11"/>
        <v>0</v>
      </c>
      <c r="AG58" s="49">
        <f t="shared" si="12"/>
        <v>0</v>
      </c>
      <c r="AH58" s="55">
        <f t="shared" si="13"/>
        <v>0</v>
      </c>
    </row>
    <row r="59" spans="1:34" x14ac:dyDescent="0.2">
      <c r="A59" s="48" t="s">
        <v>341</v>
      </c>
      <c r="B59" s="48">
        <v>1</v>
      </c>
      <c r="C59" s="48" t="s">
        <v>342</v>
      </c>
      <c r="D59" s="48" t="s">
        <v>272</v>
      </c>
      <c r="E59" s="48" t="s">
        <v>343</v>
      </c>
      <c r="F59" s="48" t="s">
        <v>280</v>
      </c>
      <c r="G59" s="48" t="s">
        <v>281</v>
      </c>
      <c r="H59" s="48" t="s">
        <v>62</v>
      </c>
      <c r="I59" s="48" t="s">
        <v>93</v>
      </c>
      <c r="J59" s="49">
        <v>12</v>
      </c>
      <c r="K59" s="50">
        <v>1390</v>
      </c>
      <c r="L59" s="50">
        <v>1330.56</v>
      </c>
      <c r="M59" s="48" t="s">
        <v>276</v>
      </c>
      <c r="N59" s="51">
        <v>1</v>
      </c>
      <c r="O59" s="51">
        <v>1</v>
      </c>
      <c r="P59" s="52">
        <v>1186.2</v>
      </c>
      <c r="Q59" s="52">
        <v>1186.2</v>
      </c>
      <c r="R59" s="53" t="str">
        <f>INDEX(SKU_Master!$D$5:$D$34,MATCH($I59,SKU_Master!$A$5:$A$34,0))</f>
        <v>Laptop</v>
      </c>
      <c r="S59" s="54">
        <f t="shared" si="0"/>
        <v>4.2762589928057593E-2</v>
      </c>
      <c r="T59" s="55">
        <f t="shared" si="1"/>
        <v>16680</v>
      </c>
      <c r="U59" s="55">
        <f t="shared" si="2"/>
        <v>15966.72</v>
      </c>
      <c r="V59" s="55">
        <f t="shared" si="3"/>
        <v>-713.28000000000065</v>
      </c>
      <c r="W59" s="55">
        <f t="shared" si="4"/>
        <v>15966.72</v>
      </c>
      <c r="X59" s="55">
        <f t="shared" si="5"/>
        <v>0</v>
      </c>
      <c r="Y59" s="55">
        <f t="shared" si="6"/>
        <v>14234.400000000001</v>
      </c>
      <c r="Z59" s="55">
        <f t="shared" si="7"/>
        <v>14234.400000000001</v>
      </c>
      <c r="AA59" s="55">
        <f t="shared" si="8"/>
        <v>0</v>
      </c>
      <c r="AB59" s="55">
        <f t="shared" si="9"/>
        <v>1732.3199999999979</v>
      </c>
      <c r="AC59" s="54">
        <f t="shared" si="10"/>
        <v>0.10849567099567087</v>
      </c>
      <c r="AD59" s="56">
        <f>INDEX(Assumptions!$B$14:$B$16,MATCH($R59,Assumptions!$A$14:$A$16,0))</f>
        <v>0.12</v>
      </c>
      <c r="AE59" s="56">
        <f>INDEX(Assumptions!$C$14:$C$16,MATCH($R59,Assumptions!$A$14:$A$16,0))</f>
        <v>0.08</v>
      </c>
      <c r="AF59" s="49">
        <f t="shared" si="11"/>
        <v>0</v>
      </c>
      <c r="AG59" s="49">
        <f t="shared" si="12"/>
        <v>0</v>
      </c>
      <c r="AH59" s="55">
        <f t="shared" si="13"/>
        <v>183.68640000000187</v>
      </c>
    </row>
    <row r="60" spans="1:34" x14ac:dyDescent="0.2">
      <c r="A60" s="48" t="s">
        <v>341</v>
      </c>
      <c r="B60" s="48">
        <v>2</v>
      </c>
      <c r="C60" s="48" t="s">
        <v>342</v>
      </c>
      <c r="D60" s="48" t="s">
        <v>272</v>
      </c>
      <c r="E60" s="48" t="s">
        <v>343</v>
      </c>
      <c r="F60" s="48" t="s">
        <v>280</v>
      </c>
      <c r="G60" s="48" t="s">
        <v>281</v>
      </c>
      <c r="H60" s="48" t="s">
        <v>62</v>
      </c>
      <c r="I60" s="48" t="s">
        <v>138</v>
      </c>
      <c r="J60" s="49">
        <v>8</v>
      </c>
      <c r="K60" s="50">
        <v>455</v>
      </c>
      <c r="L60" s="50">
        <v>438.83</v>
      </c>
      <c r="M60" s="48" t="s">
        <v>276</v>
      </c>
      <c r="N60" s="51">
        <v>1</v>
      </c>
      <c r="O60" s="51">
        <v>1</v>
      </c>
      <c r="P60" s="52">
        <v>358.2</v>
      </c>
      <c r="Q60" s="52">
        <v>358.2</v>
      </c>
      <c r="R60" s="53" t="str">
        <f>INDEX(SKU_Master!$D$5:$D$34,MATCH($I60,SKU_Master!$A$5:$A$34,0))</f>
        <v>Monitor</v>
      </c>
      <c r="S60" s="54">
        <f t="shared" si="0"/>
        <v>3.5538461538461519E-2</v>
      </c>
      <c r="T60" s="55">
        <f t="shared" si="1"/>
        <v>3640</v>
      </c>
      <c r="U60" s="55">
        <f t="shared" si="2"/>
        <v>3510.64</v>
      </c>
      <c r="V60" s="55">
        <f t="shared" si="3"/>
        <v>-129.36000000000013</v>
      </c>
      <c r="W60" s="55">
        <f t="shared" si="4"/>
        <v>3510.64</v>
      </c>
      <c r="X60" s="55">
        <f t="shared" si="5"/>
        <v>0</v>
      </c>
      <c r="Y60" s="55">
        <f t="shared" si="6"/>
        <v>2865.6</v>
      </c>
      <c r="Z60" s="55">
        <f t="shared" si="7"/>
        <v>2865.6</v>
      </c>
      <c r="AA60" s="55">
        <f t="shared" si="8"/>
        <v>0</v>
      </c>
      <c r="AB60" s="55">
        <f t="shared" si="9"/>
        <v>645.04</v>
      </c>
      <c r="AC60" s="54">
        <f t="shared" si="10"/>
        <v>0.18373857758129572</v>
      </c>
      <c r="AD60" s="56">
        <f>INDEX(Assumptions!$B$14:$B$16,MATCH($R60,Assumptions!$A$14:$A$16,0))</f>
        <v>0.18</v>
      </c>
      <c r="AE60" s="56">
        <f>INDEX(Assumptions!$C$14:$C$16,MATCH($R60,Assumptions!$A$14:$A$16,0))</f>
        <v>0.12</v>
      </c>
      <c r="AF60" s="49">
        <f t="shared" si="11"/>
        <v>0</v>
      </c>
      <c r="AG60" s="49">
        <f t="shared" si="12"/>
        <v>0</v>
      </c>
      <c r="AH60" s="55">
        <f t="shared" si="13"/>
        <v>0</v>
      </c>
    </row>
    <row r="61" spans="1:34" x14ac:dyDescent="0.2">
      <c r="A61" s="48" t="s">
        <v>341</v>
      </c>
      <c r="B61" s="48">
        <v>3</v>
      </c>
      <c r="C61" s="48" t="s">
        <v>342</v>
      </c>
      <c r="D61" s="48" t="s">
        <v>272</v>
      </c>
      <c r="E61" s="48" t="s">
        <v>343</v>
      </c>
      <c r="F61" s="48" t="s">
        <v>280</v>
      </c>
      <c r="G61" s="48" t="s">
        <v>281</v>
      </c>
      <c r="H61" s="48" t="s">
        <v>62</v>
      </c>
      <c r="I61" s="48" t="s">
        <v>161</v>
      </c>
      <c r="J61" s="49">
        <v>13</v>
      </c>
      <c r="K61" s="50">
        <v>120</v>
      </c>
      <c r="L61" s="50">
        <v>115.52</v>
      </c>
      <c r="M61" s="48" t="s">
        <v>276</v>
      </c>
      <c r="N61" s="51">
        <v>1</v>
      </c>
      <c r="O61" s="51">
        <v>1</v>
      </c>
      <c r="P61" s="52">
        <v>76</v>
      </c>
      <c r="Q61" s="52">
        <v>76</v>
      </c>
      <c r="R61" s="53" t="str">
        <f>INDEX(SKU_Master!$D$5:$D$34,MATCH($I61,SKU_Master!$A$5:$A$34,0))</f>
        <v>Accessory</v>
      </c>
      <c r="S61" s="54">
        <f t="shared" si="0"/>
        <v>3.7333333333333329E-2</v>
      </c>
      <c r="T61" s="55">
        <f t="shared" si="1"/>
        <v>1560</v>
      </c>
      <c r="U61" s="55">
        <f t="shared" si="2"/>
        <v>1501.76</v>
      </c>
      <c r="V61" s="55">
        <f t="shared" si="3"/>
        <v>-58.240000000000009</v>
      </c>
      <c r="W61" s="55">
        <f t="shared" si="4"/>
        <v>1501.76</v>
      </c>
      <c r="X61" s="55">
        <f t="shared" si="5"/>
        <v>0</v>
      </c>
      <c r="Y61" s="55">
        <f t="shared" si="6"/>
        <v>988</v>
      </c>
      <c r="Z61" s="55">
        <f t="shared" si="7"/>
        <v>988</v>
      </c>
      <c r="AA61" s="55">
        <f t="shared" si="8"/>
        <v>0</v>
      </c>
      <c r="AB61" s="55">
        <f t="shared" si="9"/>
        <v>513.76</v>
      </c>
      <c r="AC61" s="54">
        <f t="shared" si="10"/>
        <v>0.34210526315789475</v>
      </c>
      <c r="AD61" s="56">
        <f>INDEX(Assumptions!$B$14:$B$16,MATCH($R61,Assumptions!$A$14:$A$16,0))</f>
        <v>0.32</v>
      </c>
      <c r="AE61" s="56">
        <f>INDEX(Assumptions!$C$14:$C$16,MATCH($R61,Assumptions!$A$14:$A$16,0))</f>
        <v>0.22</v>
      </c>
      <c r="AF61" s="49">
        <f t="shared" si="11"/>
        <v>0</v>
      </c>
      <c r="AG61" s="49">
        <f t="shared" si="12"/>
        <v>0</v>
      </c>
      <c r="AH61" s="55">
        <f t="shared" si="13"/>
        <v>0</v>
      </c>
    </row>
    <row r="62" spans="1:34" x14ac:dyDescent="0.2">
      <c r="A62" s="48" t="s">
        <v>344</v>
      </c>
      <c r="B62" s="48">
        <v>1</v>
      </c>
      <c r="C62" s="48" t="s">
        <v>271</v>
      </c>
      <c r="D62" s="48" t="s">
        <v>272</v>
      </c>
      <c r="E62" s="48" t="s">
        <v>293</v>
      </c>
      <c r="F62" s="48" t="s">
        <v>274</v>
      </c>
      <c r="G62" s="48" t="s">
        <v>275</v>
      </c>
      <c r="H62" s="48" t="s">
        <v>66</v>
      </c>
      <c r="I62" s="48" t="s">
        <v>113</v>
      </c>
      <c r="J62" s="49">
        <v>5</v>
      </c>
      <c r="K62" s="50">
        <v>1655</v>
      </c>
      <c r="L62" s="50">
        <v>1623.52</v>
      </c>
      <c r="M62" s="48" t="s">
        <v>276</v>
      </c>
      <c r="N62" s="51">
        <v>0.92</v>
      </c>
      <c r="O62" s="51">
        <v>0.91659999999999997</v>
      </c>
      <c r="P62" s="52">
        <v>1504.8</v>
      </c>
      <c r="Q62" s="52">
        <v>1504.8</v>
      </c>
      <c r="R62" s="53" t="str">
        <f>INDEX(SKU_Master!$D$5:$D$34,MATCH($I62,SKU_Master!$A$5:$A$34,0))</f>
        <v>Laptop</v>
      </c>
      <c r="S62" s="54">
        <f t="shared" si="0"/>
        <v>1.9021148036253765E-2</v>
      </c>
      <c r="T62" s="55">
        <f t="shared" si="1"/>
        <v>8994.565217391304</v>
      </c>
      <c r="U62" s="55">
        <f t="shared" si="2"/>
        <v>8823.4782608695659</v>
      </c>
      <c r="V62" s="55">
        <f t="shared" si="3"/>
        <v>-171.0869565217381</v>
      </c>
      <c r="W62" s="55">
        <f t="shared" si="4"/>
        <v>8856.2077241981242</v>
      </c>
      <c r="X62" s="55">
        <f t="shared" si="5"/>
        <v>32.729463328558268</v>
      </c>
      <c r="Y62" s="55">
        <f t="shared" si="6"/>
        <v>7524</v>
      </c>
      <c r="Z62" s="55">
        <f t="shared" si="7"/>
        <v>7524</v>
      </c>
      <c r="AA62" s="55">
        <f t="shared" si="8"/>
        <v>0</v>
      </c>
      <c r="AB62" s="55">
        <f t="shared" si="9"/>
        <v>1332.2077241981242</v>
      </c>
      <c r="AC62" s="54">
        <f t="shared" si="10"/>
        <v>0.15042643145757373</v>
      </c>
      <c r="AD62" s="56">
        <f>INDEX(Assumptions!$B$14:$B$16,MATCH($R62,Assumptions!$A$14:$A$16,0))</f>
        <v>0.12</v>
      </c>
      <c r="AE62" s="56">
        <f>INDEX(Assumptions!$C$14:$C$16,MATCH($R62,Assumptions!$A$14:$A$16,0))</f>
        <v>0.08</v>
      </c>
      <c r="AF62" s="49">
        <f t="shared" si="11"/>
        <v>0</v>
      </c>
      <c r="AG62" s="49">
        <f t="shared" si="12"/>
        <v>0</v>
      </c>
      <c r="AH62" s="55">
        <f t="shared" si="13"/>
        <v>0</v>
      </c>
    </row>
    <row r="63" spans="1:34" x14ac:dyDescent="0.2">
      <c r="A63" s="48" t="s">
        <v>344</v>
      </c>
      <c r="B63" s="48">
        <v>2</v>
      </c>
      <c r="C63" s="48" t="s">
        <v>271</v>
      </c>
      <c r="D63" s="48" t="s">
        <v>272</v>
      </c>
      <c r="E63" s="48" t="s">
        <v>293</v>
      </c>
      <c r="F63" s="48" t="s">
        <v>274</v>
      </c>
      <c r="G63" s="48" t="s">
        <v>275</v>
      </c>
      <c r="H63" s="48" t="s">
        <v>66</v>
      </c>
      <c r="I63" s="48" t="s">
        <v>135</v>
      </c>
      <c r="J63" s="49">
        <v>5</v>
      </c>
      <c r="K63" s="50">
        <v>255</v>
      </c>
      <c r="L63" s="50">
        <v>251.75</v>
      </c>
      <c r="M63" s="48" t="s">
        <v>276</v>
      </c>
      <c r="N63" s="51">
        <v>0.92</v>
      </c>
      <c r="O63" s="51">
        <v>0.91659999999999997</v>
      </c>
      <c r="P63" s="52">
        <v>211.7</v>
      </c>
      <c r="Q63" s="52">
        <v>211.7</v>
      </c>
      <c r="R63" s="53" t="str">
        <f>INDEX(SKU_Master!$D$5:$D$34,MATCH($I63,SKU_Master!$A$5:$A$34,0))</f>
        <v>Monitor</v>
      </c>
      <c r="S63" s="54">
        <f t="shared" si="0"/>
        <v>1.2745098039215641E-2</v>
      </c>
      <c r="T63" s="55">
        <f t="shared" si="1"/>
        <v>1385.8695652173913</v>
      </c>
      <c r="U63" s="55">
        <f t="shared" si="2"/>
        <v>1368.2065217391303</v>
      </c>
      <c r="V63" s="55">
        <f t="shared" si="3"/>
        <v>-17.663043478260988</v>
      </c>
      <c r="W63" s="55">
        <f t="shared" si="4"/>
        <v>1373.281693214052</v>
      </c>
      <c r="X63" s="55">
        <f t="shared" si="5"/>
        <v>5.0751714749217172</v>
      </c>
      <c r="Y63" s="55">
        <f t="shared" si="6"/>
        <v>1058.5</v>
      </c>
      <c r="Z63" s="55">
        <f t="shared" si="7"/>
        <v>1058.5</v>
      </c>
      <c r="AA63" s="55">
        <f t="shared" si="8"/>
        <v>0</v>
      </c>
      <c r="AB63" s="55">
        <f t="shared" si="9"/>
        <v>314.78169321405198</v>
      </c>
      <c r="AC63" s="54">
        <f t="shared" si="10"/>
        <v>0.22921858987090371</v>
      </c>
      <c r="AD63" s="56">
        <f>INDEX(Assumptions!$B$14:$B$16,MATCH($R63,Assumptions!$A$14:$A$16,0))</f>
        <v>0.18</v>
      </c>
      <c r="AE63" s="56">
        <f>INDEX(Assumptions!$C$14:$C$16,MATCH($R63,Assumptions!$A$14:$A$16,0))</f>
        <v>0.12</v>
      </c>
      <c r="AF63" s="49">
        <f t="shared" si="11"/>
        <v>0</v>
      </c>
      <c r="AG63" s="49">
        <f t="shared" si="12"/>
        <v>0</v>
      </c>
      <c r="AH63" s="55">
        <f t="shared" si="13"/>
        <v>0</v>
      </c>
    </row>
    <row r="64" spans="1:34" x14ac:dyDescent="0.2">
      <c r="A64" s="48" t="s">
        <v>345</v>
      </c>
      <c r="B64" s="48">
        <v>1</v>
      </c>
      <c r="C64" s="48" t="s">
        <v>283</v>
      </c>
      <c r="D64" s="48" t="s">
        <v>272</v>
      </c>
      <c r="E64" s="48" t="s">
        <v>346</v>
      </c>
      <c r="F64" s="48" t="s">
        <v>297</v>
      </c>
      <c r="G64" s="48" t="s">
        <v>302</v>
      </c>
      <c r="H64" s="48" t="s">
        <v>62</v>
      </c>
      <c r="I64" s="48" t="s">
        <v>106</v>
      </c>
      <c r="J64" s="49">
        <v>50</v>
      </c>
      <c r="K64" s="50">
        <v>1520</v>
      </c>
      <c r="L64" s="50">
        <v>1406.93</v>
      </c>
      <c r="M64" s="48" t="s">
        <v>276</v>
      </c>
      <c r="N64" s="51">
        <v>1</v>
      </c>
      <c r="O64" s="51">
        <v>1</v>
      </c>
      <c r="P64" s="52">
        <v>1298.4000000000001</v>
      </c>
      <c r="Q64" s="52">
        <v>1298.4000000000001</v>
      </c>
      <c r="R64" s="53" t="str">
        <f>INDEX(SKU_Master!$D$5:$D$34,MATCH($I64,SKU_Master!$A$5:$A$34,0))</f>
        <v>Laptop</v>
      </c>
      <c r="S64" s="54">
        <f t="shared" si="0"/>
        <v>7.438815789473685E-2</v>
      </c>
      <c r="T64" s="55">
        <f t="shared" si="1"/>
        <v>76000</v>
      </c>
      <c r="U64" s="55">
        <f t="shared" si="2"/>
        <v>70346.5</v>
      </c>
      <c r="V64" s="55">
        <f t="shared" si="3"/>
        <v>-5653.5</v>
      </c>
      <c r="W64" s="55">
        <f t="shared" si="4"/>
        <v>70346.5</v>
      </c>
      <c r="X64" s="55">
        <f t="shared" si="5"/>
        <v>0</v>
      </c>
      <c r="Y64" s="55">
        <f t="shared" si="6"/>
        <v>64920.000000000007</v>
      </c>
      <c r="Z64" s="55">
        <f t="shared" si="7"/>
        <v>64920.000000000007</v>
      </c>
      <c r="AA64" s="55">
        <f t="shared" si="8"/>
        <v>0</v>
      </c>
      <c r="AB64" s="55">
        <f t="shared" si="9"/>
        <v>5426.4999999999927</v>
      </c>
      <c r="AC64" s="54">
        <f t="shared" si="10"/>
        <v>7.7139587612745378E-2</v>
      </c>
      <c r="AD64" s="56">
        <f>INDEX(Assumptions!$B$14:$B$16,MATCH($R64,Assumptions!$A$14:$A$16,0))</f>
        <v>0.12</v>
      </c>
      <c r="AE64" s="56">
        <f>INDEX(Assumptions!$C$14:$C$16,MATCH($R64,Assumptions!$A$14:$A$16,0))</f>
        <v>0.08</v>
      </c>
      <c r="AF64" s="49">
        <f t="shared" si="11"/>
        <v>1</v>
      </c>
      <c r="AG64" s="49">
        <f t="shared" si="12"/>
        <v>1</v>
      </c>
      <c r="AH64" s="55">
        <f t="shared" si="13"/>
        <v>3015.0800000000072</v>
      </c>
    </row>
    <row r="65" spans="1:34" x14ac:dyDescent="0.2">
      <c r="A65" s="48" t="s">
        <v>345</v>
      </c>
      <c r="B65" s="48">
        <v>2</v>
      </c>
      <c r="C65" s="48" t="s">
        <v>283</v>
      </c>
      <c r="D65" s="48" t="s">
        <v>272</v>
      </c>
      <c r="E65" s="48" t="s">
        <v>346</v>
      </c>
      <c r="F65" s="48" t="s">
        <v>297</v>
      </c>
      <c r="G65" s="48" t="s">
        <v>302</v>
      </c>
      <c r="H65" s="48" t="s">
        <v>62</v>
      </c>
      <c r="I65" s="48" t="s">
        <v>157</v>
      </c>
      <c r="J65" s="49">
        <v>56</v>
      </c>
      <c r="K65" s="50">
        <v>135</v>
      </c>
      <c r="L65" s="50">
        <v>122.93</v>
      </c>
      <c r="M65" s="48" t="s">
        <v>276</v>
      </c>
      <c r="N65" s="51">
        <v>1</v>
      </c>
      <c r="O65" s="51">
        <v>1</v>
      </c>
      <c r="P65" s="52">
        <v>86</v>
      </c>
      <c r="Q65" s="52">
        <v>86</v>
      </c>
      <c r="R65" s="53" t="str">
        <f>INDEX(SKU_Master!$D$5:$D$34,MATCH($I65,SKU_Master!$A$5:$A$34,0))</f>
        <v>Accessory</v>
      </c>
      <c r="S65" s="54">
        <f t="shared" si="0"/>
        <v>8.940740740740738E-2</v>
      </c>
      <c r="T65" s="55">
        <f t="shared" si="1"/>
        <v>7560</v>
      </c>
      <c r="U65" s="55">
        <f t="shared" si="2"/>
        <v>6884.08</v>
      </c>
      <c r="V65" s="55">
        <f t="shared" si="3"/>
        <v>-675.92000000000007</v>
      </c>
      <c r="W65" s="55">
        <f t="shared" si="4"/>
        <v>6884.08</v>
      </c>
      <c r="X65" s="55">
        <f t="shared" si="5"/>
        <v>0</v>
      </c>
      <c r="Y65" s="55">
        <f t="shared" si="6"/>
        <v>4816</v>
      </c>
      <c r="Z65" s="55">
        <f t="shared" si="7"/>
        <v>4816</v>
      </c>
      <c r="AA65" s="55">
        <f t="shared" si="8"/>
        <v>0</v>
      </c>
      <c r="AB65" s="55">
        <f t="shared" si="9"/>
        <v>2068.08</v>
      </c>
      <c r="AC65" s="54">
        <f t="shared" si="10"/>
        <v>0.30041487025136254</v>
      </c>
      <c r="AD65" s="56">
        <f>INDEX(Assumptions!$B$14:$B$16,MATCH($R65,Assumptions!$A$14:$A$16,0))</f>
        <v>0.32</v>
      </c>
      <c r="AE65" s="56">
        <f>INDEX(Assumptions!$C$14:$C$16,MATCH($R65,Assumptions!$A$14:$A$16,0))</f>
        <v>0.22</v>
      </c>
      <c r="AF65" s="49">
        <f t="shared" si="11"/>
        <v>0</v>
      </c>
      <c r="AG65" s="49">
        <f t="shared" si="12"/>
        <v>0</v>
      </c>
      <c r="AH65" s="55">
        <f t="shared" si="13"/>
        <v>134.82560000000012</v>
      </c>
    </row>
    <row r="66" spans="1:34" x14ac:dyDescent="0.2">
      <c r="A66" s="48" t="s">
        <v>347</v>
      </c>
      <c r="B66" s="48">
        <v>1</v>
      </c>
      <c r="C66" s="48" t="s">
        <v>348</v>
      </c>
      <c r="D66" s="48" t="s">
        <v>272</v>
      </c>
      <c r="E66" s="48" t="s">
        <v>349</v>
      </c>
      <c r="F66" s="48" t="s">
        <v>274</v>
      </c>
      <c r="G66" s="48" t="s">
        <v>275</v>
      </c>
      <c r="H66" s="48" t="s">
        <v>66</v>
      </c>
      <c r="I66" s="48" t="s">
        <v>93</v>
      </c>
      <c r="J66" s="49">
        <v>9</v>
      </c>
      <c r="K66" s="50">
        <v>1325</v>
      </c>
      <c r="L66" s="50">
        <v>1298.52</v>
      </c>
      <c r="M66" s="48" t="s">
        <v>276</v>
      </c>
      <c r="N66" s="51">
        <v>0.92</v>
      </c>
      <c r="O66" s="51">
        <v>0.91659999999999997</v>
      </c>
      <c r="P66" s="52">
        <v>1206.2</v>
      </c>
      <c r="Q66" s="52">
        <v>1206.2</v>
      </c>
      <c r="R66" s="53" t="str">
        <f>INDEX(SKU_Master!$D$5:$D$34,MATCH($I66,SKU_Master!$A$5:$A$34,0))</f>
        <v>Laptop</v>
      </c>
      <c r="S66" s="54">
        <f t="shared" si="0"/>
        <v>1.9984905660377361E-2</v>
      </c>
      <c r="T66" s="55">
        <f t="shared" si="1"/>
        <v>12961.95652173913</v>
      </c>
      <c r="U66" s="55">
        <f t="shared" si="2"/>
        <v>12702.91304347826</v>
      </c>
      <c r="V66" s="55">
        <f t="shared" si="3"/>
        <v>-259.04347826086996</v>
      </c>
      <c r="W66" s="55">
        <f t="shared" si="4"/>
        <v>12750.032729653067</v>
      </c>
      <c r="X66" s="55">
        <f t="shared" si="5"/>
        <v>47.119686174806702</v>
      </c>
      <c r="Y66" s="55">
        <f t="shared" si="6"/>
        <v>10855.800000000001</v>
      </c>
      <c r="Z66" s="55">
        <f t="shared" si="7"/>
        <v>10855.800000000001</v>
      </c>
      <c r="AA66" s="55">
        <f t="shared" si="8"/>
        <v>0</v>
      </c>
      <c r="AB66" s="55">
        <f t="shared" si="9"/>
        <v>1894.2327296530657</v>
      </c>
      <c r="AC66" s="54">
        <f t="shared" si="10"/>
        <v>0.14856689153805869</v>
      </c>
      <c r="AD66" s="56">
        <f>INDEX(Assumptions!$B$14:$B$16,MATCH($R66,Assumptions!$A$14:$A$16,0))</f>
        <v>0.12</v>
      </c>
      <c r="AE66" s="56">
        <f>INDEX(Assumptions!$C$14:$C$16,MATCH($R66,Assumptions!$A$14:$A$16,0))</f>
        <v>0.08</v>
      </c>
      <c r="AF66" s="49">
        <f t="shared" si="11"/>
        <v>0</v>
      </c>
      <c r="AG66" s="49">
        <f t="shared" si="12"/>
        <v>0</v>
      </c>
      <c r="AH66" s="55">
        <f t="shared" si="13"/>
        <v>0</v>
      </c>
    </row>
    <row r="67" spans="1:34" x14ac:dyDescent="0.2">
      <c r="A67" s="48" t="s">
        <v>347</v>
      </c>
      <c r="B67" s="48">
        <v>2</v>
      </c>
      <c r="C67" s="48" t="s">
        <v>348</v>
      </c>
      <c r="D67" s="48" t="s">
        <v>272</v>
      </c>
      <c r="E67" s="48" t="s">
        <v>349</v>
      </c>
      <c r="F67" s="48" t="s">
        <v>274</v>
      </c>
      <c r="G67" s="48" t="s">
        <v>275</v>
      </c>
      <c r="H67" s="48" t="s">
        <v>66</v>
      </c>
      <c r="I67" s="48" t="s">
        <v>141</v>
      </c>
      <c r="J67" s="49">
        <v>8</v>
      </c>
      <c r="K67" s="50">
        <v>450</v>
      </c>
      <c r="L67" s="50">
        <v>449.19</v>
      </c>
      <c r="M67" s="48" t="s">
        <v>276</v>
      </c>
      <c r="N67" s="51">
        <v>0.92</v>
      </c>
      <c r="O67" s="51">
        <v>0.91659999999999997</v>
      </c>
      <c r="P67" s="52">
        <v>376.7</v>
      </c>
      <c r="Q67" s="52">
        <v>376.7</v>
      </c>
      <c r="R67" s="53" t="str">
        <f>INDEX(SKU_Master!$D$5:$D$34,MATCH($I67,SKU_Master!$A$5:$A$34,0))</f>
        <v>Monitor</v>
      </c>
      <c r="S67" s="54">
        <f t="shared" si="0"/>
        <v>1.8000000000000238E-3</v>
      </c>
      <c r="T67" s="55">
        <f t="shared" si="1"/>
        <v>3913.0434782608695</v>
      </c>
      <c r="U67" s="55">
        <f t="shared" si="2"/>
        <v>3906</v>
      </c>
      <c r="V67" s="55">
        <f t="shared" si="3"/>
        <v>-7.0434782608695059</v>
      </c>
      <c r="W67" s="55">
        <f t="shared" si="4"/>
        <v>3920.4887628191141</v>
      </c>
      <c r="X67" s="55">
        <f t="shared" si="5"/>
        <v>14.488762819114072</v>
      </c>
      <c r="Y67" s="55">
        <f t="shared" si="6"/>
        <v>3013.6</v>
      </c>
      <c r="Z67" s="55">
        <f t="shared" si="7"/>
        <v>3013.6</v>
      </c>
      <c r="AA67" s="55">
        <f t="shared" si="8"/>
        <v>0</v>
      </c>
      <c r="AB67" s="55">
        <f t="shared" si="9"/>
        <v>906.88876281911416</v>
      </c>
      <c r="AC67" s="54">
        <f t="shared" si="10"/>
        <v>0.23132033215343176</v>
      </c>
      <c r="AD67" s="56">
        <f>INDEX(Assumptions!$B$14:$B$16,MATCH($R67,Assumptions!$A$14:$A$16,0))</f>
        <v>0.18</v>
      </c>
      <c r="AE67" s="56">
        <f>INDEX(Assumptions!$C$14:$C$16,MATCH($R67,Assumptions!$A$14:$A$16,0))</f>
        <v>0.12</v>
      </c>
      <c r="AF67" s="49">
        <f t="shared" si="11"/>
        <v>0</v>
      </c>
      <c r="AG67" s="49">
        <f t="shared" si="12"/>
        <v>0</v>
      </c>
      <c r="AH67" s="55">
        <f t="shared" si="13"/>
        <v>0</v>
      </c>
    </row>
    <row r="68" spans="1:34" x14ac:dyDescent="0.2">
      <c r="A68" s="48" t="s">
        <v>350</v>
      </c>
      <c r="B68" s="48">
        <v>1</v>
      </c>
      <c r="C68" s="48" t="s">
        <v>351</v>
      </c>
      <c r="D68" s="48" t="s">
        <v>272</v>
      </c>
      <c r="E68" s="48" t="s">
        <v>339</v>
      </c>
      <c r="F68" s="48" t="s">
        <v>280</v>
      </c>
      <c r="G68" s="48" t="s">
        <v>302</v>
      </c>
      <c r="H68" s="48" t="s">
        <v>62</v>
      </c>
      <c r="I68" s="48" t="s">
        <v>113</v>
      </c>
      <c r="J68" s="49">
        <v>16</v>
      </c>
      <c r="K68" s="50">
        <v>1740</v>
      </c>
      <c r="L68" s="50">
        <v>1710.53</v>
      </c>
      <c r="M68" s="48" t="s">
        <v>276</v>
      </c>
      <c r="N68" s="51">
        <v>1</v>
      </c>
      <c r="O68" s="51">
        <v>1</v>
      </c>
      <c r="P68" s="52">
        <v>1484.8</v>
      </c>
      <c r="Q68" s="52">
        <v>1484.8</v>
      </c>
      <c r="R68" s="53" t="str">
        <f>INDEX(SKU_Master!$D$5:$D$34,MATCH($I68,SKU_Master!$A$5:$A$34,0))</f>
        <v>Laptop</v>
      </c>
      <c r="S68" s="54">
        <f t="shared" si="0"/>
        <v>1.6936781609195428E-2</v>
      </c>
      <c r="T68" s="55">
        <f t="shared" si="1"/>
        <v>27840</v>
      </c>
      <c r="U68" s="55">
        <f t="shared" si="2"/>
        <v>27368.48</v>
      </c>
      <c r="V68" s="55">
        <f t="shared" si="3"/>
        <v>-471.52000000000044</v>
      </c>
      <c r="W68" s="55">
        <f t="shared" si="4"/>
        <v>27368.48</v>
      </c>
      <c r="X68" s="55">
        <f t="shared" si="5"/>
        <v>0</v>
      </c>
      <c r="Y68" s="55">
        <f t="shared" si="6"/>
        <v>23756.799999999999</v>
      </c>
      <c r="Z68" s="55">
        <f t="shared" si="7"/>
        <v>23756.799999999999</v>
      </c>
      <c r="AA68" s="55">
        <f t="shared" si="8"/>
        <v>0</v>
      </c>
      <c r="AB68" s="55">
        <f t="shared" si="9"/>
        <v>3611.6800000000003</v>
      </c>
      <c r="AC68" s="54">
        <f t="shared" si="10"/>
        <v>0.13196494653703825</v>
      </c>
      <c r="AD68" s="56">
        <f>INDEX(Assumptions!$B$14:$B$16,MATCH($R68,Assumptions!$A$14:$A$16,0))</f>
        <v>0.12</v>
      </c>
      <c r="AE68" s="56">
        <f>INDEX(Assumptions!$C$14:$C$16,MATCH($R68,Assumptions!$A$14:$A$16,0))</f>
        <v>0.08</v>
      </c>
      <c r="AF68" s="49">
        <f t="shared" si="11"/>
        <v>0</v>
      </c>
      <c r="AG68" s="49">
        <f t="shared" si="12"/>
        <v>0</v>
      </c>
      <c r="AH68" s="55">
        <f t="shared" si="13"/>
        <v>0</v>
      </c>
    </row>
    <row r="69" spans="1:34" x14ac:dyDescent="0.2">
      <c r="A69" s="48" t="s">
        <v>350</v>
      </c>
      <c r="B69" s="48">
        <v>2</v>
      </c>
      <c r="C69" s="48" t="s">
        <v>351</v>
      </c>
      <c r="D69" s="48" t="s">
        <v>272</v>
      </c>
      <c r="E69" s="48" t="s">
        <v>339</v>
      </c>
      <c r="F69" s="48" t="s">
        <v>280</v>
      </c>
      <c r="G69" s="48" t="s">
        <v>302</v>
      </c>
      <c r="H69" s="48" t="s">
        <v>62</v>
      </c>
      <c r="I69" s="48" t="s">
        <v>141</v>
      </c>
      <c r="J69" s="49">
        <v>6</v>
      </c>
      <c r="K69" s="50">
        <v>450</v>
      </c>
      <c r="L69" s="50">
        <v>428.23</v>
      </c>
      <c r="M69" s="48" t="s">
        <v>276</v>
      </c>
      <c r="N69" s="51">
        <v>1</v>
      </c>
      <c r="O69" s="51">
        <v>1</v>
      </c>
      <c r="P69" s="52">
        <v>351.7</v>
      </c>
      <c r="Q69" s="52">
        <v>351.7</v>
      </c>
      <c r="R69" s="53" t="str">
        <f>INDEX(SKU_Master!$D$5:$D$34,MATCH($I69,SKU_Master!$A$5:$A$34,0))</f>
        <v>Monitor</v>
      </c>
      <c r="S69" s="54">
        <f t="shared" ref="S69:S132" si="14">IF(K69=0,0,1-L69/K69)</f>
        <v>4.8377777777777742E-2</v>
      </c>
      <c r="T69" s="55">
        <f t="shared" ref="T69:T132" si="15">J69*K69/N69</f>
        <v>2700</v>
      </c>
      <c r="U69" s="55">
        <f t="shared" ref="U69:U132" si="16">J69*L69/N69</f>
        <v>2569.38</v>
      </c>
      <c r="V69" s="55">
        <f t="shared" ref="V69:V132" si="17">U69-T69</f>
        <v>-130.61999999999989</v>
      </c>
      <c r="W69" s="55">
        <f t="shared" ref="W69:W132" si="18">J69*L69/O69</f>
        <v>2569.38</v>
      </c>
      <c r="X69" s="55">
        <f t="shared" ref="X69:X132" si="19">W69-U69</f>
        <v>0</v>
      </c>
      <c r="Y69" s="55">
        <f t="shared" ref="Y69:Y132" si="20">J69*P69</f>
        <v>2110.1999999999998</v>
      </c>
      <c r="Z69" s="55">
        <f t="shared" ref="Z69:Z132" si="21">J69*Q69</f>
        <v>2110.1999999999998</v>
      </c>
      <c r="AA69" s="55">
        <f t="shared" ref="AA69:AA132" si="22">Y69-Z69</f>
        <v>0</v>
      </c>
      <c r="AB69" s="55">
        <f t="shared" ref="AB69:AB132" si="23">W69-Z69</f>
        <v>459.18000000000029</v>
      </c>
      <c r="AC69" s="54">
        <f t="shared" ref="AC69:AC132" si="24">IF(W69=0,0,AB69/W69)</f>
        <v>0.17871237419143929</v>
      </c>
      <c r="AD69" s="56">
        <f>INDEX(Assumptions!$B$14:$B$16,MATCH($R69,Assumptions!$A$14:$A$16,0))</f>
        <v>0.18</v>
      </c>
      <c r="AE69" s="56">
        <f>INDEX(Assumptions!$C$14:$C$16,MATCH($R69,Assumptions!$A$14:$A$16,0))</f>
        <v>0.12</v>
      </c>
      <c r="AF69" s="49">
        <f t="shared" ref="AF69:AF132" si="25">IF(AC69&lt;AE69,1,0)</f>
        <v>0</v>
      </c>
      <c r="AG69" s="49">
        <f t="shared" ref="AG69:AG132" si="26">IF(AND(AF69=1,M69="N"),1,0)</f>
        <v>0</v>
      </c>
      <c r="AH69" s="55">
        <f t="shared" ref="AH69:AH132" si="27">MAX(0,W69*AD69-AB69)</f>
        <v>3.3083999999997218</v>
      </c>
    </row>
    <row r="70" spans="1:34" x14ac:dyDescent="0.2">
      <c r="A70" s="48" t="s">
        <v>350</v>
      </c>
      <c r="B70" s="48">
        <v>3</v>
      </c>
      <c r="C70" s="48" t="s">
        <v>351</v>
      </c>
      <c r="D70" s="48" t="s">
        <v>272</v>
      </c>
      <c r="E70" s="48" t="s">
        <v>339</v>
      </c>
      <c r="F70" s="48" t="s">
        <v>280</v>
      </c>
      <c r="G70" s="48" t="s">
        <v>302</v>
      </c>
      <c r="H70" s="48" t="s">
        <v>62</v>
      </c>
      <c r="I70" s="48" t="s">
        <v>170</v>
      </c>
      <c r="J70" s="49">
        <v>9</v>
      </c>
      <c r="K70" s="50">
        <v>195</v>
      </c>
      <c r="L70" s="50">
        <v>178.67</v>
      </c>
      <c r="M70" s="48" t="s">
        <v>276</v>
      </c>
      <c r="N70" s="51">
        <v>1</v>
      </c>
      <c r="O70" s="51">
        <v>1</v>
      </c>
      <c r="P70" s="52">
        <v>126</v>
      </c>
      <c r="Q70" s="52">
        <v>126</v>
      </c>
      <c r="R70" s="53" t="str">
        <f>INDEX(SKU_Master!$D$5:$D$34,MATCH($I70,SKU_Master!$A$5:$A$34,0))</f>
        <v>Accessory</v>
      </c>
      <c r="S70" s="54">
        <f t="shared" si="14"/>
        <v>8.3743589743589752E-2</v>
      </c>
      <c r="T70" s="55">
        <f t="shared" si="15"/>
        <v>1755</v>
      </c>
      <c r="U70" s="55">
        <f t="shared" si="16"/>
        <v>1608.03</v>
      </c>
      <c r="V70" s="55">
        <f t="shared" si="17"/>
        <v>-146.97000000000003</v>
      </c>
      <c r="W70" s="55">
        <f t="shared" si="18"/>
        <v>1608.03</v>
      </c>
      <c r="X70" s="55">
        <f t="shared" si="19"/>
        <v>0</v>
      </c>
      <c r="Y70" s="55">
        <f t="shared" si="20"/>
        <v>1134</v>
      </c>
      <c r="Z70" s="55">
        <f t="shared" si="21"/>
        <v>1134</v>
      </c>
      <c r="AA70" s="55">
        <f t="shared" si="22"/>
        <v>0</v>
      </c>
      <c r="AB70" s="55">
        <f t="shared" si="23"/>
        <v>474.03</v>
      </c>
      <c r="AC70" s="54">
        <f t="shared" si="24"/>
        <v>0.29478927631947166</v>
      </c>
      <c r="AD70" s="56">
        <f>INDEX(Assumptions!$B$14:$B$16,MATCH($R70,Assumptions!$A$14:$A$16,0))</f>
        <v>0.32</v>
      </c>
      <c r="AE70" s="56">
        <f>INDEX(Assumptions!$C$14:$C$16,MATCH($R70,Assumptions!$A$14:$A$16,0))</f>
        <v>0.22</v>
      </c>
      <c r="AF70" s="49">
        <f t="shared" si="25"/>
        <v>0</v>
      </c>
      <c r="AG70" s="49">
        <f t="shared" si="26"/>
        <v>0</v>
      </c>
      <c r="AH70" s="55">
        <f t="shared" si="27"/>
        <v>40.539600000000064</v>
      </c>
    </row>
    <row r="71" spans="1:34" x14ac:dyDescent="0.2">
      <c r="A71" s="48" t="s">
        <v>352</v>
      </c>
      <c r="B71" s="48">
        <v>1</v>
      </c>
      <c r="C71" s="48" t="s">
        <v>353</v>
      </c>
      <c r="D71" s="48" t="s">
        <v>272</v>
      </c>
      <c r="E71" s="48" t="s">
        <v>309</v>
      </c>
      <c r="F71" s="48" t="s">
        <v>280</v>
      </c>
      <c r="G71" s="48" t="s">
        <v>298</v>
      </c>
      <c r="H71" s="48" t="s">
        <v>70</v>
      </c>
      <c r="I71" s="48" t="s">
        <v>118</v>
      </c>
      <c r="J71" s="49">
        <v>28</v>
      </c>
      <c r="K71" s="50">
        <v>132140</v>
      </c>
      <c r="L71" s="50">
        <v>130632.9</v>
      </c>
      <c r="M71" s="48" t="s">
        <v>276</v>
      </c>
      <c r="N71" s="51">
        <v>83.5</v>
      </c>
      <c r="O71" s="51">
        <v>83.820400000000006</v>
      </c>
      <c r="P71" s="52">
        <v>1325.51</v>
      </c>
      <c r="Q71" s="52">
        <v>1345.51</v>
      </c>
      <c r="R71" s="53" t="str">
        <f>INDEX(SKU_Master!$D$5:$D$34,MATCH($I71,SKU_Master!$A$5:$A$34,0))</f>
        <v>Laptop</v>
      </c>
      <c r="S71" s="54">
        <f t="shared" si="14"/>
        <v>1.1405327682760702E-2</v>
      </c>
      <c r="T71" s="55">
        <f t="shared" si="15"/>
        <v>44310.419161676647</v>
      </c>
      <c r="U71" s="55">
        <f t="shared" si="16"/>
        <v>43805.044311377242</v>
      </c>
      <c r="V71" s="55">
        <f t="shared" si="17"/>
        <v>-505.37485029940581</v>
      </c>
      <c r="W71" s="55">
        <f t="shared" si="18"/>
        <v>43637.601347643285</v>
      </c>
      <c r="X71" s="55">
        <f t="shared" si="19"/>
        <v>-167.44296373395628</v>
      </c>
      <c r="Y71" s="55">
        <f t="shared" si="20"/>
        <v>37114.28</v>
      </c>
      <c r="Z71" s="55">
        <f t="shared" si="21"/>
        <v>37674.28</v>
      </c>
      <c r="AA71" s="55">
        <f t="shared" si="22"/>
        <v>-560</v>
      </c>
      <c r="AB71" s="55">
        <f t="shared" si="23"/>
        <v>5963.3213476432866</v>
      </c>
      <c r="AC71" s="54">
        <f t="shared" si="24"/>
        <v>0.13665557142190046</v>
      </c>
      <c r="AD71" s="56">
        <f>INDEX(Assumptions!$B$14:$B$16,MATCH($R71,Assumptions!$A$14:$A$16,0))</f>
        <v>0.12</v>
      </c>
      <c r="AE71" s="56">
        <f>INDEX(Assumptions!$C$14:$C$16,MATCH($R71,Assumptions!$A$14:$A$16,0))</f>
        <v>0.08</v>
      </c>
      <c r="AF71" s="49">
        <f t="shared" si="25"/>
        <v>0</v>
      </c>
      <c r="AG71" s="49">
        <f t="shared" si="26"/>
        <v>0</v>
      </c>
      <c r="AH71" s="55">
        <f t="shared" si="27"/>
        <v>0</v>
      </c>
    </row>
    <row r="72" spans="1:34" x14ac:dyDescent="0.2">
      <c r="A72" s="48" t="s">
        <v>352</v>
      </c>
      <c r="B72" s="48">
        <v>2</v>
      </c>
      <c r="C72" s="48" t="s">
        <v>353</v>
      </c>
      <c r="D72" s="48" t="s">
        <v>272</v>
      </c>
      <c r="E72" s="48" t="s">
        <v>309</v>
      </c>
      <c r="F72" s="48" t="s">
        <v>280</v>
      </c>
      <c r="G72" s="48" t="s">
        <v>298</v>
      </c>
      <c r="H72" s="48" t="s">
        <v>70</v>
      </c>
      <c r="I72" s="48" t="s">
        <v>151</v>
      </c>
      <c r="J72" s="49">
        <v>13</v>
      </c>
      <c r="K72" s="50">
        <v>32735</v>
      </c>
      <c r="L72" s="50">
        <v>31829.599999999999</v>
      </c>
      <c r="M72" s="48" t="s">
        <v>276</v>
      </c>
      <c r="N72" s="51">
        <v>83.5</v>
      </c>
      <c r="O72" s="51">
        <v>83.820400000000006</v>
      </c>
      <c r="P72" s="52">
        <v>248.88</v>
      </c>
      <c r="Q72" s="52">
        <v>253.88</v>
      </c>
      <c r="R72" s="53" t="str">
        <f>INDEX(SKU_Master!$D$5:$D$34,MATCH($I72,SKU_Master!$A$5:$A$34,0))</f>
        <v>Accessory</v>
      </c>
      <c r="S72" s="54">
        <f t="shared" si="14"/>
        <v>2.7658469528028196E-2</v>
      </c>
      <c r="T72" s="55">
        <f t="shared" si="15"/>
        <v>5096.4670658682635</v>
      </c>
      <c r="U72" s="55">
        <f t="shared" si="16"/>
        <v>4955.5065868263473</v>
      </c>
      <c r="V72" s="55">
        <f t="shared" si="17"/>
        <v>-140.96047904191619</v>
      </c>
      <c r="W72" s="55">
        <f t="shared" si="18"/>
        <v>4936.5643685785317</v>
      </c>
      <c r="X72" s="55">
        <f t="shared" si="19"/>
        <v>-18.942218247815617</v>
      </c>
      <c r="Y72" s="55">
        <f t="shared" si="20"/>
        <v>3235.44</v>
      </c>
      <c r="Z72" s="55">
        <f t="shared" si="21"/>
        <v>3300.44</v>
      </c>
      <c r="AA72" s="55">
        <f t="shared" si="22"/>
        <v>-65</v>
      </c>
      <c r="AB72" s="55">
        <f t="shared" si="23"/>
        <v>1636.1243685785316</v>
      </c>
      <c r="AC72" s="54">
        <f t="shared" si="24"/>
        <v>0.33142976499861754</v>
      </c>
      <c r="AD72" s="56">
        <f>INDEX(Assumptions!$B$14:$B$16,MATCH($R72,Assumptions!$A$14:$A$16,0))</f>
        <v>0.32</v>
      </c>
      <c r="AE72" s="56">
        <f>INDEX(Assumptions!$C$14:$C$16,MATCH($R72,Assumptions!$A$14:$A$16,0))</f>
        <v>0.22</v>
      </c>
      <c r="AF72" s="49">
        <f t="shared" si="25"/>
        <v>0</v>
      </c>
      <c r="AG72" s="49">
        <f t="shared" si="26"/>
        <v>0</v>
      </c>
      <c r="AH72" s="55">
        <f t="shared" si="27"/>
        <v>0</v>
      </c>
    </row>
    <row r="73" spans="1:34" x14ac:dyDescent="0.2">
      <c r="A73" s="48" t="s">
        <v>354</v>
      </c>
      <c r="B73" s="48">
        <v>1</v>
      </c>
      <c r="C73" s="48" t="s">
        <v>295</v>
      </c>
      <c r="D73" s="48" t="s">
        <v>272</v>
      </c>
      <c r="E73" s="48" t="s">
        <v>355</v>
      </c>
      <c r="F73" s="48" t="s">
        <v>280</v>
      </c>
      <c r="G73" s="48" t="s">
        <v>302</v>
      </c>
      <c r="H73" s="48" t="s">
        <v>62</v>
      </c>
      <c r="I73" s="48" t="s">
        <v>113</v>
      </c>
      <c r="J73" s="49">
        <v>16</v>
      </c>
      <c r="K73" s="50">
        <v>1740</v>
      </c>
      <c r="L73" s="50">
        <v>1638.99</v>
      </c>
      <c r="M73" s="48" t="s">
        <v>276</v>
      </c>
      <c r="N73" s="51">
        <v>1</v>
      </c>
      <c r="O73" s="51">
        <v>1</v>
      </c>
      <c r="P73" s="52">
        <v>1484.8</v>
      </c>
      <c r="Q73" s="52">
        <v>1484.8</v>
      </c>
      <c r="R73" s="53" t="str">
        <f>INDEX(SKU_Master!$D$5:$D$34,MATCH($I73,SKU_Master!$A$5:$A$34,0))</f>
        <v>Laptop</v>
      </c>
      <c r="S73" s="54">
        <f t="shared" si="14"/>
        <v>5.8051724137931027E-2</v>
      </c>
      <c r="T73" s="55">
        <f t="shared" si="15"/>
        <v>27840</v>
      </c>
      <c r="U73" s="55">
        <f t="shared" si="16"/>
        <v>26223.84</v>
      </c>
      <c r="V73" s="55">
        <f t="shared" si="17"/>
        <v>-1616.1599999999999</v>
      </c>
      <c r="W73" s="55">
        <f t="shared" si="18"/>
        <v>26223.84</v>
      </c>
      <c r="X73" s="55">
        <f t="shared" si="19"/>
        <v>0</v>
      </c>
      <c r="Y73" s="55">
        <f t="shared" si="20"/>
        <v>23756.799999999999</v>
      </c>
      <c r="Z73" s="55">
        <f t="shared" si="21"/>
        <v>23756.799999999999</v>
      </c>
      <c r="AA73" s="55">
        <f t="shared" si="22"/>
        <v>0</v>
      </c>
      <c r="AB73" s="55">
        <f t="shared" si="23"/>
        <v>2467.0400000000009</v>
      </c>
      <c r="AC73" s="54">
        <f t="shared" si="24"/>
        <v>9.4076229873275644E-2</v>
      </c>
      <c r="AD73" s="56">
        <f>INDEX(Assumptions!$B$14:$B$16,MATCH($R73,Assumptions!$A$14:$A$16,0))</f>
        <v>0.12</v>
      </c>
      <c r="AE73" s="56">
        <f>INDEX(Assumptions!$C$14:$C$16,MATCH($R73,Assumptions!$A$14:$A$16,0))</f>
        <v>0.08</v>
      </c>
      <c r="AF73" s="49">
        <f t="shared" si="25"/>
        <v>0</v>
      </c>
      <c r="AG73" s="49">
        <f t="shared" si="26"/>
        <v>0</v>
      </c>
      <c r="AH73" s="55">
        <f t="shared" si="27"/>
        <v>679.82079999999905</v>
      </c>
    </row>
    <row r="74" spans="1:34" x14ac:dyDescent="0.2">
      <c r="A74" s="48" t="s">
        <v>356</v>
      </c>
      <c r="B74" s="48">
        <v>1</v>
      </c>
      <c r="C74" s="48" t="s">
        <v>338</v>
      </c>
      <c r="D74" s="48" t="s">
        <v>272</v>
      </c>
      <c r="E74" s="48" t="s">
        <v>293</v>
      </c>
      <c r="F74" s="48" t="s">
        <v>274</v>
      </c>
      <c r="G74" s="48" t="s">
        <v>275</v>
      </c>
      <c r="H74" s="48" t="s">
        <v>66</v>
      </c>
      <c r="I74" s="48" t="s">
        <v>110</v>
      </c>
      <c r="J74" s="49">
        <v>9</v>
      </c>
      <c r="K74" s="50">
        <v>1115</v>
      </c>
      <c r="L74" s="50">
        <v>1114.06</v>
      </c>
      <c r="M74" s="48" t="s">
        <v>276</v>
      </c>
      <c r="N74" s="51">
        <v>0.92</v>
      </c>
      <c r="O74" s="51">
        <v>0.91659999999999997</v>
      </c>
      <c r="P74" s="52">
        <v>1012.65</v>
      </c>
      <c r="Q74" s="52">
        <v>1012.65</v>
      </c>
      <c r="R74" s="53" t="str">
        <f>INDEX(SKU_Master!$D$5:$D$34,MATCH($I74,SKU_Master!$A$5:$A$34,0))</f>
        <v>Laptop</v>
      </c>
      <c r="S74" s="54">
        <f t="shared" si="14"/>
        <v>8.4304932735435045E-4</v>
      </c>
      <c r="T74" s="55">
        <f t="shared" si="15"/>
        <v>10907.608695652174</v>
      </c>
      <c r="U74" s="55">
        <f t="shared" si="16"/>
        <v>10898.41304347826</v>
      </c>
      <c r="V74" s="55">
        <f t="shared" si="17"/>
        <v>-9.1956521739139134</v>
      </c>
      <c r="W74" s="55">
        <f t="shared" si="18"/>
        <v>10938.839188304602</v>
      </c>
      <c r="X74" s="55">
        <f t="shared" si="19"/>
        <v>40.426144826342352</v>
      </c>
      <c r="Y74" s="55">
        <f t="shared" si="20"/>
        <v>9113.85</v>
      </c>
      <c r="Z74" s="55">
        <f t="shared" si="21"/>
        <v>9113.85</v>
      </c>
      <c r="AA74" s="55">
        <f t="shared" si="22"/>
        <v>0</v>
      </c>
      <c r="AB74" s="55">
        <f t="shared" si="23"/>
        <v>1824.9891883046021</v>
      </c>
      <c r="AC74" s="54">
        <f t="shared" si="24"/>
        <v>0.16683572698059335</v>
      </c>
      <c r="AD74" s="56">
        <f>INDEX(Assumptions!$B$14:$B$16,MATCH($R74,Assumptions!$A$14:$A$16,0))</f>
        <v>0.12</v>
      </c>
      <c r="AE74" s="56">
        <f>INDEX(Assumptions!$C$14:$C$16,MATCH($R74,Assumptions!$A$14:$A$16,0))</f>
        <v>0.08</v>
      </c>
      <c r="AF74" s="49">
        <f t="shared" si="25"/>
        <v>0</v>
      </c>
      <c r="AG74" s="49">
        <f t="shared" si="26"/>
        <v>0</v>
      </c>
      <c r="AH74" s="55">
        <f t="shared" si="27"/>
        <v>0</v>
      </c>
    </row>
    <row r="75" spans="1:34" x14ac:dyDescent="0.2">
      <c r="A75" s="48" t="s">
        <v>356</v>
      </c>
      <c r="B75" s="48">
        <v>2</v>
      </c>
      <c r="C75" s="48" t="s">
        <v>338</v>
      </c>
      <c r="D75" s="48" t="s">
        <v>272</v>
      </c>
      <c r="E75" s="48" t="s">
        <v>293</v>
      </c>
      <c r="F75" s="48" t="s">
        <v>274</v>
      </c>
      <c r="G75" s="48" t="s">
        <v>275</v>
      </c>
      <c r="H75" s="48" t="s">
        <v>66</v>
      </c>
      <c r="I75" s="48" t="s">
        <v>173</v>
      </c>
      <c r="J75" s="49">
        <v>8</v>
      </c>
      <c r="K75" s="50">
        <v>60</v>
      </c>
      <c r="L75" s="50">
        <v>59.79</v>
      </c>
      <c r="M75" s="48" t="s">
        <v>276</v>
      </c>
      <c r="N75" s="51">
        <v>0.92</v>
      </c>
      <c r="O75" s="51">
        <v>0.91659999999999997</v>
      </c>
      <c r="P75" s="52">
        <v>39</v>
      </c>
      <c r="Q75" s="52">
        <v>39</v>
      </c>
      <c r="R75" s="53" t="str">
        <f>INDEX(SKU_Master!$D$5:$D$34,MATCH($I75,SKU_Master!$A$5:$A$34,0))</f>
        <v>Accessory</v>
      </c>
      <c r="S75" s="54">
        <f t="shared" si="14"/>
        <v>3.5000000000000586E-3</v>
      </c>
      <c r="T75" s="55">
        <f t="shared" si="15"/>
        <v>521.73913043478262</v>
      </c>
      <c r="U75" s="55">
        <f t="shared" si="16"/>
        <v>519.91304347826087</v>
      </c>
      <c r="V75" s="55">
        <f t="shared" si="17"/>
        <v>-1.826086956521749</v>
      </c>
      <c r="W75" s="55">
        <f t="shared" si="18"/>
        <v>521.84158847916217</v>
      </c>
      <c r="X75" s="55">
        <f t="shared" si="19"/>
        <v>1.9285450009012948</v>
      </c>
      <c r="Y75" s="55">
        <f t="shared" si="20"/>
        <v>312</v>
      </c>
      <c r="Z75" s="55">
        <f t="shared" si="21"/>
        <v>312</v>
      </c>
      <c r="AA75" s="55">
        <f t="shared" si="22"/>
        <v>0</v>
      </c>
      <c r="AB75" s="55">
        <f t="shared" si="23"/>
        <v>209.84158847916217</v>
      </c>
      <c r="AC75" s="54">
        <f t="shared" si="24"/>
        <v>0.40211741093828407</v>
      </c>
      <c r="AD75" s="56">
        <f>INDEX(Assumptions!$B$14:$B$16,MATCH($R75,Assumptions!$A$14:$A$16,0))</f>
        <v>0.32</v>
      </c>
      <c r="AE75" s="56">
        <f>INDEX(Assumptions!$C$14:$C$16,MATCH($R75,Assumptions!$A$14:$A$16,0))</f>
        <v>0.22</v>
      </c>
      <c r="AF75" s="49">
        <f t="shared" si="25"/>
        <v>0</v>
      </c>
      <c r="AG75" s="49">
        <f t="shared" si="26"/>
        <v>0</v>
      </c>
      <c r="AH75" s="55">
        <f t="shared" si="27"/>
        <v>0</v>
      </c>
    </row>
    <row r="76" spans="1:34" x14ac:dyDescent="0.2">
      <c r="A76" s="48" t="s">
        <v>357</v>
      </c>
      <c r="B76" s="48">
        <v>1</v>
      </c>
      <c r="C76" s="48" t="s">
        <v>308</v>
      </c>
      <c r="D76" s="48" t="s">
        <v>272</v>
      </c>
      <c r="E76" s="48" t="s">
        <v>358</v>
      </c>
      <c r="F76" s="48" t="s">
        <v>274</v>
      </c>
      <c r="G76" s="48" t="s">
        <v>288</v>
      </c>
      <c r="H76" s="48" t="s">
        <v>62</v>
      </c>
      <c r="I76" s="48" t="s">
        <v>113</v>
      </c>
      <c r="J76" s="49">
        <v>6</v>
      </c>
      <c r="K76" s="50">
        <v>1740</v>
      </c>
      <c r="L76" s="50">
        <v>1717.85</v>
      </c>
      <c r="M76" s="48" t="s">
        <v>276</v>
      </c>
      <c r="N76" s="51">
        <v>1</v>
      </c>
      <c r="O76" s="51">
        <v>1</v>
      </c>
      <c r="P76" s="52">
        <v>1484.8</v>
      </c>
      <c r="Q76" s="52">
        <v>1484.8</v>
      </c>
      <c r="R76" s="53" t="str">
        <f>INDEX(SKU_Master!$D$5:$D$34,MATCH($I76,SKU_Master!$A$5:$A$34,0))</f>
        <v>Laptop</v>
      </c>
      <c r="S76" s="54">
        <f t="shared" si="14"/>
        <v>1.2729885057471302E-2</v>
      </c>
      <c r="T76" s="55">
        <f t="shared" si="15"/>
        <v>10440</v>
      </c>
      <c r="U76" s="55">
        <f t="shared" si="16"/>
        <v>10307.099999999999</v>
      </c>
      <c r="V76" s="55">
        <f t="shared" si="17"/>
        <v>-132.90000000000146</v>
      </c>
      <c r="W76" s="55">
        <f t="shared" si="18"/>
        <v>10307.099999999999</v>
      </c>
      <c r="X76" s="55">
        <f t="shared" si="19"/>
        <v>0</v>
      </c>
      <c r="Y76" s="55">
        <f t="shared" si="20"/>
        <v>8908.7999999999993</v>
      </c>
      <c r="Z76" s="55">
        <f t="shared" si="21"/>
        <v>8908.7999999999993</v>
      </c>
      <c r="AA76" s="55">
        <f t="shared" si="22"/>
        <v>0</v>
      </c>
      <c r="AB76" s="55">
        <f t="shared" si="23"/>
        <v>1398.2999999999993</v>
      </c>
      <c r="AC76" s="54">
        <f t="shared" si="24"/>
        <v>0.1356637657537037</v>
      </c>
      <c r="AD76" s="56">
        <f>INDEX(Assumptions!$B$14:$B$16,MATCH($R76,Assumptions!$A$14:$A$16,0))</f>
        <v>0.12</v>
      </c>
      <c r="AE76" s="56">
        <f>INDEX(Assumptions!$C$14:$C$16,MATCH($R76,Assumptions!$A$14:$A$16,0))</f>
        <v>0.08</v>
      </c>
      <c r="AF76" s="49">
        <f t="shared" si="25"/>
        <v>0</v>
      </c>
      <c r="AG76" s="49">
        <f t="shared" si="26"/>
        <v>0</v>
      </c>
      <c r="AH76" s="55">
        <f t="shared" si="27"/>
        <v>0</v>
      </c>
    </row>
    <row r="77" spans="1:34" x14ac:dyDescent="0.2">
      <c r="A77" s="48" t="s">
        <v>357</v>
      </c>
      <c r="B77" s="48">
        <v>2</v>
      </c>
      <c r="C77" s="48" t="s">
        <v>308</v>
      </c>
      <c r="D77" s="48" t="s">
        <v>272</v>
      </c>
      <c r="E77" s="48" t="s">
        <v>358</v>
      </c>
      <c r="F77" s="48" t="s">
        <v>274</v>
      </c>
      <c r="G77" s="48" t="s">
        <v>288</v>
      </c>
      <c r="H77" s="48" t="s">
        <v>62</v>
      </c>
      <c r="I77" s="48" t="s">
        <v>138</v>
      </c>
      <c r="J77" s="49">
        <v>3</v>
      </c>
      <c r="K77" s="50">
        <v>455</v>
      </c>
      <c r="L77" s="50">
        <v>446.39</v>
      </c>
      <c r="M77" s="48" t="s">
        <v>276</v>
      </c>
      <c r="N77" s="51">
        <v>1</v>
      </c>
      <c r="O77" s="51">
        <v>1</v>
      </c>
      <c r="P77" s="52">
        <v>358.2</v>
      </c>
      <c r="Q77" s="52">
        <v>358.2</v>
      </c>
      <c r="R77" s="53" t="str">
        <f>INDEX(SKU_Master!$D$5:$D$34,MATCH($I77,SKU_Master!$A$5:$A$34,0))</f>
        <v>Monitor</v>
      </c>
      <c r="S77" s="54">
        <f t="shared" si="14"/>
        <v>1.8923076923076931E-2</v>
      </c>
      <c r="T77" s="55">
        <f t="shared" si="15"/>
        <v>1365</v>
      </c>
      <c r="U77" s="55">
        <f t="shared" si="16"/>
        <v>1339.17</v>
      </c>
      <c r="V77" s="55">
        <f t="shared" si="17"/>
        <v>-25.829999999999927</v>
      </c>
      <c r="W77" s="55">
        <f t="shared" si="18"/>
        <v>1339.17</v>
      </c>
      <c r="X77" s="55">
        <f t="shared" si="19"/>
        <v>0</v>
      </c>
      <c r="Y77" s="55">
        <f t="shared" si="20"/>
        <v>1074.5999999999999</v>
      </c>
      <c r="Z77" s="55">
        <f t="shared" si="21"/>
        <v>1074.5999999999999</v>
      </c>
      <c r="AA77" s="55">
        <f t="shared" si="22"/>
        <v>0</v>
      </c>
      <c r="AB77" s="55">
        <f t="shared" si="23"/>
        <v>264.57000000000016</v>
      </c>
      <c r="AC77" s="54">
        <f t="shared" si="24"/>
        <v>0.19756266941463754</v>
      </c>
      <c r="AD77" s="56">
        <f>INDEX(Assumptions!$B$14:$B$16,MATCH($R77,Assumptions!$A$14:$A$16,0))</f>
        <v>0.18</v>
      </c>
      <c r="AE77" s="56">
        <f>INDEX(Assumptions!$C$14:$C$16,MATCH($R77,Assumptions!$A$14:$A$16,0))</f>
        <v>0.12</v>
      </c>
      <c r="AF77" s="49">
        <f t="shared" si="25"/>
        <v>0</v>
      </c>
      <c r="AG77" s="49">
        <f t="shared" si="26"/>
        <v>0</v>
      </c>
      <c r="AH77" s="55">
        <f t="shared" si="27"/>
        <v>0</v>
      </c>
    </row>
    <row r="78" spans="1:34" x14ac:dyDescent="0.2">
      <c r="A78" s="48" t="s">
        <v>359</v>
      </c>
      <c r="B78" s="48">
        <v>1</v>
      </c>
      <c r="C78" s="48" t="s">
        <v>338</v>
      </c>
      <c r="D78" s="48" t="s">
        <v>272</v>
      </c>
      <c r="E78" s="48" t="s">
        <v>360</v>
      </c>
      <c r="F78" s="48" t="s">
        <v>280</v>
      </c>
      <c r="G78" s="48" t="s">
        <v>275</v>
      </c>
      <c r="H78" s="48" t="s">
        <v>68</v>
      </c>
      <c r="I78" s="48" t="s">
        <v>110</v>
      </c>
      <c r="J78" s="49">
        <v>12</v>
      </c>
      <c r="K78" s="50">
        <v>1645</v>
      </c>
      <c r="L78" s="50">
        <v>1574.4</v>
      </c>
      <c r="M78" s="48" t="s">
        <v>276</v>
      </c>
      <c r="N78" s="51">
        <v>1.37</v>
      </c>
      <c r="O78" s="51">
        <v>1.3624000000000001</v>
      </c>
      <c r="P78" s="52">
        <v>1004.65</v>
      </c>
      <c r="Q78" s="52">
        <v>1004.65</v>
      </c>
      <c r="R78" s="53" t="str">
        <f>INDEX(SKU_Master!$D$5:$D$34,MATCH($I78,SKU_Master!$A$5:$A$34,0))</f>
        <v>Laptop</v>
      </c>
      <c r="S78" s="54">
        <f t="shared" si="14"/>
        <v>4.2917933130699026E-2</v>
      </c>
      <c r="T78" s="55">
        <f t="shared" si="15"/>
        <v>14408.75912408759</v>
      </c>
      <c r="U78" s="55">
        <f t="shared" si="16"/>
        <v>13790.364963503651</v>
      </c>
      <c r="V78" s="55">
        <f t="shared" si="17"/>
        <v>-618.39416058393908</v>
      </c>
      <c r="W78" s="55">
        <f t="shared" si="18"/>
        <v>13867.293012331182</v>
      </c>
      <c r="X78" s="55">
        <f t="shared" si="19"/>
        <v>76.928048827530802</v>
      </c>
      <c r="Y78" s="55">
        <f t="shared" si="20"/>
        <v>12055.8</v>
      </c>
      <c r="Z78" s="55">
        <f t="shared" si="21"/>
        <v>12055.8</v>
      </c>
      <c r="AA78" s="55">
        <f t="shared" si="22"/>
        <v>0</v>
      </c>
      <c r="AB78" s="55">
        <f t="shared" si="23"/>
        <v>1811.4930123311824</v>
      </c>
      <c r="AC78" s="54">
        <f t="shared" si="24"/>
        <v>0.13063061483739852</v>
      </c>
      <c r="AD78" s="56">
        <f>INDEX(Assumptions!$B$14:$B$16,MATCH($R78,Assumptions!$A$14:$A$16,0))</f>
        <v>0.12</v>
      </c>
      <c r="AE78" s="56">
        <f>INDEX(Assumptions!$C$14:$C$16,MATCH($R78,Assumptions!$A$14:$A$16,0))</f>
        <v>0.08</v>
      </c>
      <c r="AF78" s="49">
        <f t="shared" si="25"/>
        <v>0</v>
      </c>
      <c r="AG78" s="49">
        <f t="shared" si="26"/>
        <v>0</v>
      </c>
      <c r="AH78" s="55">
        <f t="shared" si="27"/>
        <v>0</v>
      </c>
    </row>
    <row r="79" spans="1:34" x14ac:dyDescent="0.2">
      <c r="A79" s="48" t="s">
        <v>359</v>
      </c>
      <c r="B79" s="48">
        <v>2</v>
      </c>
      <c r="C79" s="48" t="s">
        <v>338</v>
      </c>
      <c r="D79" s="48" t="s">
        <v>272</v>
      </c>
      <c r="E79" s="48" t="s">
        <v>360</v>
      </c>
      <c r="F79" s="48" t="s">
        <v>280</v>
      </c>
      <c r="G79" s="48" t="s">
        <v>275</v>
      </c>
      <c r="H79" s="48" t="s">
        <v>68</v>
      </c>
      <c r="I79" s="48" t="s">
        <v>151</v>
      </c>
      <c r="J79" s="49">
        <v>9</v>
      </c>
      <c r="K79" s="50">
        <v>475</v>
      </c>
      <c r="L79" s="50">
        <v>463.53</v>
      </c>
      <c r="M79" s="48" t="s">
        <v>276</v>
      </c>
      <c r="N79" s="51">
        <v>1.37</v>
      </c>
      <c r="O79" s="51">
        <v>1.3624000000000001</v>
      </c>
      <c r="P79" s="52">
        <v>219.7</v>
      </c>
      <c r="Q79" s="52">
        <v>219.7</v>
      </c>
      <c r="R79" s="53" t="str">
        <f>INDEX(SKU_Master!$D$5:$D$34,MATCH($I79,SKU_Master!$A$5:$A$34,0))</f>
        <v>Accessory</v>
      </c>
      <c r="S79" s="54">
        <f t="shared" si="14"/>
        <v>2.4147368421052695E-2</v>
      </c>
      <c r="T79" s="55">
        <f t="shared" si="15"/>
        <v>3120.4379562043791</v>
      </c>
      <c r="U79" s="55">
        <f t="shared" si="16"/>
        <v>3045.0875912408756</v>
      </c>
      <c r="V79" s="55">
        <f t="shared" si="17"/>
        <v>-75.35036496350358</v>
      </c>
      <c r="W79" s="55">
        <f t="shared" si="18"/>
        <v>3062.0742806811504</v>
      </c>
      <c r="X79" s="55">
        <f t="shared" si="19"/>
        <v>16.986689440274858</v>
      </c>
      <c r="Y79" s="55">
        <f t="shared" si="20"/>
        <v>1977.3</v>
      </c>
      <c r="Z79" s="55">
        <f t="shared" si="21"/>
        <v>1977.3</v>
      </c>
      <c r="AA79" s="55">
        <f t="shared" si="22"/>
        <v>0</v>
      </c>
      <c r="AB79" s="55">
        <f t="shared" si="23"/>
        <v>1084.7742806811505</v>
      </c>
      <c r="AC79" s="54">
        <f t="shared" si="24"/>
        <v>0.3542612560136344</v>
      </c>
      <c r="AD79" s="56">
        <f>INDEX(Assumptions!$B$14:$B$16,MATCH($R79,Assumptions!$A$14:$A$16,0))</f>
        <v>0.32</v>
      </c>
      <c r="AE79" s="56">
        <f>INDEX(Assumptions!$C$14:$C$16,MATCH($R79,Assumptions!$A$14:$A$16,0))</f>
        <v>0.22</v>
      </c>
      <c r="AF79" s="49">
        <f t="shared" si="25"/>
        <v>0</v>
      </c>
      <c r="AG79" s="49">
        <f t="shared" si="26"/>
        <v>0</v>
      </c>
      <c r="AH79" s="55">
        <f t="shared" si="27"/>
        <v>0</v>
      </c>
    </row>
    <row r="80" spans="1:34" x14ac:dyDescent="0.2">
      <c r="A80" s="48" t="s">
        <v>361</v>
      </c>
      <c r="B80" s="48">
        <v>1</v>
      </c>
      <c r="C80" s="48" t="s">
        <v>316</v>
      </c>
      <c r="D80" s="48" t="s">
        <v>272</v>
      </c>
      <c r="E80" s="48" t="s">
        <v>362</v>
      </c>
      <c r="F80" s="48" t="s">
        <v>280</v>
      </c>
      <c r="G80" s="48" t="s">
        <v>275</v>
      </c>
      <c r="H80" s="48" t="s">
        <v>62</v>
      </c>
      <c r="I80" s="48" t="s">
        <v>101</v>
      </c>
      <c r="J80" s="49">
        <v>28</v>
      </c>
      <c r="K80" s="50">
        <v>3440</v>
      </c>
      <c r="L80" s="50">
        <v>3354.08</v>
      </c>
      <c r="M80" s="48" t="s">
        <v>276</v>
      </c>
      <c r="N80" s="51">
        <v>1</v>
      </c>
      <c r="O80" s="51">
        <v>1</v>
      </c>
      <c r="P80" s="52">
        <v>2938.5</v>
      </c>
      <c r="Q80" s="52">
        <v>2938.5</v>
      </c>
      <c r="R80" s="53" t="str">
        <f>INDEX(SKU_Master!$D$5:$D$34,MATCH($I80,SKU_Master!$A$5:$A$34,0))</f>
        <v>Laptop</v>
      </c>
      <c r="S80" s="54">
        <f t="shared" si="14"/>
        <v>2.4976744186046562E-2</v>
      </c>
      <c r="T80" s="55">
        <f t="shared" si="15"/>
        <v>96320</v>
      </c>
      <c r="U80" s="55">
        <f t="shared" si="16"/>
        <v>93914.239999999991</v>
      </c>
      <c r="V80" s="55">
        <f t="shared" si="17"/>
        <v>-2405.7600000000093</v>
      </c>
      <c r="W80" s="55">
        <f t="shared" si="18"/>
        <v>93914.239999999991</v>
      </c>
      <c r="X80" s="55">
        <f t="shared" si="19"/>
        <v>0</v>
      </c>
      <c r="Y80" s="55">
        <f t="shared" si="20"/>
        <v>82278</v>
      </c>
      <c r="Z80" s="55">
        <f t="shared" si="21"/>
        <v>82278</v>
      </c>
      <c r="AA80" s="55">
        <f t="shared" si="22"/>
        <v>0</v>
      </c>
      <c r="AB80" s="55">
        <f t="shared" si="23"/>
        <v>11636.239999999991</v>
      </c>
      <c r="AC80" s="54">
        <f t="shared" si="24"/>
        <v>0.12390282879358862</v>
      </c>
      <c r="AD80" s="56">
        <f>INDEX(Assumptions!$B$14:$B$16,MATCH($R80,Assumptions!$A$14:$A$16,0))</f>
        <v>0.12</v>
      </c>
      <c r="AE80" s="56">
        <f>INDEX(Assumptions!$C$14:$C$16,MATCH($R80,Assumptions!$A$14:$A$16,0))</f>
        <v>0.08</v>
      </c>
      <c r="AF80" s="49">
        <f t="shared" si="25"/>
        <v>0</v>
      </c>
      <c r="AG80" s="49">
        <f t="shared" si="26"/>
        <v>0</v>
      </c>
      <c r="AH80" s="55">
        <f t="shared" si="27"/>
        <v>0</v>
      </c>
    </row>
    <row r="81" spans="1:34" x14ac:dyDescent="0.2">
      <c r="A81" s="48" t="s">
        <v>361</v>
      </c>
      <c r="B81" s="48">
        <v>2</v>
      </c>
      <c r="C81" s="48" t="s">
        <v>316</v>
      </c>
      <c r="D81" s="48" t="s">
        <v>272</v>
      </c>
      <c r="E81" s="48" t="s">
        <v>362</v>
      </c>
      <c r="F81" s="48" t="s">
        <v>280</v>
      </c>
      <c r="G81" s="48" t="s">
        <v>275</v>
      </c>
      <c r="H81" s="48" t="s">
        <v>62</v>
      </c>
      <c r="I81" s="48" t="s">
        <v>141</v>
      </c>
      <c r="J81" s="49">
        <v>25</v>
      </c>
      <c r="K81" s="50">
        <v>450</v>
      </c>
      <c r="L81" s="50">
        <v>439.01</v>
      </c>
      <c r="M81" s="48" t="s">
        <v>276</v>
      </c>
      <c r="N81" s="51">
        <v>1</v>
      </c>
      <c r="O81" s="51">
        <v>1</v>
      </c>
      <c r="P81" s="52">
        <v>351.7</v>
      </c>
      <c r="Q81" s="52">
        <v>351.7</v>
      </c>
      <c r="R81" s="53" t="str">
        <f>INDEX(SKU_Master!$D$5:$D$34,MATCH($I81,SKU_Master!$A$5:$A$34,0))</f>
        <v>Monitor</v>
      </c>
      <c r="S81" s="54">
        <f t="shared" si="14"/>
        <v>2.4422222222222234E-2</v>
      </c>
      <c r="T81" s="55">
        <f t="shared" si="15"/>
        <v>11250</v>
      </c>
      <c r="U81" s="55">
        <f t="shared" si="16"/>
        <v>10975.25</v>
      </c>
      <c r="V81" s="55">
        <f t="shared" si="17"/>
        <v>-274.75</v>
      </c>
      <c r="W81" s="55">
        <f t="shared" si="18"/>
        <v>10975.25</v>
      </c>
      <c r="X81" s="55">
        <f t="shared" si="19"/>
        <v>0</v>
      </c>
      <c r="Y81" s="55">
        <f t="shared" si="20"/>
        <v>8792.5</v>
      </c>
      <c r="Z81" s="55">
        <f t="shared" si="21"/>
        <v>8792.5</v>
      </c>
      <c r="AA81" s="55">
        <f t="shared" si="22"/>
        <v>0</v>
      </c>
      <c r="AB81" s="55">
        <f t="shared" si="23"/>
        <v>2182.75</v>
      </c>
      <c r="AC81" s="54">
        <f t="shared" si="24"/>
        <v>0.19887929659916631</v>
      </c>
      <c r="AD81" s="56">
        <f>INDEX(Assumptions!$B$14:$B$16,MATCH($R81,Assumptions!$A$14:$A$16,0))</f>
        <v>0.18</v>
      </c>
      <c r="AE81" s="56">
        <f>INDEX(Assumptions!$C$14:$C$16,MATCH($R81,Assumptions!$A$14:$A$16,0))</f>
        <v>0.12</v>
      </c>
      <c r="AF81" s="49">
        <f t="shared" si="25"/>
        <v>0</v>
      </c>
      <c r="AG81" s="49">
        <f t="shared" si="26"/>
        <v>0</v>
      </c>
      <c r="AH81" s="55">
        <f t="shared" si="27"/>
        <v>0</v>
      </c>
    </row>
    <row r="82" spans="1:34" x14ac:dyDescent="0.2">
      <c r="A82" s="48" t="s">
        <v>361</v>
      </c>
      <c r="B82" s="48">
        <v>3</v>
      </c>
      <c r="C82" s="48" t="s">
        <v>316</v>
      </c>
      <c r="D82" s="48" t="s">
        <v>272</v>
      </c>
      <c r="E82" s="48" t="s">
        <v>362</v>
      </c>
      <c r="F82" s="48" t="s">
        <v>280</v>
      </c>
      <c r="G82" s="48" t="s">
        <v>275</v>
      </c>
      <c r="H82" s="48" t="s">
        <v>62</v>
      </c>
      <c r="I82" s="48" t="s">
        <v>161</v>
      </c>
      <c r="J82" s="49">
        <v>16</v>
      </c>
      <c r="K82" s="50">
        <v>120</v>
      </c>
      <c r="L82" s="50">
        <v>116.33</v>
      </c>
      <c r="M82" s="48" t="s">
        <v>276</v>
      </c>
      <c r="N82" s="51">
        <v>1</v>
      </c>
      <c r="O82" s="51">
        <v>1</v>
      </c>
      <c r="P82" s="52">
        <v>76</v>
      </c>
      <c r="Q82" s="52">
        <v>76</v>
      </c>
      <c r="R82" s="53" t="str">
        <f>INDEX(SKU_Master!$D$5:$D$34,MATCH($I82,SKU_Master!$A$5:$A$34,0))</f>
        <v>Accessory</v>
      </c>
      <c r="S82" s="54">
        <f t="shared" si="14"/>
        <v>3.0583333333333296E-2</v>
      </c>
      <c r="T82" s="55">
        <f t="shared" si="15"/>
        <v>1920</v>
      </c>
      <c r="U82" s="55">
        <f t="shared" si="16"/>
        <v>1861.28</v>
      </c>
      <c r="V82" s="55">
        <f t="shared" si="17"/>
        <v>-58.720000000000027</v>
      </c>
      <c r="W82" s="55">
        <f t="shared" si="18"/>
        <v>1861.28</v>
      </c>
      <c r="X82" s="55">
        <f t="shared" si="19"/>
        <v>0</v>
      </c>
      <c r="Y82" s="55">
        <f t="shared" si="20"/>
        <v>1216</v>
      </c>
      <c r="Z82" s="55">
        <f t="shared" si="21"/>
        <v>1216</v>
      </c>
      <c r="AA82" s="55">
        <f t="shared" si="22"/>
        <v>0</v>
      </c>
      <c r="AB82" s="55">
        <f t="shared" si="23"/>
        <v>645.28</v>
      </c>
      <c r="AC82" s="54">
        <f t="shared" si="24"/>
        <v>0.34668615146565801</v>
      </c>
      <c r="AD82" s="56">
        <f>INDEX(Assumptions!$B$14:$B$16,MATCH($R82,Assumptions!$A$14:$A$16,0))</f>
        <v>0.32</v>
      </c>
      <c r="AE82" s="56">
        <f>INDEX(Assumptions!$C$14:$C$16,MATCH($R82,Assumptions!$A$14:$A$16,0))</f>
        <v>0.22</v>
      </c>
      <c r="AF82" s="49">
        <f t="shared" si="25"/>
        <v>0</v>
      </c>
      <c r="AG82" s="49">
        <f t="shared" si="26"/>
        <v>0</v>
      </c>
      <c r="AH82" s="55">
        <f t="shared" si="27"/>
        <v>0</v>
      </c>
    </row>
    <row r="83" spans="1:34" x14ac:dyDescent="0.2">
      <c r="A83" s="48" t="s">
        <v>363</v>
      </c>
      <c r="B83" s="48">
        <v>1</v>
      </c>
      <c r="C83" s="48" t="s">
        <v>271</v>
      </c>
      <c r="D83" s="48" t="s">
        <v>272</v>
      </c>
      <c r="E83" s="48" t="s">
        <v>333</v>
      </c>
      <c r="F83" s="48" t="s">
        <v>297</v>
      </c>
      <c r="G83" s="48" t="s">
        <v>302</v>
      </c>
      <c r="H83" s="48" t="s">
        <v>70</v>
      </c>
      <c r="I83" s="48" t="s">
        <v>106</v>
      </c>
      <c r="J83" s="49">
        <v>35</v>
      </c>
      <c r="K83" s="50">
        <v>147165</v>
      </c>
      <c r="L83" s="50">
        <v>137950.56</v>
      </c>
      <c r="M83" s="48" t="s">
        <v>276</v>
      </c>
      <c r="N83" s="51">
        <v>83.5</v>
      </c>
      <c r="O83" s="51">
        <v>83.820400000000006</v>
      </c>
      <c r="P83" s="52">
        <v>1476.24</v>
      </c>
      <c r="Q83" s="52">
        <v>1496.24</v>
      </c>
      <c r="R83" s="53" t="str">
        <f>INDEX(SKU_Master!$D$5:$D$34,MATCH($I83,SKU_Master!$A$5:$A$34,0))</f>
        <v>Laptop</v>
      </c>
      <c r="S83" s="54">
        <f t="shared" si="14"/>
        <v>6.2612985424523537E-2</v>
      </c>
      <c r="T83" s="55">
        <f t="shared" si="15"/>
        <v>61685.928143712576</v>
      </c>
      <c r="U83" s="55">
        <f t="shared" si="16"/>
        <v>57823.588023952092</v>
      </c>
      <c r="V83" s="55">
        <f t="shared" si="17"/>
        <v>-3862.3401197604835</v>
      </c>
      <c r="W83" s="55">
        <f t="shared" si="18"/>
        <v>57602.559758722215</v>
      </c>
      <c r="X83" s="55">
        <f t="shared" si="19"/>
        <v>-221.02826522987743</v>
      </c>
      <c r="Y83" s="55">
        <f t="shared" si="20"/>
        <v>51668.4</v>
      </c>
      <c r="Z83" s="55">
        <f t="shared" si="21"/>
        <v>52368.4</v>
      </c>
      <c r="AA83" s="55">
        <f t="shared" si="22"/>
        <v>-700</v>
      </c>
      <c r="AB83" s="55">
        <f t="shared" si="23"/>
        <v>5234.1597587222132</v>
      </c>
      <c r="AC83" s="54">
        <f t="shared" si="24"/>
        <v>9.0866791001065775E-2</v>
      </c>
      <c r="AD83" s="56">
        <f>INDEX(Assumptions!$B$14:$B$16,MATCH($R83,Assumptions!$A$14:$A$16,0))</f>
        <v>0.12</v>
      </c>
      <c r="AE83" s="56">
        <f>INDEX(Assumptions!$C$14:$C$16,MATCH($R83,Assumptions!$A$14:$A$16,0))</f>
        <v>0.08</v>
      </c>
      <c r="AF83" s="49">
        <f t="shared" si="25"/>
        <v>0</v>
      </c>
      <c r="AG83" s="49">
        <f t="shared" si="26"/>
        <v>0</v>
      </c>
      <c r="AH83" s="55">
        <f t="shared" si="27"/>
        <v>1678.1474123244525</v>
      </c>
    </row>
    <row r="84" spans="1:34" x14ac:dyDescent="0.2">
      <c r="A84" s="48" t="s">
        <v>363</v>
      </c>
      <c r="B84" s="48">
        <v>2</v>
      </c>
      <c r="C84" s="48" t="s">
        <v>271</v>
      </c>
      <c r="D84" s="48" t="s">
        <v>272</v>
      </c>
      <c r="E84" s="48" t="s">
        <v>333</v>
      </c>
      <c r="F84" s="48" t="s">
        <v>297</v>
      </c>
      <c r="G84" s="48" t="s">
        <v>302</v>
      </c>
      <c r="H84" s="48" t="s">
        <v>70</v>
      </c>
      <c r="I84" s="48" t="s">
        <v>144</v>
      </c>
      <c r="J84" s="49">
        <v>32</v>
      </c>
      <c r="K84" s="50">
        <v>39290</v>
      </c>
      <c r="L84" s="50">
        <v>36149.4</v>
      </c>
      <c r="M84" s="48" t="s">
        <v>276</v>
      </c>
      <c r="N84" s="51">
        <v>83.5</v>
      </c>
      <c r="O84" s="51">
        <v>83.820400000000006</v>
      </c>
      <c r="P84" s="52">
        <v>363.71</v>
      </c>
      <c r="Q84" s="52">
        <v>383.71</v>
      </c>
      <c r="R84" s="53" t="str">
        <f>INDEX(SKU_Master!$D$5:$D$34,MATCH($I84,SKU_Master!$A$5:$A$34,0))</f>
        <v>Monitor</v>
      </c>
      <c r="S84" s="54">
        <f t="shared" si="14"/>
        <v>7.9933825400865355E-2</v>
      </c>
      <c r="T84" s="55">
        <f t="shared" si="15"/>
        <v>15057.245508982036</v>
      </c>
      <c r="U84" s="55">
        <f t="shared" si="16"/>
        <v>13853.662275449102</v>
      </c>
      <c r="V84" s="55">
        <f t="shared" si="17"/>
        <v>-1203.5832335329342</v>
      </c>
      <c r="W84" s="55">
        <f t="shared" si="18"/>
        <v>13800.707226403119</v>
      </c>
      <c r="X84" s="55">
        <f t="shared" si="19"/>
        <v>-52.955049045982378</v>
      </c>
      <c r="Y84" s="55">
        <f t="shared" si="20"/>
        <v>11638.72</v>
      </c>
      <c r="Z84" s="55">
        <f t="shared" si="21"/>
        <v>12278.72</v>
      </c>
      <c r="AA84" s="55">
        <f t="shared" si="22"/>
        <v>-640</v>
      </c>
      <c r="AB84" s="55">
        <f t="shared" si="23"/>
        <v>1521.9872264031201</v>
      </c>
      <c r="AC84" s="54">
        <f t="shared" si="24"/>
        <v>0.11028327762009889</v>
      </c>
      <c r="AD84" s="56">
        <f>INDEX(Assumptions!$B$14:$B$16,MATCH($R84,Assumptions!$A$14:$A$16,0))</f>
        <v>0.18</v>
      </c>
      <c r="AE84" s="56">
        <f>INDEX(Assumptions!$C$14:$C$16,MATCH($R84,Assumptions!$A$14:$A$16,0))</f>
        <v>0.12</v>
      </c>
      <c r="AF84" s="49">
        <f t="shared" si="25"/>
        <v>1</v>
      </c>
      <c r="AG84" s="49">
        <f t="shared" si="26"/>
        <v>1</v>
      </c>
      <c r="AH84" s="55">
        <f t="shared" si="27"/>
        <v>962.14007434944142</v>
      </c>
    </row>
    <row r="85" spans="1:34" x14ac:dyDescent="0.2">
      <c r="A85" s="48" t="s">
        <v>363</v>
      </c>
      <c r="B85" s="48">
        <v>3</v>
      </c>
      <c r="C85" s="48" t="s">
        <v>271</v>
      </c>
      <c r="D85" s="48" t="s">
        <v>272</v>
      </c>
      <c r="E85" s="48" t="s">
        <v>333</v>
      </c>
      <c r="F85" s="48" t="s">
        <v>297</v>
      </c>
      <c r="G85" s="48" t="s">
        <v>302</v>
      </c>
      <c r="H85" s="48" t="s">
        <v>70</v>
      </c>
      <c r="I85" s="48" t="s">
        <v>161</v>
      </c>
      <c r="J85" s="49">
        <v>26</v>
      </c>
      <c r="K85" s="50">
        <v>12195</v>
      </c>
      <c r="L85" s="50">
        <v>11328.76</v>
      </c>
      <c r="M85" s="48" t="s">
        <v>276</v>
      </c>
      <c r="N85" s="51">
        <v>83.5</v>
      </c>
      <c r="O85" s="51">
        <v>83.820400000000006</v>
      </c>
      <c r="P85" s="52">
        <v>92.7</v>
      </c>
      <c r="Q85" s="52">
        <v>97.7</v>
      </c>
      <c r="R85" s="53" t="str">
        <f>INDEX(SKU_Master!$D$5:$D$34,MATCH($I85,SKU_Master!$A$5:$A$34,0))</f>
        <v>Accessory</v>
      </c>
      <c r="S85" s="54">
        <f t="shared" si="14"/>
        <v>7.1032390323903183E-2</v>
      </c>
      <c r="T85" s="55">
        <f t="shared" si="15"/>
        <v>3797.245508982036</v>
      </c>
      <c r="U85" s="55">
        <f t="shared" si="16"/>
        <v>3527.5180838323354</v>
      </c>
      <c r="V85" s="55">
        <f t="shared" si="17"/>
        <v>-269.72742514970059</v>
      </c>
      <c r="W85" s="55">
        <f t="shared" si="18"/>
        <v>3514.0342923679677</v>
      </c>
      <c r="X85" s="55">
        <f t="shared" si="19"/>
        <v>-13.483791464367641</v>
      </c>
      <c r="Y85" s="55">
        <f t="shared" si="20"/>
        <v>2410.2000000000003</v>
      </c>
      <c r="Z85" s="55">
        <f t="shared" si="21"/>
        <v>2540.2000000000003</v>
      </c>
      <c r="AA85" s="55">
        <f t="shared" si="22"/>
        <v>-130</v>
      </c>
      <c r="AB85" s="55">
        <f t="shared" si="23"/>
        <v>973.83429236796746</v>
      </c>
      <c r="AC85" s="54">
        <f t="shared" si="24"/>
        <v>0.27712714542456535</v>
      </c>
      <c r="AD85" s="56">
        <f>INDEX(Assumptions!$B$14:$B$16,MATCH($R85,Assumptions!$A$14:$A$16,0))</f>
        <v>0.32</v>
      </c>
      <c r="AE85" s="56">
        <f>INDEX(Assumptions!$C$14:$C$16,MATCH($R85,Assumptions!$A$14:$A$16,0))</f>
        <v>0.22</v>
      </c>
      <c r="AF85" s="49">
        <f t="shared" si="25"/>
        <v>0</v>
      </c>
      <c r="AG85" s="49">
        <f t="shared" si="26"/>
        <v>0</v>
      </c>
      <c r="AH85" s="55">
        <f t="shared" si="27"/>
        <v>150.65668118978215</v>
      </c>
    </row>
    <row r="86" spans="1:34" x14ac:dyDescent="0.2">
      <c r="A86" s="48" t="s">
        <v>364</v>
      </c>
      <c r="B86" s="48">
        <v>1</v>
      </c>
      <c r="C86" s="48" t="s">
        <v>300</v>
      </c>
      <c r="D86" s="48" t="s">
        <v>272</v>
      </c>
      <c r="E86" s="48" t="s">
        <v>322</v>
      </c>
      <c r="F86" s="48" t="s">
        <v>274</v>
      </c>
      <c r="G86" s="48" t="s">
        <v>288</v>
      </c>
      <c r="H86" s="48" t="s">
        <v>62</v>
      </c>
      <c r="I86" s="48" t="s">
        <v>108</v>
      </c>
      <c r="J86" s="49">
        <v>8</v>
      </c>
      <c r="K86" s="50">
        <v>1345</v>
      </c>
      <c r="L86" s="50">
        <v>1323.48</v>
      </c>
      <c r="M86" s="48" t="s">
        <v>276</v>
      </c>
      <c r="N86" s="51">
        <v>1</v>
      </c>
      <c r="O86" s="51">
        <v>1</v>
      </c>
      <c r="P86" s="52">
        <v>1145</v>
      </c>
      <c r="Q86" s="52">
        <v>1145</v>
      </c>
      <c r="R86" s="53" t="str">
        <f>INDEX(SKU_Master!$D$5:$D$34,MATCH($I86,SKU_Master!$A$5:$A$34,0))</f>
        <v>Laptop</v>
      </c>
      <c r="S86" s="54">
        <f t="shared" si="14"/>
        <v>1.6000000000000014E-2</v>
      </c>
      <c r="T86" s="55">
        <f t="shared" si="15"/>
        <v>10760</v>
      </c>
      <c r="U86" s="55">
        <f t="shared" si="16"/>
        <v>10587.84</v>
      </c>
      <c r="V86" s="55">
        <f t="shared" si="17"/>
        <v>-172.15999999999985</v>
      </c>
      <c r="W86" s="55">
        <f t="shared" si="18"/>
        <v>10587.84</v>
      </c>
      <c r="X86" s="55">
        <f t="shared" si="19"/>
        <v>0</v>
      </c>
      <c r="Y86" s="55">
        <f t="shared" si="20"/>
        <v>9160</v>
      </c>
      <c r="Z86" s="55">
        <f t="shared" si="21"/>
        <v>9160</v>
      </c>
      <c r="AA86" s="55">
        <f t="shared" si="22"/>
        <v>0</v>
      </c>
      <c r="AB86" s="55">
        <f t="shared" si="23"/>
        <v>1427.8400000000001</v>
      </c>
      <c r="AC86" s="54">
        <f t="shared" si="24"/>
        <v>0.13485659020158977</v>
      </c>
      <c r="AD86" s="56">
        <f>INDEX(Assumptions!$B$14:$B$16,MATCH($R86,Assumptions!$A$14:$A$16,0))</f>
        <v>0.12</v>
      </c>
      <c r="AE86" s="56">
        <f>INDEX(Assumptions!$C$14:$C$16,MATCH($R86,Assumptions!$A$14:$A$16,0))</f>
        <v>0.08</v>
      </c>
      <c r="AF86" s="49">
        <f t="shared" si="25"/>
        <v>0</v>
      </c>
      <c r="AG86" s="49">
        <f t="shared" si="26"/>
        <v>0</v>
      </c>
      <c r="AH86" s="55">
        <f t="shared" si="27"/>
        <v>0</v>
      </c>
    </row>
    <row r="87" spans="1:34" x14ac:dyDescent="0.2">
      <c r="A87" s="48" t="s">
        <v>365</v>
      </c>
      <c r="B87" s="48">
        <v>1</v>
      </c>
      <c r="C87" s="48" t="s">
        <v>286</v>
      </c>
      <c r="D87" s="48" t="s">
        <v>272</v>
      </c>
      <c r="E87" s="48" t="s">
        <v>366</v>
      </c>
      <c r="F87" s="48" t="s">
        <v>297</v>
      </c>
      <c r="G87" s="48" t="s">
        <v>302</v>
      </c>
      <c r="H87" s="48" t="s">
        <v>66</v>
      </c>
      <c r="I87" s="48" t="s">
        <v>93</v>
      </c>
      <c r="J87" s="49">
        <v>35</v>
      </c>
      <c r="K87" s="50">
        <v>1325</v>
      </c>
      <c r="L87" s="50">
        <v>1296.1099999999999</v>
      </c>
      <c r="M87" s="48" t="s">
        <v>276</v>
      </c>
      <c r="N87" s="51">
        <v>0.92</v>
      </c>
      <c r="O87" s="51">
        <v>0.91659999999999997</v>
      </c>
      <c r="P87" s="52">
        <v>1206.2</v>
      </c>
      <c r="Q87" s="52">
        <v>1206.2</v>
      </c>
      <c r="R87" s="53" t="str">
        <f>INDEX(SKU_Master!$D$5:$D$34,MATCH($I87,SKU_Master!$A$5:$A$34,0))</f>
        <v>Laptop</v>
      </c>
      <c r="S87" s="54">
        <f t="shared" si="14"/>
        <v>2.1803773584905706E-2</v>
      </c>
      <c r="T87" s="55">
        <f t="shared" si="15"/>
        <v>50407.608695652169</v>
      </c>
      <c r="U87" s="55">
        <f t="shared" si="16"/>
        <v>49308.532608695648</v>
      </c>
      <c r="V87" s="55">
        <f t="shared" si="17"/>
        <v>-1099.0760869565202</v>
      </c>
      <c r="W87" s="55">
        <f t="shared" si="18"/>
        <v>49491.435740781148</v>
      </c>
      <c r="X87" s="55">
        <f t="shared" si="19"/>
        <v>182.90313208549924</v>
      </c>
      <c r="Y87" s="55">
        <f t="shared" si="20"/>
        <v>42217</v>
      </c>
      <c r="Z87" s="55">
        <f t="shared" si="21"/>
        <v>42217</v>
      </c>
      <c r="AA87" s="55">
        <f t="shared" si="22"/>
        <v>0</v>
      </c>
      <c r="AB87" s="55">
        <f t="shared" si="23"/>
        <v>7274.4357407811476</v>
      </c>
      <c r="AC87" s="54">
        <f t="shared" si="24"/>
        <v>0.1469837282329432</v>
      </c>
      <c r="AD87" s="56">
        <f>INDEX(Assumptions!$B$14:$B$16,MATCH($R87,Assumptions!$A$14:$A$16,0))</f>
        <v>0.12</v>
      </c>
      <c r="AE87" s="56">
        <f>INDEX(Assumptions!$C$14:$C$16,MATCH($R87,Assumptions!$A$14:$A$16,0))</f>
        <v>0.08</v>
      </c>
      <c r="AF87" s="49">
        <f t="shared" si="25"/>
        <v>0</v>
      </c>
      <c r="AG87" s="49">
        <f t="shared" si="26"/>
        <v>0</v>
      </c>
      <c r="AH87" s="55">
        <f t="shared" si="27"/>
        <v>0</v>
      </c>
    </row>
    <row r="88" spans="1:34" x14ac:dyDescent="0.2">
      <c r="A88" s="48" t="s">
        <v>365</v>
      </c>
      <c r="B88" s="48">
        <v>2</v>
      </c>
      <c r="C88" s="48" t="s">
        <v>286</v>
      </c>
      <c r="D88" s="48" t="s">
        <v>272</v>
      </c>
      <c r="E88" s="48" t="s">
        <v>366</v>
      </c>
      <c r="F88" s="48" t="s">
        <v>297</v>
      </c>
      <c r="G88" s="48" t="s">
        <v>302</v>
      </c>
      <c r="H88" s="48" t="s">
        <v>66</v>
      </c>
      <c r="I88" s="48" t="s">
        <v>151</v>
      </c>
      <c r="J88" s="49">
        <v>21</v>
      </c>
      <c r="K88" s="50">
        <v>325</v>
      </c>
      <c r="L88" s="50">
        <v>306.22000000000003</v>
      </c>
      <c r="M88" s="48" t="s">
        <v>276</v>
      </c>
      <c r="N88" s="51">
        <v>0.92</v>
      </c>
      <c r="O88" s="51">
        <v>0.91659999999999997</v>
      </c>
      <c r="P88" s="52">
        <v>221.7</v>
      </c>
      <c r="Q88" s="52">
        <v>221.7</v>
      </c>
      <c r="R88" s="53" t="str">
        <f>INDEX(SKU_Master!$D$5:$D$34,MATCH($I88,SKU_Master!$A$5:$A$34,0))</f>
        <v>Accessory</v>
      </c>
      <c r="S88" s="54">
        <f t="shared" si="14"/>
        <v>5.7784615384615323E-2</v>
      </c>
      <c r="T88" s="55">
        <f t="shared" si="15"/>
        <v>7418.478260869565</v>
      </c>
      <c r="U88" s="55">
        <f t="shared" si="16"/>
        <v>6989.8043478260879</v>
      </c>
      <c r="V88" s="55">
        <f t="shared" si="17"/>
        <v>-428.67391304347711</v>
      </c>
      <c r="W88" s="55">
        <f t="shared" si="18"/>
        <v>7015.7320532402364</v>
      </c>
      <c r="X88" s="55">
        <f t="shared" si="19"/>
        <v>25.927705414148477</v>
      </c>
      <c r="Y88" s="55">
        <f t="shared" si="20"/>
        <v>4655.7</v>
      </c>
      <c r="Z88" s="55">
        <f t="shared" si="21"/>
        <v>4655.7</v>
      </c>
      <c r="AA88" s="55">
        <f t="shared" si="22"/>
        <v>0</v>
      </c>
      <c r="AB88" s="55">
        <f t="shared" si="23"/>
        <v>2360.0320532402366</v>
      </c>
      <c r="AC88" s="54">
        <f t="shared" si="24"/>
        <v>0.33639141793481819</v>
      </c>
      <c r="AD88" s="56">
        <f>INDEX(Assumptions!$B$14:$B$16,MATCH($R88,Assumptions!$A$14:$A$16,0))</f>
        <v>0.32</v>
      </c>
      <c r="AE88" s="56">
        <f>INDEX(Assumptions!$C$14:$C$16,MATCH($R88,Assumptions!$A$14:$A$16,0))</f>
        <v>0.22</v>
      </c>
      <c r="AF88" s="49">
        <f t="shared" si="25"/>
        <v>0</v>
      </c>
      <c r="AG88" s="49">
        <f t="shared" si="26"/>
        <v>0</v>
      </c>
      <c r="AH88" s="55">
        <f t="shared" si="27"/>
        <v>0</v>
      </c>
    </row>
    <row r="89" spans="1:34" x14ac:dyDescent="0.2">
      <c r="A89" s="48" t="s">
        <v>367</v>
      </c>
      <c r="B89" s="48">
        <v>1</v>
      </c>
      <c r="C89" s="48" t="s">
        <v>295</v>
      </c>
      <c r="D89" s="48" t="s">
        <v>272</v>
      </c>
      <c r="E89" s="48" t="s">
        <v>368</v>
      </c>
      <c r="F89" s="48" t="s">
        <v>274</v>
      </c>
      <c r="G89" s="48" t="s">
        <v>288</v>
      </c>
      <c r="H89" s="48" t="s">
        <v>68</v>
      </c>
      <c r="I89" s="48" t="s">
        <v>103</v>
      </c>
      <c r="J89" s="49">
        <v>7</v>
      </c>
      <c r="K89" s="50">
        <v>1605</v>
      </c>
      <c r="L89" s="50">
        <v>1600.07</v>
      </c>
      <c r="M89" s="48" t="s">
        <v>276</v>
      </c>
      <c r="N89" s="51">
        <v>1.37</v>
      </c>
      <c r="O89" s="51">
        <v>1.3624000000000001</v>
      </c>
      <c r="P89" s="52">
        <v>980.6</v>
      </c>
      <c r="Q89" s="52">
        <v>980.6</v>
      </c>
      <c r="R89" s="53" t="str">
        <f>INDEX(SKU_Master!$D$5:$D$34,MATCH($I89,SKU_Master!$A$5:$A$34,0))</f>
        <v>Laptop</v>
      </c>
      <c r="S89" s="54">
        <f t="shared" si="14"/>
        <v>3.0716510903426864E-3</v>
      </c>
      <c r="T89" s="55">
        <f t="shared" si="15"/>
        <v>8200.7299270072981</v>
      </c>
      <c r="U89" s="55">
        <f t="shared" si="16"/>
        <v>8175.5401459854011</v>
      </c>
      <c r="V89" s="55">
        <f t="shared" si="17"/>
        <v>-25.189781021897033</v>
      </c>
      <c r="W89" s="55">
        <f t="shared" si="18"/>
        <v>8221.146506165589</v>
      </c>
      <c r="X89" s="55">
        <f t="shared" si="19"/>
        <v>45.606360180187949</v>
      </c>
      <c r="Y89" s="55">
        <f t="shared" si="20"/>
        <v>6864.2</v>
      </c>
      <c r="Z89" s="55">
        <f t="shared" si="21"/>
        <v>6864.2</v>
      </c>
      <c r="AA89" s="55">
        <f t="shared" si="22"/>
        <v>0</v>
      </c>
      <c r="AB89" s="55">
        <f t="shared" si="23"/>
        <v>1356.9465061655892</v>
      </c>
      <c r="AC89" s="54">
        <f t="shared" si="24"/>
        <v>0.1650556288162392</v>
      </c>
      <c r="AD89" s="56">
        <f>INDEX(Assumptions!$B$14:$B$16,MATCH($R89,Assumptions!$A$14:$A$16,0))</f>
        <v>0.12</v>
      </c>
      <c r="AE89" s="56">
        <f>INDEX(Assumptions!$C$14:$C$16,MATCH($R89,Assumptions!$A$14:$A$16,0))</f>
        <v>0.08</v>
      </c>
      <c r="AF89" s="49">
        <f t="shared" si="25"/>
        <v>0</v>
      </c>
      <c r="AG89" s="49">
        <f t="shared" si="26"/>
        <v>0</v>
      </c>
      <c r="AH89" s="55">
        <f t="shared" si="27"/>
        <v>0</v>
      </c>
    </row>
    <row r="90" spans="1:34" x14ac:dyDescent="0.2">
      <c r="A90" s="48" t="s">
        <v>367</v>
      </c>
      <c r="B90" s="48">
        <v>2</v>
      </c>
      <c r="C90" s="48" t="s">
        <v>295</v>
      </c>
      <c r="D90" s="48" t="s">
        <v>272</v>
      </c>
      <c r="E90" s="48" t="s">
        <v>368</v>
      </c>
      <c r="F90" s="48" t="s">
        <v>274</v>
      </c>
      <c r="G90" s="48" t="s">
        <v>288</v>
      </c>
      <c r="H90" s="48" t="s">
        <v>68</v>
      </c>
      <c r="I90" s="48" t="s">
        <v>141</v>
      </c>
      <c r="J90" s="49">
        <v>3</v>
      </c>
      <c r="K90" s="50">
        <v>650</v>
      </c>
      <c r="L90" s="50">
        <v>645.26</v>
      </c>
      <c r="M90" s="48" t="s">
        <v>276</v>
      </c>
      <c r="N90" s="51">
        <v>1.37</v>
      </c>
      <c r="O90" s="51">
        <v>1.3624000000000001</v>
      </c>
      <c r="P90" s="52">
        <v>366.7</v>
      </c>
      <c r="Q90" s="52">
        <v>366.7</v>
      </c>
      <c r="R90" s="53" t="str">
        <f>INDEX(SKU_Master!$D$5:$D$34,MATCH($I90,SKU_Master!$A$5:$A$34,0))</f>
        <v>Monitor</v>
      </c>
      <c r="S90" s="54">
        <f t="shared" si="14"/>
        <v>7.292307692307709E-3</v>
      </c>
      <c r="T90" s="55">
        <f t="shared" si="15"/>
        <v>1423.3576642335765</v>
      </c>
      <c r="U90" s="55">
        <f t="shared" si="16"/>
        <v>1412.9781021897809</v>
      </c>
      <c r="V90" s="55">
        <f t="shared" si="17"/>
        <v>-10.379562043795659</v>
      </c>
      <c r="W90" s="55">
        <f t="shared" si="18"/>
        <v>1420.8602466236052</v>
      </c>
      <c r="X90" s="55">
        <f t="shared" si="19"/>
        <v>7.8821444338243509</v>
      </c>
      <c r="Y90" s="55">
        <f t="shared" si="20"/>
        <v>1100.0999999999999</v>
      </c>
      <c r="Z90" s="55">
        <f t="shared" si="21"/>
        <v>1100.0999999999999</v>
      </c>
      <c r="AA90" s="55">
        <f t="shared" si="22"/>
        <v>0</v>
      </c>
      <c r="AB90" s="55">
        <f t="shared" si="23"/>
        <v>320.76024662360533</v>
      </c>
      <c r="AC90" s="54">
        <f t="shared" si="24"/>
        <v>0.22575073613737096</v>
      </c>
      <c r="AD90" s="56">
        <f>INDEX(Assumptions!$B$14:$B$16,MATCH($R90,Assumptions!$A$14:$A$16,0))</f>
        <v>0.18</v>
      </c>
      <c r="AE90" s="56">
        <f>INDEX(Assumptions!$C$14:$C$16,MATCH($R90,Assumptions!$A$14:$A$16,0))</f>
        <v>0.12</v>
      </c>
      <c r="AF90" s="49">
        <f t="shared" si="25"/>
        <v>0</v>
      </c>
      <c r="AG90" s="49">
        <f t="shared" si="26"/>
        <v>0</v>
      </c>
      <c r="AH90" s="55">
        <f t="shared" si="27"/>
        <v>0</v>
      </c>
    </row>
    <row r="91" spans="1:34" x14ac:dyDescent="0.2">
      <c r="A91" s="48" t="s">
        <v>369</v>
      </c>
      <c r="B91" s="48">
        <v>1</v>
      </c>
      <c r="C91" s="48" t="s">
        <v>290</v>
      </c>
      <c r="D91" s="48" t="s">
        <v>272</v>
      </c>
      <c r="E91" s="48" t="s">
        <v>305</v>
      </c>
      <c r="F91" s="48" t="s">
        <v>274</v>
      </c>
      <c r="G91" s="48" t="s">
        <v>306</v>
      </c>
      <c r="H91" s="48" t="s">
        <v>62</v>
      </c>
      <c r="I91" s="48" t="s">
        <v>101</v>
      </c>
      <c r="J91" s="49">
        <v>9</v>
      </c>
      <c r="K91" s="50">
        <v>3440</v>
      </c>
      <c r="L91" s="50">
        <v>3392.69</v>
      </c>
      <c r="M91" s="48" t="s">
        <v>276</v>
      </c>
      <c r="N91" s="51">
        <v>1</v>
      </c>
      <c r="O91" s="51">
        <v>1</v>
      </c>
      <c r="P91" s="52">
        <v>2938.5</v>
      </c>
      <c r="Q91" s="52">
        <v>2938.5</v>
      </c>
      <c r="R91" s="53" t="str">
        <f>INDEX(SKU_Master!$D$5:$D$34,MATCH($I91,SKU_Master!$A$5:$A$34,0))</f>
        <v>Laptop</v>
      </c>
      <c r="S91" s="54">
        <f t="shared" si="14"/>
        <v>1.3752906976744139E-2</v>
      </c>
      <c r="T91" s="55">
        <f t="shared" si="15"/>
        <v>30960</v>
      </c>
      <c r="U91" s="55">
        <f t="shared" si="16"/>
        <v>30534.21</v>
      </c>
      <c r="V91" s="55">
        <f t="shared" si="17"/>
        <v>-425.79000000000087</v>
      </c>
      <c r="W91" s="55">
        <f t="shared" si="18"/>
        <v>30534.21</v>
      </c>
      <c r="X91" s="55">
        <f t="shared" si="19"/>
        <v>0</v>
      </c>
      <c r="Y91" s="55">
        <f t="shared" si="20"/>
        <v>26446.5</v>
      </c>
      <c r="Z91" s="55">
        <f t="shared" si="21"/>
        <v>26446.5</v>
      </c>
      <c r="AA91" s="55">
        <f t="shared" si="22"/>
        <v>0</v>
      </c>
      <c r="AB91" s="55">
        <f t="shared" si="23"/>
        <v>4087.7099999999991</v>
      </c>
      <c r="AC91" s="54">
        <f t="shared" si="24"/>
        <v>0.13387312132850332</v>
      </c>
      <c r="AD91" s="56">
        <f>INDEX(Assumptions!$B$14:$B$16,MATCH($R91,Assumptions!$A$14:$A$16,0))</f>
        <v>0.12</v>
      </c>
      <c r="AE91" s="56">
        <f>INDEX(Assumptions!$C$14:$C$16,MATCH($R91,Assumptions!$A$14:$A$16,0))</f>
        <v>0.08</v>
      </c>
      <c r="AF91" s="49">
        <f t="shared" si="25"/>
        <v>0</v>
      </c>
      <c r="AG91" s="49">
        <f t="shared" si="26"/>
        <v>0</v>
      </c>
      <c r="AH91" s="55">
        <f t="shared" si="27"/>
        <v>0</v>
      </c>
    </row>
    <row r="92" spans="1:34" x14ac:dyDescent="0.2">
      <c r="A92" s="48" t="s">
        <v>370</v>
      </c>
      <c r="B92" s="48">
        <v>1</v>
      </c>
      <c r="C92" s="48" t="s">
        <v>371</v>
      </c>
      <c r="D92" s="48" t="s">
        <v>272</v>
      </c>
      <c r="E92" s="48" t="s">
        <v>309</v>
      </c>
      <c r="F92" s="48" t="s">
        <v>280</v>
      </c>
      <c r="G92" s="48" t="s">
        <v>298</v>
      </c>
      <c r="H92" s="48" t="s">
        <v>70</v>
      </c>
      <c r="I92" s="48" t="s">
        <v>98</v>
      </c>
      <c r="J92" s="49">
        <v>13</v>
      </c>
      <c r="K92" s="50">
        <v>200480</v>
      </c>
      <c r="L92" s="50">
        <v>194790.76</v>
      </c>
      <c r="M92" s="48" t="s">
        <v>276</v>
      </c>
      <c r="N92" s="51">
        <v>83.5</v>
      </c>
      <c r="O92" s="51">
        <v>83.820400000000006</v>
      </c>
      <c r="P92" s="52">
        <v>2011.04</v>
      </c>
      <c r="Q92" s="52">
        <v>2031.04</v>
      </c>
      <c r="R92" s="53" t="str">
        <f>INDEX(SKU_Master!$D$5:$D$34,MATCH($I92,SKU_Master!$A$5:$A$34,0))</f>
        <v>Laptop</v>
      </c>
      <c r="S92" s="54">
        <f t="shared" si="14"/>
        <v>2.8378092577813208E-2</v>
      </c>
      <c r="T92" s="55">
        <f t="shared" si="15"/>
        <v>31212.45508982036</v>
      </c>
      <c r="U92" s="55">
        <f t="shared" si="16"/>
        <v>30326.705149700596</v>
      </c>
      <c r="V92" s="55">
        <f t="shared" si="17"/>
        <v>-885.74994011976378</v>
      </c>
      <c r="W92" s="55">
        <f t="shared" si="18"/>
        <v>30210.782577988171</v>
      </c>
      <c r="X92" s="55">
        <f t="shared" si="19"/>
        <v>-115.92257171242454</v>
      </c>
      <c r="Y92" s="55">
        <f t="shared" si="20"/>
        <v>26143.52</v>
      </c>
      <c r="Z92" s="55">
        <f t="shared" si="21"/>
        <v>26403.52</v>
      </c>
      <c r="AA92" s="55">
        <f t="shared" si="22"/>
        <v>-260</v>
      </c>
      <c r="AB92" s="55">
        <f t="shared" si="23"/>
        <v>3807.262577988171</v>
      </c>
      <c r="AC92" s="54">
        <f t="shared" si="24"/>
        <v>0.12602330204985071</v>
      </c>
      <c r="AD92" s="56">
        <f>INDEX(Assumptions!$B$14:$B$16,MATCH($R92,Assumptions!$A$14:$A$16,0))</f>
        <v>0.12</v>
      </c>
      <c r="AE92" s="56">
        <f>INDEX(Assumptions!$C$14:$C$16,MATCH($R92,Assumptions!$A$14:$A$16,0))</f>
        <v>0.08</v>
      </c>
      <c r="AF92" s="49">
        <f t="shared" si="25"/>
        <v>0</v>
      </c>
      <c r="AG92" s="49">
        <f t="shared" si="26"/>
        <v>0</v>
      </c>
      <c r="AH92" s="55">
        <f t="shared" si="27"/>
        <v>0</v>
      </c>
    </row>
    <row r="93" spans="1:34" x14ac:dyDescent="0.2">
      <c r="A93" s="48" t="s">
        <v>370</v>
      </c>
      <c r="B93" s="48">
        <v>2</v>
      </c>
      <c r="C93" s="48" t="s">
        <v>371</v>
      </c>
      <c r="D93" s="48" t="s">
        <v>272</v>
      </c>
      <c r="E93" s="48" t="s">
        <v>309</v>
      </c>
      <c r="F93" s="48" t="s">
        <v>280</v>
      </c>
      <c r="G93" s="48" t="s">
        <v>298</v>
      </c>
      <c r="H93" s="48" t="s">
        <v>70</v>
      </c>
      <c r="I93" s="48" t="s">
        <v>135</v>
      </c>
      <c r="J93" s="49">
        <v>6</v>
      </c>
      <c r="K93" s="50">
        <v>26950</v>
      </c>
      <c r="L93" s="50">
        <v>25891.66</v>
      </c>
      <c r="M93" s="48" t="s">
        <v>276</v>
      </c>
      <c r="N93" s="51">
        <v>83.5</v>
      </c>
      <c r="O93" s="51">
        <v>83.820400000000006</v>
      </c>
      <c r="P93" s="52">
        <v>249.49</v>
      </c>
      <c r="Q93" s="52">
        <v>269.49</v>
      </c>
      <c r="R93" s="53" t="str">
        <f>INDEX(SKU_Master!$D$5:$D$34,MATCH($I93,SKU_Master!$A$5:$A$34,0))</f>
        <v>Monitor</v>
      </c>
      <c r="S93" s="54">
        <f t="shared" si="14"/>
        <v>3.9270500927643837E-2</v>
      </c>
      <c r="T93" s="55">
        <f t="shared" si="15"/>
        <v>1936.5269461077844</v>
      </c>
      <c r="U93" s="55">
        <f t="shared" si="16"/>
        <v>1860.4785628742513</v>
      </c>
      <c r="V93" s="55">
        <f t="shared" si="17"/>
        <v>-76.048383233533059</v>
      </c>
      <c r="W93" s="55">
        <f t="shared" si="18"/>
        <v>1853.3669607875884</v>
      </c>
      <c r="X93" s="55">
        <f t="shared" si="19"/>
        <v>-7.1116020866629697</v>
      </c>
      <c r="Y93" s="55">
        <f t="shared" si="20"/>
        <v>1496.94</v>
      </c>
      <c r="Z93" s="55">
        <f t="shared" si="21"/>
        <v>1616.94</v>
      </c>
      <c r="AA93" s="55">
        <f t="shared" si="22"/>
        <v>-120</v>
      </c>
      <c r="AB93" s="55">
        <f t="shared" si="23"/>
        <v>236.42696078758831</v>
      </c>
      <c r="AC93" s="54">
        <f t="shared" si="24"/>
        <v>0.1275661894216128</v>
      </c>
      <c r="AD93" s="56">
        <f>INDEX(Assumptions!$B$14:$B$16,MATCH($R93,Assumptions!$A$14:$A$16,0))</f>
        <v>0.18</v>
      </c>
      <c r="AE93" s="56">
        <f>INDEX(Assumptions!$C$14:$C$16,MATCH($R93,Assumptions!$A$14:$A$16,0))</f>
        <v>0.12</v>
      </c>
      <c r="AF93" s="49">
        <f t="shared" si="25"/>
        <v>0</v>
      </c>
      <c r="AG93" s="49">
        <f t="shared" si="26"/>
        <v>0</v>
      </c>
      <c r="AH93" s="55">
        <f t="shared" si="27"/>
        <v>97.179092154177567</v>
      </c>
    </row>
    <row r="94" spans="1:34" x14ac:dyDescent="0.2">
      <c r="A94" s="48" t="s">
        <v>370</v>
      </c>
      <c r="B94" s="48">
        <v>3</v>
      </c>
      <c r="C94" s="48" t="s">
        <v>371</v>
      </c>
      <c r="D94" s="48" t="s">
        <v>272</v>
      </c>
      <c r="E94" s="48" t="s">
        <v>309</v>
      </c>
      <c r="F94" s="48" t="s">
        <v>280</v>
      </c>
      <c r="G94" s="48" t="s">
        <v>298</v>
      </c>
      <c r="H94" s="48" t="s">
        <v>70</v>
      </c>
      <c r="I94" s="48" t="s">
        <v>177</v>
      </c>
      <c r="J94" s="49">
        <v>10</v>
      </c>
      <c r="K94" s="50">
        <v>7520</v>
      </c>
      <c r="L94" s="50">
        <v>7223.96</v>
      </c>
      <c r="M94" s="48" t="s">
        <v>276</v>
      </c>
      <c r="N94" s="51">
        <v>83.5</v>
      </c>
      <c r="O94" s="51">
        <v>83.820400000000006</v>
      </c>
      <c r="P94" s="52">
        <v>57.18</v>
      </c>
      <c r="Q94" s="52">
        <v>62.18</v>
      </c>
      <c r="R94" s="53" t="str">
        <f>INDEX(SKU_Master!$D$5:$D$34,MATCH($I94,SKU_Master!$A$5:$A$34,0))</f>
        <v>Accessory</v>
      </c>
      <c r="S94" s="54">
        <f t="shared" si="14"/>
        <v>3.9367021276595748E-2</v>
      </c>
      <c r="T94" s="55">
        <f t="shared" si="15"/>
        <v>900.59880239520953</v>
      </c>
      <c r="U94" s="55">
        <f t="shared" si="16"/>
        <v>865.14491017964076</v>
      </c>
      <c r="V94" s="55">
        <f t="shared" si="17"/>
        <v>-35.453892215568771</v>
      </c>
      <c r="W94" s="55">
        <f t="shared" si="18"/>
        <v>861.83792966867259</v>
      </c>
      <c r="X94" s="55">
        <f t="shared" si="19"/>
        <v>-3.3069805109681738</v>
      </c>
      <c r="Y94" s="55">
        <f t="shared" si="20"/>
        <v>571.79999999999995</v>
      </c>
      <c r="Z94" s="55">
        <f t="shared" si="21"/>
        <v>621.79999999999995</v>
      </c>
      <c r="AA94" s="55">
        <f t="shared" si="22"/>
        <v>-50</v>
      </c>
      <c r="AB94" s="55">
        <f t="shared" si="23"/>
        <v>240.03792966867263</v>
      </c>
      <c r="AC94" s="54">
        <f t="shared" si="24"/>
        <v>0.278518641852945</v>
      </c>
      <c r="AD94" s="56">
        <f>INDEX(Assumptions!$B$14:$B$16,MATCH($R94,Assumptions!$A$14:$A$16,0))</f>
        <v>0.32</v>
      </c>
      <c r="AE94" s="56">
        <f>INDEX(Assumptions!$C$14:$C$16,MATCH($R94,Assumptions!$A$14:$A$16,0))</f>
        <v>0.22</v>
      </c>
      <c r="AF94" s="49">
        <f t="shared" si="25"/>
        <v>0</v>
      </c>
      <c r="AG94" s="49">
        <f t="shared" si="26"/>
        <v>0</v>
      </c>
      <c r="AH94" s="55">
        <f t="shared" si="27"/>
        <v>35.750207825302596</v>
      </c>
    </row>
    <row r="95" spans="1:34" x14ac:dyDescent="0.2">
      <c r="A95" s="48" t="s">
        <v>372</v>
      </c>
      <c r="B95" s="48">
        <v>1</v>
      </c>
      <c r="C95" s="48" t="s">
        <v>304</v>
      </c>
      <c r="D95" s="48" t="s">
        <v>272</v>
      </c>
      <c r="E95" s="48" t="s">
        <v>349</v>
      </c>
      <c r="F95" s="48" t="s">
        <v>274</v>
      </c>
      <c r="G95" s="48" t="s">
        <v>275</v>
      </c>
      <c r="H95" s="48" t="s">
        <v>66</v>
      </c>
      <c r="I95" s="48" t="s">
        <v>103</v>
      </c>
      <c r="J95" s="49">
        <v>9</v>
      </c>
      <c r="K95" s="50">
        <v>1090</v>
      </c>
      <c r="L95" s="50">
        <v>1088.25</v>
      </c>
      <c r="M95" s="48" t="s">
        <v>276</v>
      </c>
      <c r="N95" s="51">
        <v>0.92</v>
      </c>
      <c r="O95" s="51">
        <v>0.91659999999999997</v>
      </c>
      <c r="P95" s="52">
        <v>988.6</v>
      </c>
      <c r="Q95" s="52">
        <v>988.6</v>
      </c>
      <c r="R95" s="53" t="str">
        <f>INDEX(SKU_Master!$D$5:$D$34,MATCH($I95,SKU_Master!$A$5:$A$34,0))</f>
        <v>Laptop</v>
      </c>
      <c r="S95" s="54">
        <f t="shared" si="14"/>
        <v>1.6055045871559148E-3</v>
      </c>
      <c r="T95" s="55">
        <f t="shared" si="15"/>
        <v>10663.04347826087</v>
      </c>
      <c r="U95" s="55">
        <f t="shared" si="16"/>
        <v>10645.923913043478</v>
      </c>
      <c r="V95" s="55">
        <f t="shared" si="17"/>
        <v>-17.119565217391937</v>
      </c>
      <c r="W95" s="55">
        <f t="shared" si="18"/>
        <v>10685.413484617064</v>
      </c>
      <c r="X95" s="55">
        <f t="shared" si="19"/>
        <v>39.489571573585636</v>
      </c>
      <c r="Y95" s="55">
        <f t="shared" si="20"/>
        <v>8897.4</v>
      </c>
      <c r="Z95" s="55">
        <f t="shared" si="21"/>
        <v>8897.4</v>
      </c>
      <c r="AA95" s="55">
        <f t="shared" si="22"/>
        <v>0</v>
      </c>
      <c r="AB95" s="55">
        <f t="shared" si="23"/>
        <v>1788.013484617064</v>
      </c>
      <c r="AC95" s="54">
        <f t="shared" si="24"/>
        <v>0.16733217551114182</v>
      </c>
      <c r="AD95" s="56">
        <f>INDEX(Assumptions!$B$14:$B$16,MATCH($R95,Assumptions!$A$14:$A$16,0))</f>
        <v>0.12</v>
      </c>
      <c r="AE95" s="56">
        <f>INDEX(Assumptions!$C$14:$C$16,MATCH($R95,Assumptions!$A$14:$A$16,0))</f>
        <v>0.08</v>
      </c>
      <c r="AF95" s="49">
        <f t="shared" si="25"/>
        <v>0</v>
      </c>
      <c r="AG95" s="49">
        <f t="shared" si="26"/>
        <v>0</v>
      </c>
      <c r="AH95" s="55">
        <f t="shared" si="27"/>
        <v>0</v>
      </c>
    </row>
    <row r="96" spans="1:34" x14ac:dyDescent="0.2">
      <c r="A96" s="48" t="s">
        <v>372</v>
      </c>
      <c r="B96" s="48">
        <v>2</v>
      </c>
      <c r="C96" s="48" t="s">
        <v>304</v>
      </c>
      <c r="D96" s="48" t="s">
        <v>272</v>
      </c>
      <c r="E96" s="48" t="s">
        <v>349</v>
      </c>
      <c r="F96" s="48" t="s">
        <v>274</v>
      </c>
      <c r="G96" s="48" t="s">
        <v>275</v>
      </c>
      <c r="H96" s="48" t="s">
        <v>66</v>
      </c>
      <c r="I96" s="48" t="s">
        <v>144</v>
      </c>
      <c r="J96" s="49">
        <v>6</v>
      </c>
      <c r="K96" s="50">
        <v>375</v>
      </c>
      <c r="L96" s="50">
        <v>371.48</v>
      </c>
      <c r="M96" s="48" t="s">
        <v>276</v>
      </c>
      <c r="N96" s="51">
        <v>0.92</v>
      </c>
      <c r="O96" s="51">
        <v>0.91659999999999997</v>
      </c>
      <c r="P96" s="52">
        <v>314.60000000000002</v>
      </c>
      <c r="Q96" s="52">
        <v>314.60000000000002</v>
      </c>
      <c r="R96" s="53" t="str">
        <f>INDEX(SKU_Master!$D$5:$D$34,MATCH($I96,SKU_Master!$A$5:$A$34,0))</f>
        <v>Monitor</v>
      </c>
      <c r="S96" s="54">
        <f t="shared" si="14"/>
        <v>9.3866666666666543E-3</v>
      </c>
      <c r="T96" s="55">
        <f t="shared" si="15"/>
        <v>2445.6521739130435</v>
      </c>
      <c r="U96" s="55">
        <f t="shared" si="16"/>
        <v>2422.695652173913</v>
      </c>
      <c r="V96" s="55">
        <f t="shared" si="17"/>
        <v>-22.956521739130494</v>
      </c>
      <c r="W96" s="55">
        <f t="shared" si="18"/>
        <v>2431.6823041675761</v>
      </c>
      <c r="X96" s="55">
        <f t="shared" si="19"/>
        <v>8.9866519936631448</v>
      </c>
      <c r="Y96" s="55">
        <f t="shared" si="20"/>
        <v>1887.6000000000001</v>
      </c>
      <c r="Z96" s="55">
        <f t="shared" si="21"/>
        <v>1887.6000000000001</v>
      </c>
      <c r="AA96" s="55">
        <f t="shared" si="22"/>
        <v>0</v>
      </c>
      <c r="AB96" s="55">
        <f t="shared" si="23"/>
        <v>544.08230416757601</v>
      </c>
      <c r="AC96" s="54">
        <f t="shared" si="24"/>
        <v>0.22374728114568757</v>
      </c>
      <c r="AD96" s="56">
        <f>INDEX(Assumptions!$B$14:$B$16,MATCH($R96,Assumptions!$A$14:$A$16,0))</f>
        <v>0.18</v>
      </c>
      <c r="AE96" s="56">
        <f>INDEX(Assumptions!$C$14:$C$16,MATCH($R96,Assumptions!$A$14:$A$16,0))</f>
        <v>0.12</v>
      </c>
      <c r="AF96" s="49">
        <f t="shared" si="25"/>
        <v>0</v>
      </c>
      <c r="AG96" s="49">
        <f t="shared" si="26"/>
        <v>0</v>
      </c>
      <c r="AH96" s="55">
        <f t="shared" si="27"/>
        <v>0</v>
      </c>
    </row>
    <row r="97" spans="1:34" x14ac:dyDescent="0.2">
      <c r="A97" s="48" t="s">
        <v>372</v>
      </c>
      <c r="B97" s="48">
        <v>3</v>
      </c>
      <c r="C97" s="48" t="s">
        <v>304</v>
      </c>
      <c r="D97" s="48" t="s">
        <v>272</v>
      </c>
      <c r="E97" s="48" t="s">
        <v>349</v>
      </c>
      <c r="F97" s="48" t="s">
        <v>274</v>
      </c>
      <c r="G97" s="48" t="s">
        <v>275</v>
      </c>
      <c r="H97" s="48" t="s">
        <v>66</v>
      </c>
      <c r="I97" s="48" t="s">
        <v>151</v>
      </c>
      <c r="J97" s="49">
        <v>4</v>
      </c>
      <c r="K97" s="50">
        <v>325</v>
      </c>
      <c r="L97" s="50">
        <v>319.10000000000002</v>
      </c>
      <c r="M97" s="48" t="s">
        <v>276</v>
      </c>
      <c r="N97" s="51">
        <v>0.92</v>
      </c>
      <c r="O97" s="51">
        <v>0.91659999999999997</v>
      </c>
      <c r="P97" s="52">
        <v>221.7</v>
      </c>
      <c r="Q97" s="52">
        <v>221.7</v>
      </c>
      <c r="R97" s="53" t="str">
        <f>INDEX(SKU_Master!$D$5:$D$34,MATCH($I97,SKU_Master!$A$5:$A$34,0))</f>
        <v>Accessory</v>
      </c>
      <c r="S97" s="54">
        <f t="shared" si="14"/>
        <v>1.8153846153846076E-2</v>
      </c>
      <c r="T97" s="55">
        <f t="shared" si="15"/>
        <v>1413.0434782608695</v>
      </c>
      <c r="U97" s="55">
        <f t="shared" si="16"/>
        <v>1387.3913043478262</v>
      </c>
      <c r="V97" s="55">
        <f t="shared" si="17"/>
        <v>-25.652173913043271</v>
      </c>
      <c r="W97" s="55">
        <f t="shared" si="18"/>
        <v>1392.5376391010257</v>
      </c>
      <c r="X97" s="55">
        <f t="shared" si="19"/>
        <v>5.1463347531994259</v>
      </c>
      <c r="Y97" s="55">
        <f t="shared" si="20"/>
        <v>886.8</v>
      </c>
      <c r="Z97" s="55">
        <f t="shared" si="21"/>
        <v>886.8</v>
      </c>
      <c r="AA97" s="55">
        <f t="shared" si="22"/>
        <v>0</v>
      </c>
      <c r="AB97" s="55">
        <f t="shared" si="23"/>
        <v>505.73763910102571</v>
      </c>
      <c r="AC97" s="54">
        <f t="shared" si="24"/>
        <v>0.36317699780633039</v>
      </c>
      <c r="AD97" s="56">
        <f>INDEX(Assumptions!$B$14:$B$16,MATCH($R97,Assumptions!$A$14:$A$16,0))</f>
        <v>0.32</v>
      </c>
      <c r="AE97" s="56">
        <f>INDEX(Assumptions!$C$14:$C$16,MATCH($R97,Assumptions!$A$14:$A$16,0))</f>
        <v>0.22</v>
      </c>
      <c r="AF97" s="49">
        <f t="shared" si="25"/>
        <v>0</v>
      </c>
      <c r="AG97" s="49">
        <f t="shared" si="26"/>
        <v>0</v>
      </c>
      <c r="AH97" s="55">
        <f t="shared" si="27"/>
        <v>0</v>
      </c>
    </row>
    <row r="98" spans="1:34" x14ac:dyDescent="0.2">
      <c r="A98" s="48" t="s">
        <v>373</v>
      </c>
      <c r="B98" s="48">
        <v>1</v>
      </c>
      <c r="C98" s="48" t="s">
        <v>348</v>
      </c>
      <c r="D98" s="48" t="s">
        <v>272</v>
      </c>
      <c r="E98" s="48" t="s">
        <v>374</v>
      </c>
      <c r="F98" s="48" t="s">
        <v>274</v>
      </c>
      <c r="G98" s="48" t="s">
        <v>281</v>
      </c>
      <c r="H98" s="48" t="s">
        <v>62</v>
      </c>
      <c r="I98" s="48" t="s">
        <v>110</v>
      </c>
      <c r="J98" s="49">
        <v>3</v>
      </c>
      <c r="K98" s="50">
        <v>1165</v>
      </c>
      <c r="L98" s="50">
        <v>1153.51</v>
      </c>
      <c r="M98" s="48" t="s">
        <v>276</v>
      </c>
      <c r="N98" s="51">
        <v>1</v>
      </c>
      <c r="O98" s="51">
        <v>1</v>
      </c>
      <c r="P98" s="52">
        <v>992.65</v>
      </c>
      <c r="Q98" s="52">
        <v>992.65</v>
      </c>
      <c r="R98" s="53" t="str">
        <f>INDEX(SKU_Master!$D$5:$D$34,MATCH($I98,SKU_Master!$A$5:$A$34,0))</f>
        <v>Laptop</v>
      </c>
      <c r="S98" s="54">
        <f t="shared" si="14"/>
        <v>9.8626609442060698E-3</v>
      </c>
      <c r="T98" s="55">
        <f t="shared" si="15"/>
        <v>3495</v>
      </c>
      <c r="U98" s="55">
        <f t="shared" si="16"/>
        <v>3460.5299999999997</v>
      </c>
      <c r="V98" s="55">
        <f t="shared" si="17"/>
        <v>-34.470000000000255</v>
      </c>
      <c r="W98" s="55">
        <f t="shared" si="18"/>
        <v>3460.5299999999997</v>
      </c>
      <c r="X98" s="55">
        <f t="shared" si="19"/>
        <v>0</v>
      </c>
      <c r="Y98" s="55">
        <f t="shared" si="20"/>
        <v>2977.95</v>
      </c>
      <c r="Z98" s="55">
        <f t="shared" si="21"/>
        <v>2977.95</v>
      </c>
      <c r="AA98" s="55">
        <f t="shared" si="22"/>
        <v>0</v>
      </c>
      <c r="AB98" s="55">
        <f t="shared" si="23"/>
        <v>482.57999999999993</v>
      </c>
      <c r="AC98" s="54">
        <f t="shared" si="24"/>
        <v>0.13945262719872389</v>
      </c>
      <c r="AD98" s="56">
        <f>INDEX(Assumptions!$B$14:$B$16,MATCH($R98,Assumptions!$A$14:$A$16,0))</f>
        <v>0.12</v>
      </c>
      <c r="AE98" s="56">
        <f>INDEX(Assumptions!$C$14:$C$16,MATCH($R98,Assumptions!$A$14:$A$16,0))</f>
        <v>0.08</v>
      </c>
      <c r="AF98" s="49">
        <f t="shared" si="25"/>
        <v>0</v>
      </c>
      <c r="AG98" s="49">
        <f t="shared" si="26"/>
        <v>0</v>
      </c>
      <c r="AH98" s="55">
        <f t="shared" si="27"/>
        <v>0</v>
      </c>
    </row>
    <row r="99" spans="1:34" x14ac:dyDescent="0.2">
      <c r="A99" s="48" t="s">
        <v>373</v>
      </c>
      <c r="B99" s="48">
        <v>2</v>
      </c>
      <c r="C99" s="48" t="s">
        <v>348</v>
      </c>
      <c r="D99" s="48" t="s">
        <v>272</v>
      </c>
      <c r="E99" s="48" t="s">
        <v>374</v>
      </c>
      <c r="F99" s="48" t="s">
        <v>274</v>
      </c>
      <c r="G99" s="48" t="s">
        <v>281</v>
      </c>
      <c r="H99" s="48" t="s">
        <v>62</v>
      </c>
      <c r="I99" s="48" t="s">
        <v>135</v>
      </c>
      <c r="J99" s="49">
        <v>1</v>
      </c>
      <c r="K99" s="50">
        <v>240</v>
      </c>
      <c r="L99" s="50">
        <v>235.95</v>
      </c>
      <c r="M99" s="48" t="s">
        <v>276</v>
      </c>
      <c r="N99" s="51">
        <v>1</v>
      </c>
      <c r="O99" s="51">
        <v>1</v>
      </c>
      <c r="P99" s="52">
        <v>186.7</v>
      </c>
      <c r="Q99" s="52">
        <v>186.7</v>
      </c>
      <c r="R99" s="53" t="str">
        <f>INDEX(SKU_Master!$D$5:$D$34,MATCH($I99,SKU_Master!$A$5:$A$34,0))</f>
        <v>Monitor</v>
      </c>
      <c r="S99" s="54">
        <f t="shared" si="14"/>
        <v>1.6875000000000084E-2</v>
      </c>
      <c r="T99" s="55">
        <f t="shared" si="15"/>
        <v>240</v>
      </c>
      <c r="U99" s="55">
        <f t="shared" si="16"/>
        <v>235.95</v>
      </c>
      <c r="V99" s="55">
        <f t="shared" si="17"/>
        <v>-4.0500000000000114</v>
      </c>
      <c r="W99" s="55">
        <f t="shared" si="18"/>
        <v>235.95</v>
      </c>
      <c r="X99" s="55">
        <f t="shared" si="19"/>
        <v>0</v>
      </c>
      <c r="Y99" s="55">
        <f t="shared" si="20"/>
        <v>186.7</v>
      </c>
      <c r="Z99" s="55">
        <f t="shared" si="21"/>
        <v>186.7</v>
      </c>
      <c r="AA99" s="55">
        <f t="shared" si="22"/>
        <v>0</v>
      </c>
      <c r="AB99" s="55">
        <f t="shared" si="23"/>
        <v>49.25</v>
      </c>
      <c r="AC99" s="54">
        <f t="shared" si="24"/>
        <v>0.20873066327611783</v>
      </c>
      <c r="AD99" s="56">
        <f>INDEX(Assumptions!$B$14:$B$16,MATCH($R99,Assumptions!$A$14:$A$16,0))</f>
        <v>0.18</v>
      </c>
      <c r="AE99" s="56">
        <f>INDEX(Assumptions!$C$14:$C$16,MATCH($R99,Assumptions!$A$14:$A$16,0))</f>
        <v>0.12</v>
      </c>
      <c r="AF99" s="49">
        <f t="shared" si="25"/>
        <v>0</v>
      </c>
      <c r="AG99" s="49">
        <f t="shared" si="26"/>
        <v>0</v>
      </c>
      <c r="AH99" s="55">
        <f t="shared" si="27"/>
        <v>0</v>
      </c>
    </row>
    <row r="100" spans="1:34" x14ac:dyDescent="0.2">
      <c r="A100" s="48" t="s">
        <v>373</v>
      </c>
      <c r="B100" s="48">
        <v>3</v>
      </c>
      <c r="C100" s="48" t="s">
        <v>348</v>
      </c>
      <c r="D100" s="48" t="s">
        <v>272</v>
      </c>
      <c r="E100" s="48" t="s">
        <v>374</v>
      </c>
      <c r="F100" s="48" t="s">
        <v>274</v>
      </c>
      <c r="G100" s="48" t="s">
        <v>281</v>
      </c>
      <c r="H100" s="48" t="s">
        <v>62</v>
      </c>
      <c r="I100" s="48" t="s">
        <v>164</v>
      </c>
      <c r="J100" s="49">
        <v>2</v>
      </c>
      <c r="K100" s="50">
        <v>190</v>
      </c>
      <c r="L100" s="50">
        <v>187.45</v>
      </c>
      <c r="M100" s="48" t="s">
        <v>276</v>
      </c>
      <c r="N100" s="51">
        <v>1</v>
      </c>
      <c r="O100" s="51">
        <v>1</v>
      </c>
      <c r="P100" s="52">
        <v>121</v>
      </c>
      <c r="Q100" s="52">
        <v>121</v>
      </c>
      <c r="R100" s="53" t="str">
        <f>INDEX(SKU_Master!$D$5:$D$34,MATCH($I100,SKU_Master!$A$5:$A$34,0))</f>
        <v>Accessory</v>
      </c>
      <c r="S100" s="54">
        <f t="shared" si="14"/>
        <v>1.3421052631579E-2</v>
      </c>
      <c r="T100" s="55">
        <f t="shared" si="15"/>
        <v>380</v>
      </c>
      <c r="U100" s="55">
        <f t="shared" si="16"/>
        <v>374.9</v>
      </c>
      <c r="V100" s="55">
        <f t="shared" si="17"/>
        <v>-5.1000000000000227</v>
      </c>
      <c r="W100" s="55">
        <f t="shared" si="18"/>
        <v>374.9</v>
      </c>
      <c r="X100" s="55">
        <f t="shared" si="19"/>
        <v>0</v>
      </c>
      <c r="Y100" s="55">
        <f t="shared" si="20"/>
        <v>242</v>
      </c>
      <c r="Z100" s="55">
        <f t="shared" si="21"/>
        <v>242</v>
      </c>
      <c r="AA100" s="55">
        <f t="shared" si="22"/>
        <v>0</v>
      </c>
      <c r="AB100" s="55">
        <f t="shared" si="23"/>
        <v>132.89999999999998</v>
      </c>
      <c r="AC100" s="54">
        <f t="shared" si="24"/>
        <v>0.35449453187516666</v>
      </c>
      <c r="AD100" s="56">
        <f>INDEX(Assumptions!$B$14:$B$16,MATCH($R100,Assumptions!$A$14:$A$16,0))</f>
        <v>0.32</v>
      </c>
      <c r="AE100" s="56">
        <f>INDEX(Assumptions!$C$14:$C$16,MATCH($R100,Assumptions!$A$14:$A$16,0))</f>
        <v>0.22</v>
      </c>
      <c r="AF100" s="49">
        <f t="shared" si="25"/>
        <v>0</v>
      </c>
      <c r="AG100" s="49">
        <f t="shared" si="26"/>
        <v>0</v>
      </c>
      <c r="AH100" s="55">
        <f t="shared" si="27"/>
        <v>0</v>
      </c>
    </row>
    <row r="101" spans="1:34" x14ac:dyDescent="0.2">
      <c r="A101" s="48" t="s">
        <v>375</v>
      </c>
      <c r="B101" s="48">
        <v>1</v>
      </c>
      <c r="C101" s="48" t="s">
        <v>304</v>
      </c>
      <c r="D101" s="48" t="s">
        <v>272</v>
      </c>
      <c r="E101" s="48" t="s">
        <v>279</v>
      </c>
      <c r="F101" s="48" t="s">
        <v>280</v>
      </c>
      <c r="G101" s="48" t="s">
        <v>281</v>
      </c>
      <c r="H101" s="48" t="s">
        <v>64</v>
      </c>
      <c r="I101" s="48" t="s">
        <v>108</v>
      </c>
      <c r="J101" s="49">
        <v>24</v>
      </c>
      <c r="K101" s="50">
        <v>1105</v>
      </c>
      <c r="L101" s="50">
        <v>1080.8599999999999</v>
      </c>
      <c r="M101" s="48" t="s">
        <v>276</v>
      </c>
      <c r="N101" s="51">
        <v>0.79</v>
      </c>
      <c r="O101" s="51">
        <v>0.7893</v>
      </c>
      <c r="P101" s="52">
        <v>1169</v>
      </c>
      <c r="Q101" s="52">
        <v>1169</v>
      </c>
      <c r="R101" s="53" t="str">
        <f>INDEX(SKU_Master!$D$5:$D$34,MATCH($I101,SKU_Master!$A$5:$A$34,0))</f>
        <v>Laptop</v>
      </c>
      <c r="S101" s="54">
        <f t="shared" si="14"/>
        <v>2.1846153846153959E-2</v>
      </c>
      <c r="T101" s="55">
        <f t="shared" si="15"/>
        <v>33569.620253164554</v>
      </c>
      <c r="U101" s="55">
        <f t="shared" si="16"/>
        <v>32836.253164556962</v>
      </c>
      <c r="V101" s="55">
        <f t="shared" si="17"/>
        <v>-733.36708860759245</v>
      </c>
      <c r="W101" s="55">
        <f t="shared" si="18"/>
        <v>32865.37438236412</v>
      </c>
      <c r="X101" s="55">
        <f t="shared" si="19"/>
        <v>29.121217807158246</v>
      </c>
      <c r="Y101" s="55">
        <f t="shared" si="20"/>
        <v>28056</v>
      </c>
      <c r="Z101" s="55">
        <f t="shared" si="21"/>
        <v>28056</v>
      </c>
      <c r="AA101" s="55">
        <f t="shared" si="22"/>
        <v>0</v>
      </c>
      <c r="AB101" s="55">
        <f t="shared" si="23"/>
        <v>4809.3743823641198</v>
      </c>
      <c r="AC101" s="54">
        <f t="shared" si="24"/>
        <v>0.14633560313084024</v>
      </c>
      <c r="AD101" s="56">
        <f>INDEX(Assumptions!$B$14:$B$16,MATCH($R101,Assumptions!$A$14:$A$16,0))</f>
        <v>0.12</v>
      </c>
      <c r="AE101" s="56">
        <f>INDEX(Assumptions!$C$14:$C$16,MATCH($R101,Assumptions!$A$14:$A$16,0))</f>
        <v>0.08</v>
      </c>
      <c r="AF101" s="49">
        <f t="shared" si="25"/>
        <v>0</v>
      </c>
      <c r="AG101" s="49">
        <f t="shared" si="26"/>
        <v>0</v>
      </c>
      <c r="AH101" s="55">
        <f t="shared" si="27"/>
        <v>0</v>
      </c>
    </row>
    <row r="102" spans="1:34" x14ac:dyDescent="0.2">
      <c r="A102" s="48" t="s">
        <v>375</v>
      </c>
      <c r="B102" s="48">
        <v>2</v>
      </c>
      <c r="C102" s="48" t="s">
        <v>304</v>
      </c>
      <c r="D102" s="48" t="s">
        <v>272</v>
      </c>
      <c r="E102" s="48" t="s">
        <v>279</v>
      </c>
      <c r="F102" s="48" t="s">
        <v>280</v>
      </c>
      <c r="G102" s="48" t="s">
        <v>281</v>
      </c>
      <c r="H102" s="48" t="s">
        <v>64</v>
      </c>
      <c r="I102" s="48" t="s">
        <v>146</v>
      </c>
      <c r="J102" s="49">
        <v>18</v>
      </c>
      <c r="K102" s="50">
        <v>220</v>
      </c>
      <c r="L102" s="50">
        <v>211.88</v>
      </c>
      <c r="M102" s="48" t="s">
        <v>276</v>
      </c>
      <c r="N102" s="51">
        <v>0.79</v>
      </c>
      <c r="O102" s="51">
        <v>0.7893</v>
      </c>
      <c r="P102" s="52">
        <v>211.8</v>
      </c>
      <c r="Q102" s="52">
        <v>211.8</v>
      </c>
      <c r="R102" s="53" t="str">
        <f>INDEX(SKU_Master!$D$5:$D$34,MATCH($I102,SKU_Master!$A$5:$A$34,0))</f>
        <v>Monitor</v>
      </c>
      <c r="S102" s="54">
        <f t="shared" si="14"/>
        <v>3.6909090909090891E-2</v>
      </c>
      <c r="T102" s="55">
        <f t="shared" si="15"/>
        <v>5012.658227848101</v>
      </c>
      <c r="U102" s="55">
        <f t="shared" si="16"/>
        <v>4827.6455696202529</v>
      </c>
      <c r="V102" s="55">
        <f t="shared" si="17"/>
        <v>-185.01265822784808</v>
      </c>
      <c r="W102" s="55">
        <f t="shared" si="18"/>
        <v>4831.927023945268</v>
      </c>
      <c r="X102" s="55">
        <f t="shared" si="19"/>
        <v>4.2814543250151473</v>
      </c>
      <c r="Y102" s="55">
        <f t="shared" si="20"/>
        <v>3812.4</v>
      </c>
      <c r="Z102" s="55">
        <f t="shared" si="21"/>
        <v>3812.4</v>
      </c>
      <c r="AA102" s="55">
        <f t="shared" si="22"/>
        <v>0</v>
      </c>
      <c r="AB102" s="55">
        <f t="shared" si="23"/>
        <v>1019.527023945268</v>
      </c>
      <c r="AC102" s="54">
        <f t="shared" si="24"/>
        <v>0.21099801774589388</v>
      </c>
      <c r="AD102" s="56">
        <f>INDEX(Assumptions!$B$14:$B$16,MATCH($R102,Assumptions!$A$14:$A$16,0))</f>
        <v>0.18</v>
      </c>
      <c r="AE102" s="56">
        <f>INDEX(Assumptions!$C$14:$C$16,MATCH($R102,Assumptions!$A$14:$A$16,0))</f>
        <v>0.12</v>
      </c>
      <c r="AF102" s="49">
        <f t="shared" si="25"/>
        <v>0</v>
      </c>
      <c r="AG102" s="49">
        <f t="shared" si="26"/>
        <v>0</v>
      </c>
      <c r="AH102" s="55">
        <f t="shared" si="27"/>
        <v>0</v>
      </c>
    </row>
    <row r="103" spans="1:34" x14ac:dyDescent="0.2">
      <c r="A103" s="48" t="s">
        <v>375</v>
      </c>
      <c r="B103" s="48">
        <v>3</v>
      </c>
      <c r="C103" s="48" t="s">
        <v>304</v>
      </c>
      <c r="D103" s="48" t="s">
        <v>272</v>
      </c>
      <c r="E103" s="48" t="s">
        <v>279</v>
      </c>
      <c r="F103" s="48" t="s">
        <v>280</v>
      </c>
      <c r="G103" s="48" t="s">
        <v>281</v>
      </c>
      <c r="H103" s="48" t="s">
        <v>64</v>
      </c>
      <c r="I103" s="48" t="s">
        <v>173</v>
      </c>
      <c r="J103" s="49">
        <v>19</v>
      </c>
      <c r="K103" s="50">
        <v>50</v>
      </c>
      <c r="L103" s="50">
        <v>47.91</v>
      </c>
      <c r="M103" s="48" t="s">
        <v>276</v>
      </c>
      <c r="N103" s="51">
        <v>0.79</v>
      </c>
      <c r="O103" s="51">
        <v>0.7893</v>
      </c>
      <c r="P103" s="52">
        <v>40</v>
      </c>
      <c r="Q103" s="52">
        <v>40</v>
      </c>
      <c r="R103" s="53" t="str">
        <f>INDEX(SKU_Master!$D$5:$D$34,MATCH($I103,SKU_Master!$A$5:$A$34,0))</f>
        <v>Accessory</v>
      </c>
      <c r="S103" s="54">
        <f t="shared" si="14"/>
        <v>4.1800000000000059E-2</v>
      </c>
      <c r="T103" s="55">
        <f t="shared" si="15"/>
        <v>1202.5316455696202</v>
      </c>
      <c r="U103" s="55">
        <f t="shared" si="16"/>
        <v>1152.2658227848101</v>
      </c>
      <c r="V103" s="55">
        <f t="shared" si="17"/>
        <v>-50.265822784810098</v>
      </c>
      <c r="W103" s="55">
        <f t="shared" si="18"/>
        <v>1153.2877232991257</v>
      </c>
      <c r="X103" s="55">
        <f t="shared" si="19"/>
        <v>1.0219005143155755</v>
      </c>
      <c r="Y103" s="55">
        <f t="shared" si="20"/>
        <v>760</v>
      </c>
      <c r="Z103" s="55">
        <f t="shared" si="21"/>
        <v>760</v>
      </c>
      <c r="AA103" s="55">
        <f t="shared" si="22"/>
        <v>0</v>
      </c>
      <c r="AB103" s="55">
        <f t="shared" si="23"/>
        <v>393.28772329912567</v>
      </c>
      <c r="AC103" s="54">
        <f t="shared" si="24"/>
        <v>0.34101440200375699</v>
      </c>
      <c r="AD103" s="56">
        <f>INDEX(Assumptions!$B$14:$B$16,MATCH($R103,Assumptions!$A$14:$A$16,0))</f>
        <v>0.32</v>
      </c>
      <c r="AE103" s="56">
        <f>INDEX(Assumptions!$C$14:$C$16,MATCH($R103,Assumptions!$A$14:$A$16,0))</f>
        <v>0.22</v>
      </c>
      <c r="AF103" s="49">
        <f t="shared" si="25"/>
        <v>0</v>
      </c>
      <c r="AG103" s="49">
        <f t="shared" si="26"/>
        <v>0</v>
      </c>
      <c r="AH103" s="55">
        <f t="shared" si="27"/>
        <v>0</v>
      </c>
    </row>
    <row r="104" spans="1:34" x14ac:dyDescent="0.2">
      <c r="A104" s="48" t="s">
        <v>376</v>
      </c>
      <c r="B104" s="48">
        <v>1</v>
      </c>
      <c r="C104" s="48" t="s">
        <v>271</v>
      </c>
      <c r="D104" s="48" t="s">
        <v>272</v>
      </c>
      <c r="E104" s="48" t="s">
        <v>284</v>
      </c>
      <c r="F104" s="48" t="s">
        <v>274</v>
      </c>
      <c r="G104" s="48" t="s">
        <v>275</v>
      </c>
      <c r="H104" s="48" t="s">
        <v>64</v>
      </c>
      <c r="I104" s="48" t="s">
        <v>108</v>
      </c>
      <c r="J104" s="49">
        <v>6</v>
      </c>
      <c r="K104" s="50">
        <v>1105</v>
      </c>
      <c r="L104" s="50">
        <v>1102.68</v>
      </c>
      <c r="M104" s="48" t="s">
        <v>276</v>
      </c>
      <c r="N104" s="51">
        <v>0.79</v>
      </c>
      <c r="O104" s="51">
        <v>0.7893</v>
      </c>
      <c r="P104" s="52">
        <v>1169</v>
      </c>
      <c r="Q104" s="52">
        <v>1169</v>
      </c>
      <c r="R104" s="53" t="str">
        <f>INDEX(SKU_Master!$D$5:$D$34,MATCH($I104,SKU_Master!$A$5:$A$34,0))</f>
        <v>Laptop</v>
      </c>
      <c r="S104" s="54">
        <f t="shared" si="14"/>
        <v>2.0995475113121387E-3</v>
      </c>
      <c r="T104" s="55">
        <f t="shared" si="15"/>
        <v>8392.4050632911385</v>
      </c>
      <c r="U104" s="55">
        <f t="shared" si="16"/>
        <v>8374.7848101265827</v>
      </c>
      <c r="V104" s="55">
        <f t="shared" si="17"/>
        <v>-17.620253164555834</v>
      </c>
      <c r="W104" s="55">
        <f t="shared" si="18"/>
        <v>8382.2120866590649</v>
      </c>
      <c r="X104" s="55">
        <f t="shared" si="19"/>
        <v>7.4272765324822103</v>
      </c>
      <c r="Y104" s="55">
        <f t="shared" si="20"/>
        <v>7014</v>
      </c>
      <c r="Z104" s="55">
        <f t="shared" si="21"/>
        <v>7014</v>
      </c>
      <c r="AA104" s="55">
        <f t="shared" si="22"/>
        <v>0</v>
      </c>
      <c r="AB104" s="55">
        <f t="shared" si="23"/>
        <v>1368.2120866590649</v>
      </c>
      <c r="AC104" s="54">
        <f t="shared" si="24"/>
        <v>0.16322804440091412</v>
      </c>
      <c r="AD104" s="56">
        <f>INDEX(Assumptions!$B$14:$B$16,MATCH($R104,Assumptions!$A$14:$A$16,0))</f>
        <v>0.12</v>
      </c>
      <c r="AE104" s="56">
        <f>INDEX(Assumptions!$C$14:$C$16,MATCH($R104,Assumptions!$A$14:$A$16,0))</f>
        <v>0.08</v>
      </c>
      <c r="AF104" s="49">
        <f t="shared" si="25"/>
        <v>0</v>
      </c>
      <c r="AG104" s="49">
        <f t="shared" si="26"/>
        <v>0</v>
      </c>
      <c r="AH104" s="55">
        <f t="shared" si="27"/>
        <v>0</v>
      </c>
    </row>
    <row r="105" spans="1:34" x14ac:dyDescent="0.2">
      <c r="A105" s="48" t="s">
        <v>376</v>
      </c>
      <c r="B105" s="48">
        <v>2</v>
      </c>
      <c r="C105" s="48" t="s">
        <v>271</v>
      </c>
      <c r="D105" s="48" t="s">
        <v>272</v>
      </c>
      <c r="E105" s="48" t="s">
        <v>284</v>
      </c>
      <c r="F105" s="48" t="s">
        <v>274</v>
      </c>
      <c r="G105" s="48" t="s">
        <v>275</v>
      </c>
      <c r="H105" s="48" t="s">
        <v>64</v>
      </c>
      <c r="I105" s="48" t="s">
        <v>161</v>
      </c>
      <c r="J105" s="49">
        <v>6</v>
      </c>
      <c r="K105" s="50">
        <v>105</v>
      </c>
      <c r="L105" s="50">
        <v>103.68</v>
      </c>
      <c r="M105" s="48" t="s">
        <v>276</v>
      </c>
      <c r="N105" s="51">
        <v>0.79</v>
      </c>
      <c r="O105" s="51">
        <v>0.7893</v>
      </c>
      <c r="P105" s="52">
        <v>82</v>
      </c>
      <c r="Q105" s="52">
        <v>82</v>
      </c>
      <c r="R105" s="53" t="str">
        <f>INDEX(SKU_Master!$D$5:$D$34,MATCH($I105,SKU_Master!$A$5:$A$34,0))</f>
        <v>Accessory</v>
      </c>
      <c r="S105" s="54">
        <f t="shared" si="14"/>
        <v>1.2571428571428456E-2</v>
      </c>
      <c r="T105" s="55">
        <f t="shared" si="15"/>
        <v>797.46835443037969</v>
      </c>
      <c r="U105" s="55">
        <f t="shared" si="16"/>
        <v>787.44303797468353</v>
      </c>
      <c r="V105" s="55">
        <f t="shared" si="17"/>
        <v>-10.025316455696156</v>
      </c>
      <c r="W105" s="55">
        <f t="shared" si="18"/>
        <v>788.14139110604333</v>
      </c>
      <c r="X105" s="55">
        <f t="shared" si="19"/>
        <v>0.69835313135979504</v>
      </c>
      <c r="Y105" s="55">
        <f t="shared" si="20"/>
        <v>492</v>
      </c>
      <c r="Z105" s="55">
        <f t="shared" si="21"/>
        <v>492</v>
      </c>
      <c r="AA105" s="55">
        <f t="shared" si="22"/>
        <v>0</v>
      </c>
      <c r="AB105" s="55">
        <f t="shared" si="23"/>
        <v>296.14139110604333</v>
      </c>
      <c r="AC105" s="54">
        <f t="shared" si="24"/>
        <v>0.37574652777777778</v>
      </c>
      <c r="AD105" s="56">
        <f>INDEX(Assumptions!$B$14:$B$16,MATCH($R105,Assumptions!$A$14:$A$16,0))</f>
        <v>0.32</v>
      </c>
      <c r="AE105" s="56">
        <f>INDEX(Assumptions!$C$14:$C$16,MATCH($R105,Assumptions!$A$14:$A$16,0))</f>
        <v>0.22</v>
      </c>
      <c r="AF105" s="49">
        <f t="shared" si="25"/>
        <v>0</v>
      </c>
      <c r="AG105" s="49">
        <f t="shared" si="26"/>
        <v>0</v>
      </c>
      <c r="AH105" s="55">
        <f t="shared" si="27"/>
        <v>0</v>
      </c>
    </row>
    <row r="106" spans="1:34" x14ac:dyDescent="0.2">
      <c r="A106" s="48" t="s">
        <v>377</v>
      </c>
      <c r="B106" s="48">
        <v>1</v>
      </c>
      <c r="C106" s="48" t="s">
        <v>321</v>
      </c>
      <c r="D106" s="48" t="s">
        <v>272</v>
      </c>
      <c r="E106" s="48" t="s">
        <v>279</v>
      </c>
      <c r="F106" s="48" t="s">
        <v>280</v>
      </c>
      <c r="G106" s="48" t="s">
        <v>281</v>
      </c>
      <c r="H106" s="48" t="s">
        <v>64</v>
      </c>
      <c r="I106" s="48" t="s">
        <v>93</v>
      </c>
      <c r="J106" s="49">
        <v>9</v>
      </c>
      <c r="K106" s="50">
        <v>1145</v>
      </c>
      <c r="L106" s="50">
        <v>1096.3800000000001</v>
      </c>
      <c r="M106" s="48" t="s">
        <v>276</v>
      </c>
      <c r="N106" s="51">
        <v>0.79</v>
      </c>
      <c r="O106" s="51">
        <v>0.7893</v>
      </c>
      <c r="P106" s="52">
        <v>1210.2</v>
      </c>
      <c r="Q106" s="52">
        <v>1210.2</v>
      </c>
      <c r="R106" s="53" t="str">
        <f>INDEX(SKU_Master!$D$5:$D$34,MATCH($I106,SKU_Master!$A$5:$A$34,0))</f>
        <v>Laptop</v>
      </c>
      <c r="S106" s="54">
        <f t="shared" si="14"/>
        <v>4.2462882096069743E-2</v>
      </c>
      <c r="T106" s="55">
        <f t="shared" si="15"/>
        <v>13044.303797468354</v>
      </c>
      <c r="U106" s="55">
        <f t="shared" si="16"/>
        <v>12490.40506329114</v>
      </c>
      <c r="V106" s="55">
        <f t="shared" si="17"/>
        <v>-553.89873417721356</v>
      </c>
      <c r="W106" s="55">
        <f t="shared" si="18"/>
        <v>12501.482326111747</v>
      </c>
      <c r="X106" s="55">
        <f t="shared" si="19"/>
        <v>11.077262820606848</v>
      </c>
      <c r="Y106" s="55">
        <f t="shared" si="20"/>
        <v>10891.800000000001</v>
      </c>
      <c r="Z106" s="55">
        <f t="shared" si="21"/>
        <v>10891.800000000001</v>
      </c>
      <c r="AA106" s="55">
        <f t="shared" si="22"/>
        <v>0</v>
      </c>
      <c r="AB106" s="55">
        <f t="shared" si="23"/>
        <v>1609.6823261117461</v>
      </c>
      <c r="AC106" s="54">
        <f t="shared" si="24"/>
        <v>0.12875931702511911</v>
      </c>
      <c r="AD106" s="56">
        <f>INDEX(Assumptions!$B$14:$B$16,MATCH($R106,Assumptions!$A$14:$A$16,0))</f>
        <v>0.12</v>
      </c>
      <c r="AE106" s="56">
        <f>INDEX(Assumptions!$C$14:$C$16,MATCH($R106,Assumptions!$A$14:$A$16,0))</f>
        <v>0.08</v>
      </c>
      <c r="AF106" s="49">
        <f t="shared" si="25"/>
        <v>0</v>
      </c>
      <c r="AG106" s="49">
        <f t="shared" si="26"/>
        <v>0</v>
      </c>
      <c r="AH106" s="55">
        <f t="shared" si="27"/>
        <v>0</v>
      </c>
    </row>
    <row r="107" spans="1:34" x14ac:dyDescent="0.2">
      <c r="A107" s="48" t="s">
        <v>377</v>
      </c>
      <c r="B107" s="48">
        <v>2</v>
      </c>
      <c r="C107" s="48" t="s">
        <v>321</v>
      </c>
      <c r="D107" s="48" t="s">
        <v>272</v>
      </c>
      <c r="E107" s="48" t="s">
        <v>279</v>
      </c>
      <c r="F107" s="48" t="s">
        <v>280</v>
      </c>
      <c r="G107" s="48" t="s">
        <v>281</v>
      </c>
      <c r="H107" s="48" t="s">
        <v>64</v>
      </c>
      <c r="I107" s="48" t="s">
        <v>138</v>
      </c>
      <c r="J107" s="49">
        <v>5</v>
      </c>
      <c r="K107" s="50">
        <v>400</v>
      </c>
      <c r="L107" s="50">
        <v>387.62</v>
      </c>
      <c r="M107" s="48" t="s">
        <v>276</v>
      </c>
      <c r="N107" s="51">
        <v>0.79</v>
      </c>
      <c r="O107" s="51">
        <v>0.7893</v>
      </c>
      <c r="P107" s="52">
        <v>388.2</v>
      </c>
      <c r="Q107" s="52">
        <v>388.2</v>
      </c>
      <c r="R107" s="53" t="str">
        <f>INDEX(SKU_Master!$D$5:$D$34,MATCH($I107,SKU_Master!$A$5:$A$34,0))</f>
        <v>Monitor</v>
      </c>
      <c r="S107" s="54">
        <f t="shared" si="14"/>
        <v>3.0950000000000033E-2</v>
      </c>
      <c r="T107" s="55">
        <f t="shared" si="15"/>
        <v>2531.6455696202529</v>
      </c>
      <c r="U107" s="55">
        <f t="shared" si="16"/>
        <v>2453.2911392405063</v>
      </c>
      <c r="V107" s="55">
        <f t="shared" si="17"/>
        <v>-78.354430379746645</v>
      </c>
      <c r="W107" s="55">
        <f t="shared" si="18"/>
        <v>2455.4668693779295</v>
      </c>
      <c r="X107" s="55">
        <f t="shared" si="19"/>
        <v>2.1757301374232156</v>
      </c>
      <c r="Y107" s="55">
        <f t="shared" si="20"/>
        <v>1941</v>
      </c>
      <c r="Z107" s="55">
        <f t="shared" si="21"/>
        <v>1941</v>
      </c>
      <c r="AA107" s="55">
        <f t="shared" si="22"/>
        <v>0</v>
      </c>
      <c r="AB107" s="55">
        <f t="shared" si="23"/>
        <v>514.46686937792947</v>
      </c>
      <c r="AC107" s="54">
        <f t="shared" si="24"/>
        <v>0.20951896186987246</v>
      </c>
      <c r="AD107" s="56">
        <f>INDEX(Assumptions!$B$14:$B$16,MATCH($R107,Assumptions!$A$14:$A$16,0))</f>
        <v>0.18</v>
      </c>
      <c r="AE107" s="56">
        <f>INDEX(Assumptions!$C$14:$C$16,MATCH($R107,Assumptions!$A$14:$A$16,0))</f>
        <v>0.12</v>
      </c>
      <c r="AF107" s="49">
        <f t="shared" si="25"/>
        <v>0</v>
      </c>
      <c r="AG107" s="49">
        <f t="shared" si="26"/>
        <v>0</v>
      </c>
      <c r="AH107" s="55">
        <f t="shared" si="27"/>
        <v>0</v>
      </c>
    </row>
    <row r="108" spans="1:34" x14ac:dyDescent="0.2">
      <c r="A108" s="48" t="s">
        <v>377</v>
      </c>
      <c r="B108" s="48">
        <v>3</v>
      </c>
      <c r="C108" s="48" t="s">
        <v>321</v>
      </c>
      <c r="D108" s="48" t="s">
        <v>272</v>
      </c>
      <c r="E108" s="48" t="s">
        <v>279</v>
      </c>
      <c r="F108" s="48" t="s">
        <v>280</v>
      </c>
      <c r="G108" s="48" t="s">
        <v>281</v>
      </c>
      <c r="H108" s="48" t="s">
        <v>64</v>
      </c>
      <c r="I108" s="48" t="s">
        <v>151</v>
      </c>
      <c r="J108" s="49">
        <v>5</v>
      </c>
      <c r="K108" s="50">
        <v>280</v>
      </c>
      <c r="L108" s="50">
        <v>270.31</v>
      </c>
      <c r="M108" s="48" t="s">
        <v>276</v>
      </c>
      <c r="N108" s="51">
        <v>0.79</v>
      </c>
      <c r="O108" s="51">
        <v>0.7893</v>
      </c>
      <c r="P108" s="52">
        <v>222.7</v>
      </c>
      <c r="Q108" s="52">
        <v>222.7</v>
      </c>
      <c r="R108" s="53" t="str">
        <f>INDEX(SKU_Master!$D$5:$D$34,MATCH($I108,SKU_Master!$A$5:$A$34,0))</f>
        <v>Accessory</v>
      </c>
      <c r="S108" s="54">
        <f t="shared" si="14"/>
        <v>3.4607142857142836E-2</v>
      </c>
      <c r="T108" s="55">
        <f t="shared" si="15"/>
        <v>1772.1518987341772</v>
      </c>
      <c r="U108" s="55">
        <f t="shared" si="16"/>
        <v>1710.8227848101264</v>
      </c>
      <c r="V108" s="55">
        <f t="shared" si="17"/>
        <v>-61.329113924050716</v>
      </c>
      <c r="W108" s="55">
        <f t="shared" si="18"/>
        <v>1712.3400481439248</v>
      </c>
      <c r="X108" s="55">
        <f t="shared" si="19"/>
        <v>1.5172633337983825</v>
      </c>
      <c r="Y108" s="55">
        <f t="shared" si="20"/>
        <v>1113.5</v>
      </c>
      <c r="Z108" s="55">
        <f t="shared" si="21"/>
        <v>1113.5</v>
      </c>
      <c r="AA108" s="55">
        <f t="shared" si="22"/>
        <v>0</v>
      </c>
      <c r="AB108" s="55">
        <f t="shared" si="23"/>
        <v>598.84004814392483</v>
      </c>
      <c r="AC108" s="54">
        <f t="shared" si="24"/>
        <v>0.34972028411823458</v>
      </c>
      <c r="AD108" s="56">
        <f>INDEX(Assumptions!$B$14:$B$16,MATCH($R108,Assumptions!$A$14:$A$16,0))</f>
        <v>0.32</v>
      </c>
      <c r="AE108" s="56">
        <f>INDEX(Assumptions!$C$14:$C$16,MATCH($R108,Assumptions!$A$14:$A$16,0))</f>
        <v>0.22</v>
      </c>
      <c r="AF108" s="49">
        <f t="shared" si="25"/>
        <v>0</v>
      </c>
      <c r="AG108" s="49">
        <f t="shared" si="26"/>
        <v>0</v>
      </c>
      <c r="AH108" s="55">
        <f t="shared" si="27"/>
        <v>0</v>
      </c>
    </row>
    <row r="109" spans="1:34" x14ac:dyDescent="0.2">
      <c r="A109" s="48" t="s">
        <v>378</v>
      </c>
      <c r="B109" s="48">
        <v>1</v>
      </c>
      <c r="C109" s="48" t="s">
        <v>379</v>
      </c>
      <c r="D109" s="48" t="s">
        <v>272</v>
      </c>
      <c r="E109" s="48" t="s">
        <v>355</v>
      </c>
      <c r="F109" s="48" t="s">
        <v>280</v>
      </c>
      <c r="G109" s="48" t="s">
        <v>302</v>
      </c>
      <c r="H109" s="48" t="s">
        <v>62</v>
      </c>
      <c r="I109" s="48" t="s">
        <v>113</v>
      </c>
      <c r="J109" s="49">
        <v>26</v>
      </c>
      <c r="K109" s="50">
        <v>1740</v>
      </c>
      <c r="L109" s="50">
        <v>1667.59</v>
      </c>
      <c r="M109" s="48" t="s">
        <v>276</v>
      </c>
      <c r="N109" s="51">
        <v>1</v>
      </c>
      <c r="O109" s="51">
        <v>1</v>
      </c>
      <c r="P109" s="52">
        <v>1484.8</v>
      </c>
      <c r="Q109" s="52">
        <v>1484.8</v>
      </c>
      <c r="R109" s="53" t="str">
        <f>INDEX(SKU_Master!$D$5:$D$34,MATCH($I109,SKU_Master!$A$5:$A$34,0))</f>
        <v>Laptop</v>
      </c>
      <c r="S109" s="54">
        <f t="shared" si="14"/>
        <v>4.1614942528735654E-2</v>
      </c>
      <c r="T109" s="55">
        <f t="shared" si="15"/>
        <v>45240</v>
      </c>
      <c r="U109" s="55">
        <f t="shared" si="16"/>
        <v>43357.34</v>
      </c>
      <c r="V109" s="55">
        <f t="shared" si="17"/>
        <v>-1882.6600000000035</v>
      </c>
      <c r="W109" s="55">
        <f t="shared" si="18"/>
        <v>43357.34</v>
      </c>
      <c r="X109" s="55">
        <f t="shared" si="19"/>
        <v>0</v>
      </c>
      <c r="Y109" s="55">
        <f t="shared" si="20"/>
        <v>38604.799999999996</v>
      </c>
      <c r="Z109" s="55">
        <f t="shared" si="21"/>
        <v>38604.799999999996</v>
      </c>
      <c r="AA109" s="55">
        <f t="shared" si="22"/>
        <v>0</v>
      </c>
      <c r="AB109" s="55">
        <f t="shared" si="23"/>
        <v>4752.5400000000009</v>
      </c>
      <c r="AC109" s="54">
        <f t="shared" si="24"/>
        <v>0.1096132742460677</v>
      </c>
      <c r="AD109" s="56">
        <f>INDEX(Assumptions!$B$14:$B$16,MATCH($R109,Assumptions!$A$14:$A$16,0))</f>
        <v>0.12</v>
      </c>
      <c r="AE109" s="56">
        <f>INDEX(Assumptions!$C$14:$C$16,MATCH($R109,Assumptions!$A$14:$A$16,0))</f>
        <v>0.08</v>
      </c>
      <c r="AF109" s="49">
        <f t="shared" si="25"/>
        <v>0</v>
      </c>
      <c r="AG109" s="49">
        <f t="shared" si="26"/>
        <v>0</v>
      </c>
      <c r="AH109" s="55">
        <f t="shared" si="27"/>
        <v>450.34079999999813</v>
      </c>
    </row>
    <row r="110" spans="1:34" x14ac:dyDescent="0.2">
      <c r="A110" s="48" t="s">
        <v>378</v>
      </c>
      <c r="B110" s="48">
        <v>2</v>
      </c>
      <c r="C110" s="48" t="s">
        <v>379</v>
      </c>
      <c r="D110" s="48" t="s">
        <v>272</v>
      </c>
      <c r="E110" s="48" t="s">
        <v>355</v>
      </c>
      <c r="F110" s="48" t="s">
        <v>280</v>
      </c>
      <c r="G110" s="48" t="s">
        <v>302</v>
      </c>
      <c r="H110" s="48" t="s">
        <v>62</v>
      </c>
      <c r="I110" s="48" t="s">
        <v>177</v>
      </c>
      <c r="J110" s="49">
        <v>26</v>
      </c>
      <c r="K110" s="50">
        <v>70</v>
      </c>
      <c r="L110" s="50">
        <v>64.239999999999995</v>
      </c>
      <c r="M110" s="48" t="s">
        <v>276</v>
      </c>
      <c r="N110" s="51">
        <v>1</v>
      </c>
      <c r="O110" s="51">
        <v>1</v>
      </c>
      <c r="P110" s="52">
        <v>44</v>
      </c>
      <c r="Q110" s="52">
        <v>44</v>
      </c>
      <c r="R110" s="53" t="str">
        <f>INDEX(SKU_Master!$D$5:$D$34,MATCH($I110,SKU_Master!$A$5:$A$34,0))</f>
        <v>Accessory</v>
      </c>
      <c r="S110" s="54">
        <f t="shared" si="14"/>
        <v>8.2285714285714406E-2</v>
      </c>
      <c r="T110" s="55">
        <f t="shared" si="15"/>
        <v>1820</v>
      </c>
      <c r="U110" s="55">
        <f t="shared" si="16"/>
        <v>1670.2399999999998</v>
      </c>
      <c r="V110" s="55">
        <f t="shared" si="17"/>
        <v>-149.76000000000022</v>
      </c>
      <c r="W110" s="55">
        <f t="shared" si="18"/>
        <v>1670.2399999999998</v>
      </c>
      <c r="X110" s="55">
        <f t="shared" si="19"/>
        <v>0</v>
      </c>
      <c r="Y110" s="55">
        <f t="shared" si="20"/>
        <v>1144</v>
      </c>
      <c r="Z110" s="55">
        <f t="shared" si="21"/>
        <v>1144</v>
      </c>
      <c r="AA110" s="55">
        <f t="shared" si="22"/>
        <v>0</v>
      </c>
      <c r="AB110" s="55">
        <f t="shared" si="23"/>
        <v>526.23999999999978</v>
      </c>
      <c r="AC110" s="54">
        <f t="shared" si="24"/>
        <v>0.31506849315068486</v>
      </c>
      <c r="AD110" s="56">
        <f>INDEX(Assumptions!$B$14:$B$16,MATCH($R110,Assumptions!$A$14:$A$16,0))</f>
        <v>0.32</v>
      </c>
      <c r="AE110" s="56">
        <f>INDEX(Assumptions!$C$14:$C$16,MATCH($R110,Assumptions!$A$14:$A$16,0))</f>
        <v>0.22</v>
      </c>
      <c r="AF110" s="49">
        <f t="shared" si="25"/>
        <v>0</v>
      </c>
      <c r="AG110" s="49">
        <f t="shared" si="26"/>
        <v>0</v>
      </c>
      <c r="AH110" s="55">
        <f t="shared" si="27"/>
        <v>8.2368000000001302</v>
      </c>
    </row>
    <row r="111" spans="1:34" x14ac:dyDescent="0.2">
      <c r="A111" s="48" t="s">
        <v>380</v>
      </c>
      <c r="B111" s="48">
        <v>1</v>
      </c>
      <c r="C111" s="48" t="s">
        <v>381</v>
      </c>
      <c r="D111" s="48" t="s">
        <v>272</v>
      </c>
      <c r="E111" s="48" t="s">
        <v>279</v>
      </c>
      <c r="F111" s="48" t="s">
        <v>280</v>
      </c>
      <c r="G111" s="48" t="s">
        <v>281</v>
      </c>
      <c r="H111" s="48" t="s">
        <v>64</v>
      </c>
      <c r="I111" s="48" t="s">
        <v>132</v>
      </c>
      <c r="J111" s="49">
        <v>16</v>
      </c>
      <c r="K111" s="50">
        <v>865</v>
      </c>
      <c r="L111" s="50">
        <v>826.54</v>
      </c>
      <c r="M111" s="48" t="s">
        <v>276</v>
      </c>
      <c r="N111" s="51">
        <v>0.79</v>
      </c>
      <c r="O111" s="51">
        <v>0.7893</v>
      </c>
      <c r="P111" s="52">
        <v>915</v>
      </c>
      <c r="Q111" s="52">
        <v>915</v>
      </c>
      <c r="R111" s="53" t="str">
        <f>INDEX(SKU_Master!$D$5:$D$34,MATCH($I111,SKU_Master!$A$5:$A$34,0))</f>
        <v>Laptop</v>
      </c>
      <c r="S111" s="54">
        <f t="shared" si="14"/>
        <v>4.4462427745664779E-2</v>
      </c>
      <c r="T111" s="55">
        <f t="shared" si="15"/>
        <v>17518.98734177215</v>
      </c>
      <c r="U111" s="55">
        <f t="shared" si="16"/>
        <v>16740.050632911392</v>
      </c>
      <c r="V111" s="55">
        <f t="shared" si="17"/>
        <v>-778.93670886075779</v>
      </c>
      <c r="W111" s="55">
        <f t="shared" si="18"/>
        <v>16754.896743950336</v>
      </c>
      <c r="X111" s="55">
        <f t="shared" si="19"/>
        <v>14.846111038943491</v>
      </c>
      <c r="Y111" s="55">
        <f t="shared" si="20"/>
        <v>14640</v>
      </c>
      <c r="Z111" s="55">
        <f t="shared" si="21"/>
        <v>14640</v>
      </c>
      <c r="AA111" s="55">
        <f t="shared" si="22"/>
        <v>0</v>
      </c>
      <c r="AB111" s="55">
        <f t="shared" si="23"/>
        <v>2114.8967439503358</v>
      </c>
      <c r="AC111" s="54">
        <f t="shared" si="24"/>
        <v>0.12622559101797856</v>
      </c>
      <c r="AD111" s="56">
        <f>INDEX(Assumptions!$B$14:$B$16,MATCH($R111,Assumptions!$A$14:$A$16,0))</f>
        <v>0.12</v>
      </c>
      <c r="AE111" s="56">
        <f>INDEX(Assumptions!$C$14:$C$16,MATCH($R111,Assumptions!$A$14:$A$16,0))</f>
        <v>0.08</v>
      </c>
      <c r="AF111" s="49">
        <f t="shared" si="25"/>
        <v>0</v>
      </c>
      <c r="AG111" s="49">
        <f t="shared" si="26"/>
        <v>0</v>
      </c>
      <c r="AH111" s="55">
        <f t="shared" si="27"/>
        <v>0</v>
      </c>
    </row>
    <row r="112" spans="1:34" x14ac:dyDescent="0.2">
      <c r="A112" s="48" t="s">
        <v>380</v>
      </c>
      <c r="B112" s="48">
        <v>2</v>
      </c>
      <c r="C112" s="48" t="s">
        <v>381</v>
      </c>
      <c r="D112" s="48" t="s">
        <v>272</v>
      </c>
      <c r="E112" s="48" t="s">
        <v>279</v>
      </c>
      <c r="F112" s="48" t="s">
        <v>280</v>
      </c>
      <c r="G112" s="48" t="s">
        <v>281</v>
      </c>
      <c r="H112" s="48" t="s">
        <v>64</v>
      </c>
      <c r="I112" s="48" t="s">
        <v>157</v>
      </c>
      <c r="J112" s="49">
        <v>15</v>
      </c>
      <c r="K112" s="50">
        <v>115</v>
      </c>
      <c r="L112" s="50">
        <v>110.83</v>
      </c>
      <c r="M112" s="48" t="s">
        <v>276</v>
      </c>
      <c r="N112" s="51">
        <v>0.79</v>
      </c>
      <c r="O112" s="51">
        <v>0.7893</v>
      </c>
      <c r="P112" s="52">
        <v>92</v>
      </c>
      <c r="Q112" s="52">
        <v>92</v>
      </c>
      <c r="R112" s="53" t="str">
        <f>INDEX(SKU_Master!$D$5:$D$34,MATCH($I112,SKU_Master!$A$5:$A$34,0))</f>
        <v>Accessory</v>
      </c>
      <c r="S112" s="54">
        <f t="shared" si="14"/>
        <v>3.6260869565217457E-2</v>
      </c>
      <c r="T112" s="55">
        <f t="shared" si="15"/>
        <v>2183.5443037974683</v>
      </c>
      <c r="U112" s="55">
        <f t="shared" si="16"/>
        <v>2104.3670886075947</v>
      </c>
      <c r="V112" s="55">
        <f t="shared" si="17"/>
        <v>-79.17721518987355</v>
      </c>
      <c r="W112" s="55">
        <f t="shared" si="18"/>
        <v>2106.2333713416951</v>
      </c>
      <c r="X112" s="55">
        <f t="shared" si="19"/>
        <v>1.8662827341004231</v>
      </c>
      <c r="Y112" s="55">
        <f t="shared" si="20"/>
        <v>1380</v>
      </c>
      <c r="Z112" s="55">
        <f t="shared" si="21"/>
        <v>1380</v>
      </c>
      <c r="AA112" s="55">
        <f t="shared" si="22"/>
        <v>0</v>
      </c>
      <c r="AB112" s="55">
        <f t="shared" si="23"/>
        <v>726.23337134169515</v>
      </c>
      <c r="AC112" s="54">
        <f t="shared" si="24"/>
        <v>0.34480194893079491</v>
      </c>
      <c r="AD112" s="56">
        <f>INDEX(Assumptions!$B$14:$B$16,MATCH($R112,Assumptions!$A$14:$A$16,0))</f>
        <v>0.32</v>
      </c>
      <c r="AE112" s="56">
        <f>INDEX(Assumptions!$C$14:$C$16,MATCH($R112,Assumptions!$A$14:$A$16,0))</f>
        <v>0.22</v>
      </c>
      <c r="AF112" s="49">
        <f t="shared" si="25"/>
        <v>0</v>
      </c>
      <c r="AG112" s="49">
        <f t="shared" si="26"/>
        <v>0</v>
      </c>
      <c r="AH112" s="55">
        <f t="shared" si="27"/>
        <v>0</v>
      </c>
    </row>
    <row r="113" spans="1:34" x14ac:dyDescent="0.2">
      <c r="A113" s="48" t="s">
        <v>382</v>
      </c>
      <c r="B113" s="48">
        <v>1</v>
      </c>
      <c r="C113" s="48" t="s">
        <v>330</v>
      </c>
      <c r="D113" s="48" t="s">
        <v>272</v>
      </c>
      <c r="E113" s="48" t="s">
        <v>343</v>
      </c>
      <c r="F113" s="48" t="s">
        <v>280</v>
      </c>
      <c r="G113" s="48" t="s">
        <v>281</v>
      </c>
      <c r="H113" s="48" t="s">
        <v>62</v>
      </c>
      <c r="I113" s="48" t="s">
        <v>108</v>
      </c>
      <c r="J113" s="49">
        <v>17</v>
      </c>
      <c r="K113" s="50">
        <v>1345</v>
      </c>
      <c r="L113" s="50">
        <v>1285.1600000000001</v>
      </c>
      <c r="M113" s="48" t="s">
        <v>276</v>
      </c>
      <c r="N113" s="51">
        <v>1</v>
      </c>
      <c r="O113" s="51">
        <v>1</v>
      </c>
      <c r="P113" s="52">
        <v>1145</v>
      </c>
      <c r="Q113" s="52">
        <v>1145</v>
      </c>
      <c r="R113" s="53" t="str">
        <f>INDEX(SKU_Master!$D$5:$D$34,MATCH($I113,SKU_Master!$A$5:$A$34,0))</f>
        <v>Laptop</v>
      </c>
      <c r="S113" s="54">
        <f t="shared" si="14"/>
        <v>4.4490706319702533E-2</v>
      </c>
      <c r="T113" s="55">
        <f t="shared" si="15"/>
        <v>22865</v>
      </c>
      <c r="U113" s="55">
        <f t="shared" si="16"/>
        <v>21847.72</v>
      </c>
      <c r="V113" s="55">
        <f t="shared" si="17"/>
        <v>-1017.2799999999988</v>
      </c>
      <c r="W113" s="55">
        <f t="shared" si="18"/>
        <v>21847.72</v>
      </c>
      <c r="X113" s="55">
        <f t="shared" si="19"/>
        <v>0</v>
      </c>
      <c r="Y113" s="55">
        <f t="shared" si="20"/>
        <v>19465</v>
      </c>
      <c r="Z113" s="55">
        <f t="shared" si="21"/>
        <v>19465</v>
      </c>
      <c r="AA113" s="55">
        <f t="shared" si="22"/>
        <v>0</v>
      </c>
      <c r="AB113" s="55">
        <f t="shared" si="23"/>
        <v>2382.7200000000012</v>
      </c>
      <c r="AC113" s="54">
        <f t="shared" si="24"/>
        <v>0.10906035046219931</v>
      </c>
      <c r="AD113" s="56">
        <f>INDEX(Assumptions!$B$14:$B$16,MATCH($R113,Assumptions!$A$14:$A$16,0))</f>
        <v>0.12</v>
      </c>
      <c r="AE113" s="56">
        <f>INDEX(Assumptions!$C$14:$C$16,MATCH($R113,Assumptions!$A$14:$A$16,0))</f>
        <v>0.08</v>
      </c>
      <c r="AF113" s="49">
        <f t="shared" si="25"/>
        <v>0</v>
      </c>
      <c r="AG113" s="49">
        <f t="shared" si="26"/>
        <v>0</v>
      </c>
      <c r="AH113" s="55">
        <f t="shared" si="27"/>
        <v>239.00639999999885</v>
      </c>
    </row>
    <row r="114" spans="1:34" x14ac:dyDescent="0.2">
      <c r="A114" s="48" t="s">
        <v>382</v>
      </c>
      <c r="B114" s="48">
        <v>2</v>
      </c>
      <c r="C114" s="48" t="s">
        <v>330</v>
      </c>
      <c r="D114" s="48" t="s">
        <v>272</v>
      </c>
      <c r="E114" s="48" t="s">
        <v>343</v>
      </c>
      <c r="F114" s="48" t="s">
        <v>280</v>
      </c>
      <c r="G114" s="48" t="s">
        <v>281</v>
      </c>
      <c r="H114" s="48" t="s">
        <v>62</v>
      </c>
      <c r="I114" s="48" t="s">
        <v>138</v>
      </c>
      <c r="J114" s="49">
        <v>20</v>
      </c>
      <c r="K114" s="50">
        <v>455</v>
      </c>
      <c r="L114" s="50">
        <v>443.9</v>
      </c>
      <c r="M114" s="48" t="s">
        <v>276</v>
      </c>
      <c r="N114" s="51">
        <v>1</v>
      </c>
      <c r="O114" s="51">
        <v>1</v>
      </c>
      <c r="P114" s="52">
        <v>358.2</v>
      </c>
      <c r="Q114" s="52">
        <v>358.2</v>
      </c>
      <c r="R114" s="53" t="str">
        <f>INDEX(SKU_Master!$D$5:$D$34,MATCH($I114,SKU_Master!$A$5:$A$34,0))</f>
        <v>Monitor</v>
      </c>
      <c r="S114" s="54">
        <f t="shared" si="14"/>
        <v>2.4395604395604398E-2</v>
      </c>
      <c r="T114" s="55">
        <f t="shared" si="15"/>
        <v>9100</v>
      </c>
      <c r="U114" s="55">
        <f t="shared" si="16"/>
        <v>8878</v>
      </c>
      <c r="V114" s="55">
        <f t="shared" si="17"/>
        <v>-222</v>
      </c>
      <c r="W114" s="55">
        <f t="shared" si="18"/>
        <v>8878</v>
      </c>
      <c r="X114" s="55">
        <f t="shared" si="19"/>
        <v>0</v>
      </c>
      <c r="Y114" s="55">
        <f t="shared" si="20"/>
        <v>7164</v>
      </c>
      <c r="Z114" s="55">
        <f t="shared" si="21"/>
        <v>7164</v>
      </c>
      <c r="AA114" s="55">
        <f t="shared" si="22"/>
        <v>0</v>
      </c>
      <c r="AB114" s="55">
        <f t="shared" si="23"/>
        <v>1714</v>
      </c>
      <c r="AC114" s="54">
        <f t="shared" si="24"/>
        <v>0.19306150033791394</v>
      </c>
      <c r="AD114" s="56">
        <f>INDEX(Assumptions!$B$14:$B$16,MATCH($R114,Assumptions!$A$14:$A$16,0))</f>
        <v>0.18</v>
      </c>
      <c r="AE114" s="56">
        <f>INDEX(Assumptions!$C$14:$C$16,MATCH($R114,Assumptions!$A$14:$A$16,0))</f>
        <v>0.12</v>
      </c>
      <c r="AF114" s="49">
        <f t="shared" si="25"/>
        <v>0</v>
      </c>
      <c r="AG114" s="49">
        <f t="shared" si="26"/>
        <v>0</v>
      </c>
      <c r="AH114" s="55">
        <f t="shared" si="27"/>
        <v>0</v>
      </c>
    </row>
    <row r="115" spans="1:34" x14ac:dyDescent="0.2">
      <c r="A115" s="48" t="s">
        <v>382</v>
      </c>
      <c r="B115" s="48">
        <v>3</v>
      </c>
      <c r="C115" s="48" t="s">
        <v>330</v>
      </c>
      <c r="D115" s="48" t="s">
        <v>272</v>
      </c>
      <c r="E115" s="48" t="s">
        <v>343</v>
      </c>
      <c r="F115" s="48" t="s">
        <v>280</v>
      </c>
      <c r="G115" s="48" t="s">
        <v>281</v>
      </c>
      <c r="H115" s="48" t="s">
        <v>62</v>
      </c>
      <c r="I115" s="48" t="s">
        <v>166</v>
      </c>
      <c r="J115" s="49">
        <v>7</v>
      </c>
      <c r="K115" s="50">
        <v>265</v>
      </c>
      <c r="L115" s="50">
        <v>257.2</v>
      </c>
      <c r="M115" s="48" t="s">
        <v>276</v>
      </c>
      <c r="N115" s="51">
        <v>1</v>
      </c>
      <c r="O115" s="51">
        <v>1</v>
      </c>
      <c r="P115" s="52">
        <v>169.35</v>
      </c>
      <c r="Q115" s="52">
        <v>169.35</v>
      </c>
      <c r="R115" s="53" t="str">
        <f>INDEX(SKU_Master!$D$5:$D$34,MATCH($I115,SKU_Master!$A$5:$A$34,0))</f>
        <v>Accessory</v>
      </c>
      <c r="S115" s="54">
        <f t="shared" si="14"/>
        <v>2.9433962264150959E-2</v>
      </c>
      <c r="T115" s="55">
        <f t="shared" si="15"/>
        <v>1855</v>
      </c>
      <c r="U115" s="55">
        <f t="shared" si="16"/>
        <v>1800.3999999999999</v>
      </c>
      <c r="V115" s="55">
        <f t="shared" si="17"/>
        <v>-54.600000000000136</v>
      </c>
      <c r="W115" s="55">
        <f t="shared" si="18"/>
        <v>1800.3999999999999</v>
      </c>
      <c r="X115" s="55">
        <f t="shared" si="19"/>
        <v>0</v>
      </c>
      <c r="Y115" s="55">
        <f t="shared" si="20"/>
        <v>1185.45</v>
      </c>
      <c r="Z115" s="55">
        <f t="shared" si="21"/>
        <v>1185.45</v>
      </c>
      <c r="AA115" s="55">
        <f t="shared" si="22"/>
        <v>0</v>
      </c>
      <c r="AB115" s="55">
        <f t="shared" si="23"/>
        <v>614.94999999999982</v>
      </c>
      <c r="AC115" s="54">
        <f t="shared" si="24"/>
        <v>0.34156298600311036</v>
      </c>
      <c r="AD115" s="56">
        <f>INDEX(Assumptions!$B$14:$B$16,MATCH($R115,Assumptions!$A$14:$A$16,0))</f>
        <v>0.32</v>
      </c>
      <c r="AE115" s="56">
        <f>INDEX(Assumptions!$C$14:$C$16,MATCH($R115,Assumptions!$A$14:$A$16,0))</f>
        <v>0.22</v>
      </c>
      <c r="AF115" s="49">
        <f t="shared" si="25"/>
        <v>0</v>
      </c>
      <c r="AG115" s="49">
        <f t="shared" si="26"/>
        <v>0</v>
      </c>
      <c r="AH115" s="55">
        <f t="shared" si="27"/>
        <v>0</v>
      </c>
    </row>
    <row r="116" spans="1:34" x14ac:dyDescent="0.2">
      <c r="A116" s="48" t="s">
        <v>383</v>
      </c>
      <c r="B116" s="48">
        <v>1</v>
      </c>
      <c r="C116" s="48" t="s">
        <v>338</v>
      </c>
      <c r="D116" s="48" t="s">
        <v>272</v>
      </c>
      <c r="E116" s="48" t="s">
        <v>384</v>
      </c>
      <c r="F116" s="48" t="s">
        <v>297</v>
      </c>
      <c r="G116" s="48" t="s">
        <v>281</v>
      </c>
      <c r="H116" s="48" t="s">
        <v>70</v>
      </c>
      <c r="I116" s="48" t="s">
        <v>93</v>
      </c>
      <c r="J116" s="49">
        <v>67</v>
      </c>
      <c r="K116" s="50">
        <v>134750</v>
      </c>
      <c r="L116" s="50">
        <v>130799.46</v>
      </c>
      <c r="M116" s="48" t="s">
        <v>276</v>
      </c>
      <c r="N116" s="51">
        <v>83.5</v>
      </c>
      <c r="O116" s="51">
        <v>83.820400000000006</v>
      </c>
      <c r="P116" s="52">
        <v>1351.7</v>
      </c>
      <c r="Q116" s="52">
        <v>1371.7</v>
      </c>
      <c r="R116" s="53" t="str">
        <f>INDEX(SKU_Master!$D$5:$D$34,MATCH($I116,SKU_Master!$A$5:$A$34,0))</f>
        <v>Laptop</v>
      </c>
      <c r="S116" s="54">
        <f t="shared" si="14"/>
        <v>2.9317551020408117E-2</v>
      </c>
      <c r="T116" s="55">
        <f t="shared" si="15"/>
        <v>108122.75449101797</v>
      </c>
      <c r="U116" s="55">
        <f t="shared" si="16"/>
        <v>104952.86011976049</v>
      </c>
      <c r="V116" s="55">
        <f t="shared" si="17"/>
        <v>-3169.8943712574837</v>
      </c>
      <c r="W116" s="55">
        <f t="shared" si="18"/>
        <v>104551.6821680641</v>
      </c>
      <c r="X116" s="55">
        <f t="shared" si="19"/>
        <v>-401.17795169638703</v>
      </c>
      <c r="Y116" s="55">
        <f t="shared" si="20"/>
        <v>90563.900000000009</v>
      </c>
      <c r="Z116" s="55">
        <f t="shared" si="21"/>
        <v>91903.900000000009</v>
      </c>
      <c r="AA116" s="55">
        <f t="shared" si="22"/>
        <v>-1340</v>
      </c>
      <c r="AB116" s="55">
        <f t="shared" si="23"/>
        <v>12647.782168064092</v>
      </c>
      <c r="AC116" s="54">
        <f t="shared" si="24"/>
        <v>0.12097157985208801</v>
      </c>
      <c r="AD116" s="56">
        <f>INDEX(Assumptions!$B$14:$B$16,MATCH($R116,Assumptions!$A$14:$A$16,0))</f>
        <v>0.12</v>
      </c>
      <c r="AE116" s="56">
        <f>INDEX(Assumptions!$C$14:$C$16,MATCH($R116,Assumptions!$A$14:$A$16,0))</f>
        <v>0.08</v>
      </c>
      <c r="AF116" s="49">
        <f t="shared" si="25"/>
        <v>0</v>
      </c>
      <c r="AG116" s="49">
        <f t="shared" si="26"/>
        <v>0</v>
      </c>
      <c r="AH116" s="55">
        <f t="shared" si="27"/>
        <v>0</v>
      </c>
    </row>
    <row r="117" spans="1:34" x14ac:dyDescent="0.2">
      <c r="A117" s="48" t="s">
        <v>385</v>
      </c>
      <c r="B117" s="48">
        <v>1</v>
      </c>
      <c r="C117" s="48" t="s">
        <v>348</v>
      </c>
      <c r="D117" s="48" t="s">
        <v>272</v>
      </c>
      <c r="E117" s="48" t="s">
        <v>336</v>
      </c>
      <c r="F117" s="48" t="s">
        <v>274</v>
      </c>
      <c r="G117" s="48" t="s">
        <v>288</v>
      </c>
      <c r="H117" s="48" t="s">
        <v>62</v>
      </c>
      <c r="I117" s="48" t="s">
        <v>113</v>
      </c>
      <c r="J117" s="49">
        <v>8</v>
      </c>
      <c r="K117" s="50">
        <v>1740</v>
      </c>
      <c r="L117" s="50">
        <v>1709.88</v>
      </c>
      <c r="M117" s="48" t="s">
        <v>276</v>
      </c>
      <c r="N117" s="51">
        <v>1</v>
      </c>
      <c r="O117" s="51">
        <v>1</v>
      </c>
      <c r="P117" s="52">
        <v>1484.8</v>
      </c>
      <c r="Q117" s="52">
        <v>1484.8</v>
      </c>
      <c r="R117" s="53" t="str">
        <f>INDEX(SKU_Master!$D$5:$D$34,MATCH($I117,SKU_Master!$A$5:$A$34,0))</f>
        <v>Laptop</v>
      </c>
      <c r="S117" s="54">
        <f t="shared" si="14"/>
        <v>1.7310344827586199E-2</v>
      </c>
      <c r="T117" s="55">
        <f t="shared" si="15"/>
        <v>13920</v>
      </c>
      <c r="U117" s="55">
        <f t="shared" si="16"/>
        <v>13679.04</v>
      </c>
      <c r="V117" s="55">
        <f t="shared" si="17"/>
        <v>-240.95999999999913</v>
      </c>
      <c r="W117" s="55">
        <f t="shared" si="18"/>
        <v>13679.04</v>
      </c>
      <c r="X117" s="55">
        <f t="shared" si="19"/>
        <v>0</v>
      </c>
      <c r="Y117" s="55">
        <f t="shared" si="20"/>
        <v>11878.4</v>
      </c>
      <c r="Z117" s="55">
        <f t="shared" si="21"/>
        <v>11878.4</v>
      </c>
      <c r="AA117" s="55">
        <f t="shared" si="22"/>
        <v>0</v>
      </c>
      <c r="AB117" s="55">
        <f t="shared" si="23"/>
        <v>1800.6400000000012</v>
      </c>
      <c r="AC117" s="54">
        <f t="shared" si="24"/>
        <v>0.13163496853580375</v>
      </c>
      <c r="AD117" s="56">
        <f>INDEX(Assumptions!$B$14:$B$16,MATCH($R117,Assumptions!$A$14:$A$16,0))</f>
        <v>0.12</v>
      </c>
      <c r="AE117" s="56">
        <f>INDEX(Assumptions!$C$14:$C$16,MATCH($R117,Assumptions!$A$14:$A$16,0))</f>
        <v>0.08</v>
      </c>
      <c r="AF117" s="49">
        <f t="shared" si="25"/>
        <v>0</v>
      </c>
      <c r="AG117" s="49">
        <f t="shared" si="26"/>
        <v>0</v>
      </c>
      <c r="AH117" s="55">
        <f t="shared" si="27"/>
        <v>0</v>
      </c>
    </row>
    <row r="118" spans="1:34" x14ac:dyDescent="0.2">
      <c r="A118" s="48" t="s">
        <v>385</v>
      </c>
      <c r="B118" s="48">
        <v>2</v>
      </c>
      <c r="C118" s="48" t="s">
        <v>348</v>
      </c>
      <c r="D118" s="48" t="s">
        <v>272</v>
      </c>
      <c r="E118" s="48" t="s">
        <v>336</v>
      </c>
      <c r="F118" s="48" t="s">
        <v>274</v>
      </c>
      <c r="G118" s="48" t="s">
        <v>288</v>
      </c>
      <c r="H118" s="48" t="s">
        <v>62</v>
      </c>
      <c r="I118" s="48" t="s">
        <v>144</v>
      </c>
      <c r="J118" s="49">
        <v>8</v>
      </c>
      <c r="K118" s="50">
        <v>370</v>
      </c>
      <c r="L118" s="50">
        <v>369.64</v>
      </c>
      <c r="M118" s="48" t="s">
        <v>276</v>
      </c>
      <c r="N118" s="51">
        <v>1</v>
      </c>
      <c r="O118" s="51">
        <v>1</v>
      </c>
      <c r="P118" s="52">
        <v>289.60000000000002</v>
      </c>
      <c r="Q118" s="52">
        <v>289.60000000000002</v>
      </c>
      <c r="R118" s="53" t="str">
        <f>INDEX(SKU_Master!$D$5:$D$34,MATCH($I118,SKU_Master!$A$5:$A$34,0))</f>
        <v>Monitor</v>
      </c>
      <c r="S118" s="54">
        <f t="shared" si="14"/>
        <v>9.7297297297305185E-4</v>
      </c>
      <c r="T118" s="55">
        <f t="shared" si="15"/>
        <v>2960</v>
      </c>
      <c r="U118" s="55">
        <f t="shared" si="16"/>
        <v>2957.12</v>
      </c>
      <c r="V118" s="55">
        <f t="shared" si="17"/>
        <v>-2.8800000000001091</v>
      </c>
      <c r="W118" s="55">
        <f t="shared" si="18"/>
        <v>2957.12</v>
      </c>
      <c r="X118" s="55">
        <f t="shared" si="19"/>
        <v>0</v>
      </c>
      <c r="Y118" s="55">
        <f t="shared" si="20"/>
        <v>2316.8000000000002</v>
      </c>
      <c r="Z118" s="55">
        <f t="shared" si="21"/>
        <v>2316.8000000000002</v>
      </c>
      <c r="AA118" s="55">
        <f t="shared" si="22"/>
        <v>0</v>
      </c>
      <c r="AB118" s="55">
        <f t="shared" si="23"/>
        <v>640.31999999999971</v>
      </c>
      <c r="AC118" s="54">
        <f t="shared" si="24"/>
        <v>0.21653500703387071</v>
      </c>
      <c r="AD118" s="56">
        <f>INDEX(Assumptions!$B$14:$B$16,MATCH($R118,Assumptions!$A$14:$A$16,0))</f>
        <v>0.18</v>
      </c>
      <c r="AE118" s="56">
        <f>INDEX(Assumptions!$C$14:$C$16,MATCH($R118,Assumptions!$A$14:$A$16,0))</f>
        <v>0.12</v>
      </c>
      <c r="AF118" s="49">
        <f t="shared" si="25"/>
        <v>0</v>
      </c>
      <c r="AG118" s="49">
        <f t="shared" si="26"/>
        <v>0</v>
      </c>
      <c r="AH118" s="55">
        <f t="shared" si="27"/>
        <v>0</v>
      </c>
    </row>
    <row r="119" spans="1:34" x14ac:dyDescent="0.2">
      <c r="A119" s="48" t="s">
        <v>385</v>
      </c>
      <c r="B119" s="48">
        <v>3</v>
      </c>
      <c r="C119" s="48" t="s">
        <v>348</v>
      </c>
      <c r="D119" s="48" t="s">
        <v>272</v>
      </c>
      <c r="E119" s="48" t="s">
        <v>336</v>
      </c>
      <c r="F119" s="48" t="s">
        <v>274</v>
      </c>
      <c r="G119" s="48" t="s">
        <v>288</v>
      </c>
      <c r="H119" s="48" t="s">
        <v>62</v>
      </c>
      <c r="I119" s="48" t="s">
        <v>157</v>
      </c>
      <c r="J119" s="49">
        <v>7</v>
      </c>
      <c r="K119" s="50">
        <v>135</v>
      </c>
      <c r="L119" s="50">
        <v>132.68</v>
      </c>
      <c r="M119" s="48" t="s">
        <v>276</v>
      </c>
      <c r="N119" s="51">
        <v>1</v>
      </c>
      <c r="O119" s="51">
        <v>1</v>
      </c>
      <c r="P119" s="52">
        <v>86</v>
      </c>
      <c r="Q119" s="52">
        <v>86</v>
      </c>
      <c r="R119" s="53" t="str">
        <f>INDEX(SKU_Master!$D$5:$D$34,MATCH($I119,SKU_Master!$A$5:$A$34,0))</f>
        <v>Accessory</v>
      </c>
      <c r="S119" s="54">
        <f t="shared" si="14"/>
        <v>1.7185185185185081E-2</v>
      </c>
      <c r="T119" s="55">
        <f t="shared" si="15"/>
        <v>945</v>
      </c>
      <c r="U119" s="55">
        <f t="shared" si="16"/>
        <v>928.76</v>
      </c>
      <c r="V119" s="55">
        <f t="shared" si="17"/>
        <v>-16.240000000000009</v>
      </c>
      <c r="W119" s="55">
        <f t="shared" si="18"/>
        <v>928.76</v>
      </c>
      <c r="X119" s="55">
        <f t="shared" si="19"/>
        <v>0</v>
      </c>
      <c r="Y119" s="55">
        <f t="shared" si="20"/>
        <v>602</v>
      </c>
      <c r="Z119" s="55">
        <f t="shared" si="21"/>
        <v>602</v>
      </c>
      <c r="AA119" s="55">
        <f t="shared" si="22"/>
        <v>0</v>
      </c>
      <c r="AB119" s="55">
        <f t="shared" si="23"/>
        <v>326.76</v>
      </c>
      <c r="AC119" s="54">
        <f t="shared" si="24"/>
        <v>0.35182393729273437</v>
      </c>
      <c r="AD119" s="56">
        <f>INDEX(Assumptions!$B$14:$B$16,MATCH($R119,Assumptions!$A$14:$A$16,0))</f>
        <v>0.32</v>
      </c>
      <c r="AE119" s="56">
        <f>INDEX(Assumptions!$C$14:$C$16,MATCH($R119,Assumptions!$A$14:$A$16,0))</f>
        <v>0.22</v>
      </c>
      <c r="AF119" s="49">
        <f t="shared" si="25"/>
        <v>0</v>
      </c>
      <c r="AG119" s="49">
        <f t="shared" si="26"/>
        <v>0</v>
      </c>
      <c r="AH119" s="55">
        <f t="shared" si="27"/>
        <v>0</v>
      </c>
    </row>
    <row r="120" spans="1:34" x14ac:dyDescent="0.2">
      <c r="A120" s="48" t="s">
        <v>386</v>
      </c>
      <c r="B120" s="48">
        <v>1</v>
      </c>
      <c r="C120" s="48" t="s">
        <v>387</v>
      </c>
      <c r="D120" s="48" t="s">
        <v>272</v>
      </c>
      <c r="E120" s="48" t="s">
        <v>311</v>
      </c>
      <c r="F120" s="48" t="s">
        <v>297</v>
      </c>
      <c r="G120" s="48" t="s">
        <v>302</v>
      </c>
      <c r="H120" s="48" t="s">
        <v>62</v>
      </c>
      <c r="I120" s="48" t="s">
        <v>93</v>
      </c>
      <c r="J120" s="49">
        <v>15</v>
      </c>
      <c r="K120" s="50">
        <v>1390</v>
      </c>
      <c r="L120" s="50">
        <v>1348.25</v>
      </c>
      <c r="M120" s="48" t="s">
        <v>276</v>
      </c>
      <c r="N120" s="51">
        <v>1</v>
      </c>
      <c r="O120" s="51">
        <v>1</v>
      </c>
      <c r="P120" s="52">
        <v>1186.2</v>
      </c>
      <c r="Q120" s="52">
        <v>1186.2</v>
      </c>
      <c r="R120" s="53" t="str">
        <f>INDEX(SKU_Master!$D$5:$D$34,MATCH($I120,SKU_Master!$A$5:$A$34,0))</f>
        <v>Laptop</v>
      </c>
      <c r="S120" s="54">
        <f t="shared" si="14"/>
        <v>3.0035971223021596E-2</v>
      </c>
      <c r="T120" s="55">
        <f t="shared" si="15"/>
        <v>20850</v>
      </c>
      <c r="U120" s="55">
        <f t="shared" si="16"/>
        <v>20223.75</v>
      </c>
      <c r="V120" s="55">
        <f t="shared" si="17"/>
        <v>-626.25</v>
      </c>
      <c r="W120" s="55">
        <f t="shared" si="18"/>
        <v>20223.75</v>
      </c>
      <c r="X120" s="55">
        <f t="shared" si="19"/>
        <v>0</v>
      </c>
      <c r="Y120" s="55">
        <f t="shared" si="20"/>
        <v>17793</v>
      </c>
      <c r="Z120" s="55">
        <f t="shared" si="21"/>
        <v>17793</v>
      </c>
      <c r="AA120" s="55">
        <f t="shared" si="22"/>
        <v>0</v>
      </c>
      <c r="AB120" s="55">
        <f t="shared" si="23"/>
        <v>2430.75</v>
      </c>
      <c r="AC120" s="54">
        <f t="shared" si="24"/>
        <v>0.12019284257370666</v>
      </c>
      <c r="AD120" s="56">
        <f>INDEX(Assumptions!$B$14:$B$16,MATCH($R120,Assumptions!$A$14:$A$16,0))</f>
        <v>0.12</v>
      </c>
      <c r="AE120" s="56">
        <f>INDEX(Assumptions!$C$14:$C$16,MATCH($R120,Assumptions!$A$14:$A$16,0))</f>
        <v>0.08</v>
      </c>
      <c r="AF120" s="49">
        <f t="shared" si="25"/>
        <v>0</v>
      </c>
      <c r="AG120" s="49">
        <f t="shared" si="26"/>
        <v>0</v>
      </c>
      <c r="AH120" s="55">
        <f t="shared" si="27"/>
        <v>0</v>
      </c>
    </row>
    <row r="121" spans="1:34" x14ac:dyDescent="0.2">
      <c r="A121" s="48" t="s">
        <v>386</v>
      </c>
      <c r="B121" s="48">
        <v>2</v>
      </c>
      <c r="C121" s="48" t="s">
        <v>387</v>
      </c>
      <c r="D121" s="48" t="s">
        <v>272</v>
      </c>
      <c r="E121" s="48" t="s">
        <v>311</v>
      </c>
      <c r="F121" s="48" t="s">
        <v>297</v>
      </c>
      <c r="G121" s="48" t="s">
        <v>302</v>
      </c>
      <c r="H121" s="48" t="s">
        <v>62</v>
      </c>
      <c r="I121" s="48" t="s">
        <v>141</v>
      </c>
      <c r="J121" s="49">
        <v>8</v>
      </c>
      <c r="K121" s="50">
        <v>450</v>
      </c>
      <c r="L121" s="50">
        <v>410.89</v>
      </c>
      <c r="M121" s="48" t="s">
        <v>276</v>
      </c>
      <c r="N121" s="51">
        <v>1</v>
      </c>
      <c r="O121" s="51">
        <v>1</v>
      </c>
      <c r="P121" s="52">
        <v>351.7</v>
      </c>
      <c r="Q121" s="52">
        <v>351.7</v>
      </c>
      <c r="R121" s="53" t="str">
        <f>INDEX(SKU_Master!$D$5:$D$34,MATCH($I121,SKU_Master!$A$5:$A$34,0))</f>
        <v>Monitor</v>
      </c>
      <c r="S121" s="54">
        <f t="shared" si="14"/>
        <v>8.6911111111111161E-2</v>
      </c>
      <c r="T121" s="55">
        <f t="shared" si="15"/>
        <v>3600</v>
      </c>
      <c r="U121" s="55">
        <f t="shared" si="16"/>
        <v>3287.12</v>
      </c>
      <c r="V121" s="55">
        <f t="shared" si="17"/>
        <v>-312.88000000000011</v>
      </c>
      <c r="W121" s="55">
        <f t="shared" si="18"/>
        <v>3287.12</v>
      </c>
      <c r="X121" s="55">
        <f t="shared" si="19"/>
        <v>0</v>
      </c>
      <c r="Y121" s="55">
        <f t="shared" si="20"/>
        <v>2813.6</v>
      </c>
      <c r="Z121" s="55">
        <f t="shared" si="21"/>
        <v>2813.6</v>
      </c>
      <c r="AA121" s="55">
        <f t="shared" si="22"/>
        <v>0</v>
      </c>
      <c r="AB121" s="55">
        <f t="shared" si="23"/>
        <v>473.52</v>
      </c>
      <c r="AC121" s="54">
        <f t="shared" si="24"/>
        <v>0.14405315291197157</v>
      </c>
      <c r="AD121" s="56">
        <f>INDEX(Assumptions!$B$14:$B$16,MATCH($R121,Assumptions!$A$14:$A$16,0))</f>
        <v>0.18</v>
      </c>
      <c r="AE121" s="56">
        <f>INDEX(Assumptions!$C$14:$C$16,MATCH($R121,Assumptions!$A$14:$A$16,0))</f>
        <v>0.12</v>
      </c>
      <c r="AF121" s="49">
        <f t="shared" si="25"/>
        <v>0</v>
      </c>
      <c r="AG121" s="49">
        <f t="shared" si="26"/>
        <v>0</v>
      </c>
      <c r="AH121" s="55">
        <f t="shared" si="27"/>
        <v>118.16160000000002</v>
      </c>
    </row>
    <row r="122" spans="1:34" x14ac:dyDescent="0.2">
      <c r="A122" s="48" t="s">
        <v>386</v>
      </c>
      <c r="B122" s="48">
        <v>3</v>
      </c>
      <c r="C122" s="48" t="s">
        <v>387</v>
      </c>
      <c r="D122" s="48" t="s">
        <v>272</v>
      </c>
      <c r="E122" s="48" t="s">
        <v>311</v>
      </c>
      <c r="F122" s="48" t="s">
        <v>297</v>
      </c>
      <c r="G122" s="48" t="s">
        <v>302</v>
      </c>
      <c r="H122" s="48" t="s">
        <v>62</v>
      </c>
      <c r="I122" s="48" t="s">
        <v>157</v>
      </c>
      <c r="J122" s="49">
        <v>13</v>
      </c>
      <c r="K122" s="50">
        <v>135</v>
      </c>
      <c r="L122" s="50">
        <v>124.67</v>
      </c>
      <c r="M122" s="48" t="s">
        <v>276</v>
      </c>
      <c r="N122" s="51">
        <v>1</v>
      </c>
      <c r="O122" s="51">
        <v>1</v>
      </c>
      <c r="P122" s="52">
        <v>86</v>
      </c>
      <c r="Q122" s="52">
        <v>86</v>
      </c>
      <c r="R122" s="53" t="str">
        <f>INDEX(SKU_Master!$D$5:$D$34,MATCH($I122,SKU_Master!$A$5:$A$34,0))</f>
        <v>Accessory</v>
      </c>
      <c r="S122" s="54">
        <f t="shared" si="14"/>
        <v>7.6518518518518541E-2</v>
      </c>
      <c r="T122" s="55">
        <f t="shared" si="15"/>
        <v>1755</v>
      </c>
      <c r="U122" s="55">
        <f t="shared" si="16"/>
        <v>1620.71</v>
      </c>
      <c r="V122" s="55">
        <f t="shared" si="17"/>
        <v>-134.28999999999996</v>
      </c>
      <c r="W122" s="55">
        <f t="shared" si="18"/>
        <v>1620.71</v>
      </c>
      <c r="X122" s="55">
        <f t="shared" si="19"/>
        <v>0</v>
      </c>
      <c r="Y122" s="55">
        <f t="shared" si="20"/>
        <v>1118</v>
      </c>
      <c r="Z122" s="55">
        <f t="shared" si="21"/>
        <v>1118</v>
      </c>
      <c r="AA122" s="55">
        <f t="shared" si="22"/>
        <v>0</v>
      </c>
      <c r="AB122" s="55">
        <f t="shared" si="23"/>
        <v>502.71000000000004</v>
      </c>
      <c r="AC122" s="54">
        <f t="shared" si="24"/>
        <v>0.31017887222266788</v>
      </c>
      <c r="AD122" s="56">
        <f>INDEX(Assumptions!$B$14:$B$16,MATCH($R122,Assumptions!$A$14:$A$16,0))</f>
        <v>0.32</v>
      </c>
      <c r="AE122" s="56">
        <f>INDEX(Assumptions!$C$14:$C$16,MATCH($R122,Assumptions!$A$14:$A$16,0))</f>
        <v>0.22</v>
      </c>
      <c r="AF122" s="49">
        <f t="shared" si="25"/>
        <v>0</v>
      </c>
      <c r="AG122" s="49">
        <f t="shared" si="26"/>
        <v>0</v>
      </c>
      <c r="AH122" s="55">
        <f t="shared" si="27"/>
        <v>15.91719999999998</v>
      </c>
    </row>
    <row r="123" spans="1:34" x14ac:dyDescent="0.2">
      <c r="A123" s="48" t="s">
        <v>388</v>
      </c>
      <c r="B123" s="48">
        <v>1</v>
      </c>
      <c r="C123" s="48" t="s">
        <v>389</v>
      </c>
      <c r="D123" s="48" t="s">
        <v>272</v>
      </c>
      <c r="E123" s="48" t="s">
        <v>305</v>
      </c>
      <c r="F123" s="48" t="s">
        <v>274</v>
      </c>
      <c r="G123" s="48" t="s">
        <v>306</v>
      </c>
      <c r="H123" s="48" t="s">
        <v>62</v>
      </c>
      <c r="I123" s="48" t="s">
        <v>115</v>
      </c>
      <c r="J123" s="49">
        <v>5</v>
      </c>
      <c r="K123" s="50">
        <v>850</v>
      </c>
      <c r="L123" s="50">
        <v>833.02</v>
      </c>
      <c r="M123" s="48" t="s">
        <v>276</v>
      </c>
      <c r="N123" s="51">
        <v>1</v>
      </c>
      <c r="O123" s="51">
        <v>1</v>
      </c>
      <c r="P123" s="52">
        <v>723.6</v>
      </c>
      <c r="Q123" s="52">
        <v>723.6</v>
      </c>
      <c r="R123" s="53" t="str">
        <f>INDEX(SKU_Master!$D$5:$D$34,MATCH($I123,SKU_Master!$A$5:$A$34,0))</f>
        <v>Laptop</v>
      </c>
      <c r="S123" s="54">
        <f t="shared" si="14"/>
        <v>1.9976470588235262E-2</v>
      </c>
      <c r="T123" s="55">
        <f t="shared" si="15"/>
        <v>4250</v>
      </c>
      <c r="U123" s="55">
        <f t="shared" si="16"/>
        <v>4165.1000000000004</v>
      </c>
      <c r="V123" s="55">
        <f t="shared" si="17"/>
        <v>-84.899999999999636</v>
      </c>
      <c r="W123" s="55">
        <f t="shared" si="18"/>
        <v>4165.1000000000004</v>
      </c>
      <c r="X123" s="55">
        <f t="shared" si="19"/>
        <v>0</v>
      </c>
      <c r="Y123" s="55">
        <f t="shared" si="20"/>
        <v>3618</v>
      </c>
      <c r="Z123" s="55">
        <f t="shared" si="21"/>
        <v>3618</v>
      </c>
      <c r="AA123" s="55">
        <f t="shared" si="22"/>
        <v>0</v>
      </c>
      <c r="AB123" s="55">
        <f t="shared" si="23"/>
        <v>547.10000000000036</v>
      </c>
      <c r="AC123" s="54">
        <f t="shared" si="24"/>
        <v>0.13135338887421677</v>
      </c>
      <c r="AD123" s="56">
        <f>INDEX(Assumptions!$B$14:$B$16,MATCH($R123,Assumptions!$A$14:$A$16,0))</f>
        <v>0.12</v>
      </c>
      <c r="AE123" s="56">
        <f>INDEX(Assumptions!$C$14:$C$16,MATCH($R123,Assumptions!$A$14:$A$16,0))</f>
        <v>0.08</v>
      </c>
      <c r="AF123" s="49">
        <f t="shared" si="25"/>
        <v>0</v>
      </c>
      <c r="AG123" s="49">
        <f t="shared" si="26"/>
        <v>0</v>
      </c>
      <c r="AH123" s="55">
        <f t="shared" si="27"/>
        <v>0</v>
      </c>
    </row>
    <row r="124" spans="1:34" x14ac:dyDescent="0.2">
      <c r="A124" s="48" t="s">
        <v>388</v>
      </c>
      <c r="B124" s="48">
        <v>2</v>
      </c>
      <c r="C124" s="48" t="s">
        <v>389</v>
      </c>
      <c r="D124" s="48" t="s">
        <v>272</v>
      </c>
      <c r="E124" s="48" t="s">
        <v>305</v>
      </c>
      <c r="F124" s="48" t="s">
        <v>274</v>
      </c>
      <c r="G124" s="48" t="s">
        <v>306</v>
      </c>
      <c r="H124" s="48" t="s">
        <v>62</v>
      </c>
      <c r="I124" s="48" t="s">
        <v>135</v>
      </c>
      <c r="J124" s="49">
        <v>3</v>
      </c>
      <c r="K124" s="50">
        <v>240</v>
      </c>
      <c r="L124" s="50">
        <v>239.34</v>
      </c>
      <c r="M124" s="48" t="s">
        <v>276</v>
      </c>
      <c r="N124" s="51">
        <v>1</v>
      </c>
      <c r="O124" s="51">
        <v>1</v>
      </c>
      <c r="P124" s="52">
        <v>186.7</v>
      </c>
      <c r="Q124" s="52">
        <v>186.7</v>
      </c>
      <c r="R124" s="53" t="str">
        <f>INDEX(SKU_Master!$D$5:$D$34,MATCH($I124,SKU_Master!$A$5:$A$34,0))</f>
        <v>Monitor</v>
      </c>
      <c r="S124" s="54">
        <f t="shared" si="14"/>
        <v>2.7500000000000302E-3</v>
      </c>
      <c r="T124" s="55">
        <f t="shared" si="15"/>
        <v>720</v>
      </c>
      <c r="U124" s="55">
        <f t="shared" si="16"/>
        <v>718.02</v>
      </c>
      <c r="V124" s="55">
        <f t="shared" si="17"/>
        <v>-1.9800000000000182</v>
      </c>
      <c r="W124" s="55">
        <f t="shared" si="18"/>
        <v>718.02</v>
      </c>
      <c r="X124" s="55">
        <f t="shared" si="19"/>
        <v>0</v>
      </c>
      <c r="Y124" s="55">
        <f t="shared" si="20"/>
        <v>560.09999999999991</v>
      </c>
      <c r="Z124" s="55">
        <f t="shared" si="21"/>
        <v>560.09999999999991</v>
      </c>
      <c r="AA124" s="55">
        <f t="shared" si="22"/>
        <v>0</v>
      </c>
      <c r="AB124" s="55">
        <f t="shared" si="23"/>
        <v>157.92000000000007</v>
      </c>
      <c r="AC124" s="54">
        <f t="shared" si="24"/>
        <v>0.21993816328235993</v>
      </c>
      <c r="AD124" s="56">
        <f>INDEX(Assumptions!$B$14:$B$16,MATCH($R124,Assumptions!$A$14:$A$16,0))</f>
        <v>0.18</v>
      </c>
      <c r="AE124" s="56">
        <f>INDEX(Assumptions!$C$14:$C$16,MATCH($R124,Assumptions!$A$14:$A$16,0))</f>
        <v>0.12</v>
      </c>
      <c r="AF124" s="49">
        <f t="shared" si="25"/>
        <v>0</v>
      </c>
      <c r="AG124" s="49">
        <f t="shared" si="26"/>
        <v>0</v>
      </c>
      <c r="AH124" s="55">
        <f t="shared" si="27"/>
        <v>0</v>
      </c>
    </row>
    <row r="125" spans="1:34" x14ac:dyDescent="0.2">
      <c r="A125" s="48" t="s">
        <v>388</v>
      </c>
      <c r="B125" s="48">
        <v>3</v>
      </c>
      <c r="C125" s="48" t="s">
        <v>389</v>
      </c>
      <c r="D125" s="48" t="s">
        <v>272</v>
      </c>
      <c r="E125" s="48" t="s">
        <v>305</v>
      </c>
      <c r="F125" s="48" t="s">
        <v>274</v>
      </c>
      <c r="G125" s="48" t="s">
        <v>306</v>
      </c>
      <c r="H125" s="48" t="s">
        <v>62</v>
      </c>
      <c r="I125" s="48" t="s">
        <v>164</v>
      </c>
      <c r="J125" s="49">
        <v>5</v>
      </c>
      <c r="K125" s="50">
        <v>190</v>
      </c>
      <c r="L125" s="50">
        <v>187.34</v>
      </c>
      <c r="M125" s="48" t="s">
        <v>276</v>
      </c>
      <c r="N125" s="51">
        <v>1</v>
      </c>
      <c r="O125" s="51">
        <v>1</v>
      </c>
      <c r="P125" s="52">
        <v>121</v>
      </c>
      <c r="Q125" s="52">
        <v>121</v>
      </c>
      <c r="R125" s="53" t="str">
        <f>INDEX(SKU_Master!$D$5:$D$34,MATCH($I125,SKU_Master!$A$5:$A$34,0))</f>
        <v>Accessory</v>
      </c>
      <c r="S125" s="54">
        <f t="shared" si="14"/>
        <v>1.4000000000000012E-2</v>
      </c>
      <c r="T125" s="55">
        <f t="shared" si="15"/>
        <v>950</v>
      </c>
      <c r="U125" s="55">
        <f t="shared" si="16"/>
        <v>936.7</v>
      </c>
      <c r="V125" s="55">
        <f t="shared" si="17"/>
        <v>-13.299999999999955</v>
      </c>
      <c r="W125" s="55">
        <f t="shared" si="18"/>
        <v>936.7</v>
      </c>
      <c r="X125" s="55">
        <f t="shared" si="19"/>
        <v>0</v>
      </c>
      <c r="Y125" s="55">
        <f t="shared" si="20"/>
        <v>605</v>
      </c>
      <c r="Z125" s="55">
        <f t="shared" si="21"/>
        <v>605</v>
      </c>
      <c r="AA125" s="55">
        <f t="shared" si="22"/>
        <v>0</v>
      </c>
      <c r="AB125" s="55">
        <f t="shared" si="23"/>
        <v>331.70000000000005</v>
      </c>
      <c r="AC125" s="54">
        <f t="shared" si="24"/>
        <v>0.354115511903491</v>
      </c>
      <c r="AD125" s="56">
        <f>INDEX(Assumptions!$B$14:$B$16,MATCH($R125,Assumptions!$A$14:$A$16,0))</f>
        <v>0.32</v>
      </c>
      <c r="AE125" s="56">
        <f>INDEX(Assumptions!$C$14:$C$16,MATCH($R125,Assumptions!$A$14:$A$16,0))</f>
        <v>0.22</v>
      </c>
      <c r="AF125" s="49">
        <f t="shared" si="25"/>
        <v>0</v>
      </c>
      <c r="AG125" s="49">
        <f t="shared" si="26"/>
        <v>0</v>
      </c>
      <c r="AH125" s="55">
        <f t="shared" si="27"/>
        <v>0</v>
      </c>
    </row>
    <row r="126" spans="1:34" x14ac:dyDescent="0.2">
      <c r="A126" s="48" t="s">
        <v>390</v>
      </c>
      <c r="B126" s="48">
        <v>1</v>
      </c>
      <c r="C126" s="48" t="s">
        <v>300</v>
      </c>
      <c r="D126" s="48" t="s">
        <v>272</v>
      </c>
      <c r="E126" s="48" t="s">
        <v>311</v>
      </c>
      <c r="F126" s="48" t="s">
        <v>297</v>
      </c>
      <c r="G126" s="48" t="s">
        <v>302</v>
      </c>
      <c r="H126" s="48" t="s">
        <v>62</v>
      </c>
      <c r="I126" s="48" t="s">
        <v>108</v>
      </c>
      <c r="J126" s="49">
        <v>53</v>
      </c>
      <c r="K126" s="50">
        <v>1345</v>
      </c>
      <c r="L126" s="50">
        <v>1283.97</v>
      </c>
      <c r="M126" s="48" t="s">
        <v>276</v>
      </c>
      <c r="N126" s="51">
        <v>1</v>
      </c>
      <c r="O126" s="51">
        <v>1</v>
      </c>
      <c r="P126" s="52">
        <v>1145</v>
      </c>
      <c r="Q126" s="52">
        <v>1145</v>
      </c>
      <c r="R126" s="53" t="str">
        <f>INDEX(SKU_Master!$D$5:$D$34,MATCH($I126,SKU_Master!$A$5:$A$34,0))</f>
        <v>Laptop</v>
      </c>
      <c r="S126" s="54">
        <f t="shared" si="14"/>
        <v>4.5375464684014877E-2</v>
      </c>
      <c r="T126" s="55">
        <f t="shared" si="15"/>
        <v>71285</v>
      </c>
      <c r="U126" s="55">
        <f t="shared" si="16"/>
        <v>68050.41</v>
      </c>
      <c r="V126" s="55">
        <f t="shared" si="17"/>
        <v>-3234.5899999999965</v>
      </c>
      <c r="W126" s="55">
        <f t="shared" si="18"/>
        <v>68050.41</v>
      </c>
      <c r="X126" s="55">
        <f t="shared" si="19"/>
        <v>0</v>
      </c>
      <c r="Y126" s="55">
        <f t="shared" si="20"/>
        <v>60685</v>
      </c>
      <c r="Z126" s="55">
        <f t="shared" si="21"/>
        <v>60685</v>
      </c>
      <c r="AA126" s="55">
        <f t="shared" si="22"/>
        <v>0</v>
      </c>
      <c r="AB126" s="55">
        <f t="shared" si="23"/>
        <v>7365.4100000000035</v>
      </c>
      <c r="AC126" s="54">
        <f t="shared" si="24"/>
        <v>0.10823461607358432</v>
      </c>
      <c r="AD126" s="56">
        <f>INDEX(Assumptions!$B$14:$B$16,MATCH($R126,Assumptions!$A$14:$A$16,0))</f>
        <v>0.12</v>
      </c>
      <c r="AE126" s="56">
        <f>INDEX(Assumptions!$C$14:$C$16,MATCH($R126,Assumptions!$A$14:$A$16,0))</f>
        <v>0.08</v>
      </c>
      <c r="AF126" s="49">
        <f t="shared" si="25"/>
        <v>0</v>
      </c>
      <c r="AG126" s="49">
        <f t="shared" si="26"/>
        <v>0</v>
      </c>
      <c r="AH126" s="55">
        <f t="shared" si="27"/>
        <v>800.63919999999689</v>
      </c>
    </row>
    <row r="127" spans="1:34" x14ac:dyDescent="0.2">
      <c r="A127" s="48" t="s">
        <v>390</v>
      </c>
      <c r="B127" s="48">
        <v>2</v>
      </c>
      <c r="C127" s="48" t="s">
        <v>300</v>
      </c>
      <c r="D127" s="48" t="s">
        <v>272</v>
      </c>
      <c r="E127" s="48" t="s">
        <v>311</v>
      </c>
      <c r="F127" s="48" t="s">
        <v>297</v>
      </c>
      <c r="G127" s="48" t="s">
        <v>302</v>
      </c>
      <c r="H127" s="48" t="s">
        <v>62</v>
      </c>
      <c r="I127" s="48" t="s">
        <v>135</v>
      </c>
      <c r="J127" s="49">
        <v>21</v>
      </c>
      <c r="K127" s="50">
        <v>240</v>
      </c>
      <c r="L127" s="50">
        <v>232.48</v>
      </c>
      <c r="M127" s="48" t="s">
        <v>276</v>
      </c>
      <c r="N127" s="51">
        <v>1</v>
      </c>
      <c r="O127" s="51">
        <v>1</v>
      </c>
      <c r="P127" s="52">
        <v>186.7</v>
      </c>
      <c r="Q127" s="52">
        <v>186.7</v>
      </c>
      <c r="R127" s="53" t="str">
        <f>INDEX(SKU_Master!$D$5:$D$34,MATCH($I127,SKU_Master!$A$5:$A$34,0))</f>
        <v>Monitor</v>
      </c>
      <c r="S127" s="54">
        <f t="shared" si="14"/>
        <v>3.1333333333333324E-2</v>
      </c>
      <c r="T127" s="55">
        <f t="shared" si="15"/>
        <v>5040</v>
      </c>
      <c r="U127" s="55">
        <f t="shared" si="16"/>
        <v>4882.08</v>
      </c>
      <c r="V127" s="55">
        <f t="shared" si="17"/>
        <v>-157.92000000000007</v>
      </c>
      <c r="W127" s="55">
        <f t="shared" si="18"/>
        <v>4882.08</v>
      </c>
      <c r="X127" s="55">
        <f t="shared" si="19"/>
        <v>0</v>
      </c>
      <c r="Y127" s="55">
        <f t="shared" si="20"/>
        <v>3920.7</v>
      </c>
      <c r="Z127" s="55">
        <f t="shared" si="21"/>
        <v>3920.7</v>
      </c>
      <c r="AA127" s="55">
        <f t="shared" si="22"/>
        <v>0</v>
      </c>
      <c r="AB127" s="55">
        <f t="shared" si="23"/>
        <v>961.38000000000011</v>
      </c>
      <c r="AC127" s="54">
        <f t="shared" si="24"/>
        <v>0.19692016517549898</v>
      </c>
      <c r="AD127" s="56">
        <f>INDEX(Assumptions!$B$14:$B$16,MATCH($R127,Assumptions!$A$14:$A$16,0))</f>
        <v>0.18</v>
      </c>
      <c r="AE127" s="56">
        <f>INDEX(Assumptions!$C$14:$C$16,MATCH($R127,Assumptions!$A$14:$A$16,0))</f>
        <v>0.12</v>
      </c>
      <c r="AF127" s="49">
        <f t="shared" si="25"/>
        <v>0</v>
      </c>
      <c r="AG127" s="49">
        <f t="shared" si="26"/>
        <v>0</v>
      </c>
      <c r="AH127" s="55">
        <f t="shared" si="27"/>
        <v>0</v>
      </c>
    </row>
    <row r="128" spans="1:34" x14ac:dyDescent="0.2">
      <c r="A128" s="48" t="s">
        <v>391</v>
      </c>
      <c r="B128" s="48">
        <v>1</v>
      </c>
      <c r="C128" s="48" t="s">
        <v>330</v>
      </c>
      <c r="D128" s="48" t="s">
        <v>272</v>
      </c>
      <c r="E128" s="48" t="s">
        <v>325</v>
      </c>
      <c r="F128" s="48" t="s">
        <v>274</v>
      </c>
      <c r="G128" s="48" t="s">
        <v>298</v>
      </c>
      <c r="H128" s="48" t="s">
        <v>62</v>
      </c>
      <c r="I128" s="48" t="s">
        <v>108</v>
      </c>
      <c r="J128" s="49">
        <v>9</v>
      </c>
      <c r="K128" s="50">
        <v>1345</v>
      </c>
      <c r="L128" s="50">
        <v>1337.35</v>
      </c>
      <c r="M128" s="48" t="s">
        <v>276</v>
      </c>
      <c r="N128" s="51">
        <v>1</v>
      </c>
      <c r="O128" s="51">
        <v>1</v>
      </c>
      <c r="P128" s="52">
        <v>1145</v>
      </c>
      <c r="Q128" s="52">
        <v>1145</v>
      </c>
      <c r="R128" s="53" t="str">
        <f>INDEX(SKU_Master!$D$5:$D$34,MATCH($I128,SKU_Master!$A$5:$A$34,0))</f>
        <v>Laptop</v>
      </c>
      <c r="S128" s="54">
        <f t="shared" si="14"/>
        <v>5.6877323420074788E-3</v>
      </c>
      <c r="T128" s="55">
        <f t="shared" si="15"/>
        <v>12105</v>
      </c>
      <c r="U128" s="55">
        <f t="shared" si="16"/>
        <v>12036.15</v>
      </c>
      <c r="V128" s="55">
        <f t="shared" si="17"/>
        <v>-68.850000000000364</v>
      </c>
      <c r="W128" s="55">
        <f t="shared" si="18"/>
        <v>12036.15</v>
      </c>
      <c r="X128" s="55">
        <f t="shared" si="19"/>
        <v>0</v>
      </c>
      <c r="Y128" s="55">
        <f t="shared" si="20"/>
        <v>10305</v>
      </c>
      <c r="Z128" s="55">
        <f t="shared" si="21"/>
        <v>10305</v>
      </c>
      <c r="AA128" s="55">
        <f t="shared" si="22"/>
        <v>0</v>
      </c>
      <c r="AB128" s="55">
        <f t="shared" si="23"/>
        <v>1731.1499999999996</v>
      </c>
      <c r="AC128" s="54">
        <f t="shared" si="24"/>
        <v>0.14382921449134481</v>
      </c>
      <c r="AD128" s="56">
        <f>INDEX(Assumptions!$B$14:$B$16,MATCH($R128,Assumptions!$A$14:$A$16,0))</f>
        <v>0.12</v>
      </c>
      <c r="AE128" s="56">
        <f>INDEX(Assumptions!$C$14:$C$16,MATCH($R128,Assumptions!$A$14:$A$16,0))</f>
        <v>0.08</v>
      </c>
      <c r="AF128" s="49">
        <f t="shared" si="25"/>
        <v>0</v>
      </c>
      <c r="AG128" s="49">
        <f t="shared" si="26"/>
        <v>0</v>
      </c>
      <c r="AH128" s="55">
        <f t="shared" si="27"/>
        <v>0</v>
      </c>
    </row>
    <row r="129" spans="1:34" x14ac:dyDescent="0.2">
      <c r="A129" s="48" t="s">
        <v>391</v>
      </c>
      <c r="B129" s="48">
        <v>2</v>
      </c>
      <c r="C129" s="48" t="s">
        <v>330</v>
      </c>
      <c r="D129" s="48" t="s">
        <v>272</v>
      </c>
      <c r="E129" s="48" t="s">
        <v>325</v>
      </c>
      <c r="F129" s="48" t="s">
        <v>274</v>
      </c>
      <c r="G129" s="48" t="s">
        <v>298</v>
      </c>
      <c r="H129" s="48" t="s">
        <v>62</v>
      </c>
      <c r="I129" s="48" t="s">
        <v>146</v>
      </c>
      <c r="J129" s="49">
        <v>5</v>
      </c>
      <c r="K129" s="50">
        <v>235</v>
      </c>
      <c r="L129" s="50">
        <v>233.47</v>
      </c>
      <c r="M129" s="48" t="s">
        <v>276</v>
      </c>
      <c r="N129" s="51">
        <v>1</v>
      </c>
      <c r="O129" s="51">
        <v>1</v>
      </c>
      <c r="P129" s="52">
        <v>181.8</v>
      </c>
      <c r="Q129" s="52">
        <v>181.8</v>
      </c>
      <c r="R129" s="53" t="str">
        <f>INDEX(SKU_Master!$D$5:$D$34,MATCH($I129,SKU_Master!$A$5:$A$34,0))</f>
        <v>Monitor</v>
      </c>
      <c r="S129" s="54">
        <f t="shared" si="14"/>
        <v>6.5106382978723509E-3</v>
      </c>
      <c r="T129" s="55">
        <f t="shared" si="15"/>
        <v>1175</v>
      </c>
      <c r="U129" s="55">
        <f t="shared" si="16"/>
        <v>1167.3499999999999</v>
      </c>
      <c r="V129" s="55">
        <f t="shared" si="17"/>
        <v>-7.6500000000000909</v>
      </c>
      <c r="W129" s="55">
        <f t="shared" si="18"/>
        <v>1167.3499999999999</v>
      </c>
      <c r="X129" s="55">
        <f t="shared" si="19"/>
        <v>0</v>
      </c>
      <c r="Y129" s="55">
        <f t="shared" si="20"/>
        <v>909</v>
      </c>
      <c r="Z129" s="55">
        <f t="shared" si="21"/>
        <v>909</v>
      </c>
      <c r="AA129" s="55">
        <f t="shared" si="22"/>
        <v>0</v>
      </c>
      <c r="AB129" s="55">
        <f t="shared" si="23"/>
        <v>258.34999999999991</v>
      </c>
      <c r="AC129" s="54">
        <f t="shared" si="24"/>
        <v>0.22131323082194709</v>
      </c>
      <c r="AD129" s="56">
        <f>INDEX(Assumptions!$B$14:$B$16,MATCH($R129,Assumptions!$A$14:$A$16,0))</f>
        <v>0.18</v>
      </c>
      <c r="AE129" s="56">
        <f>INDEX(Assumptions!$C$14:$C$16,MATCH($R129,Assumptions!$A$14:$A$16,0))</f>
        <v>0.12</v>
      </c>
      <c r="AF129" s="49">
        <f t="shared" si="25"/>
        <v>0</v>
      </c>
      <c r="AG129" s="49">
        <f t="shared" si="26"/>
        <v>0</v>
      </c>
      <c r="AH129" s="55">
        <f t="shared" si="27"/>
        <v>0</v>
      </c>
    </row>
    <row r="130" spans="1:34" x14ac:dyDescent="0.2">
      <c r="A130" s="48" t="s">
        <v>392</v>
      </c>
      <c r="B130" s="48">
        <v>1</v>
      </c>
      <c r="C130" s="48" t="s">
        <v>351</v>
      </c>
      <c r="D130" s="48" t="s">
        <v>272</v>
      </c>
      <c r="E130" s="48" t="s">
        <v>393</v>
      </c>
      <c r="F130" s="48" t="s">
        <v>274</v>
      </c>
      <c r="G130" s="48" t="s">
        <v>275</v>
      </c>
      <c r="H130" s="48" t="s">
        <v>66</v>
      </c>
      <c r="I130" s="48" t="s">
        <v>110</v>
      </c>
      <c r="J130" s="49">
        <v>9</v>
      </c>
      <c r="K130" s="50">
        <v>1115</v>
      </c>
      <c r="L130" s="50">
        <v>1100.43</v>
      </c>
      <c r="M130" s="48" t="s">
        <v>276</v>
      </c>
      <c r="N130" s="51">
        <v>0.92</v>
      </c>
      <c r="O130" s="51">
        <v>0.91659999999999997</v>
      </c>
      <c r="P130" s="52">
        <v>1012.65</v>
      </c>
      <c r="Q130" s="52">
        <v>1012.65</v>
      </c>
      <c r="R130" s="53" t="str">
        <f>INDEX(SKU_Master!$D$5:$D$34,MATCH($I130,SKU_Master!$A$5:$A$34,0))</f>
        <v>Laptop</v>
      </c>
      <c r="S130" s="54">
        <f t="shared" si="14"/>
        <v>1.3067264573990989E-2</v>
      </c>
      <c r="T130" s="55">
        <f t="shared" si="15"/>
        <v>10907.608695652174</v>
      </c>
      <c r="U130" s="55">
        <f t="shared" si="16"/>
        <v>10765.076086956522</v>
      </c>
      <c r="V130" s="55">
        <f t="shared" si="17"/>
        <v>-142.53260869565202</v>
      </c>
      <c r="W130" s="55">
        <f t="shared" si="18"/>
        <v>10805.00763691905</v>
      </c>
      <c r="X130" s="55">
        <f t="shared" si="19"/>
        <v>39.931549962528152</v>
      </c>
      <c r="Y130" s="55">
        <f t="shared" si="20"/>
        <v>9113.85</v>
      </c>
      <c r="Z130" s="55">
        <f t="shared" si="21"/>
        <v>9113.85</v>
      </c>
      <c r="AA130" s="55">
        <f t="shared" si="22"/>
        <v>0</v>
      </c>
      <c r="AB130" s="55">
        <f t="shared" si="23"/>
        <v>1691.1576369190498</v>
      </c>
      <c r="AC130" s="54">
        <f t="shared" si="24"/>
        <v>0.15651609825250137</v>
      </c>
      <c r="AD130" s="56">
        <f>INDEX(Assumptions!$B$14:$B$16,MATCH($R130,Assumptions!$A$14:$A$16,0))</f>
        <v>0.12</v>
      </c>
      <c r="AE130" s="56">
        <f>INDEX(Assumptions!$C$14:$C$16,MATCH($R130,Assumptions!$A$14:$A$16,0))</f>
        <v>0.08</v>
      </c>
      <c r="AF130" s="49">
        <f t="shared" si="25"/>
        <v>0</v>
      </c>
      <c r="AG130" s="49">
        <f t="shared" si="26"/>
        <v>0</v>
      </c>
      <c r="AH130" s="55">
        <f t="shared" si="27"/>
        <v>0</v>
      </c>
    </row>
    <row r="131" spans="1:34" x14ac:dyDescent="0.2">
      <c r="A131" s="48" t="s">
        <v>392</v>
      </c>
      <c r="B131" s="48">
        <v>2</v>
      </c>
      <c r="C131" s="48" t="s">
        <v>351</v>
      </c>
      <c r="D131" s="48" t="s">
        <v>272</v>
      </c>
      <c r="E131" s="48" t="s">
        <v>393</v>
      </c>
      <c r="F131" s="48" t="s">
        <v>274</v>
      </c>
      <c r="G131" s="48" t="s">
        <v>275</v>
      </c>
      <c r="H131" s="48" t="s">
        <v>66</v>
      </c>
      <c r="I131" s="48" t="s">
        <v>135</v>
      </c>
      <c r="J131" s="49">
        <v>5</v>
      </c>
      <c r="K131" s="50">
        <v>255</v>
      </c>
      <c r="L131" s="50">
        <v>253.36</v>
      </c>
      <c r="M131" s="48" t="s">
        <v>276</v>
      </c>
      <c r="N131" s="51">
        <v>0.92</v>
      </c>
      <c r="O131" s="51">
        <v>0.91659999999999997</v>
      </c>
      <c r="P131" s="52">
        <v>211.7</v>
      </c>
      <c r="Q131" s="52">
        <v>211.7</v>
      </c>
      <c r="R131" s="53" t="str">
        <f>INDEX(SKU_Master!$D$5:$D$34,MATCH($I131,SKU_Master!$A$5:$A$34,0))</f>
        <v>Monitor</v>
      </c>
      <c r="S131" s="54">
        <f t="shared" si="14"/>
        <v>6.4313725490195983E-3</v>
      </c>
      <c r="T131" s="55">
        <f t="shared" si="15"/>
        <v>1385.8695652173913</v>
      </c>
      <c r="U131" s="55">
        <f t="shared" si="16"/>
        <v>1376.9565217391305</v>
      </c>
      <c r="V131" s="55">
        <f t="shared" si="17"/>
        <v>-8.9130434782607608</v>
      </c>
      <c r="W131" s="55">
        <f t="shared" si="18"/>
        <v>1382.0641501200089</v>
      </c>
      <c r="X131" s="55">
        <f t="shared" si="19"/>
        <v>5.1076283808783955</v>
      </c>
      <c r="Y131" s="55">
        <f t="shared" si="20"/>
        <v>1058.5</v>
      </c>
      <c r="Z131" s="55">
        <f t="shared" si="21"/>
        <v>1058.5</v>
      </c>
      <c r="AA131" s="55">
        <f t="shared" si="22"/>
        <v>0</v>
      </c>
      <c r="AB131" s="55">
        <f t="shared" si="23"/>
        <v>323.56415012000889</v>
      </c>
      <c r="AC131" s="54">
        <f t="shared" si="24"/>
        <v>0.23411659299021165</v>
      </c>
      <c r="AD131" s="56">
        <f>INDEX(Assumptions!$B$14:$B$16,MATCH($R131,Assumptions!$A$14:$A$16,0))</f>
        <v>0.18</v>
      </c>
      <c r="AE131" s="56">
        <f>INDEX(Assumptions!$C$14:$C$16,MATCH($R131,Assumptions!$A$14:$A$16,0))</f>
        <v>0.12</v>
      </c>
      <c r="AF131" s="49">
        <f t="shared" si="25"/>
        <v>0</v>
      </c>
      <c r="AG131" s="49">
        <f t="shared" si="26"/>
        <v>0</v>
      </c>
      <c r="AH131" s="55">
        <f t="shared" si="27"/>
        <v>0</v>
      </c>
    </row>
    <row r="132" spans="1:34" x14ac:dyDescent="0.2">
      <c r="A132" s="48" t="s">
        <v>394</v>
      </c>
      <c r="B132" s="48">
        <v>1</v>
      </c>
      <c r="C132" s="48" t="s">
        <v>278</v>
      </c>
      <c r="D132" s="48" t="s">
        <v>272</v>
      </c>
      <c r="E132" s="48" t="s">
        <v>395</v>
      </c>
      <c r="F132" s="48" t="s">
        <v>280</v>
      </c>
      <c r="G132" s="48" t="s">
        <v>281</v>
      </c>
      <c r="H132" s="48" t="s">
        <v>66</v>
      </c>
      <c r="I132" s="48" t="s">
        <v>115</v>
      </c>
      <c r="J132" s="49">
        <v>6</v>
      </c>
      <c r="K132" s="50">
        <v>820</v>
      </c>
      <c r="L132" s="50">
        <v>789.3</v>
      </c>
      <c r="M132" s="48" t="s">
        <v>276</v>
      </c>
      <c r="N132" s="51">
        <v>0.92</v>
      </c>
      <c r="O132" s="51">
        <v>0.91659999999999997</v>
      </c>
      <c r="P132" s="52">
        <v>743.6</v>
      </c>
      <c r="Q132" s="52">
        <v>743.6</v>
      </c>
      <c r="R132" s="53" t="str">
        <f>INDEX(SKU_Master!$D$5:$D$34,MATCH($I132,SKU_Master!$A$5:$A$34,0))</f>
        <v>Laptop</v>
      </c>
      <c r="S132" s="54">
        <f t="shared" si="14"/>
        <v>3.7439024390243936E-2</v>
      </c>
      <c r="T132" s="55">
        <f t="shared" si="15"/>
        <v>5347.8260869565211</v>
      </c>
      <c r="U132" s="55">
        <f t="shared" si="16"/>
        <v>5147.6086956521731</v>
      </c>
      <c r="V132" s="55">
        <f t="shared" si="17"/>
        <v>-200.21739130434798</v>
      </c>
      <c r="W132" s="55">
        <f t="shared" si="18"/>
        <v>5166.7030329478503</v>
      </c>
      <c r="X132" s="55">
        <f t="shared" si="19"/>
        <v>19.094337295677178</v>
      </c>
      <c r="Y132" s="55">
        <f t="shared" si="20"/>
        <v>4461.6000000000004</v>
      </c>
      <c r="Z132" s="55">
        <f t="shared" si="21"/>
        <v>4461.6000000000004</v>
      </c>
      <c r="AA132" s="55">
        <f t="shared" si="22"/>
        <v>0</v>
      </c>
      <c r="AB132" s="55">
        <f t="shared" si="23"/>
        <v>705.1030329478499</v>
      </c>
      <c r="AC132" s="54">
        <f t="shared" si="24"/>
        <v>0.13647059419738994</v>
      </c>
      <c r="AD132" s="56">
        <f>INDEX(Assumptions!$B$14:$B$16,MATCH($R132,Assumptions!$A$14:$A$16,0))</f>
        <v>0.12</v>
      </c>
      <c r="AE132" s="56">
        <f>INDEX(Assumptions!$C$14:$C$16,MATCH($R132,Assumptions!$A$14:$A$16,0))</f>
        <v>0.08</v>
      </c>
      <c r="AF132" s="49">
        <f t="shared" si="25"/>
        <v>0</v>
      </c>
      <c r="AG132" s="49">
        <f t="shared" si="26"/>
        <v>0</v>
      </c>
      <c r="AH132" s="55">
        <f t="shared" si="27"/>
        <v>0</v>
      </c>
    </row>
    <row r="133" spans="1:34" x14ac:dyDescent="0.2">
      <c r="A133" s="48" t="s">
        <v>394</v>
      </c>
      <c r="B133" s="48">
        <v>2</v>
      </c>
      <c r="C133" s="48" t="s">
        <v>278</v>
      </c>
      <c r="D133" s="48" t="s">
        <v>272</v>
      </c>
      <c r="E133" s="48" t="s">
        <v>395</v>
      </c>
      <c r="F133" s="48" t="s">
        <v>280</v>
      </c>
      <c r="G133" s="48" t="s">
        <v>281</v>
      </c>
      <c r="H133" s="48" t="s">
        <v>66</v>
      </c>
      <c r="I133" s="48" t="s">
        <v>161</v>
      </c>
      <c r="J133" s="49">
        <v>4</v>
      </c>
      <c r="K133" s="50">
        <v>120</v>
      </c>
      <c r="L133" s="50">
        <v>114.62</v>
      </c>
      <c r="M133" s="48" t="s">
        <v>276</v>
      </c>
      <c r="N133" s="51">
        <v>0.92</v>
      </c>
      <c r="O133" s="51">
        <v>0.91659999999999997</v>
      </c>
      <c r="P133" s="52">
        <v>81</v>
      </c>
      <c r="Q133" s="52">
        <v>81</v>
      </c>
      <c r="R133" s="53" t="str">
        <f>INDEX(SKU_Master!$D$5:$D$34,MATCH($I133,SKU_Master!$A$5:$A$34,0))</f>
        <v>Accessory</v>
      </c>
      <c r="S133" s="54">
        <f t="shared" ref="S133:S196" si="28">IF(K133=0,0,1-L133/K133)</f>
        <v>4.4833333333333281E-2</v>
      </c>
      <c r="T133" s="55">
        <f t="shared" ref="T133:T196" si="29">J133*K133/N133</f>
        <v>521.73913043478262</v>
      </c>
      <c r="U133" s="55">
        <f t="shared" ref="U133:U196" si="30">J133*L133/N133</f>
        <v>498.3478260869565</v>
      </c>
      <c r="V133" s="55">
        <f t="shared" ref="V133:V196" si="31">U133-T133</f>
        <v>-23.391304347826122</v>
      </c>
      <c r="W133" s="55">
        <f t="shared" ref="W133:W196" si="32">J133*L133/O133</f>
        <v>500.19637791839409</v>
      </c>
      <c r="X133" s="55">
        <f t="shared" ref="X133:X196" si="33">W133-U133</f>
        <v>1.8485518314375895</v>
      </c>
      <c r="Y133" s="55">
        <f t="shared" ref="Y133:Y196" si="34">J133*P133</f>
        <v>324</v>
      </c>
      <c r="Z133" s="55">
        <f t="shared" ref="Z133:Z196" si="35">J133*Q133</f>
        <v>324</v>
      </c>
      <c r="AA133" s="55">
        <f t="shared" ref="AA133:AA196" si="36">Y133-Z133</f>
        <v>0</v>
      </c>
      <c r="AB133" s="55">
        <f t="shared" ref="AB133:AB196" si="37">W133-Z133</f>
        <v>176.19637791839409</v>
      </c>
      <c r="AC133" s="54">
        <f t="shared" ref="AC133:AC196" si="38">IF(W133=0,0,AB133/W133)</f>
        <v>0.35225440586285117</v>
      </c>
      <c r="AD133" s="56">
        <f>INDEX(Assumptions!$B$14:$B$16,MATCH($R133,Assumptions!$A$14:$A$16,0))</f>
        <v>0.32</v>
      </c>
      <c r="AE133" s="56">
        <f>INDEX(Assumptions!$C$14:$C$16,MATCH($R133,Assumptions!$A$14:$A$16,0))</f>
        <v>0.22</v>
      </c>
      <c r="AF133" s="49">
        <f t="shared" ref="AF133:AF196" si="39">IF(AC133&lt;AE133,1,0)</f>
        <v>0</v>
      </c>
      <c r="AG133" s="49">
        <f t="shared" ref="AG133:AG196" si="40">IF(AND(AF133=1,M133="N"),1,0)</f>
        <v>0</v>
      </c>
      <c r="AH133" s="55">
        <f t="shared" ref="AH133:AH196" si="41">MAX(0,W133*AD133-AB133)</f>
        <v>0</v>
      </c>
    </row>
    <row r="134" spans="1:34" x14ac:dyDescent="0.2">
      <c r="A134" s="48" t="s">
        <v>396</v>
      </c>
      <c r="B134" s="48">
        <v>1</v>
      </c>
      <c r="C134" s="48" t="s">
        <v>271</v>
      </c>
      <c r="D134" s="48" t="s">
        <v>272</v>
      </c>
      <c r="E134" s="48" t="s">
        <v>397</v>
      </c>
      <c r="F134" s="48" t="s">
        <v>280</v>
      </c>
      <c r="G134" s="48" t="s">
        <v>306</v>
      </c>
      <c r="H134" s="48" t="s">
        <v>70</v>
      </c>
      <c r="I134" s="48" t="s">
        <v>115</v>
      </c>
      <c r="J134" s="49">
        <v>21</v>
      </c>
      <c r="K134" s="50">
        <v>83560</v>
      </c>
      <c r="L134" s="50">
        <v>82182.820000000007</v>
      </c>
      <c r="M134" s="48" t="s">
        <v>276</v>
      </c>
      <c r="N134" s="51">
        <v>83.5</v>
      </c>
      <c r="O134" s="51">
        <v>83.820400000000006</v>
      </c>
      <c r="P134" s="52">
        <v>838.22</v>
      </c>
      <c r="Q134" s="52">
        <v>858.22</v>
      </c>
      <c r="R134" s="53" t="str">
        <f>INDEX(SKU_Master!$D$5:$D$34,MATCH($I134,SKU_Master!$A$5:$A$34,0))</f>
        <v>Laptop</v>
      </c>
      <c r="S134" s="54">
        <f t="shared" si="28"/>
        <v>1.6481330780277581E-2</v>
      </c>
      <c r="T134" s="55">
        <f t="shared" si="29"/>
        <v>21015.089820359281</v>
      </c>
      <c r="U134" s="55">
        <f t="shared" si="30"/>
        <v>20668.733173652698</v>
      </c>
      <c r="V134" s="55">
        <f t="shared" si="31"/>
        <v>-346.35664670658298</v>
      </c>
      <c r="W134" s="55">
        <f t="shared" si="32"/>
        <v>20589.727798960637</v>
      </c>
      <c r="X134" s="55">
        <f t="shared" si="33"/>
        <v>-79.005374692060286</v>
      </c>
      <c r="Y134" s="55">
        <f t="shared" si="34"/>
        <v>17602.62</v>
      </c>
      <c r="Z134" s="55">
        <f t="shared" si="35"/>
        <v>18022.62</v>
      </c>
      <c r="AA134" s="55">
        <f t="shared" si="36"/>
        <v>-420</v>
      </c>
      <c r="AB134" s="55">
        <f t="shared" si="37"/>
        <v>2567.1077989606383</v>
      </c>
      <c r="AC134" s="54">
        <f t="shared" si="38"/>
        <v>0.12467905472214282</v>
      </c>
      <c r="AD134" s="56">
        <f>INDEX(Assumptions!$B$14:$B$16,MATCH($R134,Assumptions!$A$14:$A$16,0))</f>
        <v>0.12</v>
      </c>
      <c r="AE134" s="56">
        <f>INDEX(Assumptions!$C$14:$C$16,MATCH($R134,Assumptions!$A$14:$A$16,0))</f>
        <v>0.08</v>
      </c>
      <c r="AF134" s="49">
        <f t="shared" si="39"/>
        <v>0</v>
      </c>
      <c r="AG134" s="49">
        <f t="shared" si="40"/>
        <v>0</v>
      </c>
      <c r="AH134" s="55">
        <f t="shared" si="41"/>
        <v>0</v>
      </c>
    </row>
    <row r="135" spans="1:34" x14ac:dyDescent="0.2">
      <c r="A135" s="48" t="s">
        <v>398</v>
      </c>
      <c r="B135" s="48">
        <v>1</v>
      </c>
      <c r="C135" s="48" t="s">
        <v>332</v>
      </c>
      <c r="D135" s="48" t="s">
        <v>272</v>
      </c>
      <c r="E135" s="48" t="s">
        <v>293</v>
      </c>
      <c r="F135" s="48" t="s">
        <v>274</v>
      </c>
      <c r="G135" s="48" t="s">
        <v>275</v>
      </c>
      <c r="H135" s="48" t="s">
        <v>66</v>
      </c>
      <c r="I135" s="48" t="s">
        <v>108</v>
      </c>
      <c r="J135" s="49">
        <v>4</v>
      </c>
      <c r="K135" s="50">
        <v>1280</v>
      </c>
      <c r="L135" s="50">
        <v>1268.92</v>
      </c>
      <c r="M135" s="48" t="s">
        <v>276</v>
      </c>
      <c r="N135" s="51">
        <v>0.92</v>
      </c>
      <c r="O135" s="51">
        <v>0.91659999999999997</v>
      </c>
      <c r="P135" s="52">
        <v>1165</v>
      </c>
      <c r="Q135" s="52">
        <v>1165</v>
      </c>
      <c r="R135" s="53" t="str">
        <f>INDEX(SKU_Master!$D$5:$D$34,MATCH($I135,SKU_Master!$A$5:$A$34,0))</f>
        <v>Laptop</v>
      </c>
      <c r="S135" s="54">
        <f t="shared" si="28"/>
        <v>8.656249999999921E-3</v>
      </c>
      <c r="T135" s="55">
        <f t="shared" si="29"/>
        <v>5565.217391304348</v>
      </c>
      <c r="U135" s="55">
        <f t="shared" si="30"/>
        <v>5517.04347826087</v>
      </c>
      <c r="V135" s="55">
        <f t="shared" si="31"/>
        <v>-48.173913043478024</v>
      </c>
      <c r="W135" s="55">
        <f t="shared" si="32"/>
        <v>5537.5081824132667</v>
      </c>
      <c r="X135" s="55">
        <f t="shared" si="33"/>
        <v>20.464704152396735</v>
      </c>
      <c r="Y135" s="55">
        <f t="shared" si="34"/>
        <v>4660</v>
      </c>
      <c r="Z135" s="55">
        <f t="shared" si="35"/>
        <v>4660</v>
      </c>
      <c r="AA135" s="55">
        <f t="shared" si="36"/>
        <v>0</v>
      </c>
      <c r="AB135" s="55">
        <f t="shared" si="37"/>
        <v>877.5081824132667</v>
      </c>
      <c r="AC135" s="54">
        <f t="shared" si="38"/>
        <v>0.1584662547678341</v>
      </c>
      <c r="AD135" s="56">
        <f>INDEX(Assumptions!$B$14:$B$16,MATCH($R135,Assumptions!$A$14:$A$16,0))</f>
        <v>0.12</v>
      </c>
      <c r="AE135" s="56">
        <f>INDEX(Assumptions!$C$14:$C$16,MATCH($R135,Assumptions!$A$14:$A$16,0))</f>
        <v>0.08</v>
      </c>
      <c r="AF135" s="49">
        <f t="shared" si="39"/>
        <v>0</v>
      </c>
      <c r="AG135" s="49">
        <f t="shared" si="40"/>
        <v>0</v>
      </c>
      <c r="AH135" s="55">
        <f t="shared" si="41"/>
        <v>0</v>
      </c>
    </row>
    <row r="136" spans="1:34" x14ac:dyDescent="0.2">
      <c r="A136" s="48" t="s">
        <v>398</v>
      </c>
      <c r="B136" s="48">
        <v>2</v>
      </c>
      <c r="C136" s="48" t="s">
        <v>332</v>
      </c>
      <c r="D136" s="48" t="s">
        <v>272</v>
      </c>
      <c r="E136" s="48" t="s">
        <v>293</v>
      </c>
      <c r="F136" s="48" t="s">
        <v>274</v>
      </c>
      <c r="G136" s="48" t="s">
        <v>275</v>
      </c>
      <c r="H136" s="48" t="s">
        <v>66</v>
      </c>
      <c r="I136" s="48" t="s">
        <v>135</v>
      </c>
      <c r="J136" s="49">
        <v>4</v>
      </c>
      <c r="K136" s="50">
        <v>255</v>
      </c>
      <c r="L136" s="50">
        <v>254.47</v>
      </c>
      <c r="M136" s="48" t="s">
        <v>276</v>
      </c>
      <c r="N136" s="51">
        <v>0.92</v>
      </c>
      <c r="O136" s="51">
        <v>0.91659999999999997</v>
      </c>
      <c r="P136" s="52">
        <v>211.7</v>
      </c>
      <c r="Q136" s="52">
        <v>211.7</v>
      </c>
      <c r="R136" s="53" t="str">
        <f>INDEX(SKU_Master!$D$5:$D$34,MATCH($I136,SKU_Master!$A$5:$A$34,0))</f>
        <v>Monitor</v>
      </c>
      <c r="S136" s="54">
        <f t="shared" si="28"/>
        <v>2.0784313725490389E-3</v>
      </c>
      <c r="T136" s="55">
        <f t="shared" si="29"/>
        <v>1108.695652173913</v>
      </c>
      <c r="U136" s="55">
        <f t="shared" si="30"/>
        <v>1106.391304347826</v>
      </c>
      <c r="V136" s="55">
        <f t="shared" si="31"/>
        <v>-2.3043478260869961</v>
      </c>
      <c r="W136" s="55">
        <f t="shared" si="32"/>
        <v>1110.4953087497272</v>
      </c>
      <c r="X136" s="55">
        <f t="shared" si="33"/>
        <v>4.104004401901193</v>
      </c>
      <c r="Y136" s="55">
        <f t="shared" si="34"/>
        <v>846.8</v>
      </c>
      <c r="Z136" s="55">
        <f t="shared" si="35"/>
        <v>846.8</v>
      </c>
      <c r="AA136" s="55">
        <f t="shared" si="36"/>
        <v>0</v>
      </c>
      <c r="AB136" s="55">
        <f t="shared" si="37"/>
        <v>263.69530874972725</v>
      </c>
      <c r="AC136" s="54">
        <f t="shared" si="38"/>
        <v>0.23745738200966715</v>
      </c>
      <c r="AD136" s="56">
        <f>INDEX(Assumptions!$B$14:$B$16,MATCH($R136,Assumptions!$A$14:$A$16,0))</f>
        <v>0.18</v>
      </c>
      <c r="AE136" s="56">
        <f>INDEX(Assumptions!$C$14:$C$16,MATCH($R136,Assumptions!$A$14:$A$16,0))</f>
        <v>0.12</v>
      </c>
      <c r="AF136" s="49">
        <f t="shared" si="39"/>
        <v>0</v>
      </c>
      <c r="AG136" s="49">
        <f t="shared" si="40"/>
        <v>0</v>
      </c>
      <c r="AH136" s="55">
        <f t="shared" si="41"/>
        <v>0</v>
      </c>
    </row>
    <row r="137" spans="1:34" x14ac:dyDescent="0.2">
      <c r="A137" s="48" t="s">
        <v>398</v>
      </c>
      <c r="B137" s="48">
        <v>3</v>
      </c>
      <c r="C137" s="48" t="s">
        <v>332</v>
      </c>
      <c r="D137" s="48" t="s">
        <v>272</v>
      </c>
      <c r="E137" s="48" t="s">
        <v>293</v>
      </c>
      <c r="F137" s="48" t="s">
        <v>274</v>
      </c>
      <c r="G137" s="48" t="s">
        <v>275</v>
      </c>
      <c r="H137" s="48" t="s">
        <v>66</v>
      </c>
      <c r="I137" s="48" t="s">
        <v>151</v>
      </c>
      <c r="J137" s="49">
        <v>2</v>
      </c>
      <c r="K137" s="50">
        <v>325</v>
      </c>
      <c r="L137" s="50">
        <v>324.57</v>
      </c>
      <c r="M137" s="48" t="s">
        <v>276</v>
      </c>
      <c r="N137" s="51">
        <v>0.92</v>
      </c>
      <c r="O137" s="51">
        <v>0.91659999999999997</v>
      </c>
      <c r="P137" s="52">
        <v>221.7</v>
      </c>
      <c r="Q137" s="52">
        <v>221.7</v>
      </c>
      <c r="R137" s="53" t="str">
        <f>INDEX(SKU_Master!$D$5:$D$34,MATCH($I137,SKU_Master!$A$5:$A$34,0))</f>
        <v>Accessory</v>
      </c>
      <c r="S137" s="54">
        <f t="shared" si="28"/>
        <v>1.3230769230769823E-3</v>
      </c>
      <c r="T137" s="55">
        <f t="shared" si="29"/>
        <v>706.52173913043475</v>
      </c>
      <c r="U137" s="55">
        <f t="shared" si="30"/>
        <v>705.58695652173913</v>
      </c>
      <c r="V137" s="55">
        <f t="shared" si="31"/>
        <v>-0.93478260869562746</v>
      </c>
      <c r="W137" s="55">
        <f t="shared" si="32"/>
        <v>708.20423303512985</v>
      </c>
      <c r="X137" s="55">
        <f t="shared" si="33"/>
        <v>2.6172765133907205</v>
      </c>
      <c r="Y137" s="55">
        <f t="shared" si="34"/>
        <v>443.4</v>
      </c>
      <c r="Z137" s="55">
        <f t="shared" si="35"/>
        <v>443.4</v>
      </c>
      <c r="AA137" s="55">
        <f t="shared" si="36"/>
        <v>0</v>
      </c>
      <c r="AB137" s="55">
        <f t="shared" si="37"/>
        <v>264.80423303512987</v>
      </c>
      <c r="AC137" s="54">
        <f t="shared" si="38"/>
        <v>0.37390941861539889</v>
      </c>
      <c r="AD137" s="56">
        <f>INDEX(Assumptions!$B$14:$B$16,MATCH($R137,Assumptions!$A$14:$A$16,0))</f>
        <v>0.32</v>
      </c>
      <c r="AE137" s="56">
        <f>INDEX(Assumptions!$C$14:$C$16,MATCH($R137,Assumptions!$A$14:$A$16,0))</f>
        <v>0.22</v>
      </c>
      <c r="AF137" s="49">
        <f t="shared" si="39"/>
        <v>0</v>
      </c>
      <c r="AG137" s="49">
        <f t="shared" si="40"/>
        <v>0</v>
      </c>
      <c r="AH137" s="55">
        <f t="shared" si="41"/>
        <v>0</v>
      </c>
    </row>
    <row r="138" spans="1:34" x14ac:dyDescent="0.2">
      <c r="A138" s="48" t="s">
        <v>399</v>
      </c>
      <c r="B138" s="48">
        <v>1</v>
      </c>
      <c r="C138" s="48" t="s">
        <v>353</v>
      </c>
      <c r="D138" s="48" t="s">
        <v>272</v>
      </c>
      <c r="E138" s="48" t="s">
        <v>336</v>
      </c>
      <c r="F138" s="48" t="s">
        <v>274</v>
      </c>
      <c r="G138" s="48" t="s">
        <v>288</v>
      </c>
      <c r="H138" s="48" t="s">
        <v>62</v>
      </c>
      <c r="I138" s="48" t="s">
        <v>93</v>
      </c>
      <c r="J138" s="49">
        <v>5</v>
      </c>
      <c r="K138" s="50">
        <v>1390</v>
      </c>
      <c r="L138" s="50">
        <v>1386.9</v>
      </c>
      <c r="M138" s="48" t="s">
        <v>276</v>
      </c>
      <c r="N138" s="51">
        <v>1</v>
      </c>
      <c r="O138" s="51">
        <v>1</v>
      </c>
      <c r="P138" s="52">
        <v>1186.2</v>
      </c>
      <c r="Q138" s="52">
        <v>1186.2</v>
      </c>
      <c r="R138" s="53" t="str">
        <f>INDEX(SKU_Master!$D$5:$D$34,MATCH($I138,SKU_Master!$A$5:$A$34,0))</f>
        <v>Laptop</v>
      </c>
      <c r="S138" s="54">
        <f t="shared" si="28"/>
        <v>2.2302158273380668E-3</v>
      </c>
      <c r="T138" s="55">
        <f t="shared" si="29"/>
        <v>6950</v>
      </c>
      <c r="U138" s="55">
        <f t="shared" si="30"/>
        <v>6934.5</v>
      </c>
      <c r="V138" s="55">
        <f t="shared" si="31"/>
        <v>-15.5</v>
      </c>
      <c r="W138" s="55">
        <f t="shared" si="32"/>
        <v>6934.5</v>
      </c>
      <c r="X138" s="55">
        <f t="shared" si="33"/>
        <v>0</v>
      </c>
      <c r="Y138" s="55">
        <f t="shared" si="34"/>
        <v>5931</v>
      </c>
      <c r="Z138" s="55">
        <f t="shared" si="35"/>
        <v>5931</v>
      </c>
      <c r="AA138" s="55">
        <f t="shared" si="36"/>
        <v>0</v>
      </c>
      <c r="AB138" s="55">
        <f t="shared" si="37"/>
        <v>1003.5</v>
      </c>
      <c r="AC138" s="54">
        <f t="shared" si="38"/>
        <v>0.14471122647631407</v>
      </c>
      <c r="AD138" s="56">
        <f>INDEX(Assumptions!$B$14:$B$16,MATCH($R138,Assumptions!$A$14:$A$16,0))</f>
        <v>0.12</v>
      </c>
      <c r="AE138" s="56">
        <f>INDEX(Assumptions!$C$14:$C$16,MATCH($R138,Assumptions!$A$14:$A$16,0))</f>
        <v>0.08</v>
      </c>
      <c r="AF138" s="49">
        <f t="shared" si="39"/>
        <v>0</v>
      </c>
      <c r="AG138" s="49">
        <f t="shared" si="40"/>
        <v>0</v>
      </c>
      <c r="AH138" s="55">
        <f t="shared" si="41"/>
        <v>0</v>
      </c>
    </row>
    <row r="139" spans="1:34" x14ac:dyDescent="0.2">
      <c r="A139" s="48" t="s">
        <v>399</v>
      </c>
      <c r="B139" s="48">
        <v>2</v>
      </c>
      <c r="C139" s="48" t="s">
        <v>353</v>
      </c>
      <c r="D139" s="48" t="s">
        <v>272</v>
      </c>
      <c r="E139" s="48" t="s">
        <v>336</v>
      </c>
      <c r="F139" s="48" t="s">
        <v>274</v>
      </c>
      <c r="G139" s="48" t="s">
        <v>288</v>
      </c>
      <c r="H139" s="48" t="s">
        <v>62</v>
      </c>
      <c r="I139" s="48" t="s">
        <v>138</v>
      </c>
      <c r="J139" s="49">
        <v>2</v>
      </c>
      <c r="K139" s="50">
        <v>455</v>
      </c>
      <c r="L139" s="50">
        <v>448.65</v>
      </c>
      <c r="M139" s="48" t="s">
        <v>276</v>
      </c>
      <c r="N139" s="51">
        <v>1</v>
      </c>
      <c r="O139" s="51">
        <v>1</v>
      </c>
      <c r="P139" s="52">
        <v>358.2</v>
      </c>
      <c r="Q139" s="52">
        <v>358.2</v>
      </c>
      <c r="R139" s="53" t="str">
        <f>INDEX(SKU_Master!$D$5:$D$34,MATCH($I139,SKU_Master!$A$5:$A$34,0))</f>
        <v>Monitor</v>
      </c>
      <c r="S139" s="54">
        <f t="shared" si="28"/>
        <v>1.3956043956043995E-2</v>
      </c>
      <c r="T139" s="55">
        <f t="shared" si="29"/>
        <v>910</v>
      </c>
      <c r="U139" s="55">
        <f t="shared" si="30"/>
        <v>897.3</v>
      </c>
      <c r="V139" s="55">
        <f t="shared" si="31"/>
        <v>-12.700000000000045</v>
      </c>
      <c r="W139" s="55">
        <f t="shared" si="32"/>
        <v>897.3</v>
      </c>
      <c r="X139" s="55">
        <f t="shared" si="33"/>
        <v>0</v>
      </c>
      <c r="Y139" s="55">
        <f t="shared" si="34"/>
        <v>716.4</v>
      </c>
      <c r="Z139" s="55">
        <f t="shared" si="35"/>
        <v>716.4</v>
      </c>
      <c r="AA139" s="55">
        <f t="shared" si="36"/>
        <v>0</v>
      </c>
      <c r="AB139" s="55">
        <f t="shared" si="37"/>
        <v>180.89999999999998</v>
      </c>
      <c r="AC139" s="54">
        <f t="shared" si="38"/>
        <v>0.20160481444332998</v>
      </c>
      <c r="AD139" s="56">
        <f>INDEX(Assumptions!$B$14:$B$16,MATCH($R139,Assumptions!$A$14:$A$16,0))</f>
        <v>0.18</v>
      </c>
      <c r="AE139" s="56">
        <f>INDEX(Assumptions!$C$14:$C$16,MATCH($R139,Assumptions!$A$14:$A$16,0))</f>
        <v>0.12</v>
      </c>
      <c r="AF139" s="49">
        <f t="shared" si="39"/>
        <v>0</v>
      </c>
      <c r="AG139" s="49">
        <f t="shared" si="40"/>
        <v>0</v>
      </c>
      <c r="AH139" s="55">
        <f t="shared" si="41"/>
        <v>0</v>
      </c>
    </row>
    <row r="140" spans="1:34" x14ac:dyDescent="0.2">
      <c r="A140" s="48" t="s">
        <v>399</v>
      </c>
      <c r="B140" s="48">
        <v>3</v>
      </c>
      <c r="C140" s="48" t="s">
        <v>353</v>
      </c>
      <c r="D140" s="48" t="s">
        <v>272</v>
      </c>
      <c r="E140" s="48" t="s">
        <v>336</v>
      </c>
      <c r="F140" s="48" t="s">
        <v>274</v>
      </c>
      <c r="G140" s="48" t="s">
        <v>288</v>
      </c>
      <c r="H140" s="48" t="s">
        <v>62</v>
      </c>
      <c r="I140" s="48" t="s">
        <v>151</v>
      </c>
      <c r="J140" s="49">
        <v>3</v>
      </c>
      <c r="K140" s="50">
        <v>335</v>
      </c>
      <c r="L140" s="50">
        <v>332.36</v>
      </c>
      <c r="M140" s="48" t="s">
        <v>276</v>
      </c>
      <c r="N140" s="51">
        <v>1</v>
      </c>
      <c r="O140" s="51">
        <v>1</v>
      </c>
      <c r="P140" s="52">
        <v>216.7</v>
      </c>
      <c r="Q140" s="52">
        <v>216.7</v>
      </c>
      <c r="R140" s="53" t="str">
        <f>INDEX(SKU_Master!$D$5:$D$34,MATCH($I140,SKU_Master!$A$5:$A$34,0))</f>
        <v>Accessory</v>
      </c>
      <c r="S140" s="54">
        <f t="shared" si="28"/>
        <v>7.8805970149253834E-3</v>
      </c>
      <c r="T140" s="55">
        <f t="shared" si="29"/>
        <v>1005</v>
      </c>
      <c r="U140" s="55">
        <f t="shared" si="30"/>
        <v>997.08</v>
      </c>
      <c r="V140" s="55">
        <f t="shared" si="31"/>
        <v>-7.9199999999999591</v>
      </c>
      <c r="W140" s="55">
        <f t="shared" si="32"/>
        <v>997.08</v>
      </c>
      <c r="X140" s="55">
        <f t="shared" si="33"/>
        <v>0</v>
      </c>
      <c r="Y140" s="55">
        <f t="shared" si="34"/>
        <v>650.09999999999991</v>
      </c>
      <c r="Z140" s="55">
        <f t="shared" si="35"/>
        <v>650.09999999999991</v>
      </c>
      <c r="AA140" s="55">
        <f t="shared" si="36"/>
        <v>0</v>
      </c>
      <c r="AB140" s="55">
        <f t="shared" si="37"/>
        <v>346.98000000000013</v>
      </c>
      <c r="AC140" s="54">
        <f t="shared" si="38"/>
        <v>0.34799614875436286</v>
      </c>
      <c r="AD140" s="56">
        <f>INDEX(Assumptions!$B$14:$B$16,MATCH($R140,Assumptions!$A$14:$A$16,0))</f>
        <v>0.32</v>
      </c>
      <c r="AE140" s="56">
        <f>INDEX(Assumptions!$C$14:$C$16,MATCH($R140,Assumptions!$A$14:$A$16,0))</f>
        <v>0.22</v>
      </c>
      <c r="AF140" s="49">
        <f t="shared" si="39"/>
        <v>0</v>
      </c>
      <c r="AG140" s="49">
        <f t="shared" si="40"/>
        <v>0</v>
      </c>
      <c r="AH140" s="55">
        <f t="shared" si="41"/>
        <v>0</v>
      </c>
    </row>
    <row r="141" spans="1:34" x14ac:dyDescent="0.2">
      <c r="A141" s="48" t="s">
        <v>400</v>
      </c>
      <c r="B141" s="48">
        <v>1</v>
      </c>
      <c r="C141" s="48" t="s">
        <v>321</v>
      </c>
      <c r="D141" s="48" t="s">
        <v>272</v>
      </c>
      <c r="E141" s="48" t="s">
        <v>301</v>
      </c>
      <c r="F141" s="48" t="s">
        <v>274</v>
      </c>
      <c r="G141" s="48" t="s">
        <v>302</v>
      </c>
      <c r="H141" s="48" t="s">
        <v>62</v>
      </c>
      <c r="I141" s="48" t="s">
        <v>93</v>
      </c>
      <c r="J141" s="49">
        <v>5</v>
      </c>
      <c r="K141" s="50">
        <v>1390</v>
      </c>
      <c r="L141" s="50">
        <v>1334.18</v>
      </c>
      <c r="M141" s="48" t="s">
        <v>276</v>
      </c>
      <c r="N141" s="51">
        <v>1</v>
      </c>
      <c r="O141" s="51">
        <v>1</v>
      </c>
      <c r="P141" s="52">
        <v>1186.2</v>
      </c>
      <c r="Q141" s="52">
        <v>1186.2</v>
      </c>
      <c r="R141" s="53" t="str">
        <f>INDEX(SKU_Master!$D$5:$D$34,MATCH($I141,SKU_Master!$A$5:$A$34,0))</f>
        <v>Laptop</v>
      </c>
      <c r="S141" s="54">
        <f t="shared" si="28"/>
        <v>4.0158273381294962E-2</v>
      </c>
      <c r="T141" s="55">
        <f t="shared" si="29"/>
        <v>6950</v>
      </c>
      <c r="U141" s="55">
        <f t="shared" si="30"/>
        <v>6670.9000000000005</v>
      </c>
      <c r="V141" s="55">
        <f t="shared" si="31"/>
        <v>-279.09999999999945</v>
      </c>
      <c r="W141" s="55">
        <f t="shared" si="32"/>
        <v>6670.9000000000005</v>
      </c>
      <c r="X141" s="55">
        <f t="shared" si="33"/>
        <v>0</v>
      </c>
      <c r="Y141" s="55">
        <f t="shared" si="34"/>
        <v>5931</v>
      </c>
      <c r="Z141" s="55">
        <f t="shared" si="35"/>
        <v>5931</v>
      </c>
      <c r="AA141" s="55">
        <f t="shared" si="36"/>
        <v>0</v>
      </c>
      <c r="AB141" s="55">
        <f t="shared" si="37"/>
        <v>739.90000000000055</v>
      </c>
      <c r="AC141" s="54">
        <f t="shared" si="38"/>
        <v>0.11091456924852726</v>
      </c>
      <c r="AD141" s="56">
        <f>INDEX(Assumptions!$B$14:$B$16,MATCH($R141,Assumptions!$A$14:$A$16,0))</f>
        <v>0.12</v>
      </c>
      <c r="AE141" s="56">
        <f>INDEX(Assumptions!$C$14:$C$16,MATCH($R141,Assumptions!$A$14:$A$16,0))</f>
        <v>0.08</v>
      </c>
      <c r="AF141" s="49">
        <f t="shared" si="39"/>
        <v>0</v>
      </c>
      <c r="AG141" s="49">
        <f t="shared" si="40"/>
        <v>0</v>
      </c>
      <c r="AH141" s="55">
        <f t="shared" si="41"/>
        <v>60.607999999999493</v>
      </c>
    </row>
    <row r="142" spans="1:34" x14ac:dyDescent="0.2">
      <c r="A142" s="48" t="s">
        <v>400</v>
      </c>
      <c r="B142" s="48">
        <v>2</v>
      </c>
      <c r="C142" s="48" t="s">
        <v>321</v>
      </c>
      <c r="D142" s="48" t="s">
        <v>272</v>
      </c>
      <c r="E142" s="48" t="s">
        <v>301</v>
      </c>
      <c r="F142" s="48" t="s">
        <v>274</v>
      </c>
      <c r="G142" s="48" t="s">
        <v>302</v>
      </c>
      <c r="H142" s="48" t="s">
        <v>62</v>
      </c>
      <c r="I142" s="48" t="s">
        <v>138</v>
      </c>
      <c r="J142" s="49">
        <v>5</v>
      </c>
      <c r="K142" s="50">
        <v>455</v>
      </c>
      <c r="L142" s="50">
        <v>433.84</v>
      </c>
      <c r="M142" s="48" t="s">
        <v>276</v>
      </c>
      <c r="N142" s="51">
        <v>1</v>
      </c>
      <c r="O142" s="51">
        <v>1</v>
      </c>
      <c r="P142" s="52">
        <v>358.2</v>
      </c>
      <c r="Q142" s="52">
        <v>358.2</v>
      </c>
      <c r="R142" s="53" t="str">
        <f>INDEX(SKU_Master!$D$5:$D$34,MATCH($I142,SKU_Master!$A$5:$A$34,0))</f>
        <v>Monitor</v>
      </c>
      <c r="S142" s="54">
        <f t="shared" si="28"/>
        <v>4.6505494505494571E-2</v>
      </c>
      <c r="T142" s="55">
        <f t="shared" si="29"/>
        <v>2275</v>
      </c>
      <c r="U142" s="55">
        <f t="shared" si="30"/>
        <v>2169.1999999999998</v>
      </c>
      <c r="V142" s="55">
        <f t="shared" si="31"/>
        <v>-105.80000000000018</v>
      </c>
      <c r="W142" s="55">
        <f t="shared" si="32"/>
        <v>2169.1999999999998</v>
      </c>
      <c r="X142" s="55">
        <f t="shared" si="33"/>
        <v>0</v>
      </c>
      <c r="Y142" s="55">
        <f t="shared" si="34"/>
        <v>1791</v>
      </c>
      <c r="Z142" s="55">
        <f t="shared" si="35"/>
        <v>1791</v>
      </c>
      <c r="AA142" s="55">
        <f t="shared" si="36"/>
        <v>0</v>
      </c>
      <c r="AB142" s="55">
        <f t="shared" si="37"/>
        <v>378.19999999999982</v>
      </c>
      <c r="AC142" s="54">
        <f t="shared" si="38"/>
        <v>0.17434999078001098</v>
      </c>
      <c r="AD142" s="56">
        <f>INDEX(Assumptions!$B$14:$B$16,MATCH($R142,Assumptions!$A$14:$A$16,0))</f>
        <v>0.18</v>
      </c>
      <c r="AE142" s="56">
        <f>INDEX(Assumptions!$C$14:$C$16,MATCH($R142,Assumptions!$A$14:$A$16,0))</f>
        <v>0.12</v>
      </c>
      <c r="AF142" s="49">
        <f t="shared" si="39"/>
        <v>0</v>
      </c>
      <c r="AG142" s="49">
        <f t="shared" si="40"/>
        <v>0</v>
      </c>
      <c r="AH142" s="55">
        <f t="shared" si="41"/>
        <v>12.256000000000142</v>
      </c>
    </row>
    <row r="143" spans="1:34" x14ac:dyDescent="0.2">
      <c r="A143" s="48" t="s">
        <v>400</v>
      </c>
      <c r="B143" s="48">
        <v>3</v>
      </c>
      <c r="C143" s="48" t="s">
        <v>321</v>
      </c>
      <c r="D143" s="48" t="s">
        <v>272</v>
      </c>
      <c r="E143" s="48" t="s">
        <v>301</v>
      </c>
      <c r="F143" s="48" t="s">
        <v>274</v>
      </c>
      <c r="G143" s="48" t="s">
        <v>302</v>
      </c>
      <c r="H143" s="48" t="s">
        <v>62</v>
      </c>
      <c r="I143" s="48" t="s">
        <v>157</v>
      </c>
      <c r="J143" s="49">
        <v>3</v>
      </c>
      <c r="K143" s="50">
        <v>135</v>
      </c>
      <c r="L143" s="50">
        <v>129.12</v>
      </c>
      <c r="M143" s="48" t="s">
        <v>276</v>
      </c>
      <c r="N143" s="51">
        <v>1</v>
      </c>
      <c r="O143" s="51">
        <v>1</v>
      </c>
      <c r="P143" s="52">
        <v>86</v>
      </c>
      <c r="Q143" s="52">
        <v>86</v>
      </c>
      <c r="R143" s="53" t="str">
        <f>INDEX(SKU_Master!$D$5:$D$34,MATCH($I143,SKU_Master!$A$5:$A$34,0))</f>
        <v>Accessory</v>
      </c>
      <c r="S143" s="54">
        <f t="shared" si="28"/>
        <v>4.355555555555557E-2</v>
      </c>
      <c r="T143" s="55">
        <f t="shared" si="29"/>
        <v>405</v>
      </c>
      <c r="U143" s="55">
        <f t="shared" si="30"/>
        <v>387.36</v>
      </c>
      <c r="V143" s="55">
        <f t="shared" si="31"/>
        <v>-17.639999999999986</v>
      </c>
      <c r="W143" s="55">
        <f t="shared" si="32"/>
        <v>387.36</v>
      </c>
      <c r="X143" s="55">
        <f t="shared" si="33"/>
        <v>0</v>
      </c>
      <c r="Y143" s="55">
        <f t="shared" si="34"/>
        <v>258</v>
      </c>
      <c r="Z143" s="55">
        <f t="shared" si="35"/>
        <v>258</v>
      </c>
      <c r="AA143" s="55">
        <f t="shared" si="36"/>
        <v>0</v>
      </c>
      <c r="AB143" s="55">
        <f t="shared" si="37"/>
        <v>129.36000000000001</v>
      </c>
      <c r="AC143" s="54">
        <f t="shared" si="38"/>
        <v>0.33395291201982652</v>
      </c>
      <c r="AD143" s="56">
        <f>INDEX(Assumptions!$B$14:$B$16,MATCH($R143,Assumptions!$A$14:$A$16,0))</f>
        <v>0.32</v>
      </c>
      <c r="AE143" s="56">
        <f>INDEX(Assumptions!$C$14:$C$16,MATCH($R143,Assumptions!$A$14:$A$16,0))</f>
        <v>0.22</v>
      </c>
      <c r="AF143" s="49">
        <f t="shared" si="39"/>
        <v>0</v>
      </c>
      <c r="AG143" s="49">
        <f t="shared" si="40"/>
        <v>0</v>
      </c>
      <c r="AH143" s="55">
        <f t="shared" si="41"/>
        <v>0</v>
      </c>
    </row>
    <row r="144" spans="1:34" x14ac:dyDescent="0.2">
      <c r="A144" s="48" t="s">
        <v>401</v>
      </c>
      <c r="B144" s="48">
        <v>1</v>
      </c>
      <c r="C144" s="48" t="s">
        <v>286</v>
      </c>
      <c r="D144" s="48" t="s">
        <v>272</v>
      </c>
      <c r="E144" s="48" t="s">
        <v>305</v>
      </c>
      <c r="F144" s="48" t="s">
        <v>274</v>
      </c>
      <c r="G144" s="48" t="s">
        <v>306</v>
      </c>
      <c r="H144" s="48" t="s">
        <v>62</v>
      </c>
      <c r="I144" s="48" t="s">
        <v>113</v>
      </c>
      <c r="J144" s="49">
        <v>9</v>
      </c>
      <c r="K144" s="50">
        <v>1740</v>
      </c>
      <c r="L144" s="50">
        <v>1734.76</v>
      </c>
      <c r="M144" s="48" t="s">
        <v>276</v>
      </c>
      <c r="N144" s="51">
        <v>1</v>
      </c>
      <c r="O144" s="51">
        <v>1</v>
      </c>
      <c r="P144" s="52">
        <v>1484.8</v>
      </c>
      <c r="Q144" s="52">
        <v>1484.8</v>
      </c>
      <c r="R144" s="53" t="str">
        <f>INDEX(SKU_Master!$D$5:$D$34,MATCH($I144,SKU_Master!$A$5:$A$34,0))</f>
        <v>Laptop</v>
      </c>
      <c r="S144" s="54">
        <f t="shared" si="28"/>
        <v>3.0114942528736144E-3</v>
      </c>
      <c r="T144" s="55">
        <f t="shared" si="29"/>
        <v>15660</v>
      </c>
      <c r="U144" s="55">
        <f t="shared" si="30"/>
        <v>15612.84</v>
      </c>
      <c r="V144" s="55">
        <f t="shared" si="31"/>
        <v>-47.159999999999854</v>
      </c>
      <c r="W144" s="55">
        <f t="shared" si="32"/>
        <v>15612.84</v>
      </c>
      <c r="X144" s="55">
        <f t="shared" si="33"/>
        <v>0</v>
      </c>
      <c r="Y144" s="55">
        <f t="shared" si="34"/>
        <v>13363.199999999999</v>
      </c>
      <c r="Z144" s="55">
        <f t="shared" si="35"/>
        <v>13363.199999999999</v>
      </c>
      <c r="AA144" s="55">
        <f t="shared" si="36"/>
        <v>0</v>
      </c>
      <c r="AB144" s="55">
        <f t="shared" si="37"/>
        <v>2249.6400000000012</v>
      </c>
      <c r="AC144" s="54">
        <f t="shared" si="38"/>
        <v>0.14408909589799174</v>
      </c>
      <c r="AD144" s="56">
        <f>INDEX(Assumptions!$B$14:$B$16,MATCH($R144,Assumptions!$A$14:$A$16,0))</f>
        <v>0.12</v>
      </c>
      <c r="AE144" s="56">
        <f>INDEX(Assumptions!$C$14:$C$16,MATCH($R144,Assumptions!$A$14:$A$16,0))</f>
        <v>0.08</v>
      </c>
      <c r="AF144" s="49">
        <f t="shared" si="39"/>
        <v>0</v>
      </c>
      <c r="AG144" s="49">
        <f t="shared" si="40"/>
        <v>0</v>
      </c>
      <c r="AH144" s="55">
        <f t="shared" si="41"/>
        <v>0</v>
      </c>
    </row>
    <row r="145" spans="1:34" x14ac:dyDescent="0.2">
      <c r="A145" s="48" t="s">
        <v>401</v>
      </c>
      <c r="B145" s="48">
        <v>2</v>
      </c>
      <c r="C145" s="48" t="s">
        <v>286</v>
      </c>
      <c r="D145" s="48" t="s">
        <v>272</v>
      </c>
      <c r="E145" s="48" t="s">
        <v>305</v>
      </c>
      <c r="F145" s="48" t="s">
        <v>274</v>
      </c>
      <c r="G145" s="48" t="s">
        <v>306</v>
      </c>
      <c r="H145" s="48" t="s">
        <v>62</v>
      </c>
      <c r="I145" s="48" t="s">
        <v>135</v>
      </c>
      <c r="J145" s="49">
        <v>4</v>
      </c>
      <c r="K145" s="50">
        <v>240</v>
      </c>
      <c r="L145" s="50">
        <v>235.59</v>
      </c>
      <c r="M145" s="48" t="s">
        <v>276</v>
      </c>
      <c r="N145" s="51">
        <v>1</v>
      </c>
      <c r="O145" s="51">
        <v>1</v>
      </c>
      <c r="P145" s="52">
        <v>186.7</v>
      </c>
      <c r="Q145" s="52">
        <v>186.7</v>
      </c>
      <c r="R145" s="53" t="str">
        <f>INDEX(SKU_Master!$D$5:$D$34,MATCH($I145,SKU_Master!$A$5:$A$34,0))</f>
        <v>Monitor</v>
      </c>
      <c r="S145" s="54">
        <f t="shared" si="28"/>
        <v>1.837500000000003E-2</v>
      </c>
      <c r="T145" s="55">
        <f t="shared" si="29"/>
        <v>960</v>
      </c>
      <c r="U145" s="55">
        <f t="shared" si="30"/>
        <v>942.36</v>
      </c>
      <c r="V145" s="55">
        <f t="shared" si="31"/>
        <v>-17.639999999999986</v>
      </c>
      <c r="W145" s="55">
        <f t="shared" si="32"/>
        <v>942.36</v>
      </c>
      <c r="X145" s="55">
        <f t="shared" si="33"/>
        <v>0</v>
      </c>
      <c r="Y145" s="55">
        <f t="shared" si="34"/>
        <v>746.8</v>
      </c>
      <c r="Z145" s="55">
        <f t="shared" si="35"/>
        <v>746.8</v>
      </c>
      <c r="AA145" s="55">
        <f t="shared" si="36"/>
        <v>0</v>
      </c>
      <c r="AB145" s="55">
        <f t="shared" si="37"/>
        <v>195.56000000000006</v>
      </c>
      <c r="AC145" s="54">
        <f t="shared" si="38"/>
        <v>0.20752154166136089</v>
      </c>
      <c r="AD145" s="56">
        <f>INDEX(Assumptions!$B$14:$B$16,MATCH($R145,Assumptions!$A$14:$A$16,0))</f>
        <v>0.18</v>
      </c>
      <c r="AE145" s="56">
        <f>INDEX(Assumptions!$C$14:$C$16,MATCH($R145,Assumptions!$A$14:$A$16,0))</f>
        <v>0.12</v>
      </c>
      <c r="AF145" s="49">
        <f t="shared" si="39"/>
        <v>0</v>
      </c>
      <c r="AG145" s="49">
        <f t="shared" si="40"/>
        <v>0</v>
      </c>
      <c r="AH145" s="55">
        <f t="shared" si="41"/>
        <v>0</v>
      </c>
    </row>
    <row r="146" spans="1:34" x14ac:dyDescent="0.2">
      <c r="A146" s="48" t="s">
        <v>401</v>
      </c>
      <c r="B146" s="48">
        <v>3</v>
      </c>
      <c r="C146" s="48" t="s">
        <v>286</v>
      </c>
      <c r="D146" s="48" t="s">
        <v>272</v>
      </c>
      <c r="E146" s="48" t="s">
        <v>305</v>
      </c>
      <c r="F146" s="48" t="s">
        <v>274</v>
      </c>
      <c r="G146" s="48" t="s">
        <v>306</v>
      </c>
      <c r="H146" s="48" t="s">
        <v>62</v>
      </c>
      <c r="I146" s="48" t="s">
        <v>151</v>
      </c>
      <c r="J146" s="49">
        <v>4</v>
      </c>
      <c r="K146" s="50">
        <v>335</v>
      </c>
      <c r="L146" s="50">
        <v>334.79</v>
      </c>
      <c r="M146" s="48" t="s">
        <v>276</v>
      </c>
      <c r="N146" s="51">
        <v>1</v>
      </c>
      <c r="O146" s="51">
        <v>1</v>
      </c>
      <c r="P146" s="52">
        <v>216.7</v>
      </c>
      <c r="Q146" s="52">
        <v>216.7</v>
      </c>
      <c r="R146" s="53" t="str">
        <f>INDEX(SKU_Master!$D$5:$D$34,MATCH($I146,SKU_Master!$A$5:$A$34,0))</f>
        <v>Accessory</v>
      </c>
      <c r="S146" s="54">
        <f t="shared" si="28"/>
        <v>6.2686567164171869E-4</v>
      </c>
      <c r="T146" s="55">
        <f t="shared" si="29"/>
        <v>1340</v>
      </c>
      <c r="U146" s="55">
        <f t="shared" si="30"/>
        <v>1339.16</v>
      </c>
      <c r="V146" s="55">
        <f t="shared" si="31"/>
        <v>-0.83999999999991815</v>
      </c>
      <c r="W146" s="55">
        <f t="shared" si="32"/>
        <v>1339.16</v>
      </c>
      <c r="X146" s="55">
        <f t="shared" si="33"/>
        <v>0</v>
      </c>
      <c r="Y146" s="55">
        <f t="shared" si="34"/>
        <v>866.8</v>
      </c>
      <c r="Z146" s="55">
        <f t="shared" si="35"/>
        <v>866.8</v>
      </c>
      <c r="AA146" s="55">
        <f t="shared" si="36"/>
        <v>0</v>
      </c>
      <c r="AB146" s="55">
        <f t="shared" si="37"/>
        <v>472.36000000000013</v>
      </c>
      <c r="AC146" s="54">
        <f t="shared" si="38"/>
        <v>0.35272857612234543</v>
      </c>
      <c r="AD146" s="56">
        <f>INDEX(Assumptions!$B$14:$B$16,MATCH($R146,Assumptions!$A$14:$A$16,0))</f>
        <v>0.32</v>
      </c>
      <c r="AE146" s="56">
        <f>INDEX(Assumptions!$C$14:$C$16,MATCH($R146,Assumptions!$A$14:$A$16,0))</f>
        <v>0.22</v>
      </c>
      <c r="AF146" s="49">
        <f t="shared" si="39"/>
        <v>0</v>
      </c>
      <c r="AG146" s="49">
        <f t="shared" si="40"/>
        <v>0</v>
      </c>
      <c r="AH146" s="55">
        <f t="shared" si="41"/>
        <v>0</v>
      </c>
    </row>
    <row r="147" spans="1:34" x14ac:dyDescent="0.2">
      <c r="A147" s="48" t="s">
        <v>402</v>
      </c>
      <c r="B147" s="48">
        <v>1</v>
      </c>
      <c r="C147" s="48" t="s">
        <v>283</v>
      </c>
      <c r="D147" s="48" t="s">
        <v>272</v>
      </c>
      <c r="E147" s="48" t="s">
        <v>293</v>
      </c>
      <c r="F147" s="48" t="s">
        <v>274</v>
      </c>
      <c r="G147" s="48" t="s">
        <v>275</v>
      </c>
      <c r="H147" s="48" t="s">
        <v>66</v>
      </c>
      <c r="I147" s="48" t="s">
        <v>110</v>
      </c>
      <c r="J147" s="49">
        <v>2</v>
      </c>
      <c r="K147" s="50">
        <v>1115</v>
      </c>
      <c r="L147" s="50">
        <v>1096.06</v>
      </c>
      <c r="M147" s="48" t="s">
        <v>276</v>
      </c>
      <c r="N147" s="51">
        <v>0.92</v>
      </c>
      <c r="O147" s="51">
        <v>0.91659999999999997</v>
      </c>
      <c r="P147" s="52">
        <v>1012.65</v>
      </c>
      <c r="Q147" s="52">
        <v>1012.65</v>
      </c>
      <c r="R147" s="53" t="str">
        <f>INDEX(SKU_Master!$D$5:$D$34,MATCH($I147,SKU_Master!$A$5:$A$34,0))</f>
        <v>Laptop</v>
      </c>
      <c r="S147" s="54">
        <f t="shared" si="28"/>
        <v>1.6986547085201864E-2</v>
      </c>
      <c r="T147" s="55">
        <f t="shared" si="29"/>
        <v>2423.913043478261</v>
      </c>
      <c r="U147" s="55">
        <f t="shared" si="30"/>
        <v>2382.7391304347825</v>
      </c>
      <c r="V147" s="55">
        <f t="shared" si="31"/>
        <v>-41.173913043478478</v>
      </c>
      <c r="W147" s="55">
        <f t="shared" si="32"/>
        <v>2391.5775692777656</v>
      </c>
      <c r="X147" s="55">
        <f t="shared" si="33"/>
        <v>8.8384388429831233</v>
      </c>
      <c r="Y147" s="55">
        <f t="shared" si="34"/>
        <v>2025.3</v>
      </c>
      <c r="Z147" s="55">
        <f t="shared" si="35"/>
        <v>2025.3</v>
      </c>
      <c r="AA147" s="55">
        <f t="shared" si="36"/>
        <v>0</v>
      </c>
      <c r="AB147" s="55">
        <f t="shared" si="37"/>
        <v>366.27756927776568</v>
      </c>
      <c r="AC147" s="54">
        <f t="shared" si="38"/>
        <v>0.15315312117949748</v>
      </c>
      <c r="AD147" s="56">
        <f>INDEX(Assumptions!$B$14:$B$16,MATCH($R147,Assumptions!$A$14:$A$16,0))</f>
        <v>0.12</v>
      </c>
      <c r="AE147" s="56">
        <f>INDEX(Assumptions!$C$14:$C$16,MATCH($R147,Assumptions!$A$14:$A$16,0))</f>
        <v>0.08</v>
      </c>
      <c r="AF147" s="49">
        <f t="shared" si="39"/>
        <v>0</v>
      </c>
      <c r="AG147" s="49">
        <f t="shared" si="40"/>
        <v>0</v>
      </c>
      <c r="AH147" s="55">
        <f t="shared" si="41"/>
        <v>0</v>
      </c>
    </row>
    <row r="148" spans="1:34" x14ac:dyDescent="0.2">
      <c r="A148" s="48" t="s">
        <v>402</v>
      </c>
      <c r="B148" s="48">
        <v>2</v>
      </c>
      <c r="C148" s="48" t="s">
        <v>283</v>
      </c>
      <c r="D148" s="48" t="s">
        <v>272</v>
      </c>
      <c r="E148" s="48" t="s">
        <v>293</v>
      </c>
      <c r="F148" s="48" t="s">
        <v>274</v>
      </c>
      <c r="G148" s="48" t="s">
        <v>275</v>
      </c>
      <c r="H148" s="48" t="s">
        <v>66</v>
      </c>
      <c r="I148" s="48" t="s">
        <v>151</v>
      </c>
      <c r="J148" s="49">
        <v>2</v>
      </c>
      <c r="K148" s="50">
        <v>325</v>
      </c>
      <c r="L148" s="50">
        <v>320.98</v>
      </c>
      <c r="M148" s="48" t="s">
        <v>276</v>
      </c>
      <c r="N148" s="51">
        <v>0.92</v>
      </c>
      <c r="O148" s="51">
        <v>0.91659999999999997</v>
      </c>
      <c r="P148" s="52">
        <v>221.7</v>
      </c>
      <c r="Q148" s="52">
        <v>221.7</v>
      </c>
      <c r="R148" s="53" t="str">
        <f>INDEX(SKU_Master!$D$5:$D$34,MATCH($I148,SKU_Master!$A$5:$A$34,0))</f>
        <v>Accessory</v>
      </c>
      <c r="S148" s="54">
        <f t="shared" si="28"/>
        <v>1.2369230769230688E-2</v>
      </c>
      <c r="T148" s="55">
        <f t="shared" si="29"/>
        <v>706.52173913043475</v>
      </c>
      <c r="U148" s="55">
        <f t="shared" si="30"/>
        <v>697.78260869565213</v>
      </c>
      <c r="V148" s="55">
        <f t="shared" si="31"/>
        <v>-8.7391304347826235</v>
      </c>
      <c r="W148" s="55">
        <f t="shared" si="32"/>
        <v>700.37093606807775</v>
      </c>
      <c r="X148" s="55">
        <f t="shared" si="33"/>
        <v>2.5883273724256242</v>
      </c>
      <c r="Y148" s="55">
        <f t="shared" si="34"/>
        <v>443.4</v>
      </c>
      <c r="Z148" s="55">
        <f t="shared" si="35"/>
        <v>443.4</v>
      </c>
      <c r="AA148" s="55">
        <f t="shared" si="36"/>
        <v>0</v>
      </c>
      <c r="AB148" s="55">
        <f t="shared" si="37"/>
        <v>256.97093606807778</v>
      </c>
      <c r="AC148" s="54">
        <f t="shared" si="38"/>
        <v>0.36690691008785603</v>
      </c>
      <c r="AD148" s="56">
        <f>INDEX(Assumptions!$B$14:$B$16,MATCH($R148,Assumptions!$A$14:$A$16,0))</f>
        <v>0.32</v>
      </c>
      <c r="AE148" s="56">
        <f>INDEX(Assumptions!$C$14:$C$16,MATCH($R148,Assumptions!$A$14:$A$16,0))</f>
        <v>0.22</v>
      </c>
      <c r="AF148" s="49">
        <f t="shared" si="39"/>
        <v>0</v>
      </c>
      <c r="AG148" s="49">
        <f t="shared" si="40"/>
        <v>0</v>
      </c>
      <c r="AH148" s="55">
        <f t="shared" si="41"/>
        <v>0</v>
      </c>
    </row>
    <row r="149" spans="1:34" x14ac:dyDescent="0.2">
      <c r="A149" s="48" t="s">
        <v>403</v>
      </c>
      <c r="B149" s="48">
        <v>1</v>
      </c>
      <c r="C149" s="48" t="s">
        <v>316</v>
      </c>
      <c r="D149" s="48" t="s">
        <v>272</v>
      </c>
      <c r="E149" s="48" t="s">
        <v>397</v>
      </c>
      <c r="F149" s="48" t="s">
        <v>280</v>
      </c>
      <c r="G149" s="48" t="s">
        <v>306</v>
      </c>
      <c r="H149" s="48" t="s">
        <v>70</v>
      </c>
      <c r="I149" s="48" t="s">
        <v>98</v>
      </c>
      <c r="J149" s="49">
        <v>9</v>
      </c>
      <c r="K149" s="50">
        <v>200480</v>
      </c>
      <c r="L149" s="50">
        <v>192028.21</v>
      </c>
      <c r="M149" s="48" t="s">
        <v>276</v>
      </c>
      <c r="N149" s="51">
        <v>83.5</v>
      </c>
      <c r="O149" s="51">
        <v>83.820400000000006</v>
      </c>
      <c r="P149" s="52">
        <v>2011.04</v>
      </c>
      <c r="Q149" s="52">
        <v>2031.04</v>
      </c>
      <c r="R149" s="53" t="str">
        <f>INDEX(SKU_Master!$D$5:$D$34,MATCH($I149,SKU_Master!$A$5:$A$34,0))</f>
        <v>Laptop</v>
      </c>
      <c r="S149" s="54">
        <f t="shared" si="28"/>
        <v>4.2157771348762973E-2</v>
      </c>
      <c r="T149" s="55">
        <f t="shared" si="29"/>
        <v>21608.622754491018</v>
      </c>
      <c r="U149" s="55">
        <f t="shared" si="30"/>
        <v>20697.651377245507</v>
      </c>
      <c r="V149" s="55">
        <f t="shared" si="31"/>
        <v>-910.97137724551067</v>
      </c>
      <c r="W149" s="55">
        <f t="shared" si="32"/>
        <v>20618.535463920474</v>
      </c>
      <c r="X149" s="55">
        <f t="shared" si="33"/>
        <v>-79.115913325033034</v>
      </c>
      <c r="Y149" s="55">
        <f t="shared" si="34"/>
        <v>18099.36</v>
      </c>
      <c r="Z149" s="55">
        <f t="shared" si="35"/>
        <v>18279.36</v>
      </c>
      <c r="AA149" s="55">
        <f t="shared" si="36"/>
        <v>-180</v>
      </c>
      <c r="AB149" s="55">
        <f t="shared" si="37"/>
        <v>2339.1754639204737</v>
      </c>
      <c r="AC149" s="54">
        <f t="shared" si="38"/>
        <v>0.11345012685375741</v>
      </c>
      <c r="AD149" s="56">
        <f>INDEX(Assumptions!$B$14:$B$16,MATCH($R149,Assumptions!$A$14:$A$16,0))</f>
        <v>0.12</v>
      </c>
      <c r="AE149" s="56">
        <f>INDEX(Assumptions!$C$14:$C$16,MATCH($R149,Assumptions!$A$14:$A$16,0))</f>
        <v>0.08</v>
      </c>
      <c r="AF149" s="49">
        <f t="shared" si="39"/>
        <v>0</v>
      </c>
      <c r="AG149" s="49">
        <f t="shared" si="40"/>
        <v>0</v>
      </c>
      <c r="AH149" s="55">
        <f t="shared" si="41"/>
        <v>135.04879174998314</v>
      </c>
    </row>
    <row r="150" spans="1:34" x14ac:dyDescent="0.2">
      <c r="A150" s="48" t="s">
        <v>404</v>
      </c>
      <c r="B150" s="48">
        <v>1</v>
      </c>
      <c r="C150" s="48" t="s">
        <v>316</v>
      </c>
      <c r="D150" s="48" t="s">
        <v>272</v>
      </c>
      <c r="E150" s="48" t="s">
        <v>397</v>
      </c>
      <c r="F150" s="48" t="s">
        <v>280</v>
      </c>
      <c r="G150" s="48" t="s">
        <v>306</v>
      </c>
      <c r="H150" s="48" t="s">
        <v>70</v>
      </c>
      <c r="I150" s="48" t="s">
        <v>115</v>
      </c>
      <c r="J150" s="49">
        <v>6</v>
      </c>
      <c r="K150" s="50">
        <v>83560</v>
      </c>
      <c r="L150" s="50">
        <v>81793.210000000006</v>
      </c>
      <c r="M150" s="48" t="s">
        <v>276</v>
      </c>
      <c r="N150" s="51">
        <v>83.5</v>
      </c>
      <c r="O150" s="51">
        <v>83.820400000000006</v>
      </c>
      <c r="P150" s="52">
        <v>838.22</v>
      </c>
      <c r="Q150" s="52">
        <v>858.22</v>
      </c>
      <c r="R150" s="53" t="str">
        <f>INDEX(SKU_Master!$D$5:$D$34,MATCH($I150,SKU_Master!$A$5:$A$34,0))</f>
        <v>Laptop</v>
      </c>
      <c r="S150" s="54">
        <f t="shared" si="28"/>
        <v>2.1143968405935798E-2</v>
      </c>
      <c r="T150" s="55">
        <f t="shared" si="29"/>
        <v>6004.311377245509</v>
      </c>
      <c r="U150" s="55">
        <f t="shared" si="30"/>
        <v>5877.356407185629</v>
      </c>
      <c r="V150" s="55">
        <f t="shared" si="31"/>
        <v>-126.95497005988</v>
      </c>
      <c r="W150" s="55">
        <f t="shared" si="32"/>
        <v>5854.8904562612443</v>
      </c>
      <c r="X150" s="55">
        <f t="shared" si="33"/>
        <v>-22.465950924384742</v>
      </c>
      <c r="Y150" s="55">
        <f t="shared" si="34"/>
        <v>5029.32</v>
      </c>
      <c r="Z150" s="55">
        <f t="shared" si="35"/>
        <v>5149.32</v>
      </c>
      <c r="AA150" s="55">
        <f t="shared" si="36"/>
        <v>-120</v>
      </c>
      <c r="AB150" s="55">
        <f t="shared" si="37"/>
        <v>705.57045626124454</v>
      </c>
      <c r="AC150" s="54">
        <f t="shared" si="38"/>
        <v>0.12050959134627438</v>
      </c>
      <c r="AD150" s="56">
        <f>INDEX(Assumptions!$B$14:$B$16,MATCH($R150,Assumptions!$A$14:$A$16,0))</f>
        <v>0.12</v>
      </c>
      <c r="AE150" s="56">
        <f>INDEX(Assumptions!$C$14:$C$16,MATCH($R150,Assumptions!$A$14:$A$16,0))</f>
        <v>0.08</v>
      </c>
      <c r="AF150" s="49">
        <f t="shared" si="39"/>
        <v>0</v>
      </c>
      <c r="AG150" s="49">
        <f t="shared" si="40"/>
        <v>0</v>
      </c>
      <c r="AH150" s="55">
        <f t="shared" si="41"/>
        <v>0</v>
      </c>
    </row>
    <row r="151" spans="1:34" x14ac:dyDescent="0.2">
      <c r="A151" s="48" t="s">
        <v>405</v>
      </c>
      <c r="B151" s="48">
        <v>1</v>
      </c>
      <c r="C151" s="48" t="s">
        <v>338</v>
      </c>
      <c r="D151" s="48" t="s">
        <v>272</v>
      </c>
      <c r="E151" s="48" t="s">
        <v>358</v>
      </c>
      <c r="F151" s="48" t="s">
        <v>274</v>
      </c>
      <c r="G151" s="48" t="s">
        <v>288</v>
      </c>
      <c r="H151" s="48" t="s">
        <v>62</v>
      </c>
      <c r="I151" s="48" t="s">
        <v>103</v>
      </c>
      <c r="J151" s="49">
        <v>8</v>
      </c>
      <c r="K151" s="50">
        <v>1135</v>
      </c>
      <c r="L151" s="50">
        <v>1127.79</v>
      </c>
      <c r="M151" s="48" t="s">
        <v>276</v>
      </c>
      <c r="N151" s="51">
        <v>1</v>
      </c>
      <c r="O151" s="51">
        <v>1</v>
      </c>
      <c r="P151" s="52">
        <v>968.6</v>
      </c>
      <c r="Q151" s="52">
        <v>968.6</v>
      </c>
      <c r="R151" s="53" t="str">
        <f>INDEX(SKU_Master!$D$5:$D$34,MATCH($I151,SKU_Master!$A$5:$A$34,0))</f>
        <v>Laptop</v>
      </c>
      <c r="S151" s="54">
        <f t="shared" si="28"/>
        <v>6.3524229074890526E-3</v>
      </c>
      <c r="T151" s="55">
        <f t="shared" si="29"/>
        <v>9080</v>
      </c>
      <c r="U151" s="55">
        <f t="shared" si="30"/>
        <v>9022.32</v>
      </c>
      <c r="V151" s="55">
        <f t="shared" si="31"/>
        <v>-57.680000000000291</v>
      </c>
      <c r="W151" s="55">
        <f t="shared" si="32"/>
        <v>9022.32</v>
      </c>
      <c r="X151" s="55">
        <f t="shared" si="33"/>
        <v>0</v>
      </c>
      <c r="Y151" s="55">
        <f t="shared" si="34"/>
        <v>7748.8</v>
      </c>
      <c r="Z151" s="55">
        <f t="shared" si="35"/>
        <v>7748.8</v>
      </c>
      <c r="AA151" s="55">
        <f t="shared" si="36"/>
        <v>0</v>
      </c>
      <c r="AB151" s="55">
        <f t="shared" si="37"/>
        <v>1273.5199999999995</v>
      </c>
      <c r="AC151" s="54">
        <f t="shared" si="38"/>
        <v>0.14115216485338578</v>
      </c>
      <c r="AD151" s="56">
        <f>INDEX(Assumptions!$B$14:$B$16,MATCH($R151,Assumptions!$A$14:$A$16,0))</f>
        <v>0.12</v>
      </c>
      <c r="AE151" s="56">
        <f>INDEX(Assumptions!$C$14:$C$16,MATCH($R151,Assumptions!$A$14:$A$16,0))</f>
        <v>0.08</v>
      </c>
      <c r="AF151" s="49">
        <f t="shared" si="39"/>
        <v>0</v>
      </c>
      <c r="AG151" s="49">
        <f t="shared" si="40"/>
        <v>0</v>
      </c>
      <c r="AH151" s="55">
        <f t="shared" si="41"/>
        <v>0</v>
      </c>
    </row>
    <row r="152" spans="1:34" x14ac:dyDescent="0.2">
      <c r="A152" s="48" t="s">
        <v>405</v>
      </c>
      <c r="B152" s="48">
        <v>2</v>
      </c>
      <c r="C152" s="48" t="s">
        <v>338</v>
      </c>
      <c r="D152" s="48" t="s">
        <v>272</v>
      </c>
      <c r="E152" s="48" t="s">
        <v>358</v>
      </c>
      <c r="F152" s="48" t="s">
        <v>274</v>
      </c>
      <c r="G152" s="48" t="s">
        <v>288</v>
      </c>
      <c r="H152" s="48" t="s">
        <v>62</v>
      </c>
      <c r="I152" s="48" t="s">
        <v>151</v>
      </c>
      <c r="J152" s="49">
        <v>3</v>
      </c>
      <c r="K152" s="50">
        <v>335</v>
      </c>
      <c r="L152" s="50">
        <v>332.68</v>
      </c>
      <c r="M152" s="48" t="s">
        <v>276</v>
      </c>
      <c r="N152" s="51">
        <v>1</v>
      </c>
      <c r="O152" s="51">
        <v>1</v>
      </c>
      <c r="P152" s="52">
        <v>216.7</v>
      </c>
      <c r="Q152" s="52">
        <v>216.7</v>
      </c>
      <c r="R152" s="53" t="str">
        <f>INDEX(SKU_Master!$D$5:$D$34,MATCH($I152,SKU_Master!$A$5:$A$34,0))</f>
        <v>Accessory</v>
      </c>
      <c r="S152" s="54">
        <f t="shared" si="28"/>
        <v>6.9253731343282832E-3</v>
      </c>
      <c r="T152" s="55">
        <f t="shared" si="29"/>
        <v>1005</v>
      </c>
      <c r="U152" s="55">
        <f t="shared" si="30"/>
        <v>998.04</v>
      </c>
      <c r="V152" s="55">
        <f t="shared" si="31"/>
        <v>-6.9600000000000364</v>
      </c>
      <c r="W152" s="55">
        <f t="shared" si="32"/>
        <v>998.04</v>
      </c>
      <c r="X152" s="55">
        <f t="shared" si="33"/>
        <v>0</v>
      </c>
      <c r="Y152" s="55">
        <f t="shared" si="34"/>
        <v>650.09999999999991</v>
      </c>
      <c r="Z152" s="55">
        <f t="shared" si="35"/>
        <v>650.09999999999991</v>
      </c>
      <c r="AA152" s="55">
        <f t="shared" si="36"/>
        <v>0</v>
      </c>
      <c r="AB152" s="55">
        <f t="shared" si="37"/>
        <v>347.94000000000005</v>
      </c>
      <c r="AC152" s="54">
        <f t="shared" si="38"/>
        <v>0.34862330167127575</v>
      </c>
      <c r="AD152" s="56">
        <f>INDEX(Assumptions!$B$14:$B$16,MATCH($R152,Assumptions!$A$14:$A$16,0))</f>
        <v>0.32</v>
      </c>
      <c r="AE152" s="56">
        <f>INDEX(Assumptions!$C$14:$C$16,MATCH($R152,Assumptions!$A$14:$A$16,0))</f>
        <v>0.22</v>
      </c>
      <c r="AF152" s="49">
        <f t="shared" si="39"/>
        <v>0</v>
      </c>
      <c r="AG152" s="49">
        <f t="shared" si="40"/>
        <v>0</v>
      </c>
      <c r="AH152" s="55">
        <f t="shared" si="41"/>
        <v>0</v>
      </c>
    </row>
    <row r="153" spans="1:34" x14ac:dyDescent="0.2">
      <c r="A153" s="48" t="s">
        <v>406</v>
      </c>
      <c r="B153" s="48">
        <v>1</v>
      </c>
      <c r="C153" s="48" t="s">
        <v>324</v>
      </c>
      <c r="D153" s="48" t="s">
        <v>272</v>
      </c>
      <c r="E153" s="48" t="s">
        <v>407</v>
      </c>
      <c r="F153" s="48" t="s">
        <v>274</v>
      </c>
      <c r="G153" s="48" t="s">
        <v>302</v>
      </c>
      <c r="H153" s="48" t="s">
        <v>62</v>
      </c>
      <c r="I153" s="48" t="s">
        <v>113</v>
      </c>
      <c r="J153" s="49">
        <v>8</v>
      </c>
      <c r="K153" s="50">
        <v>1740</v>
      </c>
      <c r="L153" s="50">
        <v>1728.96</v>
      </c>
      <c r="M153" s="48" t="s">
        <v>276</v>
      </c>
      <c r="N153" s="51">
        <v>1</v>
      </c>
      <c r="O153" s="51">
        <v>1</v>
      </c>
      <c r="P153" s="52">
        <v>1484.8</v>
      </c>
      <c r="Q153" s="52">
        <v>1484.8</v>
      </c>
      <c r="R153" s="53" t="str">
        <f>INDEX(SKU_Master!$D$5:$D$34,MATCH($I153,SKU_Master!$A$5:$A$34,0))</f>
        <v>Laptop</v>
      </c>
      <c r="S153" s="54">
        <f t="shared" si="28"/>
        <v>6.3448275862069137E-3</v>
      </c>
      <c r="T153" s="55">
        <f t="shared" si="29"/>
        <v>13920</v>
      </c>
      <c r="U153" s="55">
        <f t="shared" si="30"/>
        <v>13831.68</v>
      </c>
      <c r="V153" s="55">
        <f t="shared" si="31"/>
        <v>-88.319999999999709</v>
      </c>
      <c r="W153" s="55">
        <f t="shared" si="32"/>
        <v>13831.68</v>
      </c>
      <c r="X153" s="55">
        <f t="shared" si="33"/>
        <v>0</v>
      </c>
      <c r="Y153" s="55">
        <f t="shared" si="34"/>
        <v>11878.4</v>
      </c>
      <c r="Z153" s="55">
        <f t="shared" si="35"/>
        <v>11878.4</v>
      </c>
      <c r="AA153" s="55">
        <f t="shared" si="36"/>
        <v>0</v>
      </c>
      <c r="AB153" s="55">
        <f t="shared" si="37"/>
        <v>1953.2800000000007</v>
      </c>
      <c r="AC153" s="54">
        <f t="shared" si="38"/>
        <v>0.14121784193966319</v>
      </c>
      <c r="AD153" s="56">
        <f>INDEX(Assumptions!$B$14:$B$16,MATCH($R153,Assumptions!$A$14:$A$16,0))</f>
        <v>0.12</v>
      </c>
      <c r="AE153" s="56">
        <f>INDEX(Assumptions!$C$14:$C$16,MATCH($R153,Assumptions!$A$14:$A$16,0))</f>
        <v>0.08</v>
      </c>
      <c r="AF153" s="49">
        <f t="shared" si="39"/>
        <v>0</v>
      </c>
      <c r="AG153" s="49">
        <f t="shared" si="40"/>
        <v>0</v>
      </c>
      <c r="AH153" s="55">
        <f t="shared" si="41"/>
        <v>0</v>
      </c>
    </row>
    <row r="154" spans="1:34" x14ac:dyDescent="0.2">
      <c r="A154" s="48" t="s">
        <v>406</v>
      </c>
      <c r="B154" s="48">
        <v>2</v>
      </c>
      <c r="C154" s="48" t="s">
        <v>324</v>
      </c>
      <c r="D154" s="48" t="s">
        <v>272</v>
      </c>
      <c r="E154" s="48" t="s">
        <v>407</v>
      </c>
      <c r="F154" s="48" t="s">
        <v>274</v>
      </c>
      <c r="G154" s="48" t="s">
        <v>302</v>
      </c>
      <c r="H154" s="48" t="s">
        <v>62</v>
      </c>
      <c r="I154" s="48" t="s">
        <v>141</v>
      </c>
      <c r="J154" s="49">
        <v>4</v>
      </c>
      <c r="K154" s="50">
        <v>450</v>
      </c>
      <c r="L154" s="50">
        <v>448.71</v>
      </c>
      <c r="M154" s="48" t="s">
        <v>276</v>
      </c>
      <c r="N154" s="51">
        <v>1</v>
      </c>
      <c r="O154" s="51">
        <v>1</v>
      </c>
      <c r="P154" s="52">
        <v>351.7</v>
      </c>
      <c r="Q154" s="52">
        <v>351.7</v>
      </c>
      <c r="R154" s="53" t="str">
        <f>INDEX(SKU_Master!$D$5:$D$34,MATCH($I154,SKU_Master!$A$5:$A$34,0))</f>
        <v>Monitor</v>
      </c>
      <c r="S154" s="54">
        <f t="shared" si="28"/>
        <v>2.866666666666684E-3</v>
      </c>
      <c r="T154" s="55">
        <f t="shared" si="29"/>
        <v>1800</v>
      </c>
      <c r="U154" s="55">
        <f t="shared" si="30"/>
        <v>1794.84</v>
      </c>
      <c r="V154" s="55">
        <f t="shared" si="31"/>
        <v>-5.1600000000000819</v>
      </c>
      <c r="W154" s="55">
        <f t="shared" si="32"/>
        <v>1794.84</v>
      </c>
      <c r="X154" s="55">
        <f t="shared" si="33"/>
        <v>0</v>
      </c>
      <c r="Y154" s="55">
        <f t="shared" si="34"/>
        <v>1406.8</v>
      </c>
      <c r="Z154" s="55">
        <f t="shared" si="35"/>
        <v>1406.8</v>
      </c>
      <c r="AA154" s="55">
        <f t="shared" si="36"/>
        <v>0</v>
      </c>
      <c r="AB154" s="55">
        <f t="shared" si="37"/>
        <v>388.03999999999996</v>
      </c>
      <c r="AC154" s="54">
        <f t="shared" si="38"/>
        <v>0.21619754407078068</v>
      </c>
      <c r="AD154" s="56">
        <f>INDEX(Assumptions!$B$14:$B$16,MATCH($R154,Assumptions!$A$14:$A$16,0))</f>
        <v>0.18</v>
      </c>
      <c r="AE154" s="56">
        <f>INDEX(Assumptions!$C$14:$C$16,MATCH($R154,Assumptions!$A$14:$A$16,0))</f>
        <v>0.12</v>
      </c>
      <c r="AF154" s="49">
        <f t="shared" si="39"/>
        <v>0</v>
      </c>
      <c r="AG154" s="49">
        <f t="shared" si="40"/>
        <v>0</v>
      </c>
      <c r="AH154" s="55">
        <f t="shared" si="41"/>
        <v>0</v>
      </c>
    </row>
    <row r="155" spans="1:34" x14ac:dyDescent="0.2">
      <c r="A155" s="48" t="s">
        <v>408</v>
      </c>
      <c r="B155" s="48">
        <v>1</v>
      </c>
      <c r="C155" s="48" t="s">
        <v>348</v>
      </c>
      <c r="D155" s="48" t="s">
        <v>272</v>
      </c>
      <c r="E155" s="48" t="s">
        <v>311</v>
      </c>
      <c r="F155" s="48" t="s">
        <v>297</v>
      </c>
      <c r="G155" s="48" t="s">
        <v>302</v>
      </c>
      <c r="H155" s="48" t="s">
        <v>62</v>
      </c>
      <c r="I155" s="48" t="s">
        <v>93</v>
      </c>
      <c r="J155" s="49">
        <v>26</v>
      </c>
      <c r="K155" s="50">
        <v>1390</v>
      </c>
      <c r="L155" s="50">
        <v>1361.62</v>
      </c>
      <c r="M155" s="48" t="s">
        <v>276</v>
      </c>
      <c r="N155" s="51">
        <v>1</v>
      </c>
      <c r="O155" s="51">
        <v>1</v>
      </c>
      <c r="P155" s="52">
        <v>1186.2</v>
      </c>
      <c r="Q155" s="52">
        <v>1186.2</v>
      </c>
      <c r="R155" s="53" t="str">
        <f>INDEX(SKU_Master!$D$5:$D$34,MATCH($I155,SKU_Master!$A$5:$A$34,0))</f>
        <v>Laptop</v>
      </c>
      <c r="S155" s="54">
        <f t="shared" si="28"/>
        <v>2.041726618705042E-2</v>
      </c>
      <c r="T155" s="55">
        <f t="shared" si="29"/>
        <v>36140</v>
      </c>
      <c r="U155" s="55">
        <f t="shared" si="30"/>
        <v>35402.119999999995</v>
      </c>
      <c r="V155" s="55">
        <f t="shared" si="31"/>
        <v>-737.88000000000466</v>
      </c>
      <c r="W155" s="55">
        <f t="shared" si="32"/>
        <v>35402.119999999995</v>
      </c>
      <c r="X155" s="55">
        <f t="shared" si="33"/>
        <v>0</v>
      </c>
      <c r="Y155" s="55">
        <f t="shared" si="34"/>
        <v>30841.200000000001</v>
      </c>
      <c r="Z155" s="55">
        <f t="shared" si="35"/>
        <v>30841.200000000001</v>
      </c>
      <c r="AA155" s="55">
        <f t="shared" si="36"/>
        <v>0</v>
      </c>
      <c r="AB155" s="55">
        <f t="shared" si="37"/>
        <v>4560.9199999999946</v>
      </c>
      <c r="AC155" s="54">
        <f t="shared" si="38"/>
        <v>0.12883183266990778</v>
      </c>
      <c r="AD155" s="56">
        <f>INDEX(Assumptions!$B$14:$B$16,MATCH($R155,Assumptions!$A$14:$A$16,0))</f>
        <v>0.12</v>
      </c>
      <c r="AE155" s="56">
        <f>INDEX(Assumptions!$C$14:$C$16,MATCH($R155,Assumptions!$A$14:$A$16,0))</f>
        <v>0.08</v>
      </c>
      <c r="AF155" s="49">
        <f t="shared" si="39"/>
        <v>0</v>
      </c>
      <c r="AG155" s="49">
        <f t="shared" si="40"/>
        <v>0</v>
      </c>
      <c r="AH155" s="55">
        <f t="shared" si="41"/>
        <v>0</v>
      </c>
    </row>
    <row r="156" spans="1:34" x14ac:dyDescent="0.2">
      <c r="A156" s="48" t="s">
        <v>408</v>
      </c>
      <c r="B156" s="48">
        <v>2</v>
      </c>
      <c r="C156" s="48" t="s">
        <v>348</v>
      </c>
      <c r="D156" s="48" t="s">
        <v>272</v>
      </c>
      <c r="E156" s="48" t="s">
        <v>311</v>
      </c>
      <c r="F156" s="48" t="s">
        <v>297</v>
      </c>
      <c r="G156" s="48" t="s">
        <v>302</v>
      </c>
      <c r="H156" s="48" t="s">
        <v>62</v>
      </c>
      <c r="I156" s="48" t="s">
        <v>141</v>
      </c>
      <c r="J156" s="49">
        <v>13</v>
      </c>
      <c r="K156" s="50">
        <v>450</v>
      </c>
      <c r="L156" s="50">
        <v>430.91</v>
      </c>
      <c r="M156" s="48" t="s">
        <v>276</v>
      </c>
      <c r="N156" s="51">
        <v>1</v>
      </c>
      <c r="O156" s="51">
        <v>1</v>
      </c>
      <c r="P156" s="52">
        <v>351.7</v>
      </c>
      <c r="Q156" s="52">
        <v>351.7</v>
      </c>
      <c r="R156" s="53" t="str">
        <f>INDEX(SKU_Master!$D$5:$D$34,MATCH($I156,SKU_Master!$A$5:$A$34,0))</f>
        <v>Monitor</v>
      </c>
      <c r="S156" s="54">
        <f t="shared" si="28"/>
        <v>4.2422222222222139E-2</v>
      </c>
      <c r="T156" s="55">
        <f t="shared" si="29"/>
        <v>5850</v>
      </c>
      <c r="U156" s="55">
        <f t="shared" si="30"/>
        <v>5601.83</v>
      </c>
      <c r="V156" s="55">
        <f t="shared" si="31"/>
        <v>-248.17000000000007</v>
      </c>
      <c r="W156" s="55">
        <f t="shared" si="32"/>
        <v>5601.83</v>
      </c>
      <c r="X156" s="55">
        <f t="shared" si="33"/>
        <v>0</v>
      </c>
      <c r="Y156" s="55">
        <f t="shared" si="34"/>
        <v>4572.0999999999995</v>
      </c>
      <c r="Z156" s="55">
        <f t="shared" si="35"/>
        <v>4572.0999999999995</v>
      </c>
      <c r="AA156" s="55">
        <f t="shared" si="36"/>
        <v>0</v>
      </c>
      <c r="AB156" s="55">
        <f t="shared" si="37"/>
        <v>1029.7300000000005</v>
      </c>
      <c r="AC156" s="54">
        <f t="shared" si="38"/>
        <v>0.18382028729897204</v>
      </c>
      <c r="AD156" s="56">
        <f>INDEX(Assumptions!$B$14:$B$16,MATCH($R156,Assumptions!$A$14:$A$16,0))</f>
        <v>0.18</v>
      </c>
      <c r="AE156" s="56">
        <f>INDEX(Assumptions!$C$14:$C$16,MATCH($R156,Assumptions!$A$14:$A$16,0))</f>
        <v>0.12</v>
      </c>
      <c r="AF156" s="49">
        <f t="shared" si="39"/>
        <v>0</v>
      </c>
      <c r="AG156" s="49">
        <f t="shared" si="40"/>
        <v>0</v>
      </c>
      <c r="AH156" s="55">
        <f t="shared" si="41"/>
        <v>0</v>
      </c>
    </row>
    <row r="157" spans="1:34" x14ac:dyDescent="0.2">
      <c r="A157" s="48" t="s">
        <v>409</v>
      </c>
      <c r="B157" s="48">
        <v>1</v>
      </c>
      <c r="C157" s="48" t="s">
        <v>338</v>
      </c>
      <c r="D157" s="48" t="s">
        <v>272</v>
      </c>
      <c r="E157" s="48" t="s">
        <v>410</v>
      </c>
      <c r="F157" s="48" t="s">
        <v>297</v>
      </c>
      <c r="G157" s="48" t="s">
        <v>302</v>
      </c>
      <c r="H157" s="48" t="s">
        <v>64</v>
      </c>
      <c r="I157" s="48" t="s">
        <v>110</v>
      </c>
      <c r="J157" s="49">
        <v>61</v>
      </c>
      <c r="K157" s="50">
        <v>960</v>
      </c>
      <c r="L157" s="50">
        <v>933.73</v>
      </c>
      <c r="M157" s="48" t="s">
        <v>276</v>
      </c>
      <c r="N157" s="51">
        <v>0.79</v>
      </c>
      <c r="O157" s="51">
        <v>0.7893</v>
      </c>
      <c r="P157" s="52">
        <v>1016.65</v>
      </c>
      <c r="Q157" s="52">
        <v>1016.65</v>
      </c>
      <c r="R157" s="53" t="str">
        <f>INDEX(SKU_Master!$D$5:$D$34,MATCH($I157,SKU_Master!$A$5:$A$34,0))</f>
        <v>Laptop</v>
      </c>
      <c r="S157" s="54">
        <f t="shared" si="28"/>
        <v>2.7364583333333359E-2</v>
      </c>
      <c r="T157" s="55">
        <f t="shared" si="29"/>
        <v>74126.582278481015</v>
      </c>
      <c r="U157" s="55">
        <f t="shared" si="30"/>
        <v>72098.139240506323</v>
      </c>
      <c r="V157" s="55">
        <f t="shared" si="31"/>
        <v>-2028.4430379746918</v>
      </c>
      <c r="W157" s="55">
        <f t="shared" si="32"/>
        <v>72162.080324338021</v>
      </c>
      <c r="X157" s="55">
        <f t="shared" si="33"/>
        <v>63.941083831698052</v>
      </c>
      <c r="Y157" s="55">
        <f t="shared" si="34"/>
        <v>62015.65</v>
      </c>
      <c r="Z157" s="55">
        <f t="shared" si="35"/>
        <v>62015.65</v>
      </c>
      <c r="AA157" s="55">
        <f t="shared" si="36"/>
        <v>0</v>
      </c>
      <c r="AB157" s="55">
        <f t="shared" si="37"/>
        <v>10146.43032433802</v>
      </c>
      <c r="AC157" s="54">
        <f t="shared" si="38"/>
        <v>0.14060612275497197</v>
      </c>
      <c r="AD157" s="56">
        <f>INDEX(Assumptions!$B$14:$B$16,MATCH($R157,Assumptions!$A$14:$A$16,0))</f>
        <v>0.12</v>
      </c>
      <c r="AE157" s="56">
        <f>INDEX(Assumptions!$C$14:$C$16,MATCH($R157,Assumptions!$A$14:$A$16,0))</f>
        <v>0.08</v>
      </c>
      <c r="AF157" s="49">
        <f t="shared" si="39"/>
        <v>0</v>
      </c>
      <c r="AG157" s="49">
        <f t="shared" si="40"/>
        <v>0</v>
      </c>
      <c r="AH157" s="55">
        <f t="shared" si="41"/>
        <v>0</v>
      </c>
    </row>
    <row r="158" spans="1:34" x14ac:dyDescent="0.2">
      <c r="A158" s="48" t="s">
        <v>409</v>
      </c>
      <c r="B158" s="48">
        <v>2</v>
      </c>
      <c r="C158" s="48" t="s">
        <v>338</v>
      </c>
      <c r="D158" s="48" t="s">
        <v>272</v>
      </c>
      <c r="E158" s="48" t="s">
        <v>410</v>
      </c>
      <c r="F158" s="48" t="s">
        <v>297</v>
      </c>
      <c r="G158" s="48" t="s">
        <v>302</v>
      </c>
      <c r="H158" s="48" t="s">
        <v>64</v>
      </c>
      <c r="I158" s="48" t="s">
        <v>173</v>
      </c>
      <c r="J158" s="49">
        <v>25</v>
      </c>
      <c r="K158" s="50">
        <v>50</v>
      </c>
      <c r="L158" s="50">
        <v>45.94</v>
      </c>
      <c r="M158" s="48" t="s">
        <v>276</v>
      </c>
      <c r="N158" s="51">
        <v>0.79</v>
      </c>
      <c r="O158" s="51">
        <v>0.7893</v>
      </c>
      <c r="P158" s="52">
        <v>40</v>
      </c>
      <c r="Q158" s="52">
        <v>40</v>
      </c>
      <c r="R158" s="53" t="str">
        <f>INDEX(SKU_Master!$D$5:$D$34,MATCH($I158,SKU_Master!$A$5:$A$34,0))</f>
        <v>Accessory</v>
      </c>
      <c r="S158" s="54">
        <f t="shared" si="28"/>
        <v>8.120000000000005E-2</v>
      </c>
      <c r="T158" s="55">
        <f t="shared" si="29"/>
        <v>1582.2784810126582</v>
      </c>
      <c r="U158" s="55">
        <f t="shared" si="30"/>
        <v>1453.7974683544303</v>
      </c>
      <c r="V158" s="55">
        <f t="shared" si="31"/>
        <v>-128.48101265822788</v>
      </c>
      <c r="W158" s="55">
        <f t="shared" si="32"/>
        <v>1455.0867857595338</v>
      </c>
      <c r="X158" s="55">
        <f t="shared" si="33"/>
        <v>1.2893174051034748</v>
      </c>
      <c r="Y158" s="55">
        <f t="shared" si="34"/>
        <v>1000</v>
      </c>
      <c r="Z158" s="55">
        <f t="shared" si="35"/>
        <v>1000</v>
      </c>
      <c r="AA158" s="55">
        <f t="shared" si="36"/>
        <v>0</v>
      </c>
      <c r="AB158" s="55">
        <f t="shared" si="37"/>
        <v>455.08678575953377</v>
      </c>
      <c r="AC158" s="54">
        <f t="shared" si="38"/>
        <v>0.31275576839355679</v>
      </c>
      <c r="AD158" s="56">
        <f>INDEX(Assumptions!$B$14:$B$16,MATCH($R158,Assumptions!$A$14:$A$16,0))</f>
        <v>0.32</v>
      </c>
      <c r="AE158" s="56">
        <f>INDEX(Assumptions!$C$14:$C$16,MATCH($R158,Assumptions!$A$14:$A$16,0))</f>
        <v>0.22</v>
      </c>
      <c r="AF158" s="49">
        <f t="shared" si="39"/>
        <v>0</v>
      </c>
      <c r="AG158" s="49">
        <f t="shared" si="40"/>
        <v>0</v>
      </c>
      <c r="AH158" s="55">
        <f t="shared" si="41"/>
        <v>10.540985683517022</v>
      </c>
    </row>
    <row r="159" spans="1:34" x14ac:dyDescent="0.2">
      <c r="A159" s="48" t="s">
        <v>411</v>
      </c>
      <c r="B159" s="48">
        <v>1</v>
      </c>
      <c r="C159" s="48" t="s">
        <v>292</v>
      </c>
      <c r="D159" s="48" t="s">
        <v>272</v>
      </c>
      <c r="E159" s="48" t="s">
        <v>368</v>
      </c>
      <c r="F159" s="48" t="s">
        <v>274</v>
      </c>
      <c r="G159" s="48" t="s">
        <v>288</v>
      </c>
      <c r="H159" s="48" t="s">
        <v>68</v>
      </c>
      <c r="I159" s="48" t="s">
        <v>103</v>
      </c>
      <c r="J159" s="49">
        <v>4</v>
      </c>
      <c r="K159" s="50">
        <v>1605</v>
      </c>
      <c r="L159" s="50">
        <v>1583.25</v>
      </c>
      <c r="M159" s="48" t="s">
        <v>276</v>
      </c>
      <c r="N159" s="51">
        <v>1.37</v>
      </c>
      <c r="O159" s="51">
        <v>1.3624000000000001</v>
      </c>
      <c r="P159" s="52">
        <v>980.6</v>
      </c>
      <c r="Q159" s="52">
        <v>980.6</v>
      </c>
      <c r="R159" s="53" t="str">
        <f>INDEX(SKU_Master!$D$5:$D$34,MATCH($I159,SKU_Master!$A$5:$A$34,0))</f>
        <v>Laptop</v>
      </c>
      <c r="S159" s="54">
        <f t="shared" si="28"/>
        <v>1.355140186915893E-2</v>
      </c>
      <c r="T159" s="55">
        <f t="shared" si="29"/>
        <v>4686.1313868613133</v>
      </c>
      <c r="U159" s="55">
        <f t="shared" si="30"/>
        <v>4622.6277372262766</v>
      </c>
      <c r="V159" s="55">
        <f t="shared" si="31"/>
        <v>-63.503649635036709</v>
      </c>
      <c r="W159" s="55">
        <f t="shared" si="32"/>
        <v>4648.4145625367</v>
      </c>
      <c r="X159" s="55">
        <f t="shared" si="33"/>
        <v>25.78682531042341</v>
      </c>
      <c r="Y159" s="55">
        <f t="shared" si="34"/>
        <v>3922.4</v>
      </c>
      <c r="Z159" s="55">
        <f t="shared" si="35"/>
        <v>3922.4</v>
      </c>
      <c r="AA159" s="55">
        <f t="shared" si="36"/>
        <v>0</v>
      </c>
      <c r="AB159" s="55">
        <f t="shared" si="37"/>
        <v>726.01456253669994</v>
      </c>
      <c r="AC159" s="54">
        <f t="shared" si="38"/>
        <v>0.15618541607453024</v>
      </c>
      <c r="AD159" s="56">
        <f>INDEX(Assumptions!$B$14:$B$16,MATCH($R159,Assumptions!$A$14:$A$16,0))</f>
        <v>0.12</v>
      </c>
      <c r="AE159" s="56">
        <f>INDEX(Assumptions!$C$14:$C$16,MATCH($R159,Assumptions!$A$14:$A$16,0))</f>
        <v>0.08</v>
      </c>
      <c r="AF159" s="49">
        <f t="shared" si="39"/>
        <v>0</v>
      </c>
      <c r="AG159" s="49">
        <f t="shared" si="40"/>
        <v>0</v>
      </c>
      <c r="AH159" s="55">
        <f t="shared" si="41"/>
        <v>0</v>
      </c>
    </row>
    <row r="160" spans="1:34" x14ac:dyDescent="0.2">
      <c r="A160" s="48" t="s">
        <v>411</v>
      </c>
      <c r="B160" s="48">
        <v>2</v>
      </c>
      <c r="C160" s="48" t="s">
        <v>292</v>
      </c>
      <c r="D160" s="48" t="s">
        <v>272</v>
      </c>
      <c r="E160" s="48" t="s">
        <v>368</v>
      </c>
      <c r="F160" s="48" t="s">
        <v>274</v>
      </c>
      <c r="G160" s="48" t="s">
        <v>288</v>
      </c>
      <c r="H160" s="48" t="s">
        <v>68</v>
      </c>
      <c r="I160" s="48" t="s">
        <v>166</v>
      </c>
      <c r="J160" s="49">
        <v>3</v>
      </c>
      <c r="K160" s="50">
        <v>375</v>
      </c>
      <c r="L160" s="50">
        <v>369.31</v>
      </c>
      <c r="M160" s="48" t="s">
        <v>276</v>
      </c>
      <c r="N160" s="51">
        <v>1.37</v>
      </c>
      <c r="O160" s="51">
        <v>1.3624000000000001</v>
      </c>
      <c r="P160" s="52">
        <v>172.35</v>
      </c>
      <c r="Q160" s="52">
        <v>172.35</v>
      </c>
      <c r="R160" s="53" t="str">
        <f>INDEX(SKU_Master!$D$5:$D$34,MATCH($I160,SKU_Master!$A$5:$A$34,0))</f>
        <v>Accessory</v>
      </c>
      <c r="S160" s="54">
        <f t="shared" si="28"/>
        <v>1.5173333333333372E-2</v>
      </c>
      <c r="T160" s="55">
        <f t="shared" si="29"/>
        <v>821.16788321167871</v>
      </c>
      <c r="U160" s="55">
        <f t="shared" si="30"/>
        <v>808.70802919708024</v>
      </c>
      <c r="V160" s="55">
        <f t="shared" si="31"/>
        <v>-12.459854014598477</v>
      </c>
      <c r="W160" s="55">
        <f t="shared" si="32"/>
        <v>813.21931884908986</v>
      </c>
      <c r="X160" s="55">
        <f t="shared" si="33"/>
        <v>4.5112896520096228</v>
      </c>
      <c r="Y160" s="55">
        <f t="shared" si="34"/>
        <v>517.04999999999995</v>
      </c>
      <c r="Z160" s="55">
        <f t="shared" si="35"/>
        <v>517.04999999999995</v>
      </c>
      <c r="AA160" s="55">
        <f t="shared" si="36"/>
        <v>0</v>
      </c>
      <c r="AB160" s="55">
        <f t="shared" si="37"/>
        <v>296.1693188490899</v>
      </c>
      <c r="AC160" s="54">
        <f t="shared" si="38"/>
        <v>0.3641936584441256</v>
      </c>
      <c r="AD160" s="56">
        <f>INDEX(Assumptions!$B$14:$B$16,MATCH($R160,Assumptions!$A$14:$A$16,0))</f>
        <v>0.32</v>
      </c>
      <c r="AE160" s="56">
        <f>INDEX(Assumptions!$C$14:$C$16,MATCH($R160,Assumptions!$A$14:$A$16,0))</f>
        <v>0.22</v>
      </c>
      <c r="AF160" s="49">
        <f t="shared" si="39"/>
        <v>0</v>
      </c>
      <c r="AG160" s="49">
        <f t="shared" si="40"/>
        <v>0</v>
      </c>
      <c r="AH160" s="55">
        <f t="shared" si="41"/>
        <v>0</v>
      </c>
    </row>
    <row r="161" spans="1:34" x14ac:dyDescent="0.2">
      <c r="A161" s="48" t="s">
        <v>412</v>
      </c>
      <c r="B161" s="48">
        <v>1</v>
      </c>
      <c r="C161" s="48" t="s">
        <v>353</v>
      </c>
      <c r="D161" s="48" t="s">
        <v>272</v>
      </c>
      <c r="E161" s="48" t="s">
        <v>311</v>
      </c>
      <c r="F161" s="48" t="s">
        <v>297</v>
      </c>
      <c r="G161" s="48" t="s">
        <v>302</v>
      </c>
      <c r="H161" s="48" t="s">
        <v>62</v>
      </c>
      <c r="I161" s="48" t="s">
        <v>115</v>
      </c>
      <c r="J161" s="49">
        <v>76</v>
      </c>
      <c r="K161" s="50">
        <v>850</v>
      </c>
      <c r="L161" s="50">
        <v>802.55</v>
      </c>
      <c r="M161" s="48" t="s">
        <v>276</v>
      </c>
      <c r="N161" s="51">
        <v>1</v>
      </c>
      <c r="O161" s="51">
        <v>1</v>
      </c>
      <c r="P161" s="52">
        <v>723.6</v>
      </c>
      <c r="Q161" s="52">
        <v>723.6</v>
      </c>
      <c r="R161" s="53" t="str">
        <f>INDEX(SKU_Master!$D$5:$D$34,MATCH($I161,SKU_Master!$A$5:$A$34,0))</f>
        <v>Laptop</v>
      </c>
      <c r="S161" s="54">
        <f t="shared" si="28"/>
        <v>5.5823529411764716E-2</v>
      </c>
      <c r="T161" s="55">
        <f t="shared" si="29"/>
        <v>64600</v>
      </c>
      <c r="U161" s="55">
        <f t="shared" si="30"/>
        <v>60993.799999999996</v>
      </c>
      <c r="V161" s="55">
        <f t="shared" si="31"/>
        <v>-3606.2000000000044</v>
      </c>
      <c r="W161" s="55">
        <f t="shared" si="32"/>
        <v>60993.799999999996</v>
      </c>
      <c r="X161" s="55">
        <f t="shared" si="33"/>
        <v>0</v>
      </c>
      <c r="Y161" s="55">
        <f t="shared" si="34"/>
        <v>54993.599999999999</v>
      </c>
      <c r="Z161" s="55">
        <f t="shared" si="35"/>
        <v>54993.599999999999</v>
      </c>
      <c r="AA161" s="55">
        <f t="shared" si="36"/>
        <v>0</v>
      </c>
      <c r="AB161" s="55">
        <f t="shared" si="37"/>
        <v>6000.1999999999971</v>
      </c>
      <c r="AC161" s="54">
        <f t="shared" si="38"/>
        <v>9.837393308828106E-2</v>
      </c>
      <c r="AD161" s="56">
        <f>INDEX(Assumptions!$B$14:$B$16,MATCH($R161,Assumptions!$A$14:$A$16,0))</f>
        <v>0.12</v>
      </c>
      <c r="AE161" s="56">
        <f>INDEX(Assumptions!$C$14:$C$16,MATCH($R161,Assumptions!$A$14:$A$16,0))</f>
        <v>0.08</v>
      </c>
      <c r="AF161" s="49">
        <f t="shared" si="39"/>
        <v>0</v>
      </c>
      <c r="AG161" s="49">
        <f t="shared" si="40"/>
        <v>0</v>
      </c>
      <c r="AH161" s="55">
        <f t="shared" si="41"/>
        <v>1319.0560000000023</v>
      </c>
    </row>
    <row r="162" spans="1:34" x14ac:dyDescent="0.2">
      <c r="A162" s="48" t="s">
        <v>412</v>
      </c>
      <c r="B162" s="48">
        <v>2</v>
      </c>
      <c r="C162" s="48" t="s">
        <v>353</v>
      </c>
      <c r="D162" s="48" t="s">
        <v>272</v>
      </c>
      <c r="E162" s="48" t="s">
        <v>311</v>
      </c>
      <c r="F162" s="48" t="s">
        <v>297</v>
      </c>
      <c r="G162" s="48" t="s">
        <v>302</v>
      </c>
      <c r="H162" s="48" t="s">
        <v>62</v>
      </c>
      <c r="I162" s="48" t="s">
        <v>146</v>
      </c>
      <c r="J162" s="49">
        <v>54</v>
      </c>
      <c r="K162" s="50">
        <v>235</v>
      </c>
      <c r="L162" s="50">
        <v>214.81</v>
      </c>
      <c r="M162" s="48" t="s">
        <v>276</v>
      </c>
      <c r="N162" s="51">
        <v>1</v>
      </c>
      <c r="O162" s="51">
        <v>1</v>
      </c>
      <c r="P162" s="52">
        <v>181.8</v>
      </c>
      <c r="Q162" s="52">
        <v>181.8</v>
      </c>
      <c r="R162" s="53" t="str">
        <f>INDEX(SKU_Master!$D$5:$D$34,MATCH($I162,SKU_Master!$A$5:$A$34,0))</f>
        <v>Monitor</v>
      </c>
      <c r="S162" s="54">
        <f t="shared" si="28"/>
        <v>8.5914893617021315E-2</v>
      </c>
      <c r="T162" s="55">
        <f t="shared" si="29"/>
        <v>12690</v>
      </c>
      <c r="U162" s="55">
        <f t="shared" si="30"/>
        <v>11599.74</v>
      </c>
      <c r="V162" s="55">
        <f t="shared" si="31"/>
        <v>-1090.2600000000002</v>
      </c>
      <c r="W162" s="55">
        <f t="shared" si="32"/>
        <v>11599.74</v>
      </c>
      <c r="X162" s="55">
        <f t="shared" si="33"/>
        <v>0</v>
      </c>
      <c r="Y162" s="55">
        <f t="shared" si="34"/>
        <v>9817.2000000000007</v>
      </c>
      <c r="Z162" s="55">
        <f t="shared" si="35"/>
        <v>9817.2000000000007</v>
      </c>
      <c r="AA162" s="55">
        <f t="shared" si="36"/>
        <v>0</v>
      </c>
      <c r="AB162" s="55">
        <f t="shared" si="37"/>
        <v>1782.5399999999991</v>
      </c>
      <c r="AC162" s="54">
        <f t="shared" si="38"/>
        <v>0.15367068572226611</v>
      </c>
      <c r="AD162" s="56">
        <f>INDEX(Assumptions!$B$14:$B$16,MATCH($R162,Assumptions!$A$14:$A$16,0))</f>
        <v>0.18</v>
      </c>
      <c r="AE162" s="56">
        <f>INDEX(Assumptions!$C$14:$C$16,MATCH($R162,Assumptions!$A$14:$A$16,0))</f>
        <v>0.12</v>
      </c>
      <c r="AF162" s="49">
        <f t="shared" si="39"/>
        <v>0</v>
      </c>
      <c r="AG162" s="49">
        <f t="shared" si="40"/>
        <v>0</v>
      </c>
      <c r="AH162" s="55">
        <f t="shared" si="41"/>
        <v>305.41320000000087</v>
      </c>
    </row>
    <row r="163" spans="1:34" x14ac:dyDescent="0.2">
      <c r="A163" s="48" t="s">
        <v>412</v>
      </c>
      <c r="B163" s="48">
        <v>3</v>
      </c>
      <c r="C163" s="48" t="s">
        <v>353</v>
      </c>
      <c r="D163" s="48" t="s">
        <v>272</v>
      </c>
      <c r="E163" s="48" t="s">
        <v>311</v>
      </c>
      <c r="F163" s="48" t="s">
        <v>297</v>
      </c>
      <c r="G163" s="48" t="s">
        <v>302</v>
      </c>
      <c r="H163" s="48" t="s">
        <v>62</v>
      </c>
      <c r="I163" s="48" t="s">
        <v>151</v>
      </c>
      <c r="J163" s="49">
        <v>42</v>
      </c>
      <c r="K163" s="50">
        <v>335</v>
      </c>
      <c r="L163" s="50">
        <v>321.11</v>
      </c>
      <c r="M163" s="48" t="s">
        <v>276</v>
      </c>
      <c r="N163" s="51">
        <v>1</v>
      </c>
      <c r="O163" s="51">
        <v>1</v>
      </c>
      <c r="P163" s="52">
        <v>216.7</v>
      </c>
      <c r="Q163" s="52">
        <v>216.7</v>
      </c>
      <c r="R163" s="53" t="str">
        <f>INDEX(SKU_Master!$D$5:$D$34,MATCH($I163,SKU_Master!$A$5:$A$34,0))</f>
        <v>Accessory</v>
      </c>
      <c r="S163" s="54">
        <f t="shared" si="28"/>
        <v>4.146268656716412E-2</v>
      </c>
      <c r="T163" s="55">
        <f t="shared" si="29"/>
        <v>14070</v>
      </c>
      <c r="U163" s="55">
        <f t="shared" si="30"/>
        <v>13486.62</v>
      </c>
      <c r="V163" s="55">
        <f t="shared" si="31"/>
        <v>-583.3799999999992</v>
      </c>
      <c r="W163" s="55">
        <f t="shared" si="32"/>
        <v>13486.62</v>
      </c>
      <c r="X163" s="55">
        <f t="shared" si="33"/>
        <v>0</v>
      </c>
      <c r="Y163" s="55">
        <f t="shared" si="34"/>
        <v>9101.4</v>
      </c>
      <c r="Z163" s="55">
        <f t="shared" si="35"/>
        <v>9101.4</v>
      </c>
      <c r="AA163" s="55">
        <f t="shared" si="36"/>
        <v>0</v>
      </c>
      <c r="AB163" s="55">
        <f t="shared" si="37"/>
        <v>4385.2200000000012</v>
      </c>
      <c r="AC163" s="54">
        <f t="shared" si="38"/>
        <v>0.3251533742331289</v>
      </c>
      <c r="AD163" s="56">
        <f>INDEX(Assumptions!$B$14:$B$16,MATCH($R163,Assumptions!$A$14:$A$16,0))</f>
        <v>0.32</v>
      </c>
      <c r="AE163" s="56">
        <f>INDEX(Assumptions!$C$14:$C$16,MATCH($R163,Assumptions!$A$14:$A$16,0))</f>
        <v>0.22</v>
      </c>
      <c r="AF163" s="49">
        <f t="shared" si="39"/>
        <v>0</v>
      </c>
      <c r="AG163" s="49">
        <f t="shared" si="40"/>
        <v>0</v>
      </c>
      <c r="AH163" s="55">
        <f t="shared" si="41"/>
        <v>0</v>
      </c>
    </row>
    <row r="164" spans="1:34" x14ac:dyDescent="0.2">
      <c r="A164" s="48" t="s">
        <v>413</v>
      </c>
      <c r="B164" s="48">
        <v>1</v>
      </c>
      <c r="C164" s="48" t="s">
        <v>286</v>
      </c>
      <c r="D164" s="48" t="s">
        <v>272</v>
      </c>
      <c r="E164" s="48" t="s">
        <v>349</v>
      </c>
      <c r="F164" s="48" t="s">
        <v>274</v>
      </c>
      <c r="G164" s="48" t="s">
        <v>275</v>
      </c>
      <c r="H164" s="48" t="s">
        <v>66</v>
      </c>
      <c r="I164" s="48" t="s">
        <v>118</v>
      </c>
      <c r="J164" s="49">
        <v>3</v>
      </c>
      <c r="K164" s="50">
        <v>1300</v>
      </c>
      <c r="L164" s="50">
        <v>1290.1400000000001</v>
      </c>
      <c r="M164" s="48" t="s">
        <v>276</v>
      </c>
      <c r="N164" s="51">
        <v>0.92</v>
      </c>
      <c r="O164" s="51">
        <v>0.91659999999999997</v>
      </c>
      <c r="P164" s="52">
        <v>1182.5999999999999</v>
      </c>
      <c r="Q164" s="52">
        <v>1182.5999999999999</v>
      </c>
      <c r="R164" s="53" t="str">
        <f>INDEX(SKU_Master!$D$5:$D$34,MATCH($I164,SKU_Master!$A$5:$A$34,0))</f>
        <v>Laptop</v>
      </c>
      <c r="S164" s="54">
        <f t="shared" si="28"/>
        <v>7.5846153846153008E-3</v>
      </c>
      <c r="T164" s="55">
        <f t="shared" si="29"/>
        <v>4239.1304347826081</v>
      </c>
      <c r="U164" s="55">
        <f t="shared" si="30"/>
        <v>4206.978260869565</v>
      </c>
      <c r="V164" s="55">
        <f t="shared" si="31"/>
        <v>-32.152173913043043</v>
      </c>
      <c r="W164" s="55">
        <f t="shared" si="32"/>
        <v>4222.5834606153176</v>
      </c>
      <c r="X164" s="55">
        <f t="shared" si="33"/>
        <v>15.605199745752543</v>
      </c>
      <c r="Y164" s="55">
        <f t="shared" si="34"/>
        <v>3547.7999999999997</v>
      </c>
      <c r="Z164" s="55">
        <f t="shared" si="35"/>
        <v>3547.7999999999997</v>
      </c>
      <c r="AA164" s="55">
        <f t="shared" si="36"/>
        <v>0</v>
      </c>
      <c r="AB164" s="55">
        <f t="shared" si="37"/>
        <v>674.78346061531784</v>
      </c>
      <c r="AC164" s="54">
        <f t="shared" si="38"/>
        <v>0.15980346319004146</v>
      </c>
      <c r="AD164" s="56">
        <f>INDEX(Assumptions!$B$14:$B$16,MATCH($R164,Assumptions!$A$14:$A$16,0))</f>
        <v>0.12</v>
      </c>
      <c r="AE164" s="56">
        <f>INDEX(Assumptions!$C$14:$C$16,MATCH($R164,Assumptions!$A$14:$A$16,0))</f>
        <v>0.08</v>
      </c>
      <c r="AF164" s="49">
        <f t="shared" si="39"/>
        <v>0</v>
      </c>
      <c r="AG164" s="49">
        <f t="shared" si="40"/>
        <v>0</v>
      </c>
      <c r="AH164" s="55">
        <f t="shared" si="41"/>
        <v>0</v>
      </c>
    </row>
    <row r="165" spans="1:34" x14ac:dyDescent="0.2">
      <c r="A165" s="48" t="s">
        <v>413</v>
      </c>
      <c r="B165" s="48">
        <v>2</v>
      </c>
      <c r="C165" s="48" t="s">
        <v>286</v>
      </c>
      <c r="D165" s="48" t="s">
        <v>272</v>
      </c>
      <c r="E165" s="48" t="s">
        <v>349</v>
      </c>
      <c r="F165" s="48" t="s">
        <v>274</v>
      </c>
      <c r="G165" s="48" t="s">
        <v>275</v>
      </c>
      <c r="H165" s="48" t="s">
        <v>66</v>
      </c>
      <c r="I165" s="48" t="s">
        <v>138</v>
      </c>
      <c r="J165" s="49">
        <v>2</v>
      </c>
      <c r="K165" s="50">
        <v>460</v>
      </c>
      <c r="L165" s="50">
        <v>453.27</v>
      </c>
      <c r="M165" s="48" t="s">
        <v>276</v>
      </c>
      <c r="N165" s="51">
        <v>0.92</v>
      </c>
      <c r="O165" s="51">
        <v>0.91659999999999997</v>
      </c>
      <c r="P165" s="52">
        <v>383.2</v>
      </c>
      <c r="Q165" s="52">
        <v>383.2</v>
      </c>
      <c r="R165" s="53" t="str">
        <f>INDEX(SKU_Master!$D$5:$D$34,MATCH($I165,SKU_Master!$A$5:$A$34,0))</f>
        <v>Monitor</v>
      </c>
      <c r="S165" s="54">
        <f t="shared" si="28"/>
        <v>1.4630434782608726E-2</v>
      </c>
      <c r="T165" s="55">
        <f t="shared" si="29"/>
        <v>1000</v>
      </c>
      <c r="U165" s="55">
        <f t="shared" si="30"/>
        <v>985.36956521739125</v>
      </c>
      <c r="V165" s="55">
        <f t="shared" si="31"/>
        <v>-14.630434782608745</v>
      </c>
      <c r="W165" s="55">
        <f t="shared" si="32"/>
        <v>989.02465633864279</v>
      </c>
      <c r="X165" s="55">
        <f t="shared" si="33"/>
        <v>3.6550911212515302</v>
      </c>
      <c r="Y165" s="55">
        <f t="shared" si="34"/>
        <v>766.4</v>
      </c>
      <c r="Z165" s="55">
        <f t="shared" si="35"/>
        <v>766.4</v>
      </c>
      <c r="AA165" s="55">
        <f t="shared" si="36"/>
        <v>0</v>
      </c>
      <c r="AB165" s="55">
        <f t="shared" si="37"/>
        <v>222.62465633864281</v>
      </c>
      <c r="AC165" s="54">
        <f t="shared" si="38"/>
        <v>0.22509515299931609</v>
      </c>
      <c r="AD165" s="56">
        <f>INDEX(Assumptions!$B$14:$B$16,MATCH($R165,Assumptions!$A$14:$A$16,0))</f>
        <v>0.18</v>
      </c>
      <c r="AE165" s="56">
        <f>INDEX(Assumptions!$C$14:$C$16,MATCH($R165,Assumptions!$A$14:$A$16,0))</f>
        <v>0.12</v>
      </c>
      <c r="AF165" s="49">
        <f t="shared" si="39"/>
        <v>0</v>
      </c>
      <c r="AG165" s="49">
        <f t="shared" si="40"/>
        <v>0</v>
      </c>
      <c r="AH165" s="55">
        <f t="shared" si="41"/>
        <v>0</v>
      </c>
    </row>
    <row r="166" spans="1:34" x14ac:dyDescent="0.2">
      <c r="A166" s="48" t="s">
        <v>414</v>
      </c>
      <c r="B166" s="48">
        <v>1</v>
      </c>
      <c r="C166" s="48" t="s">
        <v>415</v>
      </c>
      <c r="D166" s="48" t="s">
        <v>416</v>
      </c>
      <c r="E166" s="48" t="s">
        <v>417</v>
      </c>
      <c r="F166" s="48" t="s">
        <v>280</v>
      </c>
      <c r="G166" s="48" t="s">
        <v>298</v>
      </c>
      <c r="H166" s="48" t="s">
        <v>62</v>
      </c>
      <c r="I166" s="48" t="s">
        <v>93</v>
      </c>
      <c r="J166" s="49">
        <v>26</v>
      </c>
      <c r="K166" s="50">
        <v>1390</v>
      </c>
      <c r="L166" s="50">
        <v>1366.16</v>
      </c>
      <c r="M166" s="48" t="s">
        <v>276</v>
      </c>
      <c r="N166" s="51">
        <v>1</v>
      </c>
      <c r="O166" s="51">
        <v>1</v>
      </c>
      <c r="P166" s="52">
        <v>1186.2</v>
      </c>
      <c r="Q166" s="52">
        <v>1186.2</v>
      </c>
      <c r="R166" s="53" t="str">
        <f>INDEX(SKU_Master!$D$5:$D$34,MATCH($I166,SKU_Master!$A$5:$A$34,0))</f>
        <v>Laptop</v>
      </c>
      <c r="S166" s="54">
        <f t="shared" si="28"/>
        <v>1.7151079136690561E-2</v>
      </c>
      <c r="T166" s="55">
        <f t="shared" si="29"/>
        <v>36140</v>
      </c>
      <c r="U166" s="55">
        <f t="shared" si="30"/>
        <v>35520.160000000003</v>
      </c>
      <c r="V166" s="55">
        <f t="shared" si="31"/>
        <v>-619.83999999999651</v>
      </c>
      <c r="W166" s="55">
        <f t="shared" si="32"/>
        <v>35520.160000000003</v>
      </c>
      <c r="X166" s="55">
        <f t="shared" si="33"/>
        <v>0</v>
      </c>
      <c r="Y166" s="55">
        <f t="shared" si="34"/>
        <v>30841.200000000001</v>
      </c>
      <c r="Z166" s="55">
        <f t="shared" si="35"/>
        <v>30841.200000000001</v>
      </c>
      <c r="AA166" s="55">
        <f t="shared" si="36"/>
        <v>0</v>
      </c>
      <c r="AB166" s="55">
        <f t="shared" si="37"/>
        <v>4678.9600000000028</v>
      </c>
      <c r="AC166" s="54">
        <f t="shared" si="38"/>
        <v>0.13172688411313468</v>
      </c>
      <c r="AD166" s="56">
        <f>INDEX(Assumptions!$B$14:$B$16,MATCH($R166,Assumptions!$A$14:$A$16,0))</f>
        <v>0.12</v>
      </c>
      <c r="AE166" s="56">
        <f>INDEX(Assumptions!$C$14:$C$16,MATCH($R166,Assumptions!$A$14:$A$16,0))</f>
        <v>0.08</v>
      </c>
      <c r="AF166" s="49">
        <f t="shared" si="39"/>
        <v>0</v>
      </c>
      <c r="AG166" s="49">
        <f t="shared" si="40"/>
        <v>0</v>
      </c>
      <c r="AH166" s="55">
        <f t="shared" si="41"/>
        <v>0</v>
      </c>
    </row>
    <row r="167" spans="1:34" x14ac:dyDescent="0.2">
      <c r="A167" s="48" t="s">
        <v>418</v>
      </c>
      <c r="B167" s="48">
        <v>1</v>
      </c>
      <c r="C167" s="48" t="s">
        <v>419</v>
      </c>
      <c r="D167" s="48" t="s">
        <v>416</v>
      </c>
      <c r="E167" s="48" t="s">
        <v>384</v>
      </c>
      <c r="F167" s="48" t="s">
        <v>297</v>
      </c>
      <c r="G167" s="48" t="s">
        <v>281</v>
      </c>
      <c r="H167" s="48" t="s">
        <v>70</v>
      </c>
      <c r="I167" s="48" t="s">
        <v>103</v>
      </c>
      <c r="J167" s="49">
        <v>63</v>
      </c>
      <c r="K167" s="50">
        <v>110670</v>
      </c>
      <c r="L167" s="50">
        <v>106466.44</v>
      </c>
      <c r="M167" s="48" t="s">
        <v>276</v>
      </c>
      <c r="N167" s="51">
        <v>83.5</v>
      </c>
      <c r="O167" s="51">
        <v>83.602099999999993</v>
      </c>
      <c r="P167" s="52">
        <v>1110.17</v>
      </c>
      <c r="Q167" s="52">
        <v>1130.17</v>
      </c>
      <c r="R167" s="53" t="str">
        <f>INDEX(SKU_Master!$D$5:$D$34,MATCH($I167,SKU_Master!$A$5:$A$34,0))</f>
        <v>Laptop</v>
      </c>
      <c r="S167" s="54">
        <f t="shared" si="28"/>
        <v>3.7982831842414355E-2</v>
      </c>
      <c r="T167" s="55">
        <f t="shared" si="29"/>
        <v>83499.520958083827</v>
      </c>
      <c r="U167" s="55">
        <f t="shared" si="30"/>
        <v>80327.972694610769</v>
      </c>
      <c r="V167" s="55">
        <f t="shared" si="31"/>
        <v>-3171.5482634730579</v>
      </c>
      <c r="W167" s="55">
        <f t="shared" si="32"/>
        <v>80229.871259214779</v>
      </c>
      <c r="X167" s="55">
        <f t="shared" si="33"/>
        <v>-98.101435395990848</v>
      </c>
      <c r="Y167" s="55">
        <f t="shared" si="34"/>
        <v>69940.710000000006</v>
      </c>
      <c r="Z167" s="55">
        <f t="shared" si="35"/>
        <v>71200.710000000006</v>
      </c>
      <c r="AA167" s="55">
        <f t="shared" si="36"/>
        <v>-1260</v>
      </c>
      <c r="AB167" s="55">
        <f t="shared" si="37"/>
        <v>9029.1612592147721</v>
      </c>
      <c r="AC167" s="54">
        <f t="shared" si="38"/>
        <v>0.11254114106755132</v>
      </c>
      <c r="AD167" s="56">
        <f>INDEX(Assumptions!$B$14:$B$16,MATCH($R167,Assumptions!$A$14:$A$16,0))</f>
        <v>0.12</v>
      </c>
      <c r="AE167" s="56">
        <f>INDEX(Assumptions!$C$14:$C$16,MATCH($R167,Assumptions!$A$14:$A$16,0))</f>
        <v>0.08</v>
      </c>
      <c r="AF167" s="49">
        <f t="shared" si="39"/>
        <v>0</v>
      </c>
      <c r="AG167" s="49">
        <f t="shared" si="40"/>
        <v>0</v>
      </c>
      <c r="AH167" s="55">
        <f t="shared" si="41"/>
        <v>598.42329189100019</v>
      </c>
    </row>
    <row r="168" spans="1:34" x14ac:dyDescent="0.2">
      <c r="A168" s="48" t="s">
        <v>418</v>
      </c>
      <c r="B168" s="48">
        <v>2</v>
      </c>
      <c r="C168" s="48" t="s">
        <v>419</v>
      </c>
      <c r="D168" s="48" t="s">
        <v>416</v>
      </c>
      <c r="E168" s="48" t="s">
        <v>384</v>
      </c>
      <c r="F168" s="48" t="s">
        <v>297</v>
      </c>
      <c r="G168" s="48" t="s">
        <v>281</v>
      </c>
      <c r="H168" s="48" t="s">
        <v>70</v>
      </c>
      <c r="I168" s="48" t="s">
        <v>146</v>
      </c>
      <c r="J168" s="49">
        <v>45</v>
      </c>
      <c r="K168" s="50">
        <v>26365</v>
      </c>
      <c r="L168" s="50">
        <v>25627.35</v>
      </c>
      <c r="M168" s="48" t="s">
        <v>276</v>
      </c>
      <c r="N168" s="51">
        <v>83.5</v>
      </c>
      <c r="O168" s="51">
        <v>83.602099999999993</v>
      </c>
      <c r="P168" s="52">
        <v>244.05</v>
      </c>
      <c r="Q168" s="52">
        <v>264.05</v>
      </c>
      <c r="R168" s="53" t="str">
        <f>INDEX(SKU_Master!$D$5:$D$34,MATCH($I168,SKU_Master!$A$5:$A$34,0))</f>
        <v>Monitor</v>
      </c>
      <c r="S168" s="54">
        <f t="shared" si="28"/>
        <v>2.797838042859857E-2</v>
      </c>
      <c r="T168" s="55">
        <f t="shared" si="29"/>
        <v>14208.68263473054</v>
      </c>
      <c r="U168" s="55">
        <f t="shared" si="30"/>
        <v>13811.146706586826</v>
      </c>
      <c r="V168" s="55">
        <f t="shared" si="31"/>
        <v>-397.53592814371405</v>
      </c>
      <c r="W168" s="55">
        <f t="shared" si="32"/>
        <v>13794.279689146566</v>
      </c>
      <c r="X168" s="55">
        <f t="shared" si="33"/>
        <v>-16.867017440259588</v>
      </c>
      <c r="Y168" s="55">
        <f t="shared" si="34"/>
        <v>10982.25</v>
      </c>
      <c r="Z168" s="55">
        <f t="shared" si="35"/>
        <v>11882.25</v>
      </c>
      <c r="AA168" s="55">
        <f t="shared" si="36"/>
        <v>-900</v>
      </c>
      <c r="AB168" s="55">
        <f t="shared" si="37"/>
        <v>1912.0296891465659</v>
      </c>
      <c r="AC168" s="54">
        <f t="shared" si="38"/>
        <v>0.13861033212563931</v>
      </c>
      <c r="AD168" s="56">
        <f>INDEX(Assumptions!$B$14:$B$16,MATCH($R168,Assumptions!$A$14:$A$16,0))</f>
        <v>0.18</v>
      </c>
      <c r="AE168" s="56">
        <f>INDEX(Assumptions!$C$14:$C$16,MATCH($R168,Assumptions!$A$14:$A$16,0))</f>
        <v>0.12</v>
      </c>
      <c r="AF168" s="49">
        <f t="shared" si="39"/>
        <v>0</v>
      </c>
      <c r="AG168" s="49">
        <f t="shared" si="40"/>
        <v>0</v>
      </c>
      <c r="AH168" s="55">
        <f t="shared" si="41"/>
        <v>570.94065489981585</v>
      </c>
    </row>
    <row r="169" spans="1:34" x14ac:dyDescent="0.2">
      <c r="A169" s="48" t="s">
        <v>420</v>
      </c>
      <c r="B169" s="48">
        <v>1</v>
      </c>
      <c r="C169" s="48" t="s">
        <v>421</v>
      </c>
      <c r="D169" s="48" t="s">
        <v>416</v>
      </c>
      <c r="E169" s="48" t="s">
        <v>422</v>
      </c>
      <c r="F169" s="48" t="s">
        <v>280</v>
      </c>
      <c r="G169" s="48" t="s">
        <v>281</v>
      </c>
      <c r="H169" s="48" t="s">
        <v>68</v>
      </c>
      <c r="I169" s="48" t="s">
        <v>123</v>
      </c>
      <c r="J169" s="49">
        <v>5</v>
      </c>
      <c r="K169" s="50">
        <v>2065</v>
      </c>
      <c r="L169" s="50">
        <v>2010.55</v>
      </c>
      <c r="M169" s="48" t="s">
        <v>276</v>
      </c>
      <c r="N169" s="51">
        <v>1.37</v>
      </c>
      <c r="O169" s="51">
        <v>1.3673</v>
      </c>
      <c r="P169" s="52">
        <v>1261.25</v>
      </c>
      <c r="Q169" s="52">
        <v>1261.25</v>
      </c>
      <c r="R169" s="53" t="str">
        <f>INDEX(SKU_Master!$D$5:$D$34,MATCH($I169,SKU_Master!$A$5:$A$34,0))</f>
        <v>Laptop</v>
      </c>
      <c r="S169" s="54">
        <f t="shared" si="28"/>
        <v>2.6368038740920086E-2</v>
      </c>
      <c r="T169" s="55">
        <f t="shared" si="29"/>
        <v>7536.4963503649633</v>
      </c>
      <c r="U169" s="55">
        <f t="shared" si="30"/>
        <v>7337.7737226277368</v>
      </c>
      <c r="V169" s="55">
        <f t="shared" si="31"/>
        <v>-198.7226277372265</v>
      </c>
      <c r="W169" s="55">
        <f t="shared" si="32"/>
        <v>7352.2635851678497</v>
      </c>
      <c r="X169" s="55">
        <f t="shared" si="33"/>
        <v>14.489862540112881</v>
      </c>
      <c r="Y169" s="55">
        <f t="shared" si="34"/>
        <v>6306.25</v>
      </c>
      <c r="Z169" s="55">
        <f t="shared" si="35"/>
        <v>6306.25</v>
      </c>
      <c r="AA169" s="55">
        <f t="shared" si="36"/>
        <v>0</v>
      </c>
      <c r="AB169" s="55">
        <f t="shared" si="37"/>
        <v>1046.0135851678497</v>
      </c>
      <c r="AC169" s="54">
        <f t="shared" si="38"/>
        <v>0.14227095819551872</v>
      </c>
      <c r="AD169" s="56">
        <f>INDEX(Assumptions!$B$14:$B$16,MATCH($R169,Assumptions!$A$14:$A$16,0))</f>
        <v>0.12</v>
      </c>
      <c r="AE169" s="56">
        <f>INDEX(Assumptions!$C$14:$C$16,MATCH($R169,Assumptions!$A$14:$A$16,0))</f>
        <v>0.08</v>
      </c>
      <c r="AF169" s="49">
        <f t="shared" si="39"/>
        <v>0</v>
      </c>
      <c r="AG169" s="49">
        <f t="shared" si="40"/>
        <v>0</v>
      </c>
      <c r="AH169" s="55">
        <f t="shared" si="41"/>
        <v>0</v>
      </c>
    </row>
    <row r="170" spans="1:34" x14ac:dyDescent="0.2">
      <c r="A170" s="48" t="s">
        <v>420</v>
      </c>
      <c r="B170" s="48">
        <v>2</v>
      </c>
      <c r="C170" s="48" t="s">
        <v>421</v>
      </c>
      <c r="D170" s="48" t="s">
        <v>416</v>
      </c>
      <c r="E170" s="48" t="s">
        <v>422</v>
      </c>
      <c r="F170" s="48" t="s">
        <v>280</v>
      </c>
      <c r="G170" s="48" t="s">
        <v>281</v>
      </c>
      <c r="H170" s="48" t="s">
        <v>68</v>
      </c>
      <c r="I170" s="48" t="s">
        <v>151</v>
      </c>
      <c r="J170" s="49">
        <v>3</v>
      </c>
      <c r="K170" s="50">
        <v>475</v>
      </c>
      <c r="L170" s="50">
        <v>463.7</v>
      </c>
      <c r="M170" s="48" t="s">
        <v>276</v>
      </c>
      <c r="N170" s="51">
        <v>1.37</v>
      </c>
      <c r="O170" s="51">
        <v>1.3673</v>
      </c>
      <c r="P170" s="52">
        <v>219.7</v>
      </c>
      <c r="Q170" s="52">
        <v>219.7</v>
      </c>
      <c r="R170" s="53" t="str">
        <f>INDEX(SKU_Master!$D$5:$D$34,MATCH($I170,SKU_Master!$A$5:$A$34,0))</f>
        <v>Accessory</v>
      </c>
      <c r="S170" s="54">
        <f t="shared" si="28"/>
        <v>2.3789473684210583E-2</v>
      </c>
      <c r="T170" s="55">
        <f t="shared" si="29"/>
        <v>1040.1459854014597</v>
      </c>
      <c r="U170" s="55">
        <f t="shared" si="30"/>
        <v>1015.4014598540144</v>
      </c>
      <c r="V170" s="55">
        <f t="shared" si="31"/>
        <v>-24.744525547445278</v>
      </c>
      <c r="W170" s="55">
        <f t="shared" si="32"/>
        <v>1017.4065676881445</v>
      </c>
      <c r="X170" s="55">
        <f t="shared" si="33"/>
        <v>2.0051078341300581</v>
      </c>
      <c r="Y170" s="55">
        <f t="shared" si="34"/>
        <v>659.09999999999991</v>
      </c>
      <c r="Z170" s="55">
        <f t="shared" si="35"/>
        <v>659.09999999999991</v>
      </c>
      <c r="AA170" s="55">
        <f t="shared" si="36"/>
        <v>0</v>
      </c>
      <c r="AB170" s="55">
        <f t="shared" si="37"/>
        <v>358.30656768814458</v>
      </c>
      <c r="AC170" s="54">
        <f t="shared" si="38"/>
        <v>0.35217638559413422</v>
      </c>
      <c r="AD170" s="56">
        <f>INDEX(Assumptions!$B$14:$B$16,MATCH($R170,Assumptions!$A$14:$A$16,0))</f>
        <v>0.32</v>
      </c>
      <c r="AE170" s="56">
        <f>INDEX(Assumptions!$C$14:$C$16,MATCH($R170,Assumptions!$A$14:$A$16,0))</f>
        <v>0.22</v>
      </c>
      <c r="AF170" s="49">
        <f t="shared" si="39"/>
        <v>0</v>
      </c>
      <c r="AG170" s="49">
        <f t="shared" si="40"/>
        <v>0</v>
      </c>
      <c r="AH170" s="55">
        <f t="shared" si="41"/>
        <v>0</v>
      </c>
    </row>
    <row r="171" spans="1:34" x14ac:dyDescent="0.2">
      <c r="A171" s="48" t="s">
        <v>423</v>
      </c>
      <c r="B171" s="48">
        <v>1</v>
      </c>
      <c r="C171" s="48" t="s">
        <v>424</v>
      </c>
      <c r="D171" s="48" t="s">
        <v>416</v>
      </c>
      <c r="E171" s="48" t="s">
        <v>273</v>
      </c>
      <c r="F171" s="48" t="s">
        <v>274</v>
      </c>
      <c r="G171" s="48" t="s">
        <v>275</v>
      </c>
      <c r="H171" s="48" t="s">
        <v>66</v>
      </c>
      <c r="I171" s="48" t="s">
        <v>103</v>
      </c>
      <c r="J171" s="49">
        <v>3</v>
      </c>
      <c r="K171" s="50">
        <v>1090</v>
      </c>
      <c r="L171" s="50">
        <v>1069.18</v>
      </c>
      <c r="M171" s="48" t="s">
        <v>276</v>
      </c>
      <c r="N171" s="51">
        <v>0.92</v>
      </c>
      <c r="O171" s="51">
        <v>0.91710000000000003</v>
      </c>
      <c r="P171" s="52">
        <v>988.6</v>
      </c>
      <c r="Q171" s="52">
        <v>988.6</v>
      </c>
      <c r="R171" s="53" t="str">
        <f>INDEX(SKU_Master!$D$5:$D$34,MATCH($I171,SKU_Master!$A$5:$A$34,0))</f>
        <v>Laptop</v>
      </c>
      <c r="S171" s="54">
        <f t="shared" si="28"/>
        <v>1.9100917431192577E-2</v>
      </c>
      <c r="T171" s="55">
        <f t="shared" si="29"/>
        <v>3554.3478260869565</v>
      </c>
      <c r="U171" s="55">
        <f t="shared" si="30"/>
        <v>3486.45652173913</v>
      </c>
      <c r="V171" s="55">
        <f t="shared" si="31"/>
        <v>-67.891304347826463</v>
      </c>
      <c r="W171" s="55">
        <f t="shared" si="32"/>
        <v>3497.481190709846</v>
      </c>
      <c r="X171" s="55">
        <f t="shared" si="33"/>
        <v>11.024668970715993</v>
      </c>
      <c r="Y171" s="55">
        <f t="shared" si="34"/>
        <v>2965.8</v>
      </c>
      <c r="Z171" s="55">
        <f t="shared" si="35"/>
        <v>2965.8</v>
      </c>
      <c r="AA171" s="55">
        <f t="shared" si="36"/>
        <v>0</v>
      </c>
      <c r="AB171" s="55">
        <f t="shared" si="37"/>
        <v>531.68119070984585</v>
      </c>
      <c r="AC171" s="54">
        <f t="shared" si="38"/>
        <v>0.15201831309975858</v>
      </c>
      <c r="AD171" s="56">
        <f>INDEX(Assumptions!$B$14:$B$16,MATCH($R171,Assumptions!$A$14:$A$16,0))</f>
        <v>0.12</v>
      </c>
      <c r="AE171" s="56">
        <f>INDEX(Assumptions!$C$14:$C$16,MATCH($R171,Assumptions!$A$14:$A$16,0))</f>
        <v>0.08</v>
      </c>
      <c r="AF171" s="49">
        <f t="shared" si="39"/>
        <v>0</v>
      </c>
      <c r="AG171" s="49">
        <f t="shared" si="40"/>
        <v>0</v>
      </c>
      <c r="AH171" s="55">
        <f t="shared" si="41"/>
        <v>0</v>
      </c>
    </row>
    <row r="172" spans="1:34" x14ac:dyDescent="0.2">
      <c r="A172" s="48" t="s">
        <v>423</v>
      </c>
      <c r="B172" s="48">
        <v>2</v>
      </c>
      <c r="C172" s="48" t="s">
        <v>424</v>
      </c>
      <c r="D172" s="48" t="s">
        <v>416</v>
      </c>
      <c r="E172" s="48" t="s">
        <v>273</v>
      </c>
      <c r="F172" s="48" t="s">
        <v>274</v>
      </c>
      <c r="G172" s="48" t="s">
        <v>275</v>
      </c>
      <c r="H172" s="48" t="s">
        <v>66</v>
      </c>
      <c r="I172" s="48" t="s">
        <v>135</v>
      </c>
      <c r="J172" s="49">
        <v>1</v>
      </c>
      <c r="K172" s="50">
        <v>255</v>
      </c>
      <c r="L172" s="50">
        <v>251.16</v>
      </c>
      <c r="M172" s="48" t="s">
        <v>276</v>
      </c>
      <c r="N172" s="51">
        <v>0.92</v>
      </c>
      <c r="O172" s="51">
        <v>0.91710000000000003</v>
      </c>
      <c r="P172" s="52">
        <v>211.7</v>
      </c>
      <c r="Q172" s="52">
        <v>211.7</v>
      </c>
      <c r="R172" s="53" t="str">
        <f>INDEX(SKU_Master!$D$5:$D$34,MATCH($I172,SKU_Master!$A$5:$A$34,0))</f>
        <v>Monitor</v>
      </c>
      <c r="S172" s="54">
        <f t="shared" si="28"/>
        <v>1.5058823529411791E-2</v>
      </c>
      <c r="T172" s="55">
        <f t="shared" si="29"/>
        <v>277.17391304347825</v>
      </c>
      <c r="U172" s="55">
        <f t="shared" si="30"/>
        <v>273</v>
      </c>
      <c r="V172" s="55">
        <f t="shared" si="31"/>
        <v>-4.173913043478251</v>
      </c>
      <c r="W172" s="55">
        <f t="shared" si="32"/>
        <v>273.86326463853447</v>
      </c>
      <c r="X172" s="55">
        <f t="shared" si="33"/>
        <v>0.86326463853447422</v>
      </c>
      <c r="Y172" s="55">
        <f t="shared" si="34"/>
        <v>211.7</v>
      </c>
      <c r="Z172" s="55">
        <f t="shared" si="35"/>
        <v>211.7</v>
      </c>
      <c r="AA172" s="55">
        <f t="shared" si="36"/>
        <v>0</v>
      </c>
      <c r="AB172" s="55">
        <f t="shared" si="37"/>
        <v>62.163264638534486</v>
      </c>
      <c r="AC172" s="54">
        <f t="shared" si="38"/>
        <v>0.22698650262780692</v>
      </c>
      <c r="AD172" s="56">
        <f>INDEX(Assumptions!$B$14:$B$16,MATCH($R172,Assumptions!$A$14:$A$16,0))</f>
        <v>0.18</v>
      </c>
      <c r="AE172" s="56">
        <f>INDEX(Assumptions!$C$14:$C$16,MATCH($R172,Assumptions!$A$14:$A$16,0))</f>
        <v>0.12</v>
      </c>
      <c r="AF172" s="49">
        <f t="shared" si="39"/>
        <v>0</v>
      </c>
      <c r="AG172" s="49">
        <f t="shared" si="40"/>
        <v>0</v>
      </c>
      <c r="AH172" s="55">
        <f t="shared" si="41"/>
        <v>0</v>
      </c>
    </row>
    <row r="173" spans="1:34" x14ac:dyDescent="0.2">
      <c r="A173" s="48" t="s">
        <v>423</v>
      </c>
      <c r="B173" s="48">
        <v>3</v>
      </c>
      <c r="C173" s="48" t="s">
        <v>424</v>
      </c>
      <c r="D173" s="48" t="s">
        <v>416</v>
      </c>
      <c r="E173" s="48" t="s">
        <v>273</v>
      </c>
      <c r="F173" s="48" t="s">
        <v>274</v>
      </c>
      <c r="G173" s="48" t="s">
        <v>275</v>
      </c>
      <c r="H173" s="48" t="s">
        <v>66</v>
      </c>
      <c r="I173" s="48" t="s">
        <v>173</v>
      </c>
      <c r="J173" s="49">
        <v>1</v>
      </c>
      <c r="K173" s="50">
        <v>60</v>
      </c>
      <c r="L173" s="50">
        <v>59.76</v>
      </c>
      <c r="M173" s="48" t="s">
        <v>276</v>
      </c>
      <c r="N173" s="51">
        <v>0.92</v>
      </c>
      <c r="O173" s="51">
        <v>0.91710000000000003</v>
      </c>
      <c r="P173" s="52">
        <v>39</v>
      </c>
      <c r="Q173" s="52">
        <v>39</v>
      </c>
      <c r="R173" s="53" t="str">
        <f>INDEX(SKU_Master!$D$5:$D$34,MATCH($I173,SKU_Master!$A$5:$A$34,0))</f>
        <v>Accessory</v>
      </c>
      <c r="S173" s="54">
        <f t="shared" si="28"/>
        <v>4.0000000000000036E-3</v>
      </c>
      <c r="T173" s="55">
        <f t="shared" si="29"/>
        <v>65.217391304347828</v>
      </c>
      <c r="U173" s="55">
        <f t="shared" si="30"/>
        <v>64.956521739130423</v>
      </c>
      <c r="V173" s="55">
        <f t="shared" si="31"/>
        <v>-0.2608695652174049</v>
      </c>
      <c r="W173" s="55">
        <f t="shared" si="32"/>
        <v>65.161923454367027</v>
      </c>
      <c r="X173" s="55">
        <f t="shared" si="33"/>
        <v>0.20540171523660433</v>
      </c>
      <c r="Y173" s="55">
        <f t="shared" si="34"/>
        <v>39</v>
      </c>
      <c r="Z173" s="55">
        <f t="shared" si="35"/>
        <v>39</v>
      </c>
      <c r="AA173" s="55">
        <f t="shared" si="36"/>
        <v>0</v>
      </c>
      <c r="AB173" s="55">
        <f t="shared" si="37"/>
        <v>26.161923454367027</v>
      </c>
      <c r="AC173" s="54">
        <f t="shared" si="38"/>
        <v>0.40149096385542171</v>
      </c>
      <c r="AD173" s="56">
        <f>INDEX(Assumptions!$B$14:$B$16,MATCH($R173,Assumptions!$A$14:$A$16,0))</f>
        <v>0.32</v>
      </c>
      <c r="AE173" s="56">
        <f>INDEX(Assumptions!$C$14:$C$16,MATCH($R173,Assumptions!$A$14:$A$16,0))</f>
        <v>0.22</v>
      </c>
      <c r="AF173" s="49">
        <f t="shared" si="39"/>
        <v>0</v>
      </c>
      <c r="AG173" s="49">
        <f t="shared" si="40"/>
        <v>0</v>
      </c>
      <c r="AH173" s="55">
        <f t="shared" si="41"/>
        <v>0</v>
      </c>
    </row>
    <row r="174" spans="1:34" x14ac:dyDescent="0.2">
      <c r="A174" s="48" t="s">
        <v>425</v>
      </c>
      <c r="B174" s="48">
        <v>1</v>
      </c>
      <c r="C174" s="48" t="s">
        <v>426</v>
      </c>
      <c r="D174" s="48" t="s">
        <v>416</v>
      </c>
      <c r="E174" s="48" t="s">
        <v>427</v>
      </c>
      <c r="F174" s="48" t="s">
        <v>297</v>
      </c>
      <c r="G174" s="48" t="s">
        <v>302</v>
      </c>
      <c r="H174" s="48" t="s">
        <v>66</v>
      </c>
      <c r="I174" s="48" t="s">
        <v>93</v>
      </c>
      <c r="J174" s="49">
        <v>44</v>
      </c>
      <c r="K174" s="50">
        <v>1325</v>
      </c>
      <c r="L174" s="50">
        <v>1282.55</v>
      </c>
      <c r="M174" s="48" t="s">
        <v>276</v>
      </c>
      <c r="N174" s="51">
        <v>0.92</v>
      </c>
      <c r="O174" s="51">
        <v>0.91710000000000003</v>
      </c>
      <c r="P174" s="52">
        <v>1206.2</v>
      </c>
      <c r="Q174" s="52">
        <v>1206.2</v>
      </c>
      <c r="R174" s="53" t="str">
        <f>INDEX(SKU_Master!$D$5:$D$34,MATCH($I174,SKU_Master!$A$5:$A$34,0))</f>
        <v>Laptop</v>
      </c>
      <c r="S174" s="54">
        <f t="shared" si="28"/>
        <v>3.203773584905667E-2</v>
      </c>
      <c r="T174" s="55">
        <f t="shared" si="29"/>
        <v>63369.565217391304</v>
      </c>
      <c r="U174" s="55">
        <f t="shared" si="30"/>
        <v>61339.347826086952</v>
      </c>
      <c r="V174" s="55">
        <f t="shared" si="31"/>
        <v>-2030.2173913043516</v>
      </c>
      <c r="W174" s="55">
        <f t="shared" si="32"/>
        <v>61533.311525460689</v>
      </c>
      <c r="X174" s="55">
        <f t="shared" si="33"/>
        <v>193.96369937373674</v>
      </c>
      <c r="Y174" s="55">
        <f t="shared" si="34"/>
        <v>53072.800000000003</v>
      </c>
      <c r="Z174" s="55">
        <f t="shared" si="35"/>
        <v>53072.800000000003</v>
      </c>
      <c r="AA174" s="55">
        <f t="shared" si="36"/>
        <v>0</v>
      </c>
      <c r="AB174" s="55">
        <f t="shared" si="37"/>
        <v>8460.5115254606862</v>
      </c>
      <c r="AC174" s="54">
        <f t="shared" si="38"/>
        <v>0.13749481891544182</v>
      </c>
      <c r="AD174" s="56">
        <f>INDEX(Assumptions!$B$14:$B$16,MATCH($R174,Assumptions!$A$14:$A$16,0))</f>
        <v>0.12</v>
      </c>
      <c r="AE174" s="56">
        <f>INDEX(Assumptions!$C$14:$C$16,MATCH($R174,Assumptions!$A$14:$A$16,0))</f>
        <v>0.08</v>
      </c>
      <c r="AF174" s="49">
        <f t="shared" si="39"/>
        <v>0</v>
      </c>
      <c r="AG174" s="49">
        <f t="shared" si="40"/>
        <v>0</v>
      </c>
      <c r="AH174" s="55">
        <f t="shared" si="41"/>
        <v>0</v>
      </c>
    </row>
    <row r="175" spans="1:34" x14ac:dyDescent="0.2">
      <c r="A175" s="48" t="s">
        <v>425</v>
      </c>
      <c r="B175" s="48">
        <v>2</v>
      </c>
      <c r="C175" s="48" t="s">
        <v>426</v>
      </c>
      <c r="D175" s="48" t="s">
        <v>416</v>
      </c>
      <c r="E175" s="48" t="s">
        <v>427</v>
      </c>
      <c r="F175" s="48" t="s">
        <v>297</v>
      </c>
      <c r="G175" s="48" t="s">
        <v>302</v>
      </c>
      <c r="H175" s="48" t="s">
        <v>66</v>
      </c>
      <c r="I175" s="48" t="s">
        <v>141</v>
      </c>
      <c r="J175" s="49">
        <v>35</v>
      </c>
      <c r="K175" s="50">
        <v>450</v>
      </c>
      <c r="L175" s="50">
        <v>426.78</v>
      </c>
      <c r="M175" s="48" t="s">
        <v>276</v>
      </c>
      <c r="N175" s="51">
        <v>0.92</v>
      </c>
      <c r="O175" s="51">
        <v>0.91710000000000003</v>
      </c>
      <c r="P175" s="52">
        <v>376.7</v>
      </c>
      <c r="Q175" s="52">
        <v>376.7</v>
      </c>
      <c r="R175" s="53" t="str">
        <f>INDEX(SKU_Master!$D$5:$D$34,MATCH($I175,SKU_Master!$A$5:$A$34,0))</f>
        <v>Monitor</v>
      </c>
      <c r="S175" s="54">
        <f t="shared" si="28"/>
        <v>5.160000000000009E-2</v>
      </c>
      <c r="T175" s="55">
        <f t="shared" si="29"/>
        <v>17119.565217391304</v>
      </c>
      <c r="U175" s="55">
        <f t="shared" si="30"/>
        <v>16236.195652173912</v>
      </c>
      <c r="V175" s="55">
        <f t="shared" si="31"/>
        <v>-883.36956521739194</v>
      </c>
      <c r="W175" s="55">
        <f t="shared" si="32"/>
        <v>16287.536800785083</v>
      </c>
      <c r="X175" s="55">
        <f t="shared" si="33"/>
        <v>51.341148611170865</v>
      </c>
      <c r="Y175" s="55">
        <f t="shared" si="34"/>
        <v>13184.5</v>
      </c>
      <c r="Z175" s="55">
        <f t="shared" si="35"/>
        <v>13184.5</v>
      </c>
      <c r="AA175" s="55">
        <f t="shared" si="36"/>
        <v>0</v>
      </c>
      <c r="AB175" s="55">
        <f t="shared" si="37"/>
        <v>3103.036800785083</v>
      </c>
      <c r="AC175" s="54">
        <f t="shared" si="38"/>
        <v>0.19051602699283002</v>
      </c>
      <c r="AD175" s="56">
        <f>INDEX(Assumptions!$B$14:$B$16,MATCH($R175,Assumptions!$A$14:$A$16,0))</f>
        <v>0.18</v>
      </c>
      <c r="AE175" s="56">
        <f>INDEX(Assumptions!$C$14:$C$16,MATCH($R175,Assumptions!$A$14:$A$16,0))</f>
        <v>0.12</v>
      </c>
      <c r="AF175" s="49">
        <f t="shared" si="39"/>
        <v>0</v>
      </c>
      <c r="AG175" s="49">
        <f t="shared" si="40"/>
        <v>0</v>
      </c>
      <c r="AH175" s="55">
        <f t="shared" si="41"/>
        <v>0</v>
      </c>
    </row>
    <row r="176" spans="1:34" x14ac:dyDescent="0.2">
      <c r="A176" s="48" t="s">
        <v>425</v>
      </c>
      <c r="B176" s="48">
        <v>3</v>
      </c>
      <c r="C176" s="48" t="s">
        <v>426</v>
      </c>
      <c r="D176" s="48" t="s">
        <v>416</v>
      </c>
      <c r="E176" s="48" t="s">
        <v>427</v>
      </c>
      <c r="F176" s="48" t="s">
        <v>297</v>
      </c>
      <c r="G176" s="48" t="s">
        <v>302</v>
      </c>
      <c r="H176" s="48" t="s">
        <v>66</v>
      </c>
      <c r="I176" s="48" t="s">
        <v>166</v>
      </c>
      <c r="J176" s="49">
        <v>48</v>
      </c>
      <c r="K176" s="50">
        <v>255</v>
      </c>
      <c r="L176" s="50">
        <v>244.15</v>
      </c>
      <c r="M176" s="48" t="s">
        <v>276</v>
      </c>
      <c r="N176" s="51">
        <v>0.92</v>
      </c>
      <c r="O176" s="51">
        <v>0.91710000000000003</v>
      </c>
      <c r="P176" s="52">
        <v>174.35</v>
      </c>
      <c r="Q176" s="52">
        <v>174.35</v>
      </c>
      <c r="R176" s="53" t="str">
        <f>INDEX(SKU_Master!$D$5:$D$34,MATCH($I176,SKU_Master!$A$5:$A$34,0))</f>
        <v>Accessory</v>
      </c>
      <c r="S176" s="54">
        <f t="shared" si="28"/>
        <v>4.2549019607843075E-2</v>
      </c>
      <c r="T176" s="55">
        <f t="shared" si="29"/>
        <v>13304.347826086956</v>
      </c>
      <c r="U176" s="55">
        <f t="shared" si="30"/>
        <v>12738.260869565218</v>
      </c>
      <c r="V176" s="55">
        <f t="shared" si="31"/>
        <v>-566.0869565217381</v>
      </c>
      <c r="W176" s="55">
        <f t="shared" si="32"/>
        <v>12778.541053320248</v>
      </c>
      <c r="X176" s="55">
        <f t="shared" si="33"/>
        <v>40.280183755030521</v>
      </c>
      <c r="Y176" s="55">
        <f t="shared" si="34"/>
        <v>8368.7999999999993</v>
      </c>
      <c r="Z176" s="55">
        <f t="shared" si="35"/>
        <v>8368.7999999999993</v>
      </c>
      <c r="AA176" s="55">
        <f t="shared" si="36"/>
        <v>0</v>
      </c>
      <c r="AB176" s="55">
        <f t="shared" si="37"/>
        <v>4409.7410533202492</v>
      </c>
      <c r="AC176" s="54">
        <f t="shared" si="38"/>
        <v>0.34508955560106497</v>
      </c>
      <c r="AD176" s="56">
        <f>INDEX(Assumptions!$B$14:$B$16,MATCH($R176,Assumptions!$A$14:$A$16,0))</f>
        <v>0.32</v>
      </c>
      <c r="AE176" s="56">
        <f>INDEX(Assumptions!$C$14:$C$16,MATCH($R176,Assumptions!$A$14:$A$16,0))</f>
        <v>0.22</v>
      </c>
      <c r="AF176" s="49">
        <f t="shared" si="39"/>
        <v>0</v>
      </c>
      <c r="AG176" s="49">
        <f t="shared" si="40"/>
        <v>0</v>
      </c>
      <c r="AH176" s="55">
        <f t="shared" si="41"/>
        <v>0</v>
      </c>
    </row>
    <row r="177" spans="1:34" x14ac:dyDescent="0.2">
      <c r="A177" s="48" t="s">
        <v>428</v>
      </c>
      <c r="B177" s="48">
        <v>1</v>
      </c>
      <c r="C177" s="48" t="s">
        <v>421</v>
      </c>
      <c r="D177" s="48" t="s">
        <v>416</v>
      </c>
      <c r="E177" s="48" t="s">
        <v>317</v>
      </c>
      <c r="F177" s="48" t="s">
        <v>280</v>
      </c>
      <c r="G177" s="48" t="s">
        <v>306</v>
      </c>
      <c r="H177" s="48" t="s">
        <v>62</v>
      </c>
      <c r="I177" s="48" t="s">
        <v>93</v>
      </c>
      <c r="J177" s="49">
        <v>29</v>
      </c>
      <c r="K177" s="50">
        <v>1390</v>
      </c>
      <c r="L177" s="50">
        <v>1361.29</v>
      </c>
      <c r="M177" s="48" t="s">
        <v>276</v>
      </c>
      <c r="N177" s="51">
        <v>1</v>
      </c>
      <c r="O177" s="51">
        <v>1</v>
      </c>
      <c r="P177" s="52">
        <v>1186.2</v>
      </c>
      <c r="Q177" s="52">
        <v>1186.2</v>
      </c>
      <c r="R177" s="53" t="str">
        <f>INDEX(SKU_Master!$D$5:$D$34,MATCH($I177,SKU_Master!$A$5:$A$34,0))</f>
        <v>Laptop</v>
      </c>
      <c r="S177" s="54">
        <f t="shared" si="28"/>
        <v>2.0654676258992866E-2</v>
      </c>
      <c r="T177" s="55">
        <f t="shared" si="29"/>
        <v>40310</v>
      </c>
      <c r="U177" s="55">
        <f t="shared" si="30"/>
        <v>39477.409999999996</v>
      </c>
      <c r="V177" s="55">
        <f t="shared" si="31"/>
        <v>-832.59000000000378</v>
      </c>
      <c r="W177" s="55">
        <f t="shared" si="32"/>
        <v>39477.409999999996</v>
      </c>
      <c r="X177" s="55">
        <f t="shared" si="33"/>
        <v>0</v>
      </c>
      <c r="Y177" s="55">
        <f t="shared" si="34"/>
        <v>34399.800000000003</v>
      </c>
      <c r="Z177" s="55">
        <f t="shared" si="35"/>
        <v>34399.800000000003</v>
      </c>
      <c r="AA177" s="55">
        <f t="shared" si="36"/>
        <v>0</v>
      </c>
      <c r="AB177" s="55">
        <f t="shared" si="37"/>
        <v>5077.6099999999933</v>
      </c>
      <c r="AC177" s="54">
        <f t="shared" si="38"/>
        <v>0.12862064659257014</v>
      </c>
      <c r="AD177" s="56">
        <f>INDEX(Assumptions!$B$14:$B$16,MATCH($R177,Assumptions!$A$14:$A$16,0))</f>
        <v>0.12</v>
      </c>
      <c r="AE177" s="56">
        <f>INDEX(Assumptions!$C$14:$C$16,MATCH($R177,Assumptions!$A$14:$A$16,0))</f>
        <v>0.08</v>
      </c>
      <c r="AF177" s="49">
        <f t="shared" si="39"/>
        <v>0</v>
      </c>
      <c r="AG177" s="49">
        <f t="shared" si="40"/>
        <v>0</v>
      </c>
      <c r="AH177" s="55">
        <f t="shared" si="41"/>
        <v>0</v>
      </c>
    </row>
    <row r="178" spans="1:34" x14ac:dyDescent="0.2">
      <c r="A178" s="48" t="s">
        <v>428</v>
      </c>
      <c r="B178" s="48">
        <v>2</v>
      </c>
      <c r="C178" s="48" t="s">
        <v>421</v>
      </c>
      <c r="D178" s="48" t="s">
        <v>416</v>
      </c>
      <c r="E178" s="48" t="s">
        <v>317</v>
      </c>
      <c r="F178" s="48" t="s">
        <v>280</v>
      </c>
      <c r="G178" s="48" t="s">
        <v>306</v>
      </c>
      <c r="H178" s="48" t="s">
        <v>62</v>
      </c>
      <c r="I178" s="48" t="s">
        <v>161</v>
      </c>
      <c r="J178" s="49">
        <v>13</v>
      </c>
      <c r="K178" s="50">
        <v>120</v>
      </c>
      <c r="L178" s="50">
        <v>115.25</v>
      </c>
      <c r="M178" s="48" t="s">
        <v>276</v>
      </c>
      <c r="N178" s="51">
        <v>1</v>
      </c>
      <c r="O178" s="51">
        <v>1</v>
      </c>
      <c r="P178" s="52">
        <v>76</v>
      </c>
      <c r="Q178" s="52">
        <v>76</v>
      </c>
      <c r="R178" s="53" t="str">
        <f>INDEX(SKU_Master!$D$5:$D$34,MATCH($I178,SKU_Master!$A$5:$A$34,0))</f>
        <v>Accessory</v>
      </c>
      <c r="S178" s="54">
        <f t="shared" si="28"/>
        <v>3.9583333333333304E-2</v>
      </c>
      <c r="T178" s="55">
        <f t="shared" si="29"/>
        <v>1560</v>
      </c>
      <c r="U178" s="55">
        <f t="shared" si="30"/>
        <v>1498.25</v>
      </c>
      <c r="V178" s="55">
        <f t="shared" si="31"/>
        <v>-61.75</v>
      </c>
      <c r="W178" s="55">
        <f t="shared" si="32"/>
        <v>1498.25</v>
      </c>
      <c r="X178" s="55">
        <f t="shared" si="33"/>
        <v>0</v>
      </c>
      <c r="Y178" s="55">
        <f t="shared" si="34"/>
        <v>988</v>
      </c>
      <c r="Z178" s="55">
        <f t="shared" si="35"/>
        <v>988</v>
      </c>
      <c r="AA178" s="55">
        <f t="shared" si="36"/>
        <v>0</v>
      </c>
      <c r="AB178" s="55">
        <f t="shared" si="37"/>
        <v>510.25</v>
      </c>
      <c r="AC178" s="54">
        <f t="shared" si="38"/>
        <v>0.34056399132321041</v>
      </c>
      <c r="AD178" s="56">
        <f>INDEX(Assumptions!$B$14:$B$16,MATCH($R178,Assumptions!$A$14:$A$16,0))</f>
        <v>0.32</v>
      </c>
      <c r="AE178" s="56">
        <f>INDEX(Assumptions!$C$14:$C$16,MATCH($R178,Assumptions!$A$14:$A$16,0))</f>
        <v>0.22</v>
      </c>
      <c r="AF178" s="49">
        <f t="shared" si="39"/>
        <v>0</v>
      </c>
      <c r="AG178" s="49">
        <f t="shared" si="40"/>
        <v>0</v>
      </c>
      <c r="AH178" s="55">
        <f t="shared" si="41"/>
        <v>0</v>
      </c>
    </row>
    <row r="179" spans="1:34" x14ac:dyDescent="0.2">
      <c r="A179" s="48" t="s">
        <v>429</v>
      </c>
      <c r="B179" s="48">
        <v>1</v>
      </c>
      <c r="C179" s="48" t="s">
        <v>421</v>
      </c>
      <c r="D179" s="48" t="s">
        <v>416</v>
      </c>
      <c r="E179" s="48" t="s">
        <v>296</v>
      </c>
      <c r="F179" s="48" t="s">
        <v>297</v>
      </c>
      <c r="G179" s="48" t="s">
        <v>298</v>
      </c>
      <c r="H179" s="48" t="s">
        <v>66</v>
      </c>
      <c r="I179" s="48" t="s">
        <v>93</v>
      </c>
      <c r="J179" s="49">
        <v>20</v>
      </c>
      <c r="K179" s="50">
        <v>1325</v>
      </c>
      <c r="L179" s="50">
        <v>1270.28</v>
      </c>
      <c r="M179" s="48" t="s">
        <v>276</v>
      </c>
      <c r="N179" s="51">
        <v>0.92</v>
      </c>
      <c r="O179" s="51">
        <v>0.91710000000000003</v>
      </c>
      <c r="P179" s="52">
        <v>1206.2</v>
      </c>
      <c r="Q179" s="52">
        <v>1206.2</v>
      </c>
      <c r="R179" s="53" t="str">
        <f>INDEX(SKU_Master!$D$5:$D$34,MATCH($I179,SKU_Master!$A$5:$A$34,0))</f>
        <v>Laptop</v>
      </c>
      <c r="S179" s="54">
        <f t="shared" si="28"/>
        <v>4.1298113207547171E-2</v>
      </c>
      <c r="T179" s="55">
        <f t="shared" si="29"/>
        <v>28804.347826086956</v>
      </c>
      <c r="U179" s="55">
        <f t="shared" si="30"/>
        <v>27614.782608695648</v>
      </c>
      <c r="V179" s="55">
        <f t="shared" si="31"/>
        <v>-1189.5652173913077</v>
      </c>
      <c r="W179" s="55">
        <f t="shared" si="32"/>
        <v>27702.104459709954</v>
      </c>
      <c r="X179" s="55">
        <f t="shared" si="33"/>
        <v>87.321851014305139</v>
      </c>
      <c r="Y179" s="55">
        <f t="shared" si="34"/>
        <v>24124</v>
      </c>
      <c r="Z179" s="55">
        <f t="shared" si="35"/>
        <v>24124</v>
      </c>
      <c r="AA179" s="55">
        <f t="shared" si="36"/>
        <v>0</v>
      </c>
      <c r="AB179" s="55">
        <f t="shared" si="37"/>
        <v>3578.1044597099535</v>
      </c>
      <c r="AC179" s="54">
        <f t="shared" si="38"/>
        <v>0.12916363321472427</v>
      </c>
      <c r="AD179" s="56">
        <f>INDEX(Assumptions!$B$14:$B$16,MATCH($R179,Assumptions!$A$14:$A$16,0))</f>
        <v>0.12</v>
      </c>
      <c r="AE179" s="56">
        <f>INDEX(Assumptions!$C$14:$C$16,MATCH($R179,Assumptions!$A$14:$A$16,0))</f>
        <v>0.08</v>
      </c>
      <c r="AF179" s="49">
        <f t="shared" si="39"/>
        <v>0</v>
      </c>
      <c r="AG179" s="49">
        <f t="shared" si="40"/>
        <v>0</v>
      </c>
      <c r="AH179" s="55">
        <f t="shared" si="41"/>
        <v>0</v>
      </c>
    </row>
    <row r="180" spans="1:34" x14ac:dyDescent="0.2">
      <c r="A180" s="48" t="s">
        <v>429</v>
      </c>
      <c r="B180" s="48">
        <v>2</v>
      </c>
      <c r="C180" s="48" t="s">
        <v>421</v>
      </c>
      <c r="D180" s="48" t="s">
        <v>416</v>
      </c>
      <c r="E180" s="48" t="s">
        <v>296</v>
      </c>
      <c r="F180" s="48" t="s">
        <v>297</v>
      </c>
      <c r="G180" s="48" t="s">
        <v>298</v>
      </c>
      <c r="H180" s="48" t="s">
        <v>66</v>
      </c>
      <c r="I180" s="48" t="s">
        <v>141</v>
      </c>
      <c r="J180" s="49">
        <v>19</v>
      </c>
      <c r="K180" s="50">
        <v>450</v>
      </c>
      <c r="L180" s="50">
        <v>437.67</v>
      </c>
      <c r="M180" s="48" t="s">
        <v>276</v>
      </c>
      <c r="N180" s="51">
        <v>0.92</v>
      </c>
      <c r="O180" s="51">
        <v>0.91710000000000003</v>
      </c>
      <c r="P180" s="52">
        <v>376.7</v>
      </c>
      <c r="Q180" s="52">
        <v>376.7</v>
      </c>
      <c r="R180" s="53" t="str">
        <f>INDEX(SKU_Master!$D$5:$D$34,MATCH($I180,SKU_Master!$A$5:$A$34,0))</f>
        <v>Monitor</v>
      </c>
      <c r="S180" s="54">
        <f t="shared" si="28"/>
        <v>2.739999999999998E-2</v>
      </c>
      <c r="T180" s="55">
        <f t="shared" si="29"/>
        <v>9293.4782608695641</v>
      </c>
      <c r="U180" s="55">
        <f t="shared" si="30"/>
        <v>9038.8369565217381</v>
      </c>
      <c r="V180" s="55">
        <f t="shared" si="31"/>
        <v>-254.64130434782601</v>
      </c>
      <c r="W180" s="55">
        <f t="shared" si="32"/>
        <v>9067.4190382728157</v>
      </c>
      <c r="X180" s="55">
        <f t="shared" si="33"/>
        <v>28.582081751077567</v>
      </c>
      <c r="Y180" s="55">
        <f t="shared" si="34"/>
        <v>7157.3</v>
      </c>
      <c r="Z180" s="55">
        <f t="shared" si="35"/>
        <v>7157.3</v>
      </c>
      <c r="AA180" s="55">
        <f t="shared" si="36"/>
        <v>0</v>
      </c>
      <c r="AB180" s="55">
        <f t="shared" si="37"/>
        <v>1910.1190382728155</v>
      </c>
      <c r="AC180" s="54">
        <f t="shared" si="38"/>
        <v>0.21065741311947347</v>
      </c>
      <c r="AD180" s="56">
        <f>INDEX(Assumptions!$B$14:$B$16,MATCH($R180,Assumptions!$A$14:$A$16,0))</f>
        <v>0.18</v>
      </c>
      <c r="AE180" s="56">
        <f>INDEX(Assumptions!$C$14:$C$16,MATCH($R180,Assumptions!$A$14:$A$16,0))</f>
        <v>0.12</v>
      </c>
      <c r="AF180" s="49">
        <f t="shared" si="39"/>
        <v>0</v>
      </c>
      <c r="AG180" s="49">
        <f t="shared" si="40"/>
        <v>0</v>
      </c>
      <c r="AH180" s="55">
        <f t="shared" si="41"/>
        <v>0</v>
      </c>
    </row>
    <row r="181" spans="1:34" x14ac:dyDescent="0.2">
      <c r="A181" s="48" t="s">
        <v>429</v>
      </c>
      <c r="B181" s="48">
        <v>3</v>
      </c>
      <c r="C181" s="48" t="s">
        <v>421</v>
      </c>
      <c r="D181" s="48" t="s">
        <v>416</v>
      </c>
      <c r="E181" s="48" t="s">
        <v>296</v>
      </c>
      <c r="F181" s="48" t="s">
        <v>297</v>
      </c>
      <c r="G181" s="48" t="s">
        <v>298</v>
      </c>
      <c r="H181" s="48" t="s">
        <v>66</v>
      </c>
      <c r="I181" s="48" t="s">
        <v>157</v>
      </c>
      <c r="J181" s="49">
        <v>14</v>
      </c>
      <c r="K181" s="50">
        <v>135</v>
      </c>
      <c r="L181" s="50">
        <v>129.72999999999999</v>
      </c>
      <c r="M181" s="48" t="s">
        <v>276</v>
      </c>
      <c r="N181" s="51">
        <v>0.92</v>
      </c>
      <c r="O181" s="51">
        <v>0.91710000000000003</v>
      </c>
      <c r="P181" s="52">
        <v>91</v>
      </c>
      <c r="Q181" s="52">
        <v>91</v>
      </c>
      <c r="R181" s="53" t="str">
        <f>INDEX(SKU_Master!$D$5:$D$34,MATCH($I181,SKU_Master!$A$5:$A$34,0))</f>
        <v>Accessory</v>
      </c>
      <c r="S181" s="54">
        <f t="shared" si="28"/>
        <v>3.9037037037037092E-2</v>
      </c>
      <c r="T181" s="55">
        <f t="shared" si="29"/>
        <v>2054.3478260869565</v>
      </c>
      <c r="U181" s="55">
        <f t="shared" si="30"/>
        <v>1974.1521739130433</v>
      </c>
      <c r="V181" s="55">
        <f t="shared" si="31"/>
        <v>-80.195652173913231</v>
      </c>
      <c r="W181" s="55">
        <f t="shared" si="32"/>
        <v>1980.3947224948204</v>
      </c>
      <c r="X181" s="55">
        <f t="shared" si="33"/>
        <v>6.2425485817771005</v>
      </c>
      <c r="Y181" s="55">
        <f t="shared" si="34"/>
        <v>1274</v>
      </c>
      <c r="Z181" s="55">
        <f t="shared" si="35"/>
        <v>1274</v>
      </c>
      <c r="AA181" s="55">
        <f t="shared" si="36"/>
        <v>0</v>
      </c>
      <c r="AB181" s="55">
        <f t="shared" si="37"/>
        <v>706.39472249482037</v>
      </c>
      <c r="AC181" s="54">
        <f t="shared" si="38"/>
        <v>0.3566939027210359</v>
      </c>
      <c r="AD181" s="56">
        <f>INDEX(Assumptions!$B$14:$B$16,MATCH($R181,Assumptions!$A$14:$A$16,0))</f>
        <v>0.32</v>
      </c>
      <c r="AE181" s="56">
        <f>INDEX(Assumptions!$C$14:$C$16,MATCH($R181,Assumptions!$A$14:$A$16,0))</f>
        <v>0.22</v>
      </c>
      <c r="AF181" s="49">
        <f t="shared" si="39"/>
        <v>0</v>
      </c>
      <c r="AG181" s="49">
        <f t="shared" si="40"/>
        <v>0</v>
      </c>
      <c r="AH181" s="55">
        <f t="shared" si="41"/>
        <v>0</v>
      </c>
    </row>
    <row r="182" spans="1:34" x14ac:dyDescent="0.2">
      <c r="A182" s="48" t="s">
        <v>430</v>
      </c>
      <c r="B182" s="48">
        <v>1</v>
      </c>
      <c r="C182" s="48" t="s">
        <v>431</v>
      </c>
      <c r="D182" s="48" t="s">
        <v>416</v>
      </c>
      <c r="E182" s="48" t="s">
        <v>317</v>
      </c>
      <c r="F182" s="48" t="s">
        <v>280</v>
      </c>
      <c r="G182" s="48" t="s">
        <v>306</v>
      </c>
      <c r="H182" s="48" t="s">
        <v>62</v>
      </c>
      <c r="I182" s="48" t="s">
        <v>93</v>
      </c>
      <c r="J182" s="49">
        <v>24</v>
      </c>
      <c r="K182" s="50">
        <v>1390</v>
      </c>
      <c r="L182" s="50">
        <v>1332.5</v>
      </c>
      <c r="M182" s="48" t="s">
        <v>276</v>
      </c>
      <c r="N182" s="51">
        <v>1</v>
      </c>
      <c r="O182" s="51">
        <v>1</v>
      </c>
      <c r="P182" s="52">
        <v>1186.2</v>
      </c>
      <c r="Q182" s="52">
        <v>1186.2</v>
      </c>
      <c r="R182" s="53" t="str">
        <f>INDEX(SKU_Master!$D$5:$D$34,MATCH($I182,SKU_Master!$A$5:$A$34,0))</f>
        <v>Laptop</v>
      </c>
      <c r="S182" s="54">
        <f t="shared" si="28"/>
        <v>4.1366906474820109E-2</v>
      </c>
      <c r="T182" s="55">
        <f t="shared" si="29"/>
        <v>33360</v>
      </c>
      <c r="U182" s="55">
        <f t="shared" si="30"/>
        <v>31980</v>
      </c>
      <c r="V182" s="55">
        <f t="shared" si="31"/>
        <v>-1380</v>
      </c>
      <c r="W182" s="55">
        <f t="shared" si="32"/>
        <v>31980</v>
      </c>
      <c r="X182" s="55">
        <f t="shared" si="33"/>
        <v>0</v>
      </c>
      <c r="Y182" s="55">
        <f t="shared" si="34"/>
        <v>28468.800000000003</v>
      </c>
      <c r="Z182" s="55">
        <f t="shared" si="35"/>
        <v>28468.800000000003</v>
      </c>
      <c r="AA182" s="55">
        <f t="shared" si="36"/>
        <v>0</v>
      </c>
      <c r="AB182" s="55">
        <f t="shared" si="37"/>
        <v>3511.1999999999971</v>
      </c>
      <c r="AC182" s="54">
        <f t="shared" si="38"/>
        <v>0.10979362101313311</v>
      </c>
      <c r="AD182" s="56">
        <f>INDEX(Assumptions!$B$14:$B$16,MATCH($R182,Assumptions!$A$14:$A$16,0))</f>
        <v>0.12</v>
      </c>
      <c r="AE182" s="56">
        <f>INDEX(Assumptions!$C$14:$C$16,MATCH($R182,Assumptions!$A$14:$A$16,0))</f>
        <v>0.08</v>
      </c>
      <c r="AF182" s="49">
        <f t="shared" si="39"/>
        <v>0</v>
      </c>
      <c r="AG182" s="49">
        <f t="shared" si="40"/>
        <v>0</v>
      </c>
      <c r="AH182" s="55">
        <f t="shared" si="41"/>
        <v>326.40000000000282</v>
      </c>
    </row>
    <row r="183" spans="1:34" x14ac:dyDescent="0.2">
      <c r="A183" s="48" t="s">
        <v>430</v>
      </c>
      <c r="B183" s="48">
        <v>2</v>
      </c>
      <c r="C183" s="48" t="s">
        <v>431</v>
      </c>
      <c r="D183" s="48" t="s">
        <v>416</v>
      </c>
      <c r="E183" s="48" t="s">
        <v>317</v>
      </c>
      <c r="F183" s="48" t="s">
        <v>280</v>
      </c>
      <c r="G183" s="48" t="s">
        <v>306</v>
      </c>
      <c r="H183" s="48" t="s">
        <v>62</v>
      </c>
      <c r="I183" s="48" t="s">
        <v>135</v>
      </c>
      <c r="J183" s="49">
        <v>14</v>
      </c>
      <c r="K183" s="50">
        <v>240</v>
      </c>
      <c r="L183" s="50">
        <v>230.49</v>
      </c>
      <c r="M183" s="48" t="s">
        <v>276</v>
      </c>
      <c r="N183" s="51">
        <v>1</v>
      </c>
      <c r="O183" s="51">
        <v>1</v>
      </c>
      <c r="P183" s="52">
        <v>186.7</v>
      </c>
      <c r="Q183" s="52">
        <v>186.7</v>
      </c>
      <c r="R183" s="53" t="str">
        <f>INDEX(SKU_Master!$D$5:$D$34,MATCH($I183,SKU_Master!$A$5:$A$34,0))</f>
        <v>Monitor</v>
      </c>
      <c r="S183" s="54">
        <f t="shared" si="28"/>
        <v>3.962499999999991E-2</v>
      </c>
      <c r="T183" s="55">
        <f t="shared" si="29"/>
        <v>3360</v>
      </c>
      <c r="U183" s="55">
        <f t="shared" si="30"/>
        <v>3226.86</v>
      </c>
      <c r="V183" s="55">
        <f t="shared" si="31"/>
        <v>-133.13999999999987</v>
      </c>
      <c r="W183" s="55">
        <f t="shared" si="32"/>
        <v>3226.86</v>
      </c>
      <c r="X183" s="55">
        <f t="shared" si="33"/>
        <v>0</v>
      </c>
      <c r="Y183" s="55">
        <f t="shared" si="34"/>
        <v>2613.7999999999997</v>
      </c>
      <c r="Z183" s="55">
        <f t="shared" si="35"/>
        <v>2613.7999999999997</v>
      </c>
      <c r="AA183" s="55">
        <f t="shared" si="36"/>
        <v>0</v>
      </c>
      <c r="AB183" s="55">
        <f t="shared" si="37"/>
        <v>613.0600000000004</v>
      </c>
      <c r="AC183" s="54">
        <f t="shared" si="38"/>
        <v>0.18998655039264187</v>
      </c>
      <c r="AD183" s="56">
        <f>INDEX(Assumptions!$B$14:$B$16,MATCH($R183,Assumptions!$A$14:$A$16,0))</f>
        <v>0.18</v>
      </c>
      <c r="AE183" s="56">
        <f>INDEX(Assumptions!$C$14:$C$16,MATCH($R183,Assumptions!$A$14:$A$16,0))</f>
        <v>0.12</v>
      </c>
      <c r="AF183" s="49">
        <f t="shared" si="39"/>
        <v>0</v>
      </c>
      <c r="AG183" s="49">
        <f t="shared" si="40"/>
        <v>0</v>
      </c>
      <c r="AH183" s="55">
        <f t="shared" si="41"/>
        <v>0</v>
      </c>
    </row>
    <row r="184" spans="1:34" x14ac:dyDescent="0.2">
      <c r="A184" s="48" t="s">
        <v>432</v>
      </c>
      <c r="B184" s="48">
        <v>1</v>
      </c>
      <c r="C184" s="48" t="s">
        <v>426</v>
      </c>
      <c r="D184" s="48" t="s">
        <v>416</v>
      </c>
      <c r="E184" s="48" t="s">
        <v>273</v>
      </c>
      <c r="F184" s="48" t="s">
        <v>274</v>
      </c>
      <c r="G184" s="48" t="s">
        <v>275</v>
      </c>
      <c r="H184" s="48" t="s">
        <v>66</v>
      </c>
      <c r="I184" s="48" t="s">
        <v>113</v>
      </c>
      <c r="J184" s="49">
        <v>3</v>
      </c>
      <c r="K184" s="50">
        <v>1655</v>
      </c>
      <c r="L184" s="50">
        <v>1626.82</v>
      </c>
      <c r="M184" s="48" t="s">
        <v>276</v>
      </c>
      <c r="N184" s="51">
        <v>0.92</v>
      </c>
      <c r="O184" s="51">
        <v>0.91710000000000003</v>
      </c>
      <c r="P184" s="52">
        <v>1504.8</v>
      </c>
      <c r="Q184" s="52">
        <v>1504.8</v>
      </c>
      <c r="R184" s="53" t="str">
        <f>INDEX(SKU_Master!$D$5:$D$34,MATCH($I184,SKU_Master!$A$5:$A$34,0))</f>
        <v>Laptop</v>
      </c>
      <c r="S184" s="54">
        <f t="shared" si="28"/>
        <v>1.7027190332326358E-2</v>
      </c>
      <c r="T184" s="55">
        <f t="shared" si="29"/>
        <v>5396.7391304347821</v>
      </c>
      <c r="U184" s="55">
        <f t="shared" si="30"/>
        <v>5304.847826086956</v>
      </c>
      <c r="V184" s="55">
        <f t="shared" si="31"/>
        <v>-91.891304347826008</v>
      </c>
      <c r="W184" s="55">
        <f t="shared" si="32"/>
        <v>5321.6225057245665</v>
      </c>
      <c r="X184" s="55">
        <f t="shared" si="33"/>
        <v>16.774679637610461</v>
      </c>
      <c r="Y184" s="55">
        <f t="shared" si="34"/>
        <v>4514.3999999999996</v>
      </c>
      <c r="Z184" s="55">
        <f t="shared" si="35"/>
        <v>4514.3999999999996</v>
      </c>
      <c r="AA184" s="55">
        <f t="shared" si="36"/>
        <v>0</v>
      </c>
      <c r="AB184" s="55">
        <f t="shared" si="37"/>
        <v>807.22250572456687</v>
      </c>
      <c r="AC184" s="54">
        <f t="shared" si="38"/>
        <v>0.15168729177167731</v>
      </c>
      <c r="AD184" s="56">
        <f>INDEX(Assumptions!$B$14:$B$16,MATCH($R184,Assumptions!$A$14:$A$16,0))</f>
        <v>0.12</v>
      </c>
      <c r="AE184" s="56">
        <f>INDEX(Assumptions!$C$14:$C$16,MATCH($R184,Assumptions!$A$14:$A$16,0))</f>
        <v>0.08</v>
      </c>
      <c r="AF184" s="49">
        <f t="shared" si="39"/>
        <v>0</v>
      </c>
      <c r="AG184" s="49">
        <f t="shared" si="40"/>
        <v>0</v>
      </c>
      <c r="AH184" s="55">
        <f t="shared" si="41"/>
        <v>0</v>
      </c>
    </row>
    <row r="185" spans="1:34" x14ac:dyDescent="0.2">
      <c r="A185" s="48" t="s">
        <v>432</v>
      </c>
      <c r="B185" s="48">
        <v>2</v>
      </c>
      <c r="C185" s="48" t="s">
        <v>426</v>
      </c>
      <c r="D185" s="48" t="s">
        <v>416</v>
      </c>
      <c r="E185" s="48" t="s">
        <v>273</v>
      </c>
      <c r="F185" s="48" t="s">
        <v>274</v>
      </c>
      <c r="G185" s="48" t="s">
        <v>275</v>
      </c>
      <c r="H185" s="48" t="s">
        <v>66</v>
      </c>
      <c r="I185" s="48" t="s">
        <v>146</v>
      </c>
      <c r="J185" s="49">
        <v>2</v>
      </c>
      <c r="K185" s="50">
        <v>250</v>
      </c>
      <c r="L185" s="50">
        <v>247.35</v>
      </c>
      <c r="M185" s="48" t="s">
        <v>276</v>
      </c>
      <c r="N185" s="51">
        <v>0.92</v>
      </c>
      <c r="O185" s="51">
        <v>0.91710000000000003</v>
      </c>
      <c r="P185" s="52">
        <v>206.8</v>
      </c>
      <c r="Q185" s="52">
        <v>206.8</v>
      </c>
      <c r="R185" s="53" t="str">
        <f>INDEX(SKU_Master!$D$5:$D$34,MATCH($I185,SKU_Master!$A$5:$A$34,0))</f>
        <v>Monitor</v>
      </c>
      <c r="S185" s="54">
        <f t="shared" si="28"/>
        <v>1.0600000000000054E-2</v>
      </c>
      <c r="T185" s="55">
        <f t="shared" si="29"/>
        <v>543.47826086956525</v>
      </c>
      <c r="U185" s="55">
        <f t="shared" si="30"/>
        <v>537.71739130434776</v>
      </c>
      <c r="V185" s="55">
        <f t="shared" si="31"/>
        <v>-5.7608695652174902</v>
      </c>
      <c r="W185" s="55">
        <f t="shared" si="32"/>
        <v>539.41772980045789</v>
      </c>
      <c r="X185" s="55">
        <f t="shared" si="33"/>
        <v>1.7003384961101347</v>
      </c>
      <c r="Y185" s="55">
        <f t="shared" si="34"/>
        <v>413.6</v>
      </c>
      <c r="Z185" s="55">
        <f t="shared" si="35"/>
        <v>413.6</v>
      </c>
      <c r="AA185" s="55">
        <f t="shared" si="36"/>
        <v>0</v>
      </c>
      <c r="AB185" s="55">
        <f t="shared" si="37"/>
        <v>125.81772980045787</v>
      </c>
      <c r="AC185" s="54">
        <f t="shared" si="38"/>
        <v>0.23324730139478458</v>
      </c>
      <c r="AD185" s="56">
        <f>INDEX(Assumptions!$B$14:$B$16,MATCH($R185,Assumptions!$A$14:$A$16,0))</f>
        <v>0.18</v>
      </c>
      <c r="AE185" s="56">
        <f>INDEX(Assumptions!$C$14:$C$16,MATCH($R185,Assumptions!$A$14:$A$16,0))</f>
        <v>0.12</v>
      </c>
      <c r="AF185" s="49">
        <f t="shared" si="39"/>
        <v>0</v>
      </c>
      <c r="AG185" s="49">
        <f t="shared" si="40"/>
        <v>0</v>
      </c>
      <c r="AH185" s="55">
        <f t="shared" si="41"/>
        <v>0</v>
      </c>
    </row>
    <row r="186" spans="1:34" x14ac:dyDescent="0.2">
      <c r="A186" s="48" t="s">
        <v>432</v>
      </c>
      <c r="B186" s="48">
        <v>3</v>
      </c>
      <c r="C186" s="48" t="s">
        <v>426</v>
      </c>
      <c r="D186" s="48" t="s">
        <v>416</v>
      </c>
      <c r="E186" s="48" t="s">
        <v>273</v>
      </c>
      <c r="F186" s="48" t="s">
        <v>274</v>
      </c>
      <c r="G186" s="48" t="s">
        <v>275</v>
      </c>
      <c r="H186" s="48" t="s">
        <v>66</v>
      </c>
      <c r="I186" s="48" t="s">
        <v>157</v>
      </c>
      <c r="J186" s="49">
        <v>1</v>
      </c>
      <c r="K186" s="50">
        <v>135</v>
      </c>
      <c r="L186" s="50">
        <v>134.56</v>
      </c>
      <c r="M186" s="48" t="s">
        <v>276</v>
      </c>
      <c r="N186" s="51">
        <v>0.92</v>
      </c>
      <c r="O186" s="51">
        <v>0.91710000000000003</v>
      </c>
      <c r="P186" s="52">
        <v>91</v>
      </c>
      <c r="Q186" s="52">
        <v>91</v>
      </c>
      <c r="R186" s="53" t="str">
        <f>INDEX(SKU_Master!$D$5:$D$34,MATCH($I186,SKU_Master!$A$5:$A$34,0))</f>
        <v>Accessory</v>
      </c>
      <c r="S186" s="54">
        <f t="shared" si="28"/>
        <v>3.259259259259295E-3</v>
      </c>
      <c r="T186" s="55">
        <f t="shared" si="29"/>
        <v>146.7391304347826</v>
      </c>
      <c r="U186" s="55">
        <f t="shared" si="30"/>
        <v>146.26086956521738</v>
      </c>
      <c r="V186" s="55">
        <f t="shared" si="31"/>
        <v>-0.47826086956521863</v>
      </c>
      <c r="W186" s="55">
        <f t="shared" si="32"/>
        <v>146.72336713553594</v>
      </c>
      <c r="X186" s="55">
        <f t="shared" si="33"/>
        <v>0.4624975703185612</v>
      </c>
      <c r="Y186" s="55">
        <f t="shared" si="34"/>
        <v>91</v>
      </c>
      <c r="Z186" s="55">
        <f t="shared" si="35"/>
        <v>91</v>
      </c>
      <c r="AA186" s="55">
        <f t="shared" si="36"/>
        <v>0</v>
      </c>
      <c r="AB186" s="55">
        <f t="shared" si="37"/>
        <v>55.723367135535938</v>
      </c>
      <c r="AC186" s="54">
        <f t="shared" si="38"/>
        <v>0.37978522592152203</v>
      </c>
      <c r="AD186" s="56">
        <f>INDEX(Assumptions!$B$14:$B$16,MATCH($R186,Assumptions!$A$14:$A$16,0))</f>
        <v>0.32</v>
      </c>
      <c r="AE186" s="56">
        <f>INDEX(Assumptions!$C$14:$C$16,MATCH($R186,Assumptions!$A$14:$A$16,0))</f>
        <v>0.22</v>
      </c>
      <c r="AF186" s="49">
        <f t="shared" si="39"/>
        <v>0</v>
      </c>
      <c r="AG186" s="49">
        <f t="shared" si="40"/>
        <v>0</v>
      </c>
      <c r="AH186" s="55">
        <f t="shared" si="41"/>
        <v>0</v>
      </c>
    </row>
    <row r="187" spans="1:34" x14ac:dyDescent="0.2">
      <c r="A187" s="48" t="s">
        <v>433</v>
      </c>
      <c r="B187" s="48">
        <v>1</v>
      </c>
      <c r="C187" s="48" t="s">
        <v>434</v>
      </c>
      <c r="D187" s="48" t="s">
        <v>416</v>
      </c>
      <c r="E187" s="48" t="s">
        <v>301</v>
      </c>
      <c r="F187" s="48" t="s">
        <v>274</v>
      </c>
      <c r="G187" s="48" t="s">
        <v>302</v>
      </c>
      <c r="H187" s="48" t="s">
        <v>62</v>
      </c>
      <c r="I187" s="48" t="s">
        <v>108</v>
      </c>
      <c r="J187" s="49">
        <v>9</v>
      </c>
      <c r="K187" s="50">
        <v>1345</v>
      </c>
      <c r="L187" s="50">
        <v>1283.25</v>
      </c>
      <c r="M187" s="48" t="s">
        <v>276</v>
      </c>
      <c r="N187" s="51">
        <v>1</v>
      </c>
      <c r="O187" s="51">
        <v>1</v>
      </c>
      <c r="P187" s="52">
        <v>1145</v>
      </c>
      <c r="Q187" s="52">
        <v>1145</v>
      </c>
      <c r="R187" s="53" t="str">
        <f>INDEX(SKU_Master!$D$5:$D$34,MATCH($I187,SKU_Master!$A$5:$A$34,0))</f>
        <v>Laptop</v>
      </c>
      <c r="S187" s="54">
        <f t="shared" si="28"/>
        <v>4.5910780669145002E-2</v>
      </c>
      <c r="T187" s="55">
        <f t="shared" si="29"/>
        <v>12105</v>
      </c>
      <c r="U187" s="55">
        <f t="shared" si="30"/>
        <v>11549.25</v>
      </c>
      <c r="V187" s="55">
        <f t="shared" si="31"/>
        <v>-555.75</v>
      </c>
      <c r="W187" s="55">
        <f t="shared" si="32"/>
        <v>11549.25</v>
      </c>
      <c r="X187" s="55">
        <f t="shared" si="33"/>
        <v>0</v>
      </c>
      <c r="Y187" s="55">
        <f t="shared" si="34"/>
        <v>10305</v>
      </c>
      <c r="Z187" s="55">
        <f t="shared" si="35"/>
        <v>10305</v>
      </c>
      <c r="AA187" s="55">
        <f t="shared" si="36"/>
        <v>0</v>
      </c>
      <c r="AB187" s="55">
        <f t="shared" si="37"/>
        <v>1244.25</v>
      </c>
      <c r="AC187" s="54">
        <f t="shared" si="38"/>
        <v>0.10773426845899084</v>
      </c>
      <c r="AD187" s="56">
        <f>INDEX(Assumptions!$B$14:$B$16,MATCH($R187,Assumptions!$A$14:$A$16,0))</f>
        <v>0.12</v>
      </c>
      <c r="AE187" s="56">
        <f>INDEX(Assumptions!$C$14:$C$16,MATCH($R187,Assumptions!$A$14:$A$16,0))</f>
        <v>0.08</v>
      </c>
      <c r="AF187" s="49">
        <f t="shared" si="39"/>
        <v>0</v>
      </c>
      <c r="AG187" s="49">
        <f t="shared" si="40"/>
        <v>0</v>
      </c>
      <c r="AH187" s="55">
        <f t="shared" si="41"/>
        <v>141.65999999999985</v>
      </c>
    </row>
    <row r="188" spans="1:34" x14ac:dyDescent="0.2">
      <c r="A188" s="48" t="s">
        <v>435</v>
      </c>
      <c r="B188" s="48">
        <v>1</v>
      </c>
      <c r="C188" s="48" t="s">
        <v>436</v>
      </c>
      <c r="D188" s="48" t="s">
        <v>416</v>
      </c>
      <c r="E188" s="48" t="s">
        <v>437</v>
      </c>
      <c r="F188" s="48" t="s">
        <v>274</v>
      </c>
      <c r="G188" s="48" t="s">
        <v>302</v>
      </c>
      <c r="H188" s="48" t="s">
        <v>62</v>
      </c>
      <c r="I188" s="48" t="s">
        <v>106</v>
      </c>
      <c r="J188" s="49">
        <v>3</v>
      </c>
      <c r="K188" s="50">
        <v>1520</v>
      </c>
      <c r="L188" s="50">
        <v>1435.34</v>
      </c>
      <c r="M188" s="48" t="s">
        <v>276</v>
      </c>
      <c r="N188" s="51">
        <v>1</v>
      </c>
      <c r="O188" s="51">
        <v>1</v>
      </c>
      <c r="P188" s="52">
        <v>1298.4000000000001</v>
      </c>
      <c r="Q188" s="52">
        <v>1298.4000000000001</v>
      </c>
      <c r="R188" s="53" t="str">
        <f>INDEX(SKU_Master!$D$5:$D$34,MATCH($I188,SKU_Master!$A$5:$A$34,0))</f>
        <v>Laptop</v>
      </c>
      <c r="S188" s="54">
        <f t="shared" si="28"/>
        <v>5.5697368421052662E-2</v>
      </c>
      <c r="T188" s="55">
        <f t="shared" si="29"/>
        <v>4560</v>
      </c>
      <c r="U188" s="55">
        <f t="shared" si="30"/>
        <v>4306.0199999999995</v>
      </c>
      <c r="V188" s="55">
        <f t="shared" si="31"/>
        <v>-253.98000000000047</v>
      </c>
      <c r="W188" s="55">
        <f t="shared" si="32"/>
        <v>4306.0199999999995</v>
      </c>
      <c r="X188" s="55">
        <f t="shared" si="33"/>
        <v>0</v>
      </c>
      <c r="Y188" s="55">
        <f t="shared" si="34"/>
        <v>3895.2000000000003</v>
      </c>
      <c r="Z188" s="55">
        <f t="shared" si="35"/>
        <v>3895.2000000000003</v>
      </c>
      <c r="AA188" s="55">
        <f t="shared" si="36"/>
        <v>0</v>
      </c>
      <c r="AB188" s="55">
        <f t="shared" si="37"/>
        <v>410.81999999999925</v>
      </c>
      <c r="AC188" s="54">
        <f t="shared" si="38"/>
        <v>9.5405966530577951E-2</v>
      </c>
      <c r="AD188" s="56">
        <f>INDEX(Assumptions!$B$14:$B$16,MATCH($R188,Assumptions!$A$14:$A$16,0))</f>
        <v>0.12</v>
      </c>
      <c r="AE188" s="56">
        <f>INDEX(Assumptions!$C$14:$C$16,MATCH($R188,Assumptions!$A$14:$A$16,0))</f>
        <v>0.08</v>
      </c>
      <c r="AF188" s="49">
        <f t="shared" si="39"/>
        <v>0</v>
      </c>
      <c r="AG188" s="49">
        <f t="shared" si="40"/>
        <v>0</v>
      </c>
      <c r="AH188" s="55">
        <f t="shared" si="41"/>
        <v>105.90240000000063</v>
      </c>
    </row>
    <row r="189" spans="1:34" x14ac:dyDescent="0.2">
      <c r="A189" s="48" t="s">
        <v>435</v>
      </c>
      <c r="B189" s="48">
        <v>2</v>
      </c>
      <c r="C189" s="48" t="s">
        <v>436</v>
      </c>
      <c r="D189" s="48" t="s">
        <v>416</v>
      </c>
      <c r="E189" s="48" t="s">
        <v>437</v>
      </c>
      <c r="F189" s="48" t="s">
        <v>274</v>
      </c>
      <c r="G189" s="48" t="s">
        <v>302</v>
      </c>
      <c r="H189" s="48" t="s">
        <v>62</v>
      </c>
      <c r="I189" s="48" t="s">
        <v>135</v>
      </c>
      <c r="J189" s="49">
        <v>1</v>
      </c>
      <c r="K189" s="50">
        <v>240</v>
      </c>
      <c r="L189" s="50">
        <v>228.45</v>
      </c>
      <c r="M189" s="48" t="s">
        <v>276</v>
      </c>
      <c r="N189" s="51">
        <v>1</v>
      </c>
      <c r="O189" s="51">
        <v>1</v>
      </c>
      <c r="P189" s="52">
        <v>186.7</v>
      </c>
      <c r="Q189" s="52">
        <v>186.7</v>
      </c>
      <c r="R189" s="53" t="str">
        <f>INDEX(SKU_Master!$D$5:$D$34,MATCH($I189,SKU_Master!$A$5:$A$34,0))</f>
        <v>Monitor</v>
      </c>
      <c r="S189" s="54">
        <f t="shared" si="28"/>
        <v>4.8125000000000084E-2</v>
      </c>
      <c r="T189" s="55">
        <f t="shared" si="29"/>
        <v>240</v>
      </c>
      <c r="U189" s="55">
        <f t="shared" si="30"/>
        <v>228.45</v>
      </c>
      <c r="V189" s="55">
        <f t="shared" si="31"/>
        <v>-11.550000000000011</v>
      </c>
      <c r="W189" s="55">
        <f t="shared" si="32"/>
        <v>228.45</v>
      </c>
      <c r="X189" s="55">
        <f t="shared" si="33"/>
        <v>0</v>
      </c>
      <c r="Y189" s="55">
        <f t="shared" si="34"/>
        <v>186.7</v>
      </c>
      <c r="Z189" s="55">
        <f t="shared" si="35"/>
        <v>186.7</v>
      </c>
      <c r="AA189" s="55">
        <f t="shared" si="36"/>
        <v>0</v>
      </c>
      <c r="AB189" s="55">
        <f t="shared" si="37"/>
        <v>41.75</v>
      </c>
      <c r="AC189" s="54">
        <f t="shared" si="38"/>
        <v>0.1827533377106588</v>
      </c>
      <c r="AD189" s="56">
        <f>INDEX(Assumptions!$B$14:$B$16,MATCH($R189,Assumptions!$A$14:$A$16,0))</f>
        <v>0.18</v>
      </c>
      <c r="AE189" s="56">
        <f>INDEX(Assumptions!$C$14:$C$16,MATCH($R189,Assumptions!$A$14:$A$16,0))</f>
        <v>0.12</v>
      </c>
      <c r="AF189" s="49">
        <f t="shared" si="39"/>
        <v>0</v>
      </c>
      <c r="AG189" s="49">
        <f t="shared" si="40"/>
        <v>0</v>
      </c>
      <c r="AH189" s="55">
        <f t="shared" si="41"/>
        <v>0</v>
      </c>
    </row>
    <row r="190" spans="1:34" x14ac:dyDescent="0.2">
      <c r="A190" s="48" t="s">
        <v>435</v>
      </c>
      <c r="B190" s="48">
        <v>3</v>
      </c>
      <c r="C190" s="48" t="s">
        <v>436</v>
      </c>
      <c r="D190" s="48" t="s">
        <v>416</v>
      </c>
      <c r="E190" s="48" t="s">
        <v>437</v>
      </c>
      <c r="F190" s="48" t="s">
        <v>274</v>
      </c>
      <c r="G190" s="48" t="s">
        <v>302</v>
      </c>
      <c r="H190" s="48" t="s">
        <v>62</v>
      </c>
      <c r="I190" s="48" t="s">
        <v>157</v>
      </c>
      <c r="J190" s="49">
        <v>2</v>
      </c>
      <c r="K190" s="50">
        <v>135</v>
      </c>
      <c r="L190" s="50">
        <v>128.88999999999999</v>
      </c>
      <c r="M190" s="48" t="s">
        <v>276</v>
      </c>
      <c r="N190" s="51">
        <v>1</v>
      </c>
      <c r="O190" s="51">
        <v>1</v>
      </c>
      <c r="P190" s="52">
        <v>86</v>
      </c>
      <c r="Q190" s="52">
        <v>86</v>
      </c>
      <c r="R190" s="53" t="str">
        <f>INDEX(SKU_Master!$D$5:$D$34,MATCH($I190,SKU_Master!$A$5:$A$34,0))</f>
        <v>Accessory</v>
      </c>
      <c r="S190" s="54">
        <f t="shared" si="28"/>
        <v>4.5259259259259332E-2</v>
      </c>
      <c r="T190" s="55">
        <f t="shared" si="29"/>
        <v>270</v>
      </c>
      <c r="U190" s="55">
        <f t="shared" si="30"/>
        <v>257.77999999999997</v>
      </c>
      <c r="V190" s="55">
        <f t="shared" si="31"/>
        <v>-12.220000000000027</v>
      </c>
      <c r="W190" s="55">
        <f t="shared" si="32"/>
        <v>257.77999999999997</v>
      </c>
      <c r="X190" s="55">
        <f t="shared" si="33"/>
        <v>0</v>
      </c>
      <c r="Y190" s="55">
        <f t="shared" si="34"/>
        <v>172</v>
      </c>
      <c r="Z190" s="55">
        <f t="shared" si="35"/>
        <v>172</v>
      </c>
      <c r="AA190" s="55">
        <f t="shared" si="36"/>
        <v>0</v>
      </c>
      <c r="AB190" s="55">
        <f t="shared" si="37"/>
        <v>85.779999999999973</v>
      </c>
      <c r="AC190" s="54">
        <f t="shared" si="38"/>
        <v>0.33276437272092474</v>
      </c>
      <c r="AD190" s="56">
        <f>INDEX(Assumptions!$B$14:$B$16,MATCH($R190,Assumptions!$A$14:$A$16,0))</f>
        <v>0.32</v>
      </c>
      <c r="AE190" s="56">
        <f>INDEX(Assumptions!$C$14:$C$16,MATCH($R190,Assumptions!$A$14:$A$16,0))</f>
        <v>0.22</v>
      </c>
      <c r="AF190" s="49">
        <f t="shared" si="39"/>
        <v>0</v>
      </c>
      <c r="AG190" s="49">
        <f t="shared" si="40"/>
        <v>0</v>
      </c>
      <c r="AH190" s="55">
        <f t="shared" si="41"/>
        <v>0</v>
      </c>
    </row>
    <row r="191" spans="1:34" x14ac:dyDescent="0.2">
      <c r="A191" s="48" t="s">
        <v>438</v>
      </c>
      <c r="B191" s="48">
        <v>1</v>
      </c>
      <c r="C191" s="48" t="s">
        <v>439</v>
      </c>
      <c r="D191" s="48" t="s">
        <v>416</v>
      </c>
      <c r="E191" s="48" t="s">
        <v>336</v>
      </c>
      <c r="F191" s="48" t="s">
        <v>274</v>
      </c>
      <c r="G191" s="48" t="s">
        <v>288</v>
      </c>
      <c r="H191" s="48" t="s">
        <v>62</v>
      </c>
      <c r="I191" s="48" t="s">
        <v>113</v>
      </c>
      <c r="J191" s="49">
        <v>3</v>
      </c>
      <c r="K191" s="50">
        <v>1740</v>
      </c>
      <c r="L191" s="50">
        <v>1723.69</v>
      </c>
      <c r="M191" s="48" t="s">
        <v>276</v>
      </c>
      <c r="N191" s="51">
        <v>1</v>
      </c>
      <c r="O191" s="51">
        <v>1</v>
      </c>
      <c r="P191" s="52">
        <v>1484.8</v>
      </c>
      <c r="Q191" s="52">
        <v>1484.8</v>
      </c>
      <c r="R191" s="53" t="str">
        <f>INDEX(SKU_Master!$D$5:$D$34,MATCH($I191,SKU_Master!$A$5:$A$34,0))</f>
        <v>Laptop</v>
      </c>
      <c r="S191" s="54">
        <f t="shared" si="28"/>
        <v>9.3735632183907791E-3</v>
      </c>
      <c r="T191" s="55">
        <f t="shared" si="29"/>
        <v>5220</v>
      </c>
      <c r="U191" s="55">
        <f t="shared" si="30"/>
        <v>5171.07</v>
      </c>
      <c r="V191" s="55">
        <f t="shared" si="31"/>
        <v>-48.930000000000291</v>
      </c>
      <c r="W191" s="55">
        <f t="shared" si="32"/>
        <v>5171.07</v>
      </c>
      <c r="X191" s="55">
        <f t="shared" si="33"/>
        <v>0</v>
      </c>
      <c r="Y191" s="55">
        <f t="shared" si="34"/>
        <v>4454.3999999999996</v>
      </c>
      <c r="Z191" s="55">
        <f t="shared" si="35"/>
        <v>4454.3999999999996</v>
      </c>
      <c r="AA191" s="55">
        <f t="shared" si="36"/>
        <v>0</v>
      </c>
      <c r="AB191" s="55">
        <f t="shared" si="37"/>
        <v>716.67000000000007</v>
      </c>
      <c r="AC191" s="54">
        <f t="shared" si="38"/>
        <v>0.13859220625518512</v>
      </c>
      <c r="AD191" s="56">
        <f>INDEX(Assumptions!$B$14:$B$16,MATCH($R191,Assumptions!$A$14:$A$16,0))</f>
        <v>0.12</v>
      </c>
      <c r="AE191" s="56">
        <f>INDEX(Assumptions!$C$14:$C$16,MATCH($R191,Assumptions!$A$14:$A$16,0))</f>
        <v>0.08</v>
      </c>
      <c r="AF191" s="49">
        <f t="shared" si="39"/>
        <v>0</v>
      </c>
      <c r="AG191" s="49">
        <f t="shared" si="40"/>
        <v>0</v>
      </c>
      <c r="AH191" s="55">
        <f t="shared" si="41"/>
        <v>0</v>
      </c>
    </row>
    <row r="192" spans="1:34" x14ac:dyDescent="0.2">
      <c r="A192" s="48" t="s">
        <v>440</v>
      </c>
      <c r="B192" s="48">
        <v>1</v>
      </c>
      <c r="C192" s="48" t="s">
        <v>441</v>
      </c>
      <c r="D192" s="48" t="s">
        <v>416</v>
      </c>
      <c r="E192" s="48" t="s">
        <v>437</v>
      </c>
      <c r="F192" s="48" t="s">
        <v>274</v>
      </c>
      <c r="G192" s="48" t="s">
        <v>302</v>
      </c>
      <c r="H192" s="48" t="s">
        <v>62</v>
      </c>
      <c r="I192" s="48" t="s">
        <v>103</v>
      </c>
      <c r="J192" s="49">
        <v>6</v>
      </c>
      <c r="K192" s="50">
        <v>1135</v>
      </c>
      <c r="L192" s="50">
        <v>1116.97</v>
      </c>
      <c r="M192" s="48" t="s">
        <v>276</v>
      </c>
      <c r="N192" s="51">
        <v>1</v>
      </c>
      <c r="O192" s="51">
        <v>1</v>
      </c>
      <c r="P192" s="52">
        <v>968.6</v>
      </c>
      <c r="Q192" s="52">
        <v>968.6</v>
      </c>
      <c r="R192" s="53" t="str">
        <f>INDEX(SKU_Master!$D$5:$D$34,MATCH($I192,SKU_Master!$A$5:$A$34,0))</f>
        <v>Laptop</v>
      </c>
      <c r="S192" s="54">
        <f t="shared" si="28"/>
        <v>1.5885462555066066E-2</v>
      </c>
      <c r="T192" s="55">
        <f t="shared" si="29"/>
        <v>6810</v>
      </c>
      <c r="U192" s="55">
        <f t="shared" si="30"/>
        <v>6701.82</v>
      </c>
      <c r="V192" s="55">
        <f t="shared" si="31"/>
        <v>-108.18000000000029</v>
      </c>
      <c r="W192" s="55">
        <f t="shared" si="32"/>
        <v>6701.82</v>
      </c>
      <c r="X192" s="55">
        <f t="shared" si="33"/>
        <v>0</v>
      </c>
      <c r="Y192" s="55">
        <f t="shared" si="34"/>
        <v>5811.6</v>
      </c>
      <c r="Z192" s="55">
        <f t="shared" si="35"/>
        <v>5811.6</v>
      </c>
      <c r="AA192" s="55">
        <f t="shared" si="36"/>
        <v>0</v>
      </c>
      <c r="AB192" s="55">
        <f t="shared" si="37"/>
        <v>890.21999999999935</v>
      </c>
      <c r="AC192" s="54">
        <f t="shared" si="38"/>
        <v>0.13283257383815134</v>
      </c>
      <c r="AD192" s="56">
        <f>INDEX(Assumptions!$B$14:$B$16,MATCH($R192,Assumptions!$A$14:$A$16,0))</f>
        <v>0.12</v>
      </c>
      <c r="AE192" s="56">
        <f>INDEX(Assumptions!$C$14:$C$16,MATCH($R192,Assumptions!$A$14:$A$16,0))</f>
        <v>0.08</v>
      </c>
      <c r="AF192" s="49">
        <f t="shared" si="39"/>
        <v>0</v>
      </c>
      <c r="AG192" s="49">
        <f t="shared" si="40"/>
        <v>0</v>
      </c>
      <c r="AH192" s="55">
        <f t="shared" si="41"/>
        <v>0</v>
      </c>
    </row>
    <row r="193" spans="1:34" x14ac:dyDescent="0.2">
      <c r="A193" s="48" t="s">
        <v>440</v>
      </c>
      <c r="B193" s="48">
        <v>2</v>
      </c>
      <c r="C193" s="48" t="s">
        <v>441</v>
      </c>
      <c r="D193" s="48" t="s">
        <v>416</v>
      </c>
      <c r="E193" s="48" t="s">
        <v>437</v>
      </c>
      <c r="F193" s="48" t="s">
        <v>274</v>
      </c>
      <c r="G193" s="48" t="s">
        <v>302</v>
      </c>
      <c r="H193" s="48" t="s">
        <v>62</v>
      </c>
      <c r="I193" s="48" t="s">
        <v>166</v>
      </c>
      <c r="J193" s="49">
        <v>6</v>
      </c>
      <c r="K193" s="50">
        <v>265</v>
      </c>
      <c r="L193" s="50">
        <v>263.88</v>
      </c>
      <c r="M193" s="48" t="s">
        <v>276</v>
      </c>
      <c r="N193" s="51">
        <v>1</v>
      </c>
      <c r="O193" s="51">
        <v>1</v>
      </c>
      <c r="P193" s="52">
        <v>169.35</v>
      </c>
      <c r="Q193" s="52">
        <v>169.35</v>
      </c>
      <c r="R193" s="53" t="str">
        <f>INDEX(SKU_Master!$D$5:$D$34,MATCH($I193,SKU_Master!$A$5:$A$34,0))</f>
        <v>Accessory</v>
      </c>
      <c r="S193" s="54">
        <f t="shared" si="28"/>
        <v>4.2264150943396306E-3</v>
      </c>
      <c r="T193" s="55">
        <f t="shared" si="29"/>
        <v>1590</v>
      </c>
      <c r="U193" s="55">
        <f t="shared" si="30"/>
        <v>1583.28</v>
      </c>
      <c r="V193" s="55">
        <f t="shared" si="31"/>
        <v>-6.7200000000000273</v>
      </c>
      <c r="W193" s="55">
        <f t="shared" si="32"/>
        <v>1583.28</v>
      </c>
      <c r="X193" s="55">
        <f t="shared" si="33"/>
        <v>0</v>
      </c>
      <c r="Y193" s="55">
        <f t="shared" si="34"/>
        <v>1016.0999999999999</v>
      </c>
      <c r="Z193" s="55">
        <f t="shared" si="35"/>
        <v>1016.0999999999999</v>
      </c>
      <c r="AA193" s="55">
        <f t="shared" si="36"/>
        <v>0</v>
      </c>
      <c r="AB193" s="55">
        <f t="shared" si="37"/>
        <v>567.18000000000006</v>
      </c>
      <c r="AC193" s="54">
        <f t="shared" si="38"/>
        <v>0.358231014097317</v>
      </c>
      <c r="AD193" s="56">
        <f>INDEX(Assumptions!$B$14:$B$16,MATCH($R193,Assumptions!$A$14:$A$16,0))</f>
        <v>0.32</v>
      </c>
      <c r="AE193" s="56">
        <f>INDEX(Assumptions!$C$14:$C$16,MATCH($R193,Assumptions!$A$14:$A$16,0))</f>
        <v>0.22</v>
      </c>
      <c r="AF193" s="49">
        <f t="shared" si="39"/>
        <v>0</v>
      </c>
      <c r="AG193" s="49">
        <f t="shared" si="40"/>
        <v>0</v>
      </c>
      <c r="AH193" s="55">
        <f t="shared" si="41"/>
        <v>0</v>
      </c>
    </row>
    <row r="194" spans="1:34" x14ac:dyDescent="0.2">
      <c r="A194" s="48" t="s">
        <v>442</v>
      </c>
      <c r="B194" s="48">
        <v>1</v>
      </c>
      <c r="C194" s="48" t="s">
        <v>443</v>
      </c>
      <c r="D194" s="48" t="s">
        <v>416</v>
      </c>
      <c r="E194" s="48" t="s">
        <v>368</v>
      </c>
      <c r="F194" s="48" t="s">
        <v>274</v>
      </c>
      <c r="G194" s="48" t="s">
        <v>288</v>
      </c>
      <c r="H194" s="48" t="s">
        <v>68</v>
      </c>
      <c r="I194" s="48" t="s">
        <v>132</v>
      </c>
      <c r="J194" s="49">
        <v>5</v>
      </c>
      <c r="K194" s="50">
        <v>1480</v>
      </c>
      <c r="L194" s="50">
        <v>1471.69</v>
      </c>
      <c r="M194" s="48" t="s">
        <v>276</v>
      </c>
      <c r="N194" s="51">
        <v>1.37</v>
      </c>
      <c r="O194" s="51">
        <v>1.3673</v>
      </c>
      <c r="P194" s="52">
        <v>903</v>
      </c>
      <c r="Q194" s="52">
        <v>903</v>
      </c>
      <c r="R194" s="53" t="str">
        <f>INDEX(SKU_Master!$D$5:$D$34,MATCH($I194,SKU_Master!$A$5:$A$34,0))</f>
        <v>Laptop</v>
      </c>
      <c r="S194" s="54">
        <f t="shared" si="28"/>
        <v>5.6148648648648436E-3</v>
      </c>
      <c r="T194" s="55">
        <f t="shared" si="29"/>
        <v>5401.459854014598</v>
      </c>
      <c r="U194" s="55">
        <f t="shared" si="30"/>
        <v>5371.1313868613142</v>
      </c>
      <c r="V194" s="55">
        <f t="shared" si="31"/>
        <v>-30.328467153283782</v>
      </c>
      <c r="W194" s="55">
        <f t="shared" si="32"/>
        <v>5381.737731295254</v>
      </c>
      <c r="X194" s="55">
        <f t="shared" si="33"/>
        <v>10.606344433939739</v>
      </c>
      <c r="Y194" s="55">
        <f t="shared" si="34"/>
        <v>4515</v>
      </c>
      <c r="Z194" s="55">
        <f t="shared" si="35"/>
        <v>4515</v>
      </c>
      <c r="AA194" s="55">
        <f t="shared" si="36"/>
        <v>0</v>
      </c>
      <c r="AB194" s="55">
        <f t="shared" si="37"/>
        <v>866.73773129525398</v>
      </c>
      <c r="AC194" s="54">
        <f t="shared" si="38"/>
        <v>0.16105164810523964</v>
      </c>
      <c r="AD194" s="56">
        <f>INDEX(Assumptions!$B$14:$B$16,MATCH($R194,Assumptions!$A$14:$A$16,0))</f>
        <v>0.12</v>
      </c>
      <c r="AE194" s="56">
        <f>INDEX(Assumptions!$C$14:$C$16,MATCH($R194,Assumptions!$A$14:$A$16,0))</f>
        <v>0.08</v>
      </c>
      <c r="AF194" s="49">
        <f t="shared" si="39"/>
        <v>0</v>
      </c>
      <c r="AG194" s="49">
        <f t="shared" si="40"/>
        <v>0</v>
      </c>
      <c r="AH194" s="55">
        <f t="shared" si="41"/>
        <v>0</v>
      </c>
    </row>
    <row r="195" spans="1:34" x14ac:dyDescent="0.2">
      <c r="A195" s="48" t="s">
        <v>442</v>
      </c>
      <c r="B195" s="48">
        <v>2</v>
      </c>
      <c r="C195" s="48" t="s">
        <v>443</v>
      </c>
      <c r="D195" s="48" t="s">
        <v>416</v>
      </c>
      <c r="E195" s="48" t="s">
        <v>368</v>
      </c>
      <c r="F195" s="48" t="s">
        <v>274</v>
      </c>
      <c r="G195" s="48" t="s">
        <v>288</v>
      </c>
      <c r="H195" s="48" t="s">
        <v>68</v>
      </c>
      <c r="I195" s="48" t="s">
        <v>151</v>
      </c>
      <c r="J195" s="49">
        <v>3</v>
      </c>
      <c r="K195" s="50">
        <v>475</v>
      </c>
      <c r="L195" s="50">
        <v>473.77</v>
      </c>
      <c r="M195" s="48" t="s">
        <v>276</v>
      </c>
      <c r="N195" s="51">
        <v>1.37</v>
      </c>
      <c r="O195" s="51">
        <v>1.3673</v>
      </c>
      <c r="P195" s="52">
        <v>219.7</v>
      </c>
      <c r="Q195" s="52">
        <v>219.7</v>
      </c>
      <c r="R195" s="53" t="str">
        <f>INDEX(SKU_Master!$D$5:$D$34,MATCH($I195,SKU_Master!$A$5:$A$34,0))</f>
        <v>Accessory</v>
      </c>
      <c r="S195" s="54">
        <f t="shared" si="28"/>
        <v>2.5894736842105859E-3</v>
      </c>
      <c r="T195" s="55">
        <f t="shared" si="29"/>
        <v>1040.1459854014597</v>
      </c>
      <c r="U195" s="55">
        <f t="shared" si="30"/>
        <v>1037.4525547445255</v>
      </c>
      <c r="V195" s="55">
        <f t="shared" si="31"/>
        <v>-2.693430656934197</v>
      </c>
      <c r="W195" s="55">
        <f t="shared" si="32"/>
        <v>1039.5012067578439</v>
      </c>
      <c r="X195" s="55">
        <f t="shared" si="33"/>
        <v>2.0486520133183603</v>
      </c>
      <c r="Y195" s="55">
        <f t="shared" si="34"/>
        <v>659.09999999999991</v>
      </c>
      <c r="Z195" s="55">
        <f t="shared" si="35"/>
        <v>659.09999999999991</v>
      </c>
      <c r="AA195" s="55">
        <f t="shared" si="36"/>
        <v>0</v>
      </c>
      <c r="AB195" s="55">
        <f t="shared" si="37"/>
        <v>380.40120675784397</v>
      </c>
      <c r="AC195" s="54">
        <f t="shared" si="38"/>
        <v>0.36594590201996757</v>
      </c>
      <c r="AD195" s="56">
        <f>INDEX(Assumptions!$B$14:$B$16,MATCH($R195,Assumptions!$A$14:$A$16,0))</f>
        <v>0.32</v>
      </c>
      <c r="AE195" s="56">
        <f>INDEX(Assumptions!$C$14:$C$16,MATCH($R195,Assumptions!$A$14:$A$16,0))</f>
        <v>0.22</v>
      </c>
      <c r="AF195" s="49">
        <f t="shared" si="39"/>
        <v>0</v>
      </c>
      <c r="AG195" s="49">
        <f t="shared" si="40"/>
        <v>0</v>
      </c>
      <c r="AH195" s="55">
        <f t="shared" si="41"/>
        <v>0</v>
      </c>
    </row>
    <row r="196" spans="1:34" x14ac:dyDescent="0.2">
      <c r="A196" s="48" t="s">
        <v>444</v>
      </c>
      <c r="B196" s="48">
        <v>1</v>
      </c>
      <c r="C196" s="48" t="s">
        <v>441</v>
      </c>
      <c r="D196" s="48" t="s">
        <v>416</v>
      </c>
      <c r="E196" s="48" t="s">
        <v>417</v>
      </c>
      <c r="F196" s="48" t="s">
        <v>280</v>
      </c>
      <c r="G196" s="48" t="s">
        <v>298</v>
      </c>
      <c r="H196" s="48" t="s">
        <v>62</v>
      </c>
      <c r="I196" s="48" t="s">
        <v>101</v>
      </c>
      <c r="J196" s="49">
        <v>8</v>
      </c>
      <c r="K196" s="50">
        <v>3440</v>
      </c>
      <c r="L196" s="50">
        <v>3318.17</v>
      </c>
      <c r="M196" s="48" t="s">
        <v>276</v>
      </c>
      <c r="N196" s="51">
        <v>1</v>
      </c>
      <c r="O196" s="51">
        <v>1</v>
      </c>
      <c r="P196" s="52">
        <v>2938.5</v>
      </c>
      <c r="Q196" s="52">
        <v>2938.5</v>
      </c>
      <c r="R196" s="53" t="str">
        <f>INDEX(SKU_Master!$D$5:$D$34,MATCH($I196,SKU_Master!$A$5:$A$34,0))</f>
        <v>Laptop</v>
      </c>
      <c r="S196" s="54">
        <f t="shared" si="28"/>
        <v>3.5415697674418545E-2</v>
      </c>
      <c r="T196" s="55">
        <f t="shared" si="29"/>
        <v>27520</v>
      </c>
      <c r="U196" s="55">
        <f t="shared" si="30"/>
        <v>26545.360000000001</v>
      </c>
      <c r="V196" s="55">
        <f t="shared" si="31"/>
        <v>-974.63999999999942</v>
      </c>
      <c r="W196" s="55">
        <f t="shared" si="32"/>
        <v>26545.360000000001</v>
      </c>
      <c r="X196" s="55">
        <f t="shared" si="33"/>
        <v>0</v>
      </c>
      <c r="Y196" s="55">
        <f t="shared" si="34"/>
        <v>23508</v>
      </c>
      <c r="Z196" s="55">
        <f t="shared" si="35"/>
        <v>23508</v>
      </c>
      <c r="AA196" s="55">
        <f t="shared" si="36"/>
        <v>0</v>
      </c>
      <c r="AB196" s="55">
        <f t="shared" si="37"/>
        <v>3037.3600000000006</v>
      </c>
      <c r="AC196" s="54">
        <f t="shared" si="38"/>
        <v>0.11442150341905329</v>
      </c>
      <c r="AD196" s="56">
        <f>INDEX(Assumptions!$B$14:$B$16,MATCH($R196,Assumptions!$A$14:$A$16,0))</f>
        <v>0.12</v>
      </c>
      <c r="AE196" s="56">
        <f>INDEX(Assumptions!$C$14:$C$16,MATCH($R196,Assumptions!$A$14:$A$16,0))</f>
        <v>0.08</v>
      </c>
      <c r="AF196" s="49">
        <f t="shared" si="39"/>
        <v>0</v>
      </c>
      <c r="AG196" s="49">
        <f t="shared" si="40"/>
        <v>0</v>
      </c>
      <c r="AH196" s="55">
        <f t="shared" si="41"/>
        <v>148.08319999999958</v>
      </c>
    </row>
    <row r="197" spans="1:34" x14ac:dyDescent="0.2">
      <c r="A197" s="48" t="s">
        <v>444</v>
      </c>
      <c r="B197" s="48">
        <v>2</v>
      </c>
      <c r="C197" s="48" t="s">
        <v>441</v>
      </c>
      <c r="D197" s="48" t="s">
        <v>416</v>
      </c>
      <c r="E197" s="48" t="s">
        <v>417</v>
      </c>
      <c r="F197" s="48" t="s">
        <v>280</v>
      </c>
      <c r="G197" s="48" t="s">
        <v>298</v>
      </c>
      <c r="H197" s="48" t="s">
        <v>62</v>
      </c>
      <c r="I197" s="48" t="s">
        <v>161</v>
      </c>
      <c r="J197" s="49">
        <v>7</v>
      </c>
      <c r="K197" s="50">
        <v>120</v>
      </c>
      <c r="L197" s="50">
        <v>116.28</v>
      </c>
      <c r="M197" s="48" t="s">
        <v>276</v>
      </c>
      <c r="N197" s="51">
        <v>1</v>
      </c>
      <c r="O197" s="51">
        <v>1</v>
      </c>
      <c r="P197" s="52">
        <v>76</v>
      </c>
      <c r="Q197" s="52">
        <v>76</v>
      </c>
      <c r="R197" s="53" t="str">
        <f>INDEX(SKU_Master!$D$5:$D$34,MATCH($I197,SKU_Master!$A$5:$A$34,0))</f>
        <v>Accessory</v>
      </c>
      <c r="S197" s="54">
        <f t="shared" ref="S197:S260" si="42">IF(K197=0,0,1-L197/K197)</f>
        <v>3.1000000000000028E-2</v>
      </c>
      <c r="T197" s="55">
        <f t="shared" ref="T197:T260" si="43">J197*K197/N197</f>
        <v>840</v>
      </c>
      <c r="U197" s="55">
        <f t="shared" ref="U197:U260" si="44">J197*L197/N197</f>
        <v>813.96</v>
      </c>
      <c r="V197" s="55">
        <f t="shared" ref="V197:V260" si="45">U197-T197</f>
        <v>-26.039999999999964</v>
      </c>
      <c r="W197" s="55">
        <f t="shared" ref="W197:W260" si="46">J197*L197/O197</f>
        <v>813.96</v>
      </c>
      <c r="X197" s="55">
        <f t="shared" ref="X197:X260" si="47">W197-U197</f>
        <v>0</v>
      </c>
      <c r="Y197" s="55">
        <f t="shared" ref="Y197:Y260" si="48">J197*P197</f>
        <v>532</v>
      </c>
      <c r="Z197" s="55">
        <f t="shared" ref="Z197:Z260" si="49">J197*Q197</f>
        <v>532</v>
      </c>
      <c r="AA197" s="55">
        <f t="shared" ref="AA197:AA260" si="50">Y197-Z197</f>
        <v>0</v>
      </c>
      <c r="AB197" s="55">
        <f t="shared" ref="AB197:AB260" si="51">W197-Z197</f>
        <v>281.96000000000004</v>
      </c>
      <c r="AC197" s="54">
        <f t="shared" ref="AC197:AC260" si="52">IF(W197=0,0,AB197/W197)</f>
        <v>0.34640522875816998</v>
      </c>
      <c r="AD197" s="56">
        <f>INDEX(Assumptions!$B$14:$B$16,MATCH($R197,Assumptions!$A$14:$A$16,0))</f>
        <v>0.32</v>
      </c>
      <c r="AE197" s="56">
        <f>INDEX(Assumptions!$C$14:$C$16,MATCH($R197,Assumptions!$A$14:$A$16,0))</f>
        <v>0.22</v>
      </c>
      <c r="AF197" s="49">
        <f t="shared" ref="AF197:AF260" si="53">IF(AC197&lt;AE197,1,0)</f>
        <v>0</v>
      </c>
      <c r="AG197" s="49">
        <f t="shared" ref="AG197:AG260" si="54">IF(AND(AF197=1,M197="N"),1,0)</f>
        <v>0</v>
      </c>
      <c r="AH197" s="55">
        <f t="shared" ref="AH197:AH260" si="55">MAX(0,W197*AD197-AB197)</f>
        <v>0</v>
      </c>
    </row>
    <row r="198" spans="1:34" x14ac:dyDescent="0.2">
      <c r="A198" s="48" t="s">
        <v>445</v>
      </c>
      <c r="B198" s="48">
        <v>1</v>
      </c>
      <c r="C198" s="48" t="s">
        <v>446</v>
      </c>
      <c r="D198" s="48" t="s">
        <v>416</v>
      </c>
      <c r="E198" s="48" t="s">
        <v>362</v>
      </c>
      <c r="F198" s="48" t="s">
        <v>280</v>
      </c>
      <c r="G198" s="48" t="s">
        <v>275</v>
      </c>
      <c r="H198" s="48" t="s">
        <v>62</v>
      </c>
      <c r="I198" s="48" t="s">
        <v>98</v>
      </c>
      <c r="J198" s="49">
        <v>16</v>
      </c>
      <c r="K198" s="50">
        <v>2085</v>
      </c>
      <c r="L198" s="50">
        <v>2014.67</v>
      </c>
      <c r="M198" s="48" t="s">
        <v>276</v>
      </c>
      <c r="N198" s="51">
        <v>1</v>
      </c>
      <c r="O198" s="51">
        <v>1</v>
      </c>
      <c r="P198" s="52">
        <v>1780.2</v>
      </c>
      <c r="Q198" s="52">
        <v>1780.2</v>
      </c>
      <c r="R198" s="53" t="str">
        <f>INDEX(SKU_Master!$D$5:$D$34,MATCH($I198,SKU_Master!$A$5:$A$34,0))</f>
        <v>Laptop</v>
      </c>
      <c r="S198" s="54">
        <f t="shared" si="42"/>
        <v>3.3731414868105492E-2</v>
      </c>
      <c r="T198" s="55">
        <f t="shared" si="43"/>
        <v>33360</v>
      </c>
      <c r="U198" s="55">
        <f t="shared" si="44"/>
        <v>32234.720000000001</v>
      </c>
      <c r="V198" s="55">
        <f t="shared" si="45"/>
        <v>-1125.2799999999988</v>
      </c>
      <c r="W198" s="55">
        <f t="shared" si="46"/>
        <v>32234.720000000001</v>
      </c>
      <c r="X198" s="55">
        <f t="shared" si="47"/>
        <v>0</v>
      </c>
      <c r="Y198" s="55">
        <f t="shared" si="48"/>
        <v>28483.200000000001</v>
      </c>
      <c r="Z198" s="55">
        <f t="shared" si="49"/>
        <v>28483.200000000001</v>
      </c>
      <c r="AA198" s="55">
        <f t="shared" si="50"/>
        <v>0</v>
      </c>
      <c r="AB198" s="55">
        <f t="shared" si="51"/>
        <v>3751.5200000000004</v>
      </c>
      <c r="AC198" s="54">
        <f t="shared" si="52"/>
        <v>0.11638134285019383</v>
      </c>
      <c r="AD198" s="56">
        <f>INDEX(Assumptions!$B$14:$B$16,MATCH($R198,Assumptions!$A$14:$A$16,0))</f>
        <v>0.12</v>
      </c>
      <c r="AE198" s="56">
        <f>INDEX(Assumptions!$C$14:$C$16,MATCH($R198,Assumptions!$A$14:$A$16,0))</f>
        <v>0.08</v>
      </c>
      <c r="AF198" s="49">
        <f t="shared" si="53"/>
        <v>0</v>
      </c>
      <c r="AG198" s="49">
        <f t="shared" si="54"/>
        <v>0</v>
      </c>
      <c r="AH198" s="55">
        <f t="shared" si="55"/>
        <v>116.64639999999963</v>
      </c>
    </row>
    <row r="199" spans="1:34" x14ac:dyDescent="0.2">
      <c r="A199" s="48" t="s">
        <v>445</v>
      </c>
      <c r="B199" s="48">
        <v>2</v>
      </c>
      <c r="C199" s="48" t="s">
        <v>446</v>
      </c>
      <c r="D199" s="48" t="s">
        <v>416</v>
      </c>
      <c r="E199" s="48" t="s">
        <v>362</v>
      </c>
      <c r="F199" s="48" t="s">
        <v>280</v>
      </c>
      <c r="G199" s="48" t="s">
        <v>275</v>
      </c>
      <c r="H199" s="48" t="s">
        <v>62</v>
      </c>
      <c r="I199" s="48" t="s">
        <v>173</v>
      </c>
      <c r="J199" s="49">
        <v>6</v>
      </c>
      <c r="K199" s="50">
        <v>55</v>
      </c>
      <c r="L199" s="50">
        <v>53.58</v>
      </c>
      <c r="M199" s="48" t="s">
        <v>276</v>
      </c>
      <c r="N199" s="51">
        <v>1</v>
      </c>
      <c r="O199" s="51">
        <v>1</v>
      </c>
      <c r="P199" s="52">
        <v>34</v>
      </c>
      <c r="Q199" s="52">
        <v>34</v>
      </c>
      <c r="R199" s="53" t="str">
        <f>INDEX(SKU_Master!$D$5:$D$34,MATCH($I199,SKU_Master!$A$5:$A$34,0))</f>
        <v>Accessory</v>
      </c>
      <c r="S199" s="54">
        <f t="shared" si="42"/>
        <v>2.5818181818181851E-2</v>
      </c>
      <c r="T199" s="55">
        <f t="shared" si="43"/>
        <v>330</v>
      </c>
      <c r="U199" s="55">
        <f t="shared" si="44"/>
        <v>321.48</v>
      </c>
      <c r="V199" s="55">
        <f t="shared" si="45"/>
        <v>-8.5199999999999818</v>
      </c>
      <c r="W199" s="55">
        <f t="shared" si="46"/>
        <v>321.48</v>
      </c>
      <c r="X199" s="55">
        <f t="shared" si="47"/>
        <v>0</v>
      </c>
      <c r="Y199" s="55">
        <f t="shared" si="48"/>
        <v>204</v>
      </c>
      <c r="Z199" s="55">
        <f t="shared" si="49"/>
        <v>204</v>
      </c>
      <c r="AA199" s="55">
        <f t="shared" si="50"/>
        <v>0</v>
      </c>
      <c r="AB199" s="55">
        <f t="shared" si="51"/>
        <v>117.48000000000002</v>
      </c>
      <c r="AC199" s="54">
        <f t="shared" si="52"/>
        <v>0.36543486375513257</v>
      </c>
      <c r="AD199" s="56">
        <f>INDEX(Assumptions!$B$14:$B$16,MATCH($R199,Assumptions!$A$14:$A$16,0))</f>
        <v>0.32</v>
      </c>
      <c r="AE199" s="56">
        <f>INDEX(Assumptions!$C$14:$C$16,MATCH($R199,Assumptions!$A$14:$A$16,0))</f>
        <v>0.22</v>
      </c>
      <c r="AF199" s="49">
        <f t="shared" si="53"/>
        <v>0</v>
      </c>
      <c r="AG199" s="49">
        <f t="shared" si="54"/>
        <v>0</v>
      </c>
      <c r="AH199" s="55">
        <f t="shared" si="55"/>
        <v>0</v>
      </c>
    </row>
    <row r="200" spans="1:34" x14ac:dyDescent="0.2">
      <c r="A200" s="48" t="s">
        <v>447</v>
      </c>
      <c r="B200" s="48">
        <v>1</v>
      </c>
      <c r="C200" s="48" t="s">
        <v>448</v>
      </c>
      <c r="D200" s="48" t="s">
        <v>416</v>
      </c>
      <c r="E200" s="48" t="s">
        <v>333</v>
      </c>
      <c r="F200" s="48" t="s">
        <v>297</v>
      </c>
      <c r="G200" s="48" t="s">
        <v>302</v>
      </c>
      <c r="H200" s="48" t="s">
        <v>70</v>
      </c>
      <c r="I200" s="48" t="s">
        <v>110</v>
      </c>
      <c r="J200" s="49">
        <v>44</v>
      </c>
      <c r="K200" s="50">
        <v>113335</v>
      </c>
      <c r="L200" s="50">
        <v>110211.26</v>
      </c>
      <c r="M200" s="48" t="s">
        <v>276</v>
      </c>
      <c r="N200" s="51">
        <v>83.5</v>
      </c>
      <c r="O200" s="51">
        <v>83.602099999999993</v>
      </c>
      <c r="P200" s="52">
        <v>1136.8599999999999</v>
      </c>
      <c r="Q200" s="52">
        <v>1156.8599999999999</v>
      </c>
      <c r="R200" s="53" t="str">
        <f>INDEX(SKU_Master!$D$5:$D$34,MATCH($I200,SKU_Master!$A$5:$A$34,0))</f>
        <v>Laptop</v>
      </c>
      <c r="S200" s="54">
        <f t="shared" si="42"/>
        <v>2.7562006441081754E-2</v>
      </c>
      <c r="T200" s="55">
        <f t="shared" si="43"/>
        <v>59721.437125748504</v>
      </c>
      <c r="U200" s="55">
        <f t="shared" si="44"/>
        <v>58075.394491017956</v>
      </c>
      <c r="V200" s="55">
        <f t="shared" si="45"/>
        <v>-1646.0426347305474</v>
      </c>
      <c r="W200" s="55">
        <f t="shared" si="46"/>
        <v>58004.469265724183</v>
      </c>
      <c r="X200" s="55">
        <f t="shared" si="47"/>
        <v>-70.92522529377311</v>
      </c>
      <c r="Y200" s="55">
        <f t="shared" si="48"/>
        <v>50021.84</v>
      </c>
      <c r="Z200" s="55">
        <f t="shared" si="49"/>
        <v>50901.84</v>
      </c>
      <c r="AA200" s="55">
        <f t="shared" si="50"/>
        <v>-880</v>
      </c>
      <c r="AB200" s="55">
        <f t="shared" si="51"/>
        <v>7102.6292657241866</v>
      </c>
      <c r="AC200" s="54">
        <f t="shared" si="52"/>
        <v>0.12244968975039394</v>
      </c>
      <c r="AD200" s="56">
        <f>INDEX(Assumptions!$B$14:$B$16,MATCH($R200,Assumptions!$A$14:$A$16,0))</f>
        <v>0.12</v>
      </c>
      <c r="AE200" s="56">
        <f>INDEX(Assumptions!$C$14:$C$16,MATCH($R200,Assumptions!$A$14:$A$16,0))</f>
        <v>0.08</v>
      </c>
      <c r="AF200" s="49">
        <f t="shared" si="53"/>
        <v>0</v>
      </c>
      <c r="AG200" s="49">
        <f t="shared" si="54"/>
        <v>0</v>
      </c>
      <c r="AH200" s="55">
        <f t="shared" si="55"/>
        <v>0</v>
      </c>
    </row>
    <row r="201" spans="1:34" x14ac:dyDescent="0.2">
      <c r="A201" s="48" t="s">
        <v>449</v>
      </c>
      <c r="B201" s="48">
        <v>1</v>
      </c>
      <c r="C201" s="48" t="s">
        <v>450</v>
      </c>
      <c r="D201" s="48" t="s">
        <v>416</v>
      </c>
      <c r="E201" s="48" t="s">
        <v>355</v>
      </c>
      <c r="F201" s="48" t="s">
        <v>280</v>
      </c>
      <c r="G201" s="48" t="s">
        <v>302</v>
      </c>
      <c r="H201" s="48" t="s">
        <v>62</v>
      </c>
      <c r="I201" s="48" t="s">
        <v>108</v>
      </c>
      <c r="J201" s="49">
        <v>14</v>
      </c>
      <c r="K201" s="50">
        <v>1345</v>
      </c>
      <c r="L201" s="50">
        <v>1234.17</v>
      </c>
      <c r="M201" s="48" t="s">
        <v>276</v>
      </c>
      <c r="N201" s="51">
        <v>1</v>
      </c>
      <c r="O201" s="51">
        <v>1</v>
      </c>
      <c r="P201" s="52">
        <v>1145</v>
      </c>
      <c r="Q201" s="52">
        <v>1145</v>
      </c>
      <c r="R201" s="53" t="str">
        <f>INDEX(SKU_Master!$D$5:$D$34,MATCH($I201,SKU_Master!$A$5:$A$34,0))</f>
        <v>Laptop</v>
      </c>
      <c r="S201" s="54">
        <f t="shared" si="42"/>
        <v>8.2401486988847528E-2</v>
      </c>
      <c r="T201" s="55">
        <f t="shared" si="43"/>
        <v>18830</v>
      </c>
      <c r="U201" s="55">
        <f t="shared" si="44"/>
        <v>17278.38</v>
      </c>
      <c r="V201" s="55">
        <f t="shared" si="45"/>
        <v>-1551.619999999999</v>
      </c>
      <c r="W201" s="55">
        <f t="shared" si="46"/>
        <v>17278.38</v>
      </c>
      <c r="X201" s="55">
        <f t="shared" si="47"/>
        <v>0</v>
      </c>
      <c r="Y201" s="55">
        <f t="shared" si="48"/>
        <v>16030</v>
      </c>
      <c r="Z201" s="55">
        <f t="shared" si="49"/>
        <v>16030</v>
      </c>
      <c r="AA201" s="55">
        <f t="shared" si="50"/>
        <v>0</v>
      </c>
      <c r="AB201" s="55">
        <f t="shared" si="51"/>
        <v>1248.380000000001</v>
      </c>
      <c r="AC201" s="54">
        <f t="shared" si="52"/>
        <v>7.2250986492946728E-2</v>
      </c>
      <c r="AD201" s="56">
        <f>INDEX(Assumptions!$B$14:$B$16,MATCH($R201,Assumptions!$A$14:$A$16,0))</f>
        <v>0.12</v>
      </c>
      <c r="AE201" s="56">
        <f>INDEX(Assumptions!$C$14:$C$16,MATCH($R201,Assumptions!$A$14:$A$16,0))</f>
        <v>0.08</v>
      </c>
      <c r="AF201" s="49">
        <f t="shared" si="53"/>
        <v>1</v>
      </c>
      <c r="AG201" s="49">
        <f t="shared" si="54"/>
        <v>1</v>
      </c>
      <c r="AH201" s="55">
        <f t="shared" si="55"/>
        <v>825.02559999999903</v>
      </c>
    </row>
    <row r="202" spans="1:34" x14ac:dyDescent="0.2">
      <c r="A202" s="48" t="s">
        <v>449</v>
      </c>
      <c r="B202" s="48">
        <v>2</v>
      </c>
      <c r="C202" s="48" t="s">
        <v>450</v>
      </c>
      <c r="D202" s="48" t="s">
        <v>416</v>
      </c>
      <c r="E202" s="48" t="s">
        <v>355</v>
      </c>
      <c r="F202" s="48" t="s">
        <v>280</v>
      </c>
      <c r="G202" s="48" t="s">
        <v>302</v>
      </c>
      <c r="H202" s="48" t="s">
        <v>62</v>
      </c>
      <c r="I202" s="48" t="s">
        <v>164</v>
      </c>
      <c r="J202" s="49">
        <v>9</v>
      </c>
      <c r="K202" s="50">
        <v>190</v>
      </c>
      <c r="L202" s="50">
        <v>180.87</v>
      </c>
      <c r="M202" s="48" t="s">
        <v>276</v>
      </c>
      <c r="N202" s="51">
        <v>1</v>
      </c>
      <c r="O202" s="51">
        <v>1</v>
      </c>
      <c r="P202" s="52">
        <v>121</v>
      </c>
      <c r="Q202" s="52">
        <v>121</v>
      </c>
      <c r="R202" s="53" t="str">
        <f>INDEX(SKU_Master!$D$5:$D$34,MATCH($I202,SKU_Master!$A$5:$A$34,0))</f>
        <v>Accessory</v>
      </c>
      <c r="S202" s="54">
        <f t="shared" si="42"/>
        <v>4.8052631578947347E-2</v>
      </c>
      <c r="T202" s="55">
        <f t="shared" si="43"/>
        <v>1710</v>
      </c>
      <c r="U202" s="55">
        <f t="shared" si="44"/>
        <v>1627.83</v>
      </c>
      <c r="V202" s="55">
        <f t="shared" si="45"/>
        <v>-82.170000000000073</v>
      </c>
      <c r="W202" s="55">
        <f t="shared" si="46"/>
        <v>1627.83</v>
      </c>
      <c r="X202" s="55">
        <f t="shared" si="47"/>
        <v>0</v>
      </c>
      <c r="Y202" s="55">
        <f t="shared" si="48"/>
        <v>1089</v>
      </c>
      <c r="Z202" s="55">
        <f t="shared" si="49"/>
        <v>1089</v>
      </c>
      <c r="AA202" s="55">
        <f t="shared" si="50"/>
        <v>0</v>
      </c>
      <c r="AB202" s="55">
        <f t="shared" si="51"/>
        <v>538.82999999999993</v>
      </c>
      <c r="AC202" s="54">
        <f t="shared" si="52"/>
        <v>0.33101122353071266</v>
      </c>
      <c r="AD202" s="56">
        <f>INDEX(Assumptions!$B$14:$B$16,MATCH($R202,Assumptions!$A$14:$A$16,0))</f>
        <v>0.32</v>
      </c>
      <c r="AE202" s="56">
        <f>INDEX(Assumptions!$C$14:$C$16,MATCH($R202,Assumptions!$A$14:$A$16,0))</f>
        <v>0.22</v>
      </c>
      <c r="AF202" s="49">
        <f t="shared" si="53"/>
        <v>0</v>
      </c>
      <c r="AG202" s="49">
        <f t="shared" si="54"/>
        <v>0</v>
      </c>
      <c r="AH202" s="55">
        <f t="shared" si="55"/>
        <v>0</v>
      </c>
    </row>
    <row r="203" spans="1:34" x14ac:dyDescent="0.2">
      <c r="A203" s="48" t="s">
        <v>451</v>
      </c>
      <c r="B203" s="48">
        <v>1</v>
      </c>
      <c r="C203" s="48" t="s">
        <v>446</v>
      </c>
      <c r="D203" s="48" t="s">
        <v>416</v>
      </c>
      <c r="E203" s="48" t="s">
        <v>437</v>
      </c>
      <c r="F203" s="48" t="s">
        <v>274</v>
      </c>
      <c r="G203" s="48" t="s">
        <v>302</v>
      </c>
      <c r="H203" s="48" t="s">
        <v>62</v>
      </c>
      <c r="I203" s="48" t="s">
        <v>93</v>
      </c>
      <c r="J203" s="49">
        <v>7</v>
      </c>
      <c r="K203" s="50">
        <v>1390</v>
      </c>
      <c r="L203" s="50">
        <v>1320.67</v>
      </c>
      <c r="M203" s="48" t="s">
        <v>276</v>
      </c>
      <c r="N203" s="51">
        <v>1</v>
      </c>
      <c r="O203" s="51">
        <v>1</v>
      </c>
      <c r="P203" s="52">
        <v>1186.2</v>
      </c>
      <c r="Q203" s="52">
        <v>1186.2</v>
      </c>
      <c r="R203" s="53" t="str">
        <f>INDEX(SKU_Master!$D$5:$D$34,MATCH($I203,SKU_Master!$A$5:$A$34,0))</f>
        <v>Laptop</v>
      </c>
      <c r="S203" s="54">
        <f t="shared" si="42"/>
        <v>4.9877697841726576E-2</v>
      </c>
      <c r="T203" s="55">
        <f t="shared" si="43"/>
        <v>9730</v>
      </c>
      <c r="U203" s="55">
        <f t="shared" si="44"/>
        <v>9244.69</v>
      </c>
      <c r="V203" s="55">
        <f t="shared" si="45"/>
        <v>-485.30999999999949</v>
      </c>
      <c r="W203" s="55">
        <f t="shared" si="46"/>
        <v>9244.69</v>
      </c>
      <c r="X203" s="55">
        <f t="shared" si="47"/>
        <v>0</v>
      </c>
      <c r="Y203" s="55">
        <f t="shared" si="48"/>
        <v>8303.4</v>
      </c>
      <c r="Z203" s="55">
        <f t="shared" si="49"/>
        <v>8303.4</v>
      </c>
      <c r="AA203" s="55">
        <f t="shared" si="50"/>
        <v>0</v>
      </c>
      <c r="AB203" s="55">
        <f t="shared" si="51"/>
        <v>941.29000000000087</v>
      </c>
      <c r="AC203" s="54">
        <f t="shared" si="52"/>
        <v>0.1018195309956311</v>
      </c>
      <c r="AD203" s="56">
        <f>INDEX(Assumptions!$B$14:$B$16,MATCH($R203,Assumptions!$A$14:$A$16,0))</f>
        <v>0.12</v>
      </c>
      <c r="AE203" s="56">
        <f>INDEX(Assumptions!$C$14:$C$16,MATCH($R203,Assumptions!$A$14:$A$16,0))</f>
        <v>0.08</v>
      </c>
      <c r="AF203" s="49">
        <f t="shared" si="53"/>
        <v>0</v>
      </c>
      <c r="AG203" s="49">
        <f t="shared" si="54"/>
        <v>0</v>
      </c>
      <c r="AH203" s="55">
        <f t="shared" si="55"/>
        <v>168.07279999999923</v>
      </c>
    </row>
    <row r="204" spans="1:34" x14ac:dyDescent="0.2">
      <c r="A204" s="48" t="s">
        <v>451</v>
      </c>
      <c r="B204" s="48">
        <v>2</v>
      </c>
      <c r="C204" s="48" t="s">
        <v>446</v>
      </c>
      <c r="D204" s="48" t="s">
        <v>416</v>
      </c>
      <c r="E204" s="48" t="s">
        <v>437</v>
      </c>
      <c r="F204" s="48" t="s">
        <v>274</v>
      </c>
      <c r="G204" s="48" t="s">
        <v>302</v>
      </c>
      <c r="H204" s="48" t="s">
        <v>62</v>
      </c>
      <c r="I204" s="48" t="s">
        <v>173</v>
      </c>
      <c r="J204" s="49">
        <v>4</v>
      </c>
      <c r="K204" s="50">
        <v>55</v>
      </c>
      <c r="L204" s="50">
        <v>52.71</v>
      </c>
      <c r="M204" s="48" t="s">
        <v>276</v>
      </c>
      <c r="N204" s="51">
        <v>1</v>
      </c>
      <c r="O204" s="51">
        <v>1</v>
      </c>
      <c r="P204" s="52">
        <v>34</v>
      </c>
      <c r="Q204" s="52">
        <v>34</v>
      </c>
      <c r="R204" s="53" t="str">
        <f>INDEX(SKU_Master!$D$5:$D$34,MATCH($I204,SKU_Master!$A$5:$A$34,0))</f>
        <v>Accessory</v>
      </c>
      <c r="S204" s="54">
        <f t="shared" si="42"/>
        <v>4.1636363636363583E-2</v>
      </c>
      <c r="T204" s="55">
        <f t="shared" si="43"/>
        <v>220</v>
      </c>
      <c r="U204" s="55">
        <f t="shared" si="44"/>
        <v>210.84</v>
      </c>
      <c r="V204" s="55">
        <f t="shared" si="45"/>
        <v>-9.1599999999999966</v>
      </c>
      <c r="W204" s="55">
        <f t="shared" si="46"/>
        <v>210.84</v>
      </c>
      <c r="X204" s="55">
        <f t="shared" si="47"/>
        <v>0</v>
      </c>
      <c r="Y204" s="55">
        <f t="shared" si="48"/>
        <v>136</v>
      </c>
      <c r="Z204" s="55">
        <f t="shared" si="49"/>
        <v>136</v>
      </c>
      <c r="AA204" s="55">
        <f t="shared" si="50"/>
        <v>0</v>
      </c>
      <c r="AB204" s="55">
        <f t="shared" si="51"/>
        <v>74.84</v>
      </c>
      <c r="AC204" s="54">
        <f t="shared" si="52"/>
        <v>0.35496110794915575</v>
      </c>
      <c r="AD204" s="56">
        <f>INDEX(Assumptions!$B$14:$B$16,MATCH($R204,Assumptions!$A$14:$A$16,0))</f>
        <v>0.32</v>
      </c>
      <c r="AE204" s="56">
        <f>INDEX(Assumptions!$C$14:$C$16,MATCH($R204,Assumptions!$A$14:$A$16,0))</f>
        <v>0.22</v>
      </c>
      <c r="AF204" s="49">
        <f t="shared" si="53"/>
        <v>0</v>
      </c>
      <c r="AG204" s="49">
        <f t="shared" si="54"/>
        <v>0</v>
      </c>
      <c r="AH204" s="55">
        <f t="shared" si="55"/>
        <v>0</v>
      </c>
    </row>
    <row r="205" spans="1:34" x14ac:dyDescent="0.2">
      <c r="A205" s="48" t="s">
        <v>452</v>
      </c>
      <c r="B205" s="48">
        <v>1</v>
      </c>
      <c r="C205" s="48" t="s">
        <v>453</v>
      </c>
      <c r="D205" s="48" t="s">
        <v>416</v>
      </c>
      <c r="E205" s="48" t="s">
        <v>287</v>
      </c>
      <c r="F205" s="48" t="s">
        <v>274</v>
      </c>
      <c r="G205" s="48" t="s">
        <v>288</v>
      </c>
      <c r="H205" s="48" t="s">
        <v>62</v>
      </c>
      <c r="I205" s="48" t="s">
        <v>121</v>
      </c>
      <c r="J205" s="49">
        <v>3</v>
      </c>
      <c r="K205" s="50">
        <v>920</v>
      </c>
      <c r="L205" s="50">
        <v>916.27</v>
      </c>
      <c r="M205" s="48" t="s">
        <v>276</v>
      </c>
      <c r="N205" s="51">
        <v>1</v>
      </c>
      <c r="O205" s="51">
        <v>1</v>
      </c>
      <c r="P205" s="52">
        <v>782.4</v>
      </c>
      <c r="Q205" s="52">
        <v>782.4</v>
      </c>
      <c r="R205" s="53" t="str">
        <f>INDEX(SKU_Master!$D$5:$D$34,MATCH($I205,SKU_Master!$A$5:$A$34,0))</f>
        <v>Laptop</v>
      </c>
      <c r="S205" s="54">
        <f t="shared" si="42"/>
        <v>4.0543478260869348E-3</v>
      </c>
      <c r="T205" s="55">
        <f t="shared" si="43"/>
        <v>2760</v>
      </c>
      <c r="U205" s="55">
        <f t="shared" si="44"/>
        <v>2748.81</v>
      </c>
      <c r="V205" s="55">
        <f t="shared" si="45"/>
        <v>-11.190000000000055</v>
      </c>
      <c r="W205" s="55">
        <f t="shared" si="46"/>
        <v>2748.81</v>
      </c>
      <c r="X205" s="55">
        <f t="shared" si="47"/>
        <v>0</v>
      </c>
      <c r="Y205" s="55">
        <f t="shared" si="48"/>
        <v>2347.1999999999998</v>
      </c>
      <c r="Z205" s="55">
        <f t="shared" si="49"/>
        <v>2347.1999999999998</v>
      </c>
      <c r="AA205" s="55">
        <f t="shared" si="50"/>
        <v>0</v>
      </c>
      <c r="AB205" s="55">
        <f t="shared" si="51"/>
        <v>401.61000000000013</v>
      </c>
      <c r="AC205" s="54">
        <f t="shared" si="52"/>
        <v>0.14610322284916022</v>
      </c>
      <c r="AD205" s="56">
        <f>INDEX(Assumptions!$B$14:$B$16,MATCH($R205,Assumptions!$A$14:$A$16,0))</f>
        <v>0.12</v>
      </c>
      <c r="AE205" s="56">
        <f>INDEX(Assumptions!$C$14:$C$16,MATCH($R205,Assumptions!$A$14:$A$16,0))</f>
        <v>0.08</v>
      </c>
      <c r="AF205" s="49">
        <f t="shared" si="53"/>
        <v>0</v>
      </c>
      <c r="AG205" s="49">
        <f t="shared" si="54"/>
        <v>0</v>
      </c>
      <c r="AH205" s="55">
        <f t="shared" si="55"/>
        <v>0</v>
      </c>
    </row>
    <row r="206" spans="1:34" x14ac:dyDescent="0.2">
      <c r="A206" s="48" t="s">
        <v>452</v>
      </c>
      <c r="B206" s="48">
        <v>2</v>
      </c>
      <c r="C206" s="48" t="s">
        <v>453</v>
      </c>
      <c r="D206" s="48" t="s">
        <v>416</v>
      </c>
      <c r="E206" s="48" t="s">
        <v>287</v>
      </c>
      <c r="F206" s="48" t="s">
        <v>274</v>
      </c>
      <c r="G206" s="48" t="s">
        <v>288</v>
      </c>
      <c r="H206" s="48" t="s">
        <v>62</v>
      </c>
      <c r="I206" s="48" t="s">
        <v>138</v>
      </c>
      <c r="J206" s="49">
        <v>2</v>
      </c>
      <c r="K206" s="50">
        <v>455</v>
      </c>
      <c r="L206" s="50">
        <v>446.33</v>
      </c>
      <c r="M206" s="48" t="s">
        <v>276</v>
      </c>
      <c r="N206" s="51">
        <v>1</v>
      </c>
      <c r="O206" s="51">
        <v>1</v>
      </c>
      <c r="P206" s="52">
        <v>358.2</v>
      </c>
      <c r="Q206" s="52">
        <v>358.2</v>
      </c>
      <c r="R206" s="53" t="str">
        <f>INDEX(SKU_Master!$D$5:$D$34,MATCH($I206,SKU_Master!$A$5:$A$34,0))</f>
        <v>Monitor</v>
      </c>
      <c r="S206" s="54">
        <f t="shared" si="42"/>
        <v>1.9054945054945094E-2</v>
      </c>
      <c r="T206" s="55">
        <f t="shared" si="43"/>
        <v>910</v>
      </c>
      <c r="U206" s="55">
        <f t="shared" si="44"/>
        <v>892.66</v>
      </c>
      <c r="V206" s="55">
        <f t="shared" si="45"/>
        <v>-17.340000000000032</v>
      </c>
      <c r="W206" s="55">
        <f t="shared" si="46"/>
        <v>892.66</v>
      </c>
      <c r="X206" s="55">
        <f t="shared" si="47"/>
        <v>0</v>
      </c>
      <c r="Y206" s="55">
        <f t="shared" si="48"/>
        <v>716.4</v>
      </c>
      <c r="Z206" s="55">
        <f t="shared" si="49"/>
        <v>716.4</v>
      </c>
      <c r="AA206" s="55">
        <f t="shared" si="50"/>
        <v>0</v>
      </c>
      <c r="AB206" s="55">
        <f t="shared" si="51"/>
        <v>176.26</v>
      </c>
      <c r="AC206" s="54">
        <f t="shared" si="52"/>
        <v>0.19745479801940269</v>
      </c>
      <c r="AD206" s="56">
        <f>INDEX(Assumptions!$B$14:$B$16,MATCH($R206,Assumptions!$A$14:$A$16,0))</f>
        <v>0.18</v>
      </c>
      <c r="AE206" s="56">
        <f>INDEX(Assumptions!$C$14:$C$16,MATCH($R206,Assumptions!$A$14:$A$16,0))</f>
        <v>0.12</v>
      </c>
      <c r="AF206" s="49">
        <f t="shared" si="53"/>
        <v>0</v>
      </c>
      <c r="AG206" s="49">
        <f t="shared" si="54"/>
        <v>0</v>
      </c>
      <c r="AH206" s="55">
        <f t="shared" si="55"/>
        <v>0</v>
      </c>
    </row>
    <row r="207" spans="1:34" x14ac:dyDescent="0.2">
      <c r="A207" s="48" t="s">
        <v>452</v>
      </c>
      <c r="B207" s="48">
        <v>3</v>
      </c>
      <c r="C207" s="48" t="s">
        <v>453</v>
      </c>
      <c r="D207" s="48" t="s">
        <v>416</v>
      </c>
      <c r="E207" s="48" t="s">
        <v>287</v>
      </c>
      <c r="F207" s="48" t="s">
        <v>274</v>
      </c>
      <c r="G207" s="48" t="s">
        <v>288</v>
      </c>
      <c r="H207" s="48" t="s">
        <v>62</v>
      </c>
      <c r="I207" s="48" t="s">
        <v>164</v>
      </c>
      <c r="J207" s="49">
        <v>1</v>
      </c>
      <c r="K207" s="50">
        <v>190</v>
      </c>
      <c r="L207" s="50">
        <v>187.62</v>
      </c>
      <c r="M207" s="48" t="s">
        <v>276</v>
      </c>
      <c r="N207" s="51">
        <v>1</v>
      </c>
      <c r="O207" s="51">
        <v>1</v>
      </c>
      <c r="P207" s="52">
        <v>121</v>
      </c>
      <c r="Q207" s="52">
        <v>121</v>
      </c>
      <c r="R207" s="53" t="str">
        <f>INDEX(SKU_Master!$D$5:$D$34,MATCH($I207,SKU_Master!$A$5:$A$34,0))</f>
        <v>Accessory</v>
      </c>
      <c r="S207" s="54">
        <f t="shared" si="42"/>
        <v>1.2526315789473608E-2</v>
      </c>
      <c r="T207" s="55">
        <f t="shared" si="43"/>
        <v>190</v>
      </c>
      <c r="U207" s="55">
        <f t="shared" si="44"/>
        <v>187.62</v>
      </c>
      <c r="V207" s="55">
        <f t="shared" si="45"/>
        <v>-2.3799999999999955</v>
      </c>
      <c r="W207" s="55">
        <f t="shared" si="46"/>
        <v>187.62</v>
      </c>
      <c r="X207" s="55">
        <f t="shared" si="47"/>
        <v>0</v>
      </c>
      <c r="Y207" s="55">
        <f t="shared" si="48"/>
        <v>121</v>
      </c>
      <c r="Z207" s="55">
        <f t="shared" si="49"/>
        <v>121</v>
      </c>
      <c r="AA207" s="55">
        <f t="shared" si="50"/>
        <v>0</v>
      </c>
      <c r="AB207" s="55">
        <f t="shared" si="51"/>
        <v>66.62</v>
      </c>
      <c r="AC207" s="54">
        <f t="shared" si="52"/>
        <v>0.35507941584052877</v>
      </c>
      <c r="AD207" s="56">
        <f>INDEX(Assumptions!$B$14:$B$16,MATCH($R207,Assumptions!$A$14:$A$16,0))</f>
        <v>0.32</v>
      </c>
      <c r="AE207" s="56">
        <f>INDEX(Assumptions!$C$14:$C$16,MATCH($R207,Assumptions!$A$14:$A$16,0))</f>
        <v>0.22</v>
      </c>
      <c r="AF207" s="49">
        <f t="shared" si="53"/>
        <v>0</v>
      </c>
      <c r="AG207" s="49">
        <f t="shared" si="54"/>
        <v>0</v>
      </c>
      <c r="AH207" s="55">
        <f t="shared" si="55"/>
        <v>0</v>
      </c>
    </row>
    <row r="208" spans="1:34" x14ac:dyDescent="0.2">
      <c r="A208" s="48" t="s">
        <v>454</v>
      </c>
      <c r="B208" s="48">
        <v>1</v>
      </c>
      <c r="C208" s="48" t="s">
        <v>455</v>
      </c>
      <c r="D208" s="48" t="s">
        <v>416</v>
      </c>
      <c r="E208" s="48" t="s">
        <v>368</v>
      </c>
      <c r="F208" s="48" t="s">
        <v>274</v>
      </c>
      <c r="G208" s="48" t="s">
        <v>288</v>
      </c>
      <c r="H208" s="48" t="s">
        <v>68</v>
      </c>
      <c r="I208" s="48" t="s">
        <v>93</v>
      </c>
      <c r="J208" s="49">
        <v>5</v>
      </c>
      <c r="K208" s="50">
        <v>1960</v>
      </c>
      <c r="L208" s="50">
        <v>1944.32</v>
      </c>
      <c r="M208" s="48" t="s">
        <v>276</v>
      </c>
      <c r="N208" s="51">
        <v>1.37</v>
      </c>
      <c r="O208" s="51">
        <v>1.3673</v>
      </c>
      <c r="P208" s="52">
        <v>1198.2</v>
      </c>
      <c r="Q208" s="52">
        <v>1198.2</v>
      </c>
      <c r="R208" s="53" t="str">
        <f>INDEX(SKU_Master!$D$5:$D$34,MATCH($I208,SKU_Master!$A$5:$A$34,0))</f>
        <v>Laptop</v>
      </c>
      <c r="S208" s="54">
        <f t="shared" si="42"/>
        <v>8.0000000000000071E-3</v>
      </c>
      <c r="T208" s="55">
        <f t="shared" si="43"/>
        <v>7153.284671532846</v>
      </c>
      <c r="U208" s="55">
        <f t="shared" si="44"/>
        <v>7096.0583941605837</v>
      </c>
      <c r="V208" s="55">
        <f t="shared" si="45"/>
        <v>-57.226277372262302</v>
      </c>
      <c r="W208" s="55">
        <f t="shared" si="46"/>
        <v>7110.0709427338552</v>
      </c>
      <c r="X208" s="55">
        <f t="shared" si="47"/>
        <v>14.012548573271488</v>
      </c>
      <c r="Y208" s="55">
        <f t="shared" si="48"/>
        <v>5991</v>
      </c>
      <c r="Z208" s="55">
        <f t="shared" si="49"/>
        <v>5991</v>
      </c>
      <c r="AA208" s="55">
        <f t="shared" si="50"/>
        <v>0</v>
      </c>
      <c r="AB208" s="55">
        <f t="shared" si="51"/>
        <v>1119.0709427338552</v>
      </c>
      <c r="AC208" s="54">
        <f t="shared" si="52"/>
        <v>0.15739237368334433</v>
      </c>
      <c r="AD208" s="56">
        <f>INDEX(Assumptions!$B$14:$B$16,MATCH($R208,Assumptions!$A$14:$A$16,0))</f>
        <v>0.12</v>
      </c>
      <c r="AE208" s="56">
        <f>INDEX(Assumptions!$C$14:$C$16,MATCH($R208,Assumptions!$A$14:$A$16,0))</f>
        <v>0.08</v>
      </c>
      <c r="AF208" s="49">
        <f t="shared" si="53"/>
        <v>0</v>
      </c>
      <c r="AG208" s="49">
        <f t="shared" si="54"/>
        <v>0</v>
      </c>
      <c r="AH208" s="55">
        <f t="shared" si="55"/>
        <v>0</v>
      </c>
    </row>
    <row r="209" spans="1:34" x14ac:dyDescent="0.2">
      <c r="A209" s="48" t="s">
        <v>454</v>
      </c>
      <c r="B209" s="48">
        <v>2</v>
      </c>
      <c r="C209" s="48" t="s">
        <v>455</v>
      </c>
      <c r="D209" s="48" t="s">
        <v>416</v>
      </c>
      <c r="E209" s="48" t="s">
        <v>368</v>
      </c>
      <c r="F209" s="48" t="s">
        <v>274</v>
      </c>
      <c r="G209" s="48" t="s">
        <v>288</v>
      </c>
      <c r="H209" s="48" t="s">
        <v>68</v>
      </c>
      <c r="I209" s="48" t="s">
        <v>173</v>
      </c>
      <c r="J209" s="49">
        <v>4</v>
      </c>
      <c r="K209" s="50">
        <v>80</v>
      </c>
      <c r="L209" s="50">
        <v>79.290000000000006</v>
      </c>
      <c r="M209" s="48" t="s">
        <v>276</v>
      </c>
      <c r="N209" s="51">
        <v>1.37</v>
      </c>
      <c r="O209" s="51">
        <v>1.3673</v>
      </c>
      <c r="P209" s="52">
        <v>37</v>
      </c>
      <c r="Q209" s="52">
        <v>37</v>
      </c>
      <c r="R209" s="53" t="str">
        <f>INDEX(SKU_Master!$D$5:$D$34,MATCH($I209,SKU_Master!$A$5:$A$34,0))</f>
        <v>Accessory</v>
      </c>
      <c r="S209" s="54">
        <f t="shared" si="42"/>
        <v>8.8749999999999662E-3</v>
      </c>
      <c r="T209" s="55">
        <f t="shared" si="43"/>
        <v>233.57664233576639</v>
      </c>
      <c r="U209" s="55">
        <f t="shared" si="44"/>
        <v>231.50364963503651</v>
      </c>
      <c r="V209" s="55">
        <f t="shared" si="45"/>
        <v>-2.0729927007298841</v>
      </c>
      <c r="W209" s="55">
        <f t="shared" si="46"/>
        <v>231.9607986542822</v>
      </c>
      <c r="X209" s="55">
        <f t="shared" si="47"/>
        <v>0.45714901924569062</v>
      </c>
      <c r="Y209" s="55">
        <f t="shared" si="48"/>
        <v>148</v>
      </c>
      <c r="Z209" s="55">
        <f t="shared" si="49"/>
        <v>148</v>
      </c>
      <c r="AA209" s="55">
        <f t="shared" si="50"/>
        <v>0</v>
      </c>
      <c r="AB209" s="55">
        <f t="shared" si="51"/>
        <v>83.9607986542822</v>
      </c>
      <c r="AC209" s="54">
        <f t="shared" si="52"/>
        <v>0.36196115525286932</v>
      </c>
      <c r="AD209" s="56">
        <f>INDEX(Assumptions!$B$14:$B$16,MATCH($R209,Assumptions!$A$14:$A$16,0))</f>
        <v>0.32</v>
      </c>
      <c r="AE209" s="56">
        <f>INDEX(Assumptions!$C$14:$C$16,MATCH($R209,Assumptions!$A$14:$A$16,0))</f>
        <v>0.22</v>
      </c>
      <c r="AF209" s="49">
        <f t="shared" si="53"/>
        <v>0</v>
      </c>
      <c r="AG209" s="49">
        <f t="shared" si="54"/>
        <v>0</v>
      </c>
      <c r="AH209" s="55">
        <f t="shared" si="55"/>
        <v>0</v>
      </c>
    </row>
    <row r="210" spans="1:34" x14ac:dyDescent="0.2">
      <c r="A210" s="48" t="s">
        <v>456</v>
      </c>
      <c r="B210" s="48">
        <v>1</v>
      </c>
      <c r="C210" s="48" t="s">
        <v>426</v>
      </c>
      <c r="D210" s="48" t="s">
        <v>416</v>
      </c>
      <c r="E210" s="48" t="s">
        <v>339</v>
      </c>
      <c r="F210" s="48" t="s">
        <v>280</v>
      </c>
      <c r="G210" s="48" t="s">
        <v>302</v>
      </c>
      <c r="H210" s="48" t="s">
        <v>62</v>
      </c>
      <c r="I210" s="48" t="s">
        <v>108</v>
      </c>
      <c r="J210" s="49">
        <v>28</v>
      </c>
      <c r="K210" s="50">
        <v>1345</v>
      </c>
      <c r="L210" s="50">
        <v>1308.49</v>
      </c>
      <c r="M210" s="48" t="s">
        <v>276</v>
      </c>
      <c r="N210" s="51">
        <v>1</v>
      </c>
      <c r="O210" s="51">
        <v>1</v>
      </c>
      <c r="P210" s="52">
        <v>1145</v>
      </c>
      <c r="Q210" s="52">
        <v>1145</v>
      </c>
      <c r="R210" s="53" t="str">
        <f>INDEX(SKU_Master!$D$5:$D$34,MATCH($I210,SKU_Master!$A$5:$A$34,0))</f>
        <v>Laptop</v>
      </c>
      <c r="S210" s="54">
        <f t="shared" si="42"/>
        <v>2.7144981412639435E-2</v>
      </c>
      <c r="T210" s="55">
        <f t="shared" si="43"/>
        <v>37660</v>
      </c>
      <c r="U210" s="55">
        <f t="shared" si="44"/>
        <v>36637.72</v>
      </c>
      <c r="V210" s="55">
        <f t="shared" si="45"/>
        <v>-1022.2799999999988</v>
      </c>
      <c r="W210" s="55">
        <f t="shared" si="46"/>
        <v>36637.72</v>
      </c>
      <c r="X210" s="55">
        <f t="shared" si="47"/>
        <v>0</v>
      </c>
      <c r="Y210" s="55">
        <f t="shared" si="48"/>
        <v>32060</v>
      </c>
      <c r="Z210" s="55">
        <f t="shared" si="49"/>
        <v>32060</v>
      </c>
      <c r="AA210" s="55">
        <f t="shared" si="50"/>
        <v>0</v>
      </c>
      <c r="AB210" s="55">
        <f t="shared" si="51"/>
        <v>4577.7200000000012</v>
      </c>
      <c r="AC210" s="54">
        <f t="shared" si="52"/>
        <v>0.12494554792165018</v>
      </c>
      <c r="AD210" s="56">
        <f>INDEX(Assumptions!$B$14:$B$16,MATCH($R210,Assumptions!$A$14:$A$16,0))</f>
        <v>0.12</v>
      </c>
      <c r="AE210" s="56">
        <f>INDEX(Assumptions!$C$14:$C$16,MATCH($R210,Assumptions!$A$14:$A$16,0))</f>
        <v>0.08</v>
      </c>
      <c r="AF210" s="49">
        <f t="shared" si="53"/>
        <v>0</v>
      </c>
      <c r="AG210" s="49">
        <f t="shared" si="54"/>
        <v>0</v>
      </c>
      <c r="AH210" s="55">
        <f t="shared" si="55"/>
        <v>0</v>
      </c>
    </row>
    <row r="211" spans="1:34" x14ac:dyDescent="0.2">
      <c r="A211" s="48" t="s">
        <v>456</v>
      </c>
      <c r="B211" s="48">
        <v>2</v>
      </c>
      <c r="C211" s="48" t="s">
        <v>426</v>
      </c>
      <c r="D211" s="48" t="s">
        <v>416</v>
      </c>
      <c r="E211" s="48" t="s">
        <v>339</v>
      </c>
      <c r="F211" s="48" t="s">
        <v>280</v>
      </c>
      <c r="G211" s="48" t="s">
        <v>302</v>
      </c>
      <c r="H211" s="48" t="s">
        <v>62</v>
      </c>
      <c r="I211" s="48" t="s">
        <v>157</v>
      </c>
      <c r="J211" s="49">
        <v>16</v>
      </c>
      <c r="K211" s="50">
        <v>135</v>
      </c>
      <c r="L211" s="50">
        <v>129.34</v>
      </c>
      <c r="M211" s="48" t="s">
        <v>276</v>
      </c>
      <c r="N211" s="51">
        <v>1</v>
      </c>
      <c r="O211" s="51">
        <v>1</v>
      </c>
      <c r="P211" s="52">
        <v>86</v>
      </c>
      <c r="Q211" s="52">
        <v>86</v>
      </c>
      <c r="R211" s="53" t="str">
        <f>INDEX(SKU_Master!$D$5:$D$34,MATCH($I211,SKU_Master!$A$5:$A$34,0))</f>
        <v>Accessory</v>
      </c>
      <c r="S211" s="54">
        <f t="shared" si="42"/>
        <v>4.1925925925925922E-2</v>
      </c>
      <c r="T211" s="55">
        <f t="shared" si="43"/>
        <v>2160</v>
      </c>
      <c r="U211" s="55">
        <f t="shared" si="44"/>
        <v>2069.44</v>
      </c>
      <c r="V211" s="55">
        <f t="shared" si="45"/>
        <v>-90.559999999999945</v>
      </c>
      <c r="W211" s="55">
        <f t="shared" si="46"/>
        <v>2069.44</v>
      </c>
      <c r="X211" s="55">
        <f t="shared" si="47"/>
        <v>0</v>
      </c>
      <c r="Y211" s="55">
        <f t="shared" si="48"/>
        <v>1376</v>
      </c>
      <c r="Z211" s="55">
        <f t="shared" si="49"/>
        <v>1376</v>
      </c>
      <c r="AA211" s="55">
        <f t="shared" si="50"/>
        <v>0</v>
      </c>
      <c r="AB211" s="55">
        <f t="shared" si="51"/>
        <v>693.44</v>
      </c>
      <c r="AC211" s="54">
        <f t="shared" si="52"/>
        <v>0.33508582031854028</v>
      </c>
      <c r="AD211" s="56">
        <f>INDEX(Assumptions!$B$14:$B$16,MATCH($R211,Assumptions!$A$14:$A$16,0))</f>
        <v>0.32</v>
      </c>
      <c r="AE211" s="56">
        <f>INDEX(Assumptions!$C$14:$C$16,MATCH($R211,Assumptions!$A$14:$A$16,0))</f>
        <v>0.22</v>
      </c>
      <c r="AF211" s="49">
        <f t="shared" si="53"/>
        <v>0</v>
      </c>
      <c r="AG211" s="49">
        <f t="shared" si="54"/>
        <v>0</v>
      </c>
      <c r="AH211" s="55">
        <f t="shared" si="55"/>
        <v>0</v>
      </c>
    </row>
    <row r="212" spans="1:34" x14ac:dyDescent="0.2">
      <c r="A212" s="48" t="s">
        <v>457</v>
      </c>
      <c r="B212" s="48">
        <v>1</v>
      </c>
      <c r="C212" s="48" t="s">
        <v>458</v>
      </c>
      <c r="D212" s="48" t="s">
        <v>416</v>
      </c>
      <c r="E212" s="48" t="s">
        <v>284</v>
      </c>
      <c r="F212" s="48" t="s">
        <v>274</v>
      </c>
      <c r="G212" s="48" t="s">
        <v>275</v>
      </c>
      <c r="H212" s="48" t="s">
        <v>64</v>
      </c>
      <c r="I212" s="48" t="s">
        <v>113</v>
      </c>
      <c r="J212" s="49">
        <v>9</v>
      </c>
      <c r="K212" s="50">
        <v>1425</v>
      </c>
      <c r="L212" s="50">
        <v>1411.3</v>
      </c>
      <c r="M212" s="48" t="s">
        <v>276</v>
      </c>
      <c r="N212" s="51">
        <v>0.79</v>
      </c>
      <c r="O212" s="51">
        <v>0.78920000000000001</v>
      </c>
      <c r="P212" s="52">
        <v>1508.8</v>
      </c>
      <c r="Q212" s="52">
        <v>1508.8</v>
      </c>
      <c r="R212" s="53" t="str">
        <f>INDEX(SKU_Master!$D$5:$D$34,MATCH($I212,SKU_Master!$A$5:$A$34,0))</f>
        <v>Laptop</v>
      </c>
      <c r="S212" s="54">
        <f t="shared" si="42"/>
        <v>9.614035087719297E-3</v>
      </c>
      <c r="T212" s="55">
        <f t="shared" si="43"/>
        <v>16234.177215189873</v>
      </c>
      <c r="U212" s="55">
        <f t="shared" si="44"/>
        <v>16078.101265822783</v>
      </c>
      <c r="V212" s="55">
        <f t="shared" si="45"/>
        <v>-156.07594936709029</v>
      </c>
      <c r="W212" s="55">
        <f t="shared" si="46"/>
        <v>16094.399391789151</v>
      </c>
      <c r="X212" s="55">
        <f t="shared" si="47"/>
        <v>16.298125966368389</v>
      </c>
      <c r="Y212" s="55">
        <f t="shared" si="48"/>
        <v>13579.199999999999</v>
      </c>
      <c r="Z212" s="55">
        <f t="shared" si="49"/>
        <v>13579.199999999999</v>
      </c>
      <c r="AA212" s="55">
        <f t="shared" si="50"/>
        <v>0</v>
      </c>
      <c r="AB212" s="55">
        <f t="shared" si="51"/>
        <v>2515.1993917891523</v>
      </c>
      <c r="AC212" s="54">
        <f t="shared" si="52"/>
        <v>0.15627792815134975</v>
      </c>
      <c r="AD212" s="56">
        <f>INDEX(Assumptions!$B$14:$B$16,MATCH($R212,Assumptions!$A$14:$A$16,0))</f>
        <v>0.12</v>
      </c>
      <c r="AE212" s="56">
        <f>INDEX(Assumptions!$C$14:$C$16,MATCH($R212,Assumptions!$A$14:$A$16,0))</f>
        <v>0.08</v>
      </c>
      <c r="AF212" s="49">
        <f t="shared" si="53"/>
        <v>0</v>
      </c>
      <c r="AG212" s="49">
        <f t="shared" si="54"/>
        <v>0</v>
      </c>
      <c r="AH212" s="55">
        <f t="shared" si="55"/>
        <v>0</v>
      </c>
    </row>
    <row r="213" spans="1:34" x14ac:dyDescent="0.2">
      <c r="A213" s="48" t="s">
        <v>459</v>
      </c>
      <c r="B213" s="48">
        <v>1</v>
      </c>
      <c r="C213" s="48" t="s">
        <v>421</v>
      </c>
      <c r="D213" s="48" t="s">
        <v>416</v>
      </c>
      <c r="E213" s="48" t="s">
        <v>393</v>
      </c>
      <c r="F213" s="48" t="s">
        <v>274</v>
      </c>
      <c r="G213" s="48" t="s">
        <v>275</v>
      </c>
      <c r="H213" s="48" t="s">
        <v>66</v>
      </c>
      <c r="I213" s="48" t="s">
        <v>98</v>
      </c>
      <c r="J213" s="49">
        <v>5</v>
      </c>
      <c r="K213" s="50">
        <v>1980</v>
      </c>
      <c r="L213" s="50">
        <v>1969.79</v>
      </c>
      <c r="M213" s="48" t="s">
        <v>276</v>
      </c>
      <c r="N213" s="51">
        <v>0.92</v>
      </c>
      <c r="O213" s="51">
        <v>0.91710000000000003</v>
      </c>
      <c r="P213" s="52">
        <v>1800.2</v>
      </c>
      <c r="Q213" s="52">
        <v>1800.2</v>
      </c>
      <c r="R213" s="53" t="str">
        <f>INDEX(SKU_Master!$D$5:$D$34,MATCH($I213,SKU_Master!$A$5:$A$34,0))</f>
        <v>Laptop</v>
      </c>
      <c r="S213" s="54">
        <f t="shared" si="42"/>
        <v>5.156565656565637E-3</v>
      </c>
      <c r="T213" s="55">
        <f t="shared" si="43"/>
        <v>10760.86956521739</v>
      </c>
      <c r="U213" s="55">
        <f t="shared" si="44"/>
        <v>10705.38043478261</v>
      </c>
      <c r="V213" s="55">
        <f t="shared" si="45"/>
        <v>-55.489130434780236</v>
      </c>
      <c r="W213" s="55">
        <f t="shared" si="46"/>
        <v>10739.232362883002</v>
      </c>
      <c r="X213" s="55">
        <f t="shared" si="47"/>
        <v>33.851928100391888</v>
      </c>
      <c r="Y213" s="55">
        <f t="shared" si="48"/>
        <v>9001</v>
      </c>
      <c r="Z213" s="55">
        <f t="shared" si="49"/>
        <v>9001</v>
      </c>
      <c r="AA213" s="55">
        <f t="shared" si="50"/>
        <v>0</v>
      </c>
      <c r="AB213" s="55">
        <f t="shared" si="51"/>
        <v>1738.2323628830018</v>
      </c>
      <c r="AC213" s="54">
        <f t="shared" si="52"/>
        <v>0.16185815746856272</v>
      </c>
      <c r="AD213" s="56">
        <f>INDEX(Assumptions!$B$14:$B$16,MATCH($R213,Assumptions!$A$14:$A$16,0))</f>
        <v>0.12</v>
      </c>
      <c r="AE213" s="56">
        <f>INDEX(Assumptions!$C$14:$C$16,MATCH($R213,Assumptions!$A$14:$A$16,0))</f>
        <v>0.08</v>
      </c>
      <c r="AF213" s="49">
        <f t="shared" si="53"/>
        <v>0</v>
      </c>
      <c r="AG213" s="49">
        <f t="shared" si="54"/>
        <v>0</v>
      </c>
      <c r="AH213" s="55">
        <f t="shared" si="55"/>
        <v>0</v>
      </c>
    </row>
    <row r="214" spans="1:34" x14ac:dyDescent="0.2">
      <c r="A214" s="48" t="s">
        <v>459</v>
      </c>
      <c r="B214" s="48">
        <v>2</v>
      </c>
      <c r="C214" s="48" t="s">
        <v>421</v>
      </c>
      <c r="D214" s="48" t="s">
        <v>416</v>
      </c>
      <c r="E214" s="48" t="s">
        <v>393</v>
      </c>
      <c r="F214" s="48" t="s">
        <v>274</v>
      </c>
      <c r="G214" s="48" t="s">
        <v>275</v>
      </c>
      <c r="H214" s="48" t="s">
        <v>66</v>
      </c>
      <c r="I214" s="48" t="s">
        <v>141</v>
      </c>
      <c r="J214" s="49">
        <v>3</v>
      </c>
      <c r="K214" s="50">
        <v>450</v>
      </c>
      <c r="L214" s="50">
        <v>448.03</v>
      </c>
      <c r="M214" s="48" t="s">
        <v>276</v>
      </c>
      <c r="N214" s="51">
        <v>0.92</v>
      </c>
      <c r="O214" s="51">
        <v>0.91710000000000003</v>
      </c>
      <c r="P214" s="52">
        <v>376.7</v>
      </c>
      <c r="Q214" s="52">
        <v>376.7</v>
      </c>
      <c r="R214" s="53" t="str">
        <f>INDEX(SKU_Master!$D$5:$D$34,MATCH($I214,SKU_Master!$A$5:$A$34,0))</f>
        <v>Monitor</v>
      </c>
      <c r="S214" s="54">
        <f t="shared" si="42"/>
        <v>4.3777777777778137E-3</v>
      </c>
      <c r="T214" s="55">
        <f t="shared" si="43"/>
        <v>1467.391304347826</v>
      </c>
      <c r="U214" s="55">
        <f t="shared" si="44"/>
        <v>1460.9673913043478</v>
      </c>
      <c r="V214" s="55">
        <f t="shared" si="45"/>
        <v>-6.423913043478251</v>
      </c>
      <c r="W214" s="55">
        <f t="shared" si="46"/>
        <v>1465.5871769708863</v>
      </c>
      <c r="X214" s="55">
        <f t="shared" si="47"/>
        <v>4.6197856665385189</v>
      </c>
      <c r="Y214" s="55">
        <f t="shared" si="48"/>
        <v>1130.0999999999999</v>
      </c>
      <c r="Z214" s="55">
        <f t="shared" si="49"/>
        <v>1130.0999999999999</v>
      </c>
      <c r="AA214" s="55">
        <f t="shared" si="50"/>
        <v>0</v>
      </c>
      <c r="AB214" s="55">
        <f t="shared" si="51"/>
        <v>335.48717697088637</v>
      </c>
      <c r="AC214" s="54">
        <f t="shared" si="52"/>
        <v>0.22890973818717492</v>
      </c>
      <c r="AD214" s="56">
        <f>INDEX(Assumptions!$B$14:$B$16,MATCH($R214,Assumptions!$A$14:$A$16,0))</f>
        <v>0.18</v>
      </c>
      <c r="AE214" s="56">
        <f>INDEX(Assumptions!$C$14:$C$16,MATCH($R214,Assumptions!$A$14:$A$16,0))</f>
        <v>0.12</v>
      </c>
      <c r="AF214" s="49">
        <f t="shared" si="53"/>
        <v>0</v>
      </c>
      <c r="AG214" s="49">
        <f t="shared" si="54"/>
        <v>0</v>
      </c>
      <c r="AH214" s="55">
        <f t="shared" si="55"/>
        <v>0</v>
      </c>
    </row>
    <row r="215" spans="1:34" x14ac:dyDescent="0.2">
      <c r="A215" s="48" t="s">
        <v>459</v>
      </c>
      <c r="B215" s="48">
        <v>3</v>
      </c>
      <c r="C215" s="48" t="s">
        <v>421</v>
      </c>
      <c r="D215" s="48" t="s">
        <v>416</v>
      </c>
      <c r="E215" s="48" t="s">
        <v>393</v>
      </c>
      <c r="F215" s="48" t="s">
        <v>274</v>
      </c>
      <c r="G215" s="48" t="s">
        <v>275</v>
      </c>
      <c r="H215" s="48" t="s">
        <v>66</v>
      </c>
      <c r="I215" s="48" t="s">
        <v>173</v>
      </c>
      <c r="J215" s="49">
        <v>5</v>
      </c>
      <c r="K215" s="50">
        <v>60</v>
      </c>
      <c r="L215" s="50">
        <v>59.8</v>
      </c>
      <c r="M215" s="48" t="s">
        <v>276</v>
      </c>
      <c r="N215" s="51">
        <v>0.92</v>
      </c>
      <c r="O215" s="51">
        <v>0.91710000000000003</v>
      </c>
      <c r="P215" s="52">
        <v>39</v>
      </c>
      <c r="Q215" s="52">
        <v>39</v>
      </c>
      <c r="R215" s="53" t="str">
        <f>INDEX(SKU_Master!$D$5:$D$34,MATCH($I215,SKU_Master!$A$5:$A$34,0))</f>
        <v>Accessory</v>
      </c>
      <c r="S215" s="54">
        <f t="shared" si="42"/>
        <v>3.3333333333334103E-3</v>
      </c>
      <c r="T215" s="55">
        <f t="shared" si="43"/>
        <v>326.08695652173913</v>
      </c>
      <c r="U215" s="55">
        <f t="shared" si="44"/>
        <v>325</v>
      </c>
      <c r="V215" s="55">
        <f t="shared" si="45"/>
        <v>-1.0869565217391255</v>
      </c>
      <c r="W215" s="55">
        <f t="shared" si="46"/>
        <v>326.02769599825535</v>
      </c>
      <c r="X215" s="55">
        <f t="shared" si="47"/>
        <v>1.0276959982553535</v>
      </c>
      <c r="Y215" s="55">
        <f t="shared" si="48"/>
        <v>195</v>
      </c>
      <c r="Z215" s="55">
        <f t="shared" si="49"/>
        <v>195</v>
      </c>
      <c r="AA215" s="55">
        <f t="shared" si="50"/>
        <v>0</v>
      </c>
      <c r="AB215" s="55">
        <f t="shared" si="51"/>
        <v>131.02769599825535</v>
      </c>
      <c r="AC215" s="54">
        <f t="shared" si="52"/>
        <v>0.40189130434782605</v>
      </c>
      <c r="AD215" s="56">
        <f>INDEX(Assumptions!$B$14:$B$16,MATCH($R215,Assumptions!$A$14:$A$16,0))</f>
        <v>0.32</v>
      </c>
      <c r="AE215" s="56">
        <f>INDEX(Assumptions!$C$14:$C$16,MATCH($R215,Assumptions!$A$14:$A$16,0))</f>
        <v>0.22</v>
      </c>
      <c r="AF215" s="49">
        <f t="shared" si="53"/>
        <v>0</v>
      </c>
      <c r="AG215" s="49">
        <f t="shared" si="54"/>
        <v>0</v>
      </c>
      <c r="AH215" s="55">
        <f t="shared" si="55"/>
        <v>0</v>
      </c>
    </row>
    <row r="216" spans="1:34" x14ac:dyDescent="0.2">
      <c r="A216" s="48" t="s">
        <v>460</v>
      </c>
      <c r="B216" s="48">
        <v>1</v>
      </c>
      <c r="C216" s="48" t="s">
        <v>431</v>
      </c>
      <c r="D216" s="48" t="s">
        <v>416</v>
      </c>
      <c r="E216" s="48" t="s">
        <v>358</v>
      </c>
      <c r="F216" s="48" t="s">
        <v>274</v>
      </c>
      <c r="G216" s="48" t="s">
        <v>288</v>
      </c>
      <c r="H216" s="48" t="s">
        <v>62</v>
      </c>
      <c r="I216" s="48" t="s">
        <v>93</v>
      </c>
      <c r="J216" s="49">
        <v>3</v>
      </c>
      <c r="K216" s="50">
        <v>1390</v>
      </c>
      <c r="L216" s="50">
        <v>1368.47</v>
      </c>
      <c r="M216" s="48" t="s">
        <v>276</v>
      </c>
      <c r="N216" s="51">
        <v>1</v>
      </c>
      <c r="O216" s="51">
        <v>1</v>
      </c>
      <c r="P216" s="52">
        <v>1186.2</v>
      </c>
      <c r="Q216" s="52">
        <v>1186.2</v>
      </c>
      <c r="R216" s="53" t="str">
        <f>INDEX(SKU_Master!$D$5:$D$34,MATCH($I216,SKU_Master!$A$5:$A$34,0))</f>
        <v>Laptop</v>
      </c>
      <c r="S216" s="54">
        <f t="shared" si="42"/>
        <v>1.5489208633093554E-2</v>
      </c>
      <c r="T216" s="55">
        <f t="shared" si="43"/>
        <v>4170</v>
      </c>
      <c r="U216" s="55">
        <f t="shared" si="44"/>
        <v>4105.41</v>
      </c>
      <c r="V216" s="55">
        <f t="shared" si="45"/>
        <v>-64.590000000000146</v>
      </c>
      <c r="W216" s="55">
        <f t="shared" si="46"/>
        <v>4105.41</v>
      </c>
      <c r="X216" s="55">
        <f t="shared" si="47"/>
        <v>0</v>
      </c>
      <c r="Y216" s="55">
        <f t="shared" si="48"/>
        <v>3558.6000000000004</v>
      </c>
      <c r="Z216" s="55">
        <f t="shared" si="49"/>
        <v>3558.6000000000004</v>
      </c>
      <c r="AA216" s="55">
        <f t="shared" si="50"/>
        <v>0</v>
      </c>
      <c r="AB216" s="55">
        <f t="shared" si="51"/>
        <v>546.80999999999949</v>
      </c>
      <c r="AC216" s="54">
        <f t="shared" si="52"/>
        <v>0.13319254349748247</v>
      </c>
      <c r="AD216" s="56">
        <f>INDEX(Assumptions!$B$14:$B$16,MATCH($R216,Assumptions!$A$14:$A$16,0))</f>
        <v>0.12</v>
      </c>
      <c r="AE216" s="56">
        <f>INDEX(Assumptions!$C$14:$C$16,MATCH($R216,Assumptions!$A$14:$A$16,0))</f>
        <v>0.08</v>
      </c>
      <c r="AF216" s="49">
        <f t="shared" si="53"/>
        <v>0</v>
      </c>
      <c r="AG216" s="49">
        <f t="shared" si="54"/>
        <v>0</v>
      </c>
      <c r="AH216" s="55">
        <f t="shared" si="55"/>
        <v>0</v>
      </c>
    </row>
    <row r="217" spans="1:34" x14ac:dyDescent="0.2">
      <c r="A217" s="48" t="s">
        <v>460</v>
      </c>
      <c r="B217" s="48">
        <v>2</v>
      </c>
      <c r="C217" s="48" t="s">
        <v>431</v>
      </c>
      <c r="D217" s="48" t="s">
        <v>416</v>
      </c>
      <c r="E217" s="48" t="s">
        <v>358</v>
      </c>
      <c r="F217" s="48" t="s">
        <v>274</v>
      </c>
      <c r="G217" s="48" t="s">
        <v>288</v>
      </c>
      <c r="H217" s="48" t="s">
        <v>62</v>
      </c>
      <c r="I217" s="48" t="s">
        <v>135</v>
      </c>
      <c r="J217" s="49">
        <v>2</v>
      </c>
      <c r="K217" s="50">
        <v>240</v>
      </c>
      <c r="L217" s="50">
        <v>235.21</v>
      </c>
      <c r="M217" s="48" t="s">
        <v>276</v>
      </c>
      <c r="N217" s="51">
        <v>1</v>
      </c>
      <c r="O217" s="51">
        <v>1</v>
      </c>
      <c r="P217" s="52">
        <v>186.7</v>
      </c>
      <c r="Q217" s="52">
        <v>186.7</v>
      </c>
      <c r="R217" s="53" t="str">
        <f>INDEX(SKU_Master!$D$5:$D$34,MATCH($I217,SKU_Master!$A$5:$A$34,0))</f>
        <v>Monitor</v>
      </c>
      <c r="S217" s="54">
        <f t="shared" si="42"/>
        <v>1.99583333333333E-2</v>
      </c>
      <c r="T217" s="55">
        <f t="shared" si="43"/>
        <v>480</v>
      </c>
      <c r="U217" s="55">
        <f t="shared" si="44"/>
        <v>470.42</v>
      </c>
      <c r="V217" s="55">
        <f t="shared" si="45"/>
        <v>-9.5799999999999841</v>
      </c>
      <c r="W217" s="55">
        <f t="shared" si="46"/>
        <v>470.42</v>
      </c>
      <c r="X217" s="55">
        <f t="shared" si="47"/>
        <v>0</v>
      </c>
      <c r="Y217" s="55">
        <f t="shared" si="48"/>
        <v>373.4</v>
      </c>
      <c r="Z217" s="55">
        <f t="shared" si="49"/>
        <v>373.4</v>
      </c>
      <c r="AA217" s="55">
        <f t="shared" si="50"/>
        <v>0</v>
      </c>
      <c r="AB217" s="55">
        <f t="shared" si="51"/>
        <v>97.020000000000039</v>
      </c>
      <c r="AC217" s="54">
        <f t="shared" si="52"/>
        <v>0.20624123124016844</v>
      </c>
      <c r="AD217" s="56">
        <f>INDEX(Assumptions!$B$14:$B$16,MATCH($R217,Assumptions!$A$14:$A$16,0))</f>
        <v>0.18</v>
      </c>
      <c r="AE217" s="56">
        <f>INDEX(Assumptions!$C$14:$C$16,MATCH($R217,Assumptions!$A$14:$A$16,0))</f>
        <v>0.12</v>
      </c>
      <c r="AF217" s="49">
        <f t="shared" si="53"/>
        <v>0</v>
      </c>
      <c r="AG217" s="49">
        <f t="shared" si="54"/>
        <v>0</v>
      </c>
      <c r="AH217" s="55">
        <f t="shared" si="55"/>
        <v>0</v>
      </c>
    </row>
    <row r="218" spans="1:34" x14ac:dyDescent="0.2">
      <c r="A218" s="48" t="s">
        <v>461</v>
      </c>
      <c r="B218" s="48">
        <v>1</v>
      </c>
      <c r="C218" s="48" t="s">
        <v>462</v>
      </c>
      <c r="D218" s="48" t="s">
        <v>416</v>
      </c>
      <c r="E218" s="48" t="s">
        <v>437</v>
      </c>
      <c r="F218" s="48" t="s">
        <v>274</v>
      </c>
      <c r="G218" s="48" t="s">
        <v>302</v>
      </c>
      <c r="H218" s="48" t="s">
        <v>62</v>
      </c>
      <c r="I218" s="48" t="s">
        <v>110</v>
      </c>
      <c r="J218" s="49">
        <v>3</v>
      </c>
      <c r="K218" s="50">
        <v>1165</v>
      </c>
      <c r="L218" s="50">
        <v>1143.26</v>
      </c>
      <c r="M218" s="48" t="s">
        <v>276</v>
      </c>
      <c r="N218" s="51">
        <v>1</v>
      </c>
      <c r="O218" s="51">
        <v>1</v>
      </c>
      <c r="P218" s="52">
        <v>992.65</v>
      </c>
      <c r="Q218" s="52">
        <v>992.65</v>
      </c>
      <c r="R218" s="53" t="str">
        <f>INDEX(SKU_Master!$D$5:$D$34,MATCH($I218,SKU_Master!$A$5:$A$34,0))</f>
        <v>Laptop</v>
      </c>
      <c r="S218" s="54">
        <f t="shared" si="42"/>
        <v>1.8660944206008612E-2</v>
      </c>
      <c r="T218" s="55">
        <f t="shared" si="43"/>
        <v>3495</v>
      </c>
      <c r="U218" s="55">
        <f t="shared" si="44"/>
        <v>3429.7799999999997</v>
      </c>
      <c r="V218" s="55">
        <f t="shared" si="45"/>
        <v>-65.220000000000255</v>
      </c>
      <c r="W218" s="55">
        <f t="shared" si="46"/>
        <v>3429.7799999999997</v>
      </c>
      <c r="X218" s="55">
        <f t="shared" si="47"/>
        <v>0</v>
      </c>
      <c r="Y218" s="55">
        <f t="shared" si="48"/>
        <v>2977.95</v>
      </c>
      <c r="Z218" s="55">
        <f t="shared" si="49"/>
        <v>2977.95</v>
      </c>
      <c r="AA218" s="55">
        <f t="shared" si="50"/>
        <v>0</v>
      </c>
      <c r="AB218" s="55">
        <f t="shared" si="51"/>
        <v>451.82999999999993</v>
      </c>
      <c r="AC218" s="54">
        <f t="shared" si="52"/>
        <v>0.13173731259730945</v>
      </c>
      <c r="AD218" s="56">
        <f>INDEX(Assumptions!$B$14:$B$16,MATCH($R218,Assumptions!$A$14:$A$16,0))</f>
        <v>0.12</v>
      </c>
      <c r="AE218" s="56">
        <f>INDEX(Assumptions!$C$14:$C$16,MATCH($R218,Assumptions!$A$14:$A$16,0))</f>
        <v>0.08</v>
      </c>
      <c r="AF218" s="49">
        <f t="shared" si="53"/>
        <v>0</v>
      </c>
      <c r="AG218" s="49">
        <f t="shared" si="54"/>
        <v>0</v>
      </c>
      <c r="AH218" s="55">
        <f t="shared" si="55"/>
        <v>0</v>
      </c>
    </row>
    <row r="219" spans="1:34" x14ac:dyDescent="0.2">
      <c r="A219" s="48" t="s">
        <v>461</v>
      </c>
      <c r="B219" s="48">
        <v>2</v>
      </c>
      <c r="C219" s="48" t="s">
        <v>462</v>
      </c>
      <c r="D219" s="48" t="s">
        <v>416</v>
      </c>
      <c r="E219" s="48" t="s">
        <v>437</v>
      </c>
      <c r="F219" s="48" t="s">
        <v>274</v>
      </c>
      <c r="G219" s="48" t="s">
        <v>302</v>
      </c>
      <c r="H219" s="48" t="s">
        <v>62</v>
      </c>
      <c r="I219" s="48" t="s">
        <v>135</v>
      </c>
      <c r="J219" s="49">
        <v>1</v>
      </c>
      <c r="K219" s="50">
        <v>240</v>
      </c>
      <c r="L219" s="50">
        <v>225.03</v>
      </c>
      <c r="M219" s="48" t="s">
        <v>276</v>
      </c>
      <c r="N219" s="51">
        <v>1</v>
      </c>
      <c r="O219" s="51">
        <v>1</v>
      </c>
      <c r="P219" s="52">
        <v>186.7</v>
      </c>
      <c r="Q219" s="52">
        <v>186.7</v>
      </c>
      <c r="R219" s="53" t="str">
        <f>INDEX(SKU_Master!$D$5:$D$34,MATCH($I219,SKU_Master!$A$5:$A$34,0))</f>
        <v>Monitor</v>
      </c>
      <c r="S219" s="54">
        <f t="shared" si="42"/>
        <v>6.2374999999999958E-2</v>
      </c>
      <c r="T219" s="55">
        <f t="shared" si="43"/>
        <v>240</v>
      </c>
      <c r="U219" s="55">
        <f t="shared" si="44"/>
        <v>225.03</v>
      </c>
      <c r="V219" s="55">
        <f t="shared" si="45"/>
        <v>-14.969999999999999</v>
      </c>
      <c r="W219" s="55">
        <f t="shared" si="46"/>
        <v>225.03</v>
      </c>
      <c r="X219" s="55">
        <f t="shared" si="47"/>
        <v>0</v>
      </c>
      <c r="Y219" s="55">
        <f t="shared" si="48"/>
        <v>186.7</v>
      </c>
      <c r="Z219" s="55">
        <f t="shared" si="49"/>
        <v>186.7</v>
      </c>
      <c r="AA219" s="55">
        <f t="shared" si="50"/>
        <v>0</v>
      </c>
      <c r="AB219" s="55">
        <f t="shared" si="51"/>
        <v>38.330000000000013</v>
      </c>
      <c r="AC219" s="54">
        <f t="shared" si="52"/>
        <v>0.170332844509621</v>
      </c>
      <c r="AD219" s="56">
        <f>INDEX(Assumptions!$B$14:$B$16,MATCH($R219,Assumptions!$A$14:$A$16,0))</f>
        <v>0.18</v>
      </c>
      <c r="AE219" s="56">
        <f>INDEX(Assumptions!$C$14:$C$16,MATCH($R219,Assumptions!$A$14:$A$16,0))</f>
        <v>0.12</v>
      </c>
      <c r="AF219" s="49">
        <f t="shared" si="53"/>
        <v>0</v>
      </c>
      <c r="AG219" s="49">
        <f t="shared" si="54"/>
        <v>0</v>
      </c>
      <c r="AH219" s="55">
        <f t="shared" si="55"/>
        <v>2.1753999999999891</v>
      </c>
    </row>
    <row r="220" spans="1:34" x14ac:dyDescent="0.2">
      <c r="A220" s="48" t="s">
        <v>461</v>
      </c>
      <c r="B220" s="48">
        <v>3</v>
      </c>
      <c r="C220" s="48" t="s">
        <v>462</v>
      </c>
      <c r="D220" s="48" t="s">
        <v>416</v>
      </c>
      <c r="E220" s="48" t="s">
        <v>437</v>
      </c>
      <c r="F220" s="48" t="s">
        <v>274</v>
      </c>
      <c r="G220" s="48" t="s">
        <v>302</v>
      </c>
      <c r="H220" s="48" t="s">
        <v>62</v>
      </c>
      <c r="I220" s="48" t="s">
        <v>166</v>
      </c>
      <c r="J220" s="49">
        <v>1</v>
      </c>
      <c r="K220" s="50">
        <v>265</v>
      </c>
      <c r="L220" s="50">
        <v>251.92</v>
      </c>
      <c r="M220" s="48" t="s">
        <v>276</v>
      </c>
      <c r="N220" s="51">
        <v>1</v>
      </c>
      <c r="O220" s="51">
        <v>1</v>
      </c>
      <c r="P220" s="52">
        <v>169.35</v>
      </c>
      <c r="Q220" s="52">
        <v>169.35</v>
      </c>
      <c r="R220" s="53" t="str">
        <f>INDEX(SKU_Master!$D$5:$D$34,MATCH($I220,SKU_Master!$A$5:$A$34,0))</f>
        <v>Accessory</v>
      </c>
      <c r="S220" s="54">
        <f t="shared" si="42"/>
        <v>4.9358490566037805E-2</v>
      </c>
      <c r="T220" s="55">
        <f t="shared" si="43"/>
        <v>265</v>
      </c>
      <c r="U220" s="55">
        <f t="shared" si="44"/>
        <v>251.92</v>
      </c>
      <c r="V220" s="55">
        <f t="shared" si="45"/>
        <v>-13.080000000000013</v>
      </c>
      <c r="W220" s="55">
        <f t="shared" si="46"/>
        <v>251.92</v>
      </c>
      <c r="X220" s="55">
        <f t="shared" si="47"/>
        <v>0</v>
      </c>
      <c r="Y220" s="55">
        <f t="shared" si="48"/>
        <v>169.35</v>
      </c>
      <c r="Z220" s="55">
        <f t="shared" si="49"/>
        <v>169.35</v>
      </c>
      <c r="AA220" s="55">
        <f t="shared" si="50"/>
        <v>0</v>
      </c>
      <c r="AB220" s="55">
        <f t="shared" si="51"/>
        <v>82.57</v>
      </c>
      <c r="AC220" s="54">
        <f t="shared" si="52"/>
        <v>0.32776278183550334</v>
      </c>
      <c r="AD220" s="56">
        <f>INDEX(Assumptions!$B$14:$B$16,MATCH($R220,Assumptions!$A$14:$A$16,0))</f>
        <v>0.32</v>
      </c>
      <c r="AE220" s="56">
        <f>INDEX(Assumptions!$C$14:$C$16,MATCH($R220,Assumptions!$A$14:$A$16,0))</f>
        <v>0.22</v>
      </c>
      <c r="AF220" s="49">
        <f t="shared" si="53"/>
        <v>0</v>
      </c>
      <c r="AG220" s="49">
        <f t="shared" si="54"/>
        <v>0</v>
      </c>
      <c r="AH220" s="55">
        <f t="shared" si="55"/>
        <v>0</v>
      </c>
    </row>
    <row r="221" spans="1:34" x14ac:dyDescent="0.2">
      <c r="A221" s="48" t="s">
        <v>463</v>
      </c>
      <c r="B221" s="48">
        <v>1</v>
      </c>
      <c r="C221" s="48" t="s">
        <v>464</v>
      </c>
      <c r="D221" s="48" t="s">
        <v>416</v>
      </c>
      <c r="E221" s="48" t="s">
        <v>366</v>
      </c>
      <c r="F221" s="48" t="s">
        <v>297</v>
      </c>
      <c r="G221" s="48" t="s">
        <v>302</v>
      </c>
      <c r="H221" s="48" t="s">
        <v>66</v>
      </c>
      <c r="I221" s="48" t="s">
        <v>132</v>
      </c>
      <c r="J221" s="49">
        <v>66</v>
      </c>
      <c r="K221" s="50">
        <v>1005</v>
      </c>
      <c r="L221" s="50">
        <v>936.82</v>
      </c>
      <c r="M221" s="48" t="s">
        <v>276</v>
      </c>
      <c r="N221" s="51">
        <v>0.92</v>
      </c>
      <c r="O221" s="51">
        <v>0.91710000000000003</v>
      </c>
      <c r="P221" s="52">
        <v>911</v>
      </c>
      <c r="Q221" s="52">
        <v>911</v>
      </c>
      <c r="R221" s="53" t="str">
        <f>INDEX(SKU_Master!$D$5:$D$34,MATCH($I221,SKU_Master!$A$5:$A$34,0))</f>
        <v>Laptop</v>
      </c>
      <c r="S221" s="54">
        <f t="shared" si="42"/>
        <v>6.7840796019900451E-2</v>
      </c>
      <c r="T221" s="55">
        <f t="shared" si="43"/>
        <v>72097.826086956513</v>
      </c>
      <c r="U221" s="55">
        <f t="shared" si="44"/>
        <v>67206.65217391304</v>
      </c>
      <c r="V221" s="55">
        <f t="shared" si="45"/>
        <v>-4891.1739130434726</v>
      </c>
      <c r="W221" s="55">
        <f t="shared" si="46"/>
        <v>67419.169120052335</v>
      </c>
      <c r="X221" s="55">
        <f t="shared" si="47"/>
        <v>212.5169461392943</v>
      </c>
      <c r="Y221" s="55">
        <f t="shared" si="48"/>
        <v>60126</v>
      </c>
      <c r="Z221" s="55">
        <f t="shared" si="49"/>
        <v>60126</v>
      </c>
      <c r="AA221" s="55">
        <f t="shared" si="50"/>
        <v>0</v>
      </c>
      <c r="AB221" s="55">
        <f t="shared" si="51"/>
        <v>7293.1691200523346</v>
      </c>
      <c r="AC221" s="54">
        <f t="shared" si="52"/>
        <v>0.10817649068124073</v>
      </c>
      <c r="AD221" s="56">
        <f>INDEX(Assumptions!$B$14:$B$16,MATCH($R221,Assumptions!$A$14:$A$16,0))</f>
        <v>0.12</v>
      </c>
      <c r="AE221" s="56">
        <f>INDEX(Assumptions!$C$14:$C$16,MATCH($R221,Assumptions!$A$14:$A$16,0))</f>
        <v>0.08</v>
      </c>
      <c r="AF221" s="49">
        <f t="shared" si="53"/>
        <v>0</v>
      </c>
      <c r="AG221" s="49">
        <f t="shared" si="54"/>
        <v>0</v>
      </c>
      <c r="AH221" s="55">
        <f t="shared" si="55"/>
        <v>797.13117435394543</v>
      </c>
    </row>
    <row r="222" spans="1:34" x14ac:dyDescent="0.2">
      <c r="A222" s="48" t="s">
        <v>463</v>
      </c>
      <c r="B222" s="48">
        <v>2</v>
      </c>
      <c r="C222" s="48" t="s">
        <v>464</v>
      </c>
      <c r="D222" s="48" t="s">
        <v>416</v>
      </c>
      <c r="E222" s="48" t="s">
        <v>366</v>
      </c>
      <c r="F222" s="48" t="s">
        <v>297</v>
      </c>
      <c r="G222" s="48" t="s">
        <v>302</v>
      </c>
      <c r="H222" s="48" t="s">
        <v>66</v>
      </c>
      <c r="I222" s="48" t="s">
        <v>144</v>
      </c>
      <c r="J222" s="49">
        <v>77</v>
      </c>
      <c r="K222" s="50">
        <v>375</v>
      </c>
      <c r="L222" s="50">
        <v>352.24</v>
      </c>
      <c r="M222" s="48" t="s">
        <v>276</v>
      </c>
      <c r="N222" s="51">
        <v>0.92</v>
      </c>
      <c r="O222" s="51">
        <v>0.91710000000000003</v>
      </c>
      <c r="P222" s="52">
        <v>314.60000000000002</v>
      </c>
      <c r="Q222" s="52">
        <v>314.60000000000002</v>
      </c>
      <c r="R222" s="53" t="str">
        <f>INDEX(SKU_Master!$D$5:$D$34,MATCH($I222,SKU_Master!$A$5:$A$34,0))</f>
        <v>Monitor</v>
      </c>
      <c r="S222" s="54">
        <f t="shared" si="42"/>
        <v>6.0693333333333266E-2</v>
      </c>
      <c r="T222" s="55">
        <f t="shared" si="43"/>
        <v>31385.869565217388</v>
      </c>
      <c r="U222" s="55">
        <f t="shared" si="44"/>
        <v>29480.956521739128</v>
      </c>
      <c r="V222" s="55">
        <f t="shared" si="45"/>
        <v>-1904.9130434782601</v>
      </c>
      <c r="W222" s="55">
        <f t="shared" si="46"/>
        <v>29574.179478791844</v>
      </c>
      <c r="X222" s="55">
        <f t="shared" si="47"/>
        <v>93.222957052716083</v>
      </c>
      <c r="Y222" s="55">
        <f t="shared" si="48"/>
        <v>24224.2</v>
      </c>
      <c r="Z222" s="55">
        <f t="shared" si="49"/>
        <v>24224.2</v>
      </c>
      <c r="AA222" s="55">
        <f t="shared" si="50"/>
        <v>0</v>
      </c>
      <c r="AB222" s="55">
        <f t="shared" si="51"/>
        <v>5349.9794787918436</v>
      </c>
      <c r="AC222" s="54">
        <f t="shared" si="52"/>
        <v>0.18090035203270496</v>
      </c>
      <c r="AD222" s="56">
        <f>INDEX(Assumptions!$B$14:$B$16,MATCH($R222,Assumptions!$A$14:$A$16,0))</f>
        <v>0.18</v>
      </c>
      <c r="AE222" s="56">
        <f>INDEX(Assumptions!$C$14:$C$16,MATCH($R222,Assumptions!$A$14:$A$16,0))</f>
        <v>0.12</v>
      </c>
      <c r="AF222" s="49">
        <f t="shared" si="53"/>
        <v>0</v>
      </c>
      <c r="AG222" s="49">
        <f t="shared" si="54"/>
        <v>0</v>
      </c>
      <c r="AH222" s="55">
        <f t="shared" si="55"/>
        <v>0</v>
      </c>
    </row>
    <row r="223" spans="1:34" x14ac:dyDescent="0.2">
      <c r="A223" s="48" t="s">
        <v>463</v>
      </c>
      <c r="B223" s="48">
        <v>3</v>
      </c>
      <c r="C223" s="48" t="s">
        <v>464</v>
      </c>
      <c r="D223" s="48" t="s">
        <v>416</v>
      </c>
      <c r="E223" s="48" t="s">
        <v>366</v>
      </c>
      <c r="F223" s="48" t="s">
        <v>297</v>
      </c>
      <c r="G223" s="48" t="s">
        <v>302</v>
      </c>
      <c r="H223" s="48" t="s">
        <v>66</v>
      </c>
      <c r="I223" s="48" t="s">
        <v>151</v>
      </c>
      <c r="J223" s="49">
        <v>61</v>
      </c>
      <c r="K223" s="50">
        <v>325</v>
      </c>
      <c r="L223" s="50">
        <v>315.63</v>
      </c>
      <c r="M223" s="48" t="s">
        <v>276</v>
      </c>
      <c r="N223" s="51">
        <v>0.92</v>
      </c>
      <c r="O223" s="51">
        <v>0.91710000000000003</v>
      </c>
      <c r="P223" s="52">
        <v>221.7</v>
      </c>
      <c r="Q223" s="52">
        <v>221.7</v>
      </c>
      <c r="R223" s="53" t="str">
        <f>INDEX(SKU_Master!$D$5:$D$34,MATCH($I223,SKU_Master!$A$5:$A$34,0))</f>
        <v>Accessory</v>
      </c>
      <c r="S223" s="54">
        <f t="shared" si="42"/>
        <v>2.8830769230769215E-2</v>
      </c>
      <c r="T223" s="55">
        <f t="shared" si="43"/>
        <v>21548.91304347826</v>
      </c>
      <c r="U223" s="55">
        <f t="shared" si="44"/>
        <v>20927.641304347824</v>
      </c>
      <c r="V223" s="55">
        <f t="shared" si="45"/>
        <v>-621.27173913043589</v>
      </c>
      <c r="W223" s="55">
        <f t="shared" si="46"/>
        <v>20993.817468105986</v>
      </c>
      <c r="X223" s="55">
        <f t="shared" si="47"/>
        <v>66.176163758162147</v>
      </c>
      <c r="Y223" s="55">
        <f t="shared" si="48"/>
        <v>13523.699999999999</v>
      </c>
      <c r="Z223" s="55">
        <f t="shared" si="49"/>
        <v>13523.699999999999</v>
      </c>
      <c r="AA223" s="55">
        <f t="shared" si="50"/>
        <v>0</v>
      </c>
      <c r="AB223" s="55">
        <f t="shared" si="51"/>
        <v>7470.1174681059874</v>
      </c>
      <c r="AC223" s="54">
        <f t="shared" si="52"/>
        <v>0.35582463644140294</v>
      </c>
      <c r="AD223" s="56">
        <f>INDEX(Assumptions!$B$14:$B$16,MATCH($R223,Assumptions!$A$14:$A$16,0))</f>
        <v>0.32</v>
      </c>
      <c r="AE223" s="56">
        <f>INDEX(Assumptions!$C$14:$C$16,MATCH($R223,Assumptions!$A$14:$A$16,0))</f>
        <v>0.22</v>
      </c>
      <c r="AF223" s="49">
        <f t="shared" si="53"/>
        <v>0</v>
      </c>
      <c r="AG223" s="49">
        <f t="shared" si="54"/>
        <v>0</v>
      </c>
      <c r="AH223" s="55">
        <f t="shared" si="55"/>
        <v>0</v>
      </c>
    </row>
    <row r="224" spans="1:34" x14ac:dyDescent="0.2">
      <c r="A224" s="48" t="s">
        <v>465</v>
      </c>
      <c r="B224" s="48">
        <v>1</v>
      </c>
      <c r="C224" s="48" t="s">
        <v>466</v>
      </c>
      <c r="D224" s="48" t="s">
        <v>416</v>
      </c>
      <c r="E224" s="48" t="s">
        <v>287</v>
      </c>
      <c r="F224" s="48" t="s">
        <v>274</v>
      </c>
      <c r="G224" s="48" t="s">
        <v>288</v>
      </c>
      <c r="H224" s="48" t="s">
        <v>62</v>
      </c>
      <c r="I224" s="48" t="s">
        <v>101</v>
      </c>
      <c r="J224" s="49">
        <v>8</v>
      </c>
      <c r="K224" s="50">
        <v>3440</v>
      </c>
      <c r="L224" s="50">
        <v>3388.48</v>
      </c>
      <c r="M224" s="48" t="s">
        <v>276</v>
      </c>
      <c r="N224" s="51">
        <v>1</v>
      </c>
      <c r="O224" s="51">
        <v>1</v>
      </c>
      <c r="P224" s="52">
        <v>2938.5</v>
      </c>
      <c r="Q224" s="52">
        <v>2938.5</v>
      </c>
      <c r="R224" s="53" t="str">
        <f>INDEX(SKU_Master!$D$5:$D$34,MATCH($I224,SKU_Master!$A$5:$A$34,0))</f>
        <v>Laptop</v>
      </c>
      <c r="S224" s="54">
        <f t="shared" si="42"/>
        <v>1.4976744186046553E-2</v>
      </c>
      <c r="T224" s="55">
        <f t="shared" si="43"/>
        <v>27520</v>
      </c>
      <c r="U224" s="55">
        <f t="shared" si="44"/>
        <v>27107.84</v>
      </c>
      <c r="V224" s="55">
        <f t="shared" si="45"/>
        <v>-412.15999999999985</v>
      </c>
      <c r="W224" s="55">
        <f t="shared" si="46"/>
        <v>27107.84</v>
      </c>
      <c r="X224" s="55">
        <f t="shared" si="47"/>
        <v>0</v>
      </c>
      <c r="Y224" s="55">
        <f t="shared" si="48"/>
        <v>23508</v>
      </c>
      <c r="Z224" s="55">
        <f t="shared" si="49"/>
        <v>23508</v>
      </c>
      <c r="AA224" s="55">
        <f t="shared" si="50"/>
        <v>0</v>
      </c>
      <c r="AB224" s="55">
        <f t="shared" si="51"/>
        <v>3599.84</v>
      </c>
      <c r="AC224" s="54">
        <f t="shared" si="52"/>
        <v>0.1327970063273208</v>
      </c>
      <c r="AD224" s="56">
        <f>INDEX(Assumptions!$B$14:$B$16,MATCH($R224,Assumptions!$A$14:$A$16,0))</f>
        <v>0.12</v>
      </c>
      <c r="AE224" s="56">
        <f>INDEX(Assumptions!$C$14:$C$16,MATCH($R224,Assumptions!$A$14:$A$16,0))</f>
        <v>0.08</v>
      </c>
      <c r="AF224" s="49">
        <f t="shared" si="53"/>
        <v>0</v>
      </c>
      <c r="AG224" s="49">
        <f t="shared" si="54"/>
        <v>0</v>
      </c>
      <c r="AH224" s="55">
        <f t="shared" si="55"/>
        <v>0</v>
      </c>
    </row>
    <row r="225" spans="1:34" x14ac:dyDescent="0.2">
      <c r="A225" s="48" t="s">
        <v>465</v>
      </c>
      <c r="B225" s="48">
        <v>2</v>
      </c>
      <c r="C225" s="48" t="s">
        <v>466</v>
      </c>
      <c r="D225" s="48" t="s">
        <v>416</v>
      </c>
      <c r="E225" s="48" t="s">
        <v>287</v>
      </c>
      <c r="F225" s="48" t="s">
        <v>274</v>
      </c>
      <c r="G225" s="48" t="s">
        <v>288</v>
      </c>
      <c r="H225" s="48" t="s">
        <v>62</v>
      </c>
      <c r="I225" s="48" t="s">
        <v>170</v>
      </c>
      <c r="J225" s="49">
        <v>6</v>
      </c>
      <c r="K225" s="50">
        <v>195</v>
      </c>
      <c r="L225" s="50">
        <v>191.52</v>
      </c>
      <c r="M225" s="48" t="s">
        <v>276</v>
      </c>
      <c r="N225" s="51">
        <v>1</v>
      </c>
      <c r="O225" s="51">
        <v>1</v>
      </c>
      <c r="P225" s="52">
        <v>126</v>
      </c>
      <c r="Q225" s="52">
        <v>126</v>
      </c>
      <c r="R225" s="53" t="str">
        <f>INDEX(SKU_Master!$D$5:$D$34,MATCH($I225,SKU_Master!$A$5:$A$34,0))</f>
        <v>Accessory</v>
      </c>
      <c r="S225" s="54">
        <f t="shared" si="42"/>
        <v>1.7846153846153845E-2</v>
      </c>
      <c r="T225" s="55">
        <f t="shared" si="43"/>
        <v>1170</v>
      </c>
      <c r="U225" s="55">
        <f t="shared" si="44"/>
        <v>1149.1200000000001</v>
      </c>
      <c r="V225" s="55">
        <f t="shared" si="45"/>
        <v>-20.879999999999882</v>
      </c>
      <c r="W225" s="55">
        <f t="shared" si="46"/>
        <v>1149.1200000000001</v>
      </c>
      <c r="X225" s="55">
        <f t="shared" si="47"/>
        <v>0</v>
      </c>
      <c r="Y225" s="55">
        <f t="shared" si="48"/>
        <v>756</v>
      </c>
      <c r="Z225" s="55">
        <f t="shared" si="49"/>
        <v>756</v>
      </c>
      <c r="AA225" s="55">
        <f t="shared" si="50"/>
        <v>0</v>
      </c>
      <c r="AB225" s="55">
        <f t="shared" si="51"/>
        <v>393.12000000000012</v>
      </c>
      <c r="AC225" s="54">
        <f t="shared" si="52"/>
        <v>0.3421052631578948</v>
      </c>
      <c r="AD225" s="56">
        <f>INDEX(Assumptions!$B$14:$B$16,MATCH($R225,Assumptions!$A$14:$A$16,0))</f>
        <v>0.32</v>
      </c>
      <c r="AE225" s="56">
        <f>INDEX(Assumptions!$C$14:$C$16,MATCH($R225,Assumptions!$A$14:$A$16,0))</f>
        <v>0.22</v>
      </c>
      <c r="AF225" s="49">
        <f t="shared" si="53"/>
        <v>0</v>
      </c>
      <c r="AG225" s="49">
        <f t="shared" si="54"/>
        <v>0</v>
      </c>
      <c r="AH225" s="55">
        <f t="shared" si="55"/>
        <v>0</v>
      </c>
    </row>
    <row r="226" spans="1:34" x14ac:dyDescent="0.2">
      <c r="A226" s="48" t="s">
        <v>467</v>
      </c>
      <c r="B226" s="48">
        <v>1</v>
      </c>
      <c r="C226" s="48" t="s">
        <v>441</v>
      </c>
      <c r="D226" s="48" t="s">
        <v>416</v>
      </c>
      <c r="E226" s="48" t="s">
        <v>317</v>
      </c>
      <c r="F226" s="48" t="s">
        <v>280</v>
      </c>
      <c r="G226" s="48" t="s">
        <v>306</v>
      </c>
      <c r="H226" s="48" t="s">
        <v>62</v>
      </c>
      <c r="I226" s="48" t="s">
        <v>108</v>
      </c>
      <c r="J226" s="49">
        <v>13</v>
      </c>
      <c r="K226" s="50">
        <v>1345</v>
      </c>
      <c r="L226" s="50">
        <v>1328.37</v>
      </c>
      <c r="M226" s="48" t="s">
        <v>276</v>
      </c>
      <c r="N226" s="51">
        <v>1</v>
      </c>
      <c r="O226" s="51">
        <v>1</v>
      </c>
      <c r="P226" s="52">
        <v>1145</v>
      </c>
      <c r="Q226" s="52">
        <v>1145</v>
      </c>
      <c r="R226" s="53" t="str">
        <f>INDEX(SKU_Master!$D$5:$D$34,MATCH($I226,SKU_Master!$A$5:$A$34,0))</f>
        <v>Laptop</v>
      </c>
      <c r="S226" s="54">
        <f t="shared" si="42"/>
        <v>1.2364312267658106E-2</v>
      </c>
      <c r="T226" s="55">
        <f t="shared" si="43"/>
        <v>17485</v>
      </c>
      <c r="U226" s="55">
        <f t="shared" si="44"/>
        <v>17268.809999999998</v>
      </c>
      <c r="V226" s="55">
        <f t="shared" si="45"/>
        <v>-216.19000000000233</v>
      </c>
      <c r="W226" s="55">
        <f t="shared" si="46"/>
        <v>17268.809999999998</v>
      </c>
      <c r="X226" s="55">
        <f t="shared" si="47"/>
        <v>0</v>
      </c>
      <c r="Y226" s="55">
        <f t="shared" si="48"/>
        <v>14885</v>
      </c>
      <c r="Z226" s="55">
        <f t="shared" si="49"/>
        <v>14885</v>
      </c>
      <c r="AA226" s="55">
        <f t="shared" si="50"/>
        <v>0</v>
      </c>
      <c r="AB226" s="55">
        <f t="shared" si="51"/>
        <v>2383.8099999999977</v>
      </c>
      <c r="AC226" s="54">
        <f t="shared" si="52"/>
        <v>0.13804135895872374</v>
      </c>
      <c r="AD226" s="56">
        <f>INDEX(Assumptions!$B$14:$B$16,MATCH($R226,Assumptions!$A$14:$A$16,0))</f>
        <v>0.12</v>
      </c>
      <c r="AE226" s="56">
        <f>INDEX(Assumptions!$C$14:$C$16,MATCH($R226,Assumptions!$A$14:$A$16,0))</f>
        <v>0.08</v>
      </c>
      <c r="AF226" s="49">
        <f t="shared" si="53"/>
        <v>0</v>
      </c>
      <c r="AG226" s="49">
        <f t="shared" si="54"/>
        <v>0</v>
      </c>
      <c r="AH226" s="55">
        <f t="shared" si="55"/>
        <v>0</v>
      </c>
    </row>
    <row r="227" spans="1:34" x14ac:dyDescent="0.2">
      <c r="A227" s="48" t="s">
        <v>467</v>
      </c>
      <c r="B227" s="48">
        <v>2</v>
      </c>
      <c r="C227" s="48" t="s">
        <v>441</v>
      </c>
      <c r="D227" s="48" t="s">
        <v>416</v>
      </c>
      <c r="E227" s="48" t="s">
        <v>317</v>
      </c>
      <c r="F227" s="48" t="s">
        <v>280</v>
      </c>
      <c r="G227" s="48" t="s">
        <v>306</v>
      </c>
      <c r="H227" s="48" t="s">
        <v>62</v>
      </c>
      <c r="I227" s="48" t="s">
        <v>151</v>
      </c>
      <c r="J227" s="49">
        <v>5</v>
      </c>
      <c r="K227" s="50">
        <v>335</v>
      </c>
      <c r="L227" s="50">
        <v>326.52999999999997</v>
      </c>
      <c r="M227" s="48" t="s">
        <v>276</v>
      </c>
      <c r="N227" s="51">
        <v>1</v>
      </c>
      <c r="O227" s="51">
        <v>1</v>
      </c>
      <c r="P227" s="52">
        <v>216.7</v>
      </c>
      <c r="Q227" s="52">
        <v>216.7</v>
      </c>
      <c r="R227" s="53" t="str">
        <f>INDEX(SKU_Master!$D$5:$D$34,MATCH($I227,SKU_Master!$A$5:$A$34,0))</f>
        <v>Accessory</v>
      </c>
      <c r="S227" s="54">
        <f t="shared" si="42"/>
        <v>2.5283582089552281E-2</v>
      </c>
      <c r="T227" s="55">
        <f t="shared" si="43"/>
        <v>1675</v>
      </c>
      <c r="U227" s="55">
        <f t="shared" si="44"/>
        <v>1632.6499999999999</v>
      </c>
      <c r="V227" s="55">
        <f t="shared" si="45"/>
        <v>-42.350000000000136</v>
      </c>
      <c r="W227" s="55">
        <f t="shared" si="46"/>
        <v>1632.6499999999999</v>
      </c>
      <c r="X227" s="55">
        <f t="shared" si="47"/>
        <v>0</v>
      </c>
      <c r="Y227" s="55">
        <f t="shared" si="48"/>
        <v>1083.5</v>
      </c>
      <c r="Z227" s="55">
        <f t="shared" si="49"/>
        <v>1083.5</v>
      </c>
      <c r="AA227" s="55">
        <f t="shared" si="50"/>
        <v>0</v>
      </c>
      <c r="AB227" s="55">
        <f t="shared" si="51"/>
        <v>549.14999999999986</v>
      </c>
      <c r="AC227" s="54">
        <f t="shared" si="52"/>
        <v>0.33635500566563559</v>
      </c>
      <c r="AD227" s="56">
        <f>INDEX(Assumptions!$B$14:$B$16,MATCH($R227,Assumptions!$A$14:$A$16,0))</f>
        <v>0.32</v>
      </c>
      <c r="AE227" s="56">
        <f>INDEX(Assumptions!$C$14:$C$16,MATCH($R227,Assumptions!$A$14:$A$16,0))</f>
        <v>0.22</v>
      </c>
      <c r="AF227" s="49">
        <f t="shared" si="53"/>
        <v>0</v>
      </c>
      <c r="AG227" s="49">
        <f t="shared" si="54"/>
        <v>0</v>
      </c>
      <c r="AH227" s="55">
        <f t="shared" si="55"/>
        <v>0</v>
      </c>
    </row>
    <row r="228" spans="1:34" x14ac:dyDescent="0.2">
      <c r="A228" s="48" t="s">
        <v>468</v>
      </c>
      <c r="B228" s="48">
        <v>1</v>
      </c>
      <c r="C228" s="48" t="s">
        <v>458</v>
      </c>
      <c r="D228" s="48" t="s">
        <v>416</v>
      </c>
      <c r="E228" s="48" t="s">
        <v>293</v>
      </c>
      <c r="F228" s="48" t="s">
        <v>274</v>
      </c>
      <c r="G228" s="48" t="s">
        <v>275</v>
      </c>
      <c r="H228" s="48" t="s">
        <v>66</v>
      </c>
      <c r="I228" s="48" t="s">
        <v>115</v>
      </c>
      <c r="J228" s="49">
        <v>8</v>
      </c>
      <c r="K228" s="50">
        <v>820</v>
      </c>
      <c r="L228" s="50">
        <v>817.24</v>
      </c>
      <c r="M228" s="48" t="s">
        <v>276</v>
      </c>
      <c r="N228" s="51">
        <v>0.92</v>
      </c>
      <c r="O228" s="51">
        <v>0.91710000000000003</v>
      </c>
      <c r="P228" s="52">
        <v>743.6</v>
      </c>
      <c r="Q228" s="52">
        <v>743.6</v>
      </c>
      <c r="R228" s="53" t="str">
        <f>INDEX(SKU_Master!$D$5:$D$34,MATCH($I228,SKU_Master!$A$5:$A$34,0))</f>
        <v>Laptop</v>
      </c>
      <c r="S228" s="54">
        <f t="shared" si="42"/>
        <v>3.3658536585365884E-3</v>
      </c>
      <c r="T228" s="55">
        <f t="shared" si="43"/>
        <v>7130.4347826086951</v>
      </c>
      <c r="U228" s="55">
        <f t="shared" si="44"/>
        <v>7106.4347826086951</v>
      </c>
      <c r="V228" s="55">
        <f t="shared" si="45"/>
        <v>-24</v>
      </c>
      <c r="W228" s="55">
        <f t="shared" si="46"/>
        <v>7128.9063351870027</v>
      </c>
      <c r="X228" s="55">
        <f t="shared" si="47"/>
        <v>22.471552578307637</v>
      </c>
      <c r="Y228" s="55">
        <f t="shared" si="48"/>
        <v>5948.8</v>
      </c>
      <c r="Z228" s="55">
        <f t="shared" si="49"/>
        <v>5948.8</v>
      </c>
      <c r="AA228" s="55">
        <f t="shared" si="50"/>
        <v>0</v>
      </c>
      <c r="AB228" s="55">
        <f t="shared" si="51"/>
        <v>1180.1063351870025</v>
      </c>
      <c r="AC228" s="54">
        <f t="shared" si="52"/>
        <v>0.16553820175223924</v>
      </c>
      <c r="AD228" s="56">
        <f>INDEX(Assumptions!$B$14:$B$16,MATCH($R228,Assumptions!$A$14:$A$16,0))</f>
        <v>0.12</v>
      </c>
      <c r="AE228" s="56">
        <f>INDEX(Assumptions!$C$14:$C$16,MATCH($R228,Assumptions!$A$14:$A$16,0))</f>
        <v>0.08</v>
      </c>
      <c r="AF228" s="49">
        <f t="shared" si="53"/>
        <v>0</v>
      </c>
      <c r="AG228" s="49">
        <f t="shared" si="54"/>
        <v>0</v>
      </c>
      <c r="AH228" s="55">
        <f t="shared" si="55"/>
        <v>0</v>
      </c>
    </row>
    <row r="229" spans="1:34" x14ac:dyDescent="0.2">
      <c r="A229" s="48" t="s">
        <v>468</v>
      </c>
      <c r="B229" s="48">
        <v>2</v>
      </c>
      <c r="C229" s="48" t="s">
        <v>458</v>
      </c>
      <c r="D229" s="48" t="s">
        <v>416</v>
      </c>
      <c r="E229" s="48" t="s">
        <v>293</v>
      </c>
      <c r="F229" s="48" t="s">
        <v>274</v>
      </c>
      <c r="G229" s="48" t="s">
        <v>275</v>
      </c>
      <c r="H229" s="48" t="s">
        <v>66</v>
      </c>
      <c r="I229" s="48" t="s">
        <v>135</v>
      </c>
      <c r="J229" s="49">
        <v>8</v>
      </c>
      <c r="K229" s="50">
        <v>255</v>
      </c>
      <c r="L229" s="50">
        <v>250.8</v>
      </c>
      <c r="M229" s="48" t="s">
        <v>276</v>
      </c>
      <c r="N229" s="51">
        <v>0.92</v>
      </c>
      <c r="O229" s="51">
        <v>0.91710000000000003</v>
      </c>
      <c r="P229" s="52">
        <v>211.7</v>
      </c>
      <c r="Q229" s="52">
        <v>211.7</v>
      </c>
      <c r="R229" s="53" t="str">
        <f>INDEX(SKU_Master!$D$5:$D$34,MATCH($I229,SKU_Master!$A$5:$A$34,0))</f>
        <v>Monitor</v>
      </c>
      <c r="S229" s="54">
        <f t="shared" si="42"/>
        <v>1.6470588235294126E-2</v>
      </c>
      <c r="T229" s="55">
        <f t="shared" si="43"/>
        <v>2217.391304347826</v>
      </c>
      <c r="U229" s="55">
        <f t="shared" si="44"/>
        <v>2180.8695652173915</v>
      </c>
      <c r="V229" s="55">
        <f t="shared" si="45"/>
        <v>-36.521739130434526</v>
      </c>
      <c r="W229" s="55">
        <f t="shared" si="46"/>
        <v>2187.7657834478246</v>
      </c>
      <c r="X229" s="55">
        <f t="shared" si="47"/>
        <v>6.8962182304330781</v>
      </c>
      <c r="Y229" s="55">
        <f t="shared" si="48"/>
        <v>1693.6</v>
      </c>
      <c r="Z229" s="55">
        <f t="shared" si="49"/>
        <v>1693.6</v>
      </c>
      <c r="AA229" s="55">
        <f t="shared" si="50"/>
        <v>0</v>
      </c>
      <c r="AB229" s="55">
        <f t="shared" si="51"/>
        <v>494.16578344782465</v>
      </c>
      <c r="AC229" s="54">
        <f t="shared" si="52"/>
        <v>0.22587691387559808</v>
      </c>
      <c r="AD229" s="56">
        <f>INDEX(Assumptions!$B$14:$B$16,MATCH($R229,Assumptions!$A$14:$A$16,0))</f>
        <v>0.18</v>
      </c>
      <c r="AE229" s="56">
        <f>INDEX(Assumptions!$C$14:$C$16,MATCH($R229,Assumptions!$A$14:$A$16,0))</f>
        <v>0.12</v>
      </c>
      <c r="AF229" s="49">
        <f t="shared" si="53"/>
        <v>0</v>
      </c>
      <c r="AG229" s="49">
        <f t="shared" si="54"/>
        <v>0</v>
      </c>
      <c r="AH229" s="55">
        <f t="shared" si="55"/>
        <v>0</v>
      </c>
    </row>
    <row r="230" spans="1:34" x14ac:dyDescent="0.2">
      <c r="A230" s="48" t="s">
        <v>468</v>
      </c>
      <c r="B230" s="48">
        <v>3</v>
      </c>
      <c r="C230" s="48" t="s">
        <v>458</v>
      </c>
      <c r="D230" s="48" t="s">
        <v>416</v>
      </c>
      <c r="E230" s="48" t="s">
        <v>293</v>
      </c>
      <c r="F230" s="48" t="s">
        <v>274</v>
      </c>
      <c r="G230" s="48" t="s">
        <v>275</v>
      </c>
      <c r="H230" s="48" t="s">
        <v>66</v>
      </c>
      <c r="I230" s="48" t="s">
        <v>161</v>
      </c>
      <c r="J230" s="49">
        <v>8</v>
      </c>
      <c r="K230" s="50">
        <v>120</v>
      </c>
      <c r="L230" s="50">
        <v>119.78</v>
      </c>
      <c r="M230" s="48" t="s">
        <v>276</v>
      </c>
      <c r="N230" s="51">
        <v>0.92</v>
      </c>
      <c r="O230" s="51">
        <v>0.91710000000000003</v>
      </c>
      <c r="P230" s="52">
        <v>81</v>
      </c>
      <c r="Q230" s="52">
        <v>81</v>
      </c>
      <c r="R230" s="53" t="str">
        <f>INDEX(SKU_Master!$D$5:$D$34,MATCH($I230,SKU_Master!$A$5:$A$34,0))</f>
        <v>Accessory</v>
      </c>
      <c r="S230" s="54">
        <f t="shared" si="42"/>
        <v>1.8333333333333535E-3</v>
      </c>
      <c r="T230" s="55">
        <f t="shared" si="43"/>
        <v>1043.4782608695652</v>
      </c>
      <c r="U230" s="55">
        <f t="shared" si="44"/>
        <v>1041.5652173913043</v>
      </c>
      <c r="V230" s="55">
        <f t="shared" si="45"/>
        <v>-1.9130434782609882</v>
      </c>
      <c r="W230" s="55">
        <f t="shared" si="46"/>
        <v>1044.858794024643</v>
      </c>
      <c r="X230" s="55">
        <f t="shared" si="47"/>
        <v>3.2935766333387164</v>
      </c>
      <c r="Y230" s="55">
        <f t="shared" si="48"/>
        <v>648</v>
      </c>
      <c r="Z230" s="55">
        <f t="shared" si="49"/>
        <v>648</v>
      </c>
      <c r="AA230" s="55">
        <f t="shared" si="50"/>
        <v>0</v>
      </c>
      <c r="AB230" s="55">
        <f t="shared" si="51"/>
        <v>396.85879402464298</v>
      </c>
      <c r="AC230" s="54">
        <f t="shared" si="52"/>
        <v>0.379820504257806</v>
      </c>
      <c r="AD230" s="56">
        <f>INDEX(Assumptions!$B$14:$B$16,MATCH($R230,Assumptions!$A$14:$A$16,0))</f>
        <v>0.32</v>
      </c>
      <c r="AE230" s="56">
        <f>INDEX(Assumptions!$C$14:$C$16,MATCH($R230,Assumptions!$A$14:$A$16,0))</f>
        <v>0.22</v>
      </c>
      <c r="AF230" s="49">
        <f t="shared" si="53"/>
        <v>0</v>
      </c>
      <c r="AG230" s="49">
        <f t="shared" si="54"/>
        <v>0</v>
      </c>
      <c r="AH230" s="55">
        <f t="shared" si="55"/>
        <v>0</v>
      </c>
    </row>
    <row r="231" spans="1:34" x14ac:dyDescent="0.2">
      <c r="A231" s="48" t="s">
        <v>469</v>
      </c>
      <c r="B231" s="48">
        <v>1</v>
      </c>
      <c r="C231" s="48" t="s">
        <v>470</v>
      </c>
      <c r="D231" s="48" t="s">
        <v>416</v>
      </c>
      <c r="E231" s="48" t="s">
        <v>410</v>
      </c>
      <c r="F231" s="48" t="s">
        <v>297</v>
      </c>
      <c r="G231" s="48" t="s">
        <v>302</v>
      </c>
      <c r="H231" s="48" t="s">
        <v>64</v>
      </c>
      <c r="I231" s="48" t="s">
        <v>108</v>
      </c>
      <c r="J231" s="49">
        <v>36</v>
      </c>
      <c r="K231" s="50">
        <v>1105</v>
      </c>
      <c r="L231" s="50">
        <v>1027.8800000000001</v>
      </c>
      <c r="M231" s="48" t="s">
        <v>276</v>
      </c>
      <c r="N231" s="51">
        <v>0.79</v>
      </c>
      <c r="O231" s="51">
        <v>0.78920000000000001</v>
      </c>
      <c r="P231" s="52">
        <v>1169</v>
      </c>
      <c r="Q231" s="52">
        <v>1169</v>
      </c>
      <c r="R231" s="53" t="str">
        <f>INDEX(SKU_Master!$D$5:$D$34,MATCH($I231,SKU_Master!$A$5:$A$34,0))</f>
        <v>Laptop</v>
      </c>
      <c r="S231" s="54">
        <f t="shared" si="42"/>
        <v>6.9791855203619857E-2</v>
      </c>
      <c r="T231" s="55">
        <f t="shared" si="43"/>
        <v>50354.430379746831</v>
      </c>
      <c r="U231" s="55">
        <f t="shared" si="44"/>
        <v>46840.101265822792</v>
      </c>
      <c r="V231" s="55">
        <f t="shared" si="45"/>
        <v>-3514.3291139240391</v>
      </c>
      <c r="W231" s="55">
        <f t="shared" si="46"/>
        <v>46887.582361885463</v>
      </c>
      <c r="X231" s="55">
        <f t="shared" si="47"/>
        <v>47.481096062670986</v>
      </c>
      <c r="Y231" s="55">
        <f t="shared" si="48"/>
        <v>42084</v>
      </c>
      <c r="Z231" s="55">
        <f t="shared" si="49"/>
        <v>42084</v>
      </c>
      <c r="AA231" s="55">
        <f t="shared" si="50"/>
        <v>0</v>
      </c>
      <c r="AB231" s="55">
        <f t="shared" si="51"/>
        <v>4803.5823618854629</v>
      </c>
      <c r="AC231" s="54">
        <f t="shared" si="52"/>
        <v>0.10244892399891056</v>
      </c>
      <c r="AD231" s="56">
        <f>INDEX(Assumptions!$B$14:$B$16,MATCH($R231,Assumptions!$A$14:$A$16,0))</f>
        <v>0.12</v>
      </c>
      <c r="AE231" s="56">
        <f>INDEX(Assumptions!$C$14:$C$16,MATCH($R231,Assumptions!$A$14:$A$16,0))</f>
        <v>0.08</v>
      </c>
      <c r="AF231" s="49">
        <f t="shared" si="53"/>
        <v>0</v>
      </c>
      <c r="AG231" s="49">
        <f t="shared" si="54"/>
        <v>0</v>
      </c>
      <c r="AH231" s="55">
        <f t="shared" si="55"/>
        <v>822.92752154079244</v>
      </c>
    </row>
    <row r="232" spans="1:34" x14ac:dyDescent="0.2">
      <c r="A232" s="48" t="s">
        <v>469</v>
      </c>
      <c r="B232" s="48">
        <v>2</v>
      </c>
      <c r="C232" s="48" t="s">
        <v>470</v>
      </c>
      <c r="D232" s="48" t="s">
        <v>416</v>
      </c>
      <c r="E232" s="48" t="s">
        <v>410</v>
      </c>
      <c r="F232" s="48" t="s">
        <v>297</v>
      </c>
      <c r="G232" s="48" t="s">
        <v>302</v>
      </c>
      <c r="H232" s="48" t="s">
        <v>64</v>
      </c>
      <c r="I232" s="48" t="s">
        <v>154</v>
      </c>
      <c r="J232" s="49">
        <v>20</v>
      </c>
      <c r="K232" s="50">
        <v>390</v>
      </c>
      <c r="L232" s="50">
        <v>366.07</v>
      </c>
      <c r="M232" s="48" t="s">
        <v>276</v>
      </c>
      <c r="N232" s="51">
        <v>0.79</v>
      </c>
      <c r="O232" s="51">
        <v>0.78920000000000001</v>
      </c>
      <c r="P232" s="52">
        <v>312</v>
      </c>
      <c r="Q232" s="52">
        <v>312</v>
      </c>
      <c r="R232" s="53" t="str">
        <f>INDEX(SKU_Master!$D$5:$D$34,MATCH($I232,SKU_Master!$A$5:$A$34,0))</f>
        <v>Accessory</v>
      </c>
      <c r="S232" s="54">
        <f t="shared" si="42"/>
        <v>6.1358974358974416E-2</v>
      </c>
      <c r="T232" s="55">
        <f t="shared" si="43"/>
        <v>9873.4177215189866</v>
      </c>
      <c r="U232" s="55">
        <f t="shared" si="44"/>
        <v>9267.5949367088597</v>
      </c>
      <c r="V232" s="55">
        <f t="shared" si="45"/>
        <v>-605.8227848101269</v>
      </c>
      <c r="W232" s="55">
        <f t="shared" si="46"/>
        <v>9276.9893563101868</v>
      </c>
      <c r="X232" s="55">
        <f t="shared" si="47"/>
        <v>9.3944196013271721</v>
      </c>
      <c r="Y232" s="55">
        <f t="shared" si="48"/>
        <v>6240</v>
      </c>
      <c r="Z232" s="55">
        <f t="shared" si="49"/>
        <v>6240</v>
      </c>
      <c r="AA232" s="55">
        <f t="shared" si="50"/>
        <v>0</v>
      </c>
      <c r="AB232" s="55">
        <f t="shared" si="51"/>
        <v>3036.9893563101868</v>
      </c>
      <c r="AC232" s="54">
        <f t="shared" si="52"/>
        <v>0.32736798972874037</v>
      </c>
      <c r="AD232" s="56">
        <f>INDEX(Assumptions!$B$14:$B$16,MATCH($R232,Assumptions!$A$14:$A$16,0))</f>
        <v>0.32</v>
      </c>
      <c r="AE232" s="56">
        <f>INDEX(Assumptions!$C$14:$C$16,MATCH($R232,Assumptions!$A$14:$A$16,0))</f>
        <v>0.22</v>
      </c>
      <c r="AF232" s="49">
        <f t="shared" si="53"/>
        <v>0</v>
      </c>
      <c r="AG232" s="49">
        <f t="shared" si="54"/>
        <v>0</v>
      </c>
      <c r="AH232" s="55">
        <f t="shared" si="55"/>
        <v>0</v>
      </c>
    </row>
    <row r="233" spans="1:34" x14ac:dyDescent="0.2">
      <c r="A233" s="48" t="s">
        <v>471</v>
      </c>
      <c r="B233" s="48">
        <v>1</v>
      </c>
      <c r="C233" s="48" t="s">
        <v>472</v>
      </c>
      <c r="D233" s="48" t="s">
        <v>416</v>
      </c>
      <c r="E233" s="48" t="s">
        <v>393</v>
      </c>
      <c r="F233" s="48" t="s">
        <v>274</v>
      </c>
      <c r="G233" s="48" t="s">
        <v>275</v>
      </c>
      <c r="H233" s="48" t="s">
        <v>66</v>
      </c>
      <c r="I233" s="48" t="s">
        <v>103</v>
      </c>
      <c r="J233" s="49">
        <v>3</v>
      </c>
      <c r="K233" s="50">
        <v>1090</v>
      </c>
      <c r="L233" s="50">
        <v>1068.4100000000001</v>
      </c>
      <c r="M233" s="48" t="s">
        <v>276</v>
      </c>
      <c r="N233" s="51">
        <v>0.92</v>
      </c>
      <c r="O233" s="51">
        <v>0.91710000000000003</v>
      </c>
      <c r="P233" s="52">
        <v>988.6</v>
      </c>
      <c r="Q233" s="52">
        <v>988.6</v>
      </c>
      <c r="R233" s="53" t="str">
        <f>INDEX(SKU_Master!$D$5:$D$34,MATCH($I233,SKU_Master!$A$5:$A$34,0))</f>
        <v>Laptop</v>
      </c>
      <c r="S233" s="54">
        <f t="shared" si="42"/>
        <v>1.9807339449541161E-2</v>
      </c>
      <c r="T233" s="55">
        <f t="shared" si="43"/>
        <v>3554.3478260869565</v>
      </c>
      <c r="U233" s="55">
        <f t="shared" si="44"/>
        <v>3483.9456521739135</v>
      </c>
      <c r="V233" s="55">
        <f t="shared" si="45"/>
        <v>-70.402173913043043</v>
      </c>
      <c r="W233" s="55">
        <f t="shared" si="46"/>
        <v>3494.962381419693</v>
      </c>
      <c r="X233" s="55">
        <f t="shared" si="47"/>
        <v>11.016729245779516</v>
      </c>
      <c r="Y233" s="55">
        <f t="shared" si="48"/>
        <v>2965.8</v>
      </c>
      <c r="Z233" s="55">
        <f t="shared" si="49"/>
        <v>2965.8</v>
      </c>
      <c r="AA233" s="55">
        <f t="shared" si="50"/>
        <v>0</v>
      </c>
      <c r="AB233" s="55">
        <f t="shared" si="51"/>
        <v>529.16238141969279</v>
      </c>
      <c r="AC233" s="54">
        <f t="shared" si="52"/>
        <v>0.15140717514811736</v>
      </c>
      <c r="AD233" s="56">
        <f>INDEX(Assumptions!$B$14:$B$16,MATCH($R233,Assumptions!$A$14:$A$16,0))</f>
        <v>0.12</v>
      </c>
      <c r="AE233" s="56">
        <f>INDEX(Assumptions!$C$14:$C$16,MATCH($R233,Assumptions!$A$14:$A$16,0))</f>
        <v>0.08</v>
      </c>
      <c r="AF233" s="49">
        <f t="shared" si="53"/>
        <v>0</v>
      </c>
      <c r="AG233" s="49">
        <f t="shared" si="54"/>
        <v>0</v>
      </c>
      <c r="AH233" s="55">
        <f t="shared" si="55"/>
        <v>0</v>
      </c>
    </row>
    <row r="234" spans="1:34" x14ac:dyDescent="0.2">
      <c r="A234" s="48" t="s">
        <v>471</v>
      </c>
      <c r="B234" s="48">
        <v>2</v>
      </c>
      <c r="C234" s="48" t="s">
        <v>472</v>
      </c>
      <c r="D234" s="48" t="s">
        <v>416</v>
      </c>
      <c r="E234" s="48" t="s">
        <v>393</v>
      </c>
      <c r="F234" s="48" t="s">
        <v>274</v>
      </c>
      <c r="G234" s="48" t="s">
        <v>275</v>
      </c>
      <c r="H234" s="48" t="s">
        <v>66</v>
      </c>
      <c r="I234" s="48" t="s">
        <v>135</v>
      </c>
      <c r="J234" s="49">
        <v>2</v>
      </c>
      <c r="K234" s="50">
        <v>255</v>
      </c>
      <c r="L234" s="50">
        <v>252.71</v>
      </c>
      <c r="M234" s="48" t="s">
        <v>276</v>
      </c>
      <c r="N234" s="51">
        <v>0.92</v>
      </c>
      <c r="O234" s="51">
        <v>0.91710000000000003</v>
      </c>
      <c r="P234" s="52">
        <v>211.7</v>
      </c>
      <c r="Q234" s="52">
        <v>211.7</v>
      </c>
      <c r="R234" s="53" t="str">
        <f>INDEX(SKU_Master!$D$5:$D$34,MATCH($I234,SKU_Master!$A$5:$A$34,0))</f>
        <v>Monitor</v>
      </c>
      <c r="S234" s="54">
        <f t="shared" si="42"/>
        <v>8.9803921568627487E-3</v>
      </c>
      <c r="T234" s="55">
        <f t="shared" si="43"/>
        <v>554.3478260869565</v>
      </c>
      <c r="U234" s="55">
        <f t="shared" si="44"/>
        <v>549.36956521739125</v>
      </c>
      <c r="V234" s="55">
        <f t="shared" si="45"/>
        <v>-4.978260869565247</v>
      </c>
      <c r="W234" s="55">
        <f t="shared" si="46"/>
        <v>551.1067495365827</v>
      </c>
      <c r="X234" s="55">
        <f t="shared" si="47"/>
        <v>1.7371843191914422</v>
      </c>
      <c r="Y234" s="55">
        <f t="shared" si="48"/>
        <v>423.4</v>
      </c>
      <c r="Z234" s="55">
        <f t="shared" si="49"/>
        <v>423.4</v>
      </c>
      <c r="AA234" s="55">
        <f t="shared" si="50"/>
        <v>0</v>
      </c>
      <c r="AB234" s="55">
        <f t="shared" si="51"/>
        <v>127.70674953658272</v>
      </c>
      <c r="AC234" s="54">
        <f t="shared" si="52"/>
        <v>0.23172779074828859</v>
      </c>
      <c r="AD234" s="56">
        <f>INDEX(Assumptions!$B$14:$B$16,MATCH($R234,Assumptions!$A$14:$A$16,0))</f>
        <v>0.18</v>
      </c>
      <c r="AE234" s="56">
        <f>INDEX(Assumptions!$C$14:$C$16,MATCH($R234,Assumptions!$A$14:$A$16,0))</f>
        <v>0.12</v>
      </c>
      <c r="AF234" s="49">
        <f t="shared" si="53"/>
        <v>0</v>
      </c>
      <c r="AG234" s="49">
        <f t="shared" si="54"/>
        <v>0</v>
      </c>
      <c r="AH234" s="55">
        <f t="shared" si="55"/>
        <v>0</v>
      </c>
    </row>
    <row r="235" spans="1:34" x14ac:dyDescent="0.2">
      <c r="A235" s="48" t="s">
        <v>473</v>
      </c>
      <c r="B235" s="48">
        <v>1</v>
      </c>
      <c r="C235" s="48" t="s">
        <v>470</v>
      </c>
      <c r="D235" s="48" t="s">
        <v>416</v>
      </c>
      <c r="E235" s="48" t="s">
        <v>362</v>
      </c>
      <c r="F235" s="48" t="s">
        <v>280</v>
      </c>
      <c r="G235" s="48" t="s">
        <v>275</v>
      </c>
      <c r="H235" s="48" t="s">
        <v>62</v>
      </c>
      <c r="I235" s="48" t="s">
        <v>98</v>
      </c>
      <c r="J235" s="49">
        <v>28</v>
      </c>
      <c r="K235" s="50">
        <v>2085</v>
      </c>
      <c r="L235" s="50">
        <v>2048.04</v>
      </c>
      <c r="M235" s="48" t="s">
        <v>276</v>
      </c>
      <c r="N235" s="51">
        <v>1</v>
      </c>
      <c r="O235" s="51">
        <v>1</v>
      </c>
      <c r="P235" s="52">
        <v>1780.2</v>
      </c>
      <c r="Q235" s="52">
        <v>1780.2</v>
      </c>
      <c r="R235" s="53" t="str">
        <f>INDEX(SKU_Master!$D$5:$D$34,MATCH($I235,SKU_Master!$A$5:$A$34,0))</f>
        <v>Laptop</v>
      </c>
      <c r="S235" s="54">
        <f t="shared" si="42"/>
        <v>1.7726618705036001E-2</v>
      </c>
      <c r="T235" s="55">
        <f t="shared" si="43"/>
        <v>58380</v>
      </c>
      <c r="U235" s="55">
        <f t="shared" si="44"/>
        <v>57345.119999999995</v>
      </c>
      <c r="V235" s="55">
        <f t="shared" si="45"/>
        <v>-1034.8800000000047</v>
      </c>
      <c r="W235" s="55">
        <f t="shared" si="46"/>
        <v>57345.119999999995</v>
      </c>
      <c r="X235" s="55">
        <f t="shared" si="47"/>
        <v>0</v>
      </c>
      <c r="Y235" s="55">
        <f t="shared" si="48"/>
        <v>49845.599999999999</v>
      </c>
      <c r="Z235" s="55">
        <f t="shared" si="49"/>
        <v>49845.599999999999</v>
      </c>
      <c r="AA235" s="55">
        <f t="shared" si="50"/>
        <v>0</v>
      </c>
      <c r="AB235" s="55">
        <f t="shared" si="51"/>
        <v>7499.5199999999968</v>
      </c>
      <c r="AC235" s="54">
        <f t="shared" si="52"/>
        <v>0.13077869572859901</v>
      </c>
      <c r="AD235" s="56">
        <f>INDEX(Assumptions!$B$14:$B$16,MATCH($R235,Assumptions!$A$14:$A$16,0))</f>
        <v>0.12</v>
      </c>
      <c r="AE235" s="56">
        <f>INDEX(Assumptions!$C$14:$C$16,MATCH($R235,Assumptions!$A$14:$A$16,0))</f>
        <v>0.08</v>
      </c>
      <c r="AF235" s="49">
        <f t="shared" si="53"/>
        <v>0</v>
      </c>
      <c r="AG235" s="49">
        <f t="shared" si="54"/>
        <v>0</v>
      </c>
      <c r="AH235" s="55">
        <f t="shared" si="55"/>
        <v>0</v>
      </c>
    </row>
    <row r="236" spans="1:34" x14ac:dyDescent="0.2">
      <c r="A236" s="48" t="s">
        <v>474</v>
      </c>
      <c r="B236" s="48">
        <v>1</v>
      </c>
      <c r="C236" s="48" t="s">
        <v>475</v>
      </c>
      <c r="D236" s="48" t="s">
        <v>416</v>
      </c>
      <c r="E236" s="48" t="s">
        <v>305</v>
      </c>
      <c r="F236" s="48" t="s">
        <v>274</v>
      </c>
      <c r="G236" s="48" t="s">
        <v>306</v>
      </c>
      <c r="H236" s="48" t="s">
        <v>62</v>
      </c>
      <c r="I236" s="48" t="s">
        <v>108</v>
      </c>
      <c r="J236" s="49">
        <v>7</v>
      </c>
      <c r="K236" s="50">
        <v>1345</v>
      </c>
      <c r="L236" s="50">
        <v>1330.18</v>
      </c>
      <c r="M236" s="48" t="s">
        <v>276</v>
      </c>
      <c r="N236" s="51">
        <v>1</v>
      </c>
      <c r="O236" s="51">
        <v>1</v>
      </c>
      <c r="P236" s="52">
        <v>1145</v>
      </c>
      <c r="Q236" s="52">
        <v>1145</v>
      </c>
      <c r="R236" s="53" t="str">
        <f>INDEX(SKU_Master!$D$5:$D$34,MATCH($I236,SKU_Master!$A$5:$A$34,0))</f>
        <v>Laptop</v>
      </c>
      <c r="S236" s="54">
        <f t="shared" si="42"/>
        <v>1.10185873605948E-2</v>
      </c>
      <c r="T236" s="55">
        <f t="shared" si="43"/>
        <v>9415</v>
      </c>
      <c r="U236" s="55">
        <f t="shared" si="44"/>
        <v>9311.26</v>
      </c>
      <c r="V236" s="55">
        <f t="shared" si="45"/>
        <v>-103.73999999999978</v>
      </c>
      <c r="W236" s="55">
        <f t="shared" si="46"/>
        <v>9311.26</v>
      </c>
      <c r="X236" s="55">
        <f t="shared" si="47"/>
        <v>0</v>
      </c>
      <c r="Y236" s="55">
        <f t="shared" si="48"/>
        <v>8015</v>
      </c>
      <c r="Z236" s="55">
        <f t="shared" si="49"/>
        <v>8015</v>
      </c>
      <c r="AA236" s="55">
        <f t="shared" si="50"/>
        <v>0</v>
      </c>
      <c r="AB236" s="55">
        <f t="shared" si="51"/>
        <v>1296.2600000000002</v>
      </c>
      <c r="AC236" s="54">
        <f t="shared" si="52"/>
        <v>0.13921424168157695</v>
      </c>
      <c r="AD236" s="56">
        <f>INDEX(Assumptions!$B$14:$B$16,MATCH($R236,Assumptions!$A$14:$A$16,0))</f>
        <v>0.12</v>
      </c>
      <c r="AE236" s="56">
        <f>INDEX(Assumptions!$C$14:$C$16,MATCH($R236,Assumptions!$A$14:$A$16,0))</f>
        <v>0.08</v>
      </c>
      <c r="AF236" s="49">
        <f t="shared" si="53"/>
        <v>0</v>
      </c>
      <c r="AG236" s="49">
        <f t="shared" si="54"/>
        <v>0</v>
      </c>
      <c r="AH236" s="55">
        <f t="shared" si="55"/>
        <v>0</v>
      </c>
    </row>
    <row r="237" spans="1:34" x14ac:dyDescent="0.2">
      <c r="A237" s="48" t="s">
        <v>474</v>
      </c>
      <c r="B237" s="48">
        <v>2</v>
      </c>
      <c r="C237" s="48" t="s">
        <v>475</v>
      </c>
      <c r="D237" s="48" t="s">
        <v>416</v>
      </c>
      <c r="E237" s="48" t="s">
        <v>305</v>
      </c>
      <c r="F237" s="48" t="s">
        <v>274</v>
      </c>
      <c r="G237" s="48" t="s">
        <v>306</v>
      </c>
      <c r="H237" s="48" t="s">
        <v>62</v>
      </c>
      <c r="I237" s="48" t="s">
        <v>144</v>
      </c>
      <c r="J237" s="49">
        <v>6</v>
      </c>
      <c r="K237" s="50">
        <v>370</v>
      </c>
      <c r="L237" s="50">
        <v>369.8</v>
      </c>
      <c r="M237" s="48" t="s">
        <v>276</v>
      </c>
      <c r="N237" s="51">
        <v>1</v>
      </c>
      <c r="O237" s="51">
        <v>1</v>
      </c>
      <c r="P237" s="52">
        <v>289.60000000000002</v>
      </c>
      <c r="Q237" s="52">
        <v>289.60000000000002</v>
      </c>
      <c r="R237" s="53" t="str">
        <f>INDEX(SKU_Master!$D$5:$D$34,MATCH($I237,SKU_Master!$A$5:$A$34,0))</f>
        <v>Monitor</v>
      </c>
      <c r="S237" s="54">
        <f t="shared" si="42"/>
        <v>5.4054054054053502E-4</v>
      </c>
      <c r="T237" s="55">
        <f t="shared" si="43"/>
        <v>2220</v>
      </c>
      <c r="U237" s="55">
        <f t="shared" si="44"/>
        <v>2218.8000000000002</v>
      </c>
      <c r="V237" s="55">
        <f t="shared" si="45"/>
        <v>-1.1999999999998181</v>
      </c>
      <c r="W237" s="55">
        <f t="shared" si="46"/>
        <v>2218.8000000000002</v>
      </c>
      <c r="X237" s="55">
        <f t="shared" si="47"/>
        <v>0</v>
      </c>
      <c r="Y237" s="55">
        <f t="shared" si="48"/>
        <v>1737.6000000000001</v>
      </c>
      <c r="Z237" s="55">
        <f t="shared" si="49"/>
        <v>1737.6000000000001</v>
      </c>
      <c r="AA237" s="55">
        <f t="shared" si="50"/>
        <v>0</v>
      </c>
      <c r="AB237" s="55">
        <f t="shared" si="51"/>
        <v>481.20000000000005</v>
      </c>
      <c r="AC237" s="54">
        <f t="shared" si="52"/>
        <v>0.21687398593834506</v>
      </c>
      <c r="AD237" s="56">
        <f>INDEX(Assumptions!$B$14:$B$16,MATCH($R237,Assumptions!$A$14:$A$16,0))</f>
        <v>0.18</v>
      </c>
      <c r="AE237" s="56">
        <f>INDEX(Assumptions!$C$14:$C$16,MATCH($R237,Assumptions!$A$14:$A$16,0))</f>
        <v>0.12</v>
      </c>
      <c r="AF237" s="49">
        <f t="shared" si="53"/>
        <v>0</v>
      </c>
      <c r="AG237" s="49">
        <f t="shared" si="54"/>
        <v>0</v>
      </c>
      <c r="AH237" s="55">
        <f t="shared" si="55"/>
        <v>0</v>
      </c>
    </row>
    <row r="238" spans="1:34" x14ac:dyDescent="0.2">
      <c r="A238" s="48" t="s">
        <v>476</v>
      </c>
      <c r="B238" s="48">
        <v>1</v>
      </c>
      <c r="C238" s="48" t="s">
        <v>434</v>
      </c>
      <c r="D238" s="48" t="s">
        <v>416</v>
      </c>
      <c r="E238" s="48" t="s">
        <v>355</v>
      </c>
      <c r="F238" s="48" t="s">
        <v>280</v>
      </c>
      <c r="G238" s="48" t="s">
        <v>302</v>
      </c>
      <c r="H238" s="48" t="s">
        <v>62</v>
      </c>
      <c r="I238" s="48" t="s">
        <v>103</v>
      </c>
      <c r="J238" s="49">
        <v>20</v>
      </c>
      <c r="K238" s="50">
        <v>1135</v>
      </c>
      <c r="L238" s="50">
        <v>1093.54</v>
      </c>
      <c r="M238" s="48" t="s">
        <v>276</v>
      </c>
      <c r="N238" s="51">
        <v>1</v>
      </c>
      <c r="O238" s="51">
        <v>1</v>
      </c>
      <c r="P238" s="52">
        <v>968.6</v>
      </c>
      <c r="Q238" s="52">
        <v>968.6</v>
      </c>
      <c r="R238" s="53" t="str">
        <f>INDEX(SKU_Master!$D$5:$D$34,MATCH($I238,SKU_Master!$A$5:$A$34,0))</f>
        <v>Laptop</v>
      </c>
      <c r="S238" s="54">
        <f t="shared" si="42"/>
        <v>3.6528634361233547E-2</v>
      </c>
      <c r="T238" s="55">
        <f t="shared" si="43"/>
        <v>22700</v>
      </c>
      <c r="U238" s="55">
        <f t="shared" si="44"/>
        <v>21870.799999999999</v>
      </c>
      <c r="V238" s="55">
        <f t="shared" si="45"/>
        <v>-829.20000000000073</v>
      </c>
      <c r="W238" s="55">
        <f t="shared" si="46"/>
        <v>21870.799999999999</v>
      </c>
      <c r="X238" s="55">
        <f t="shared" si="47"/>
        <v>0</v>
      </c>
      <c r="Y238" s="55">
        <f t="shared" si="48"/>
        <v>19372</v>
      </c>
      <c r="Z238" s="55">
        <f t="shared" si="49"/>
        <v>19372</v>
      </c>
      <c r="AA238" s="55">
        <f t="shared" si="50"/>
        <v>0</v>
      </c>
      <c r="AB238" s="55">
        <f t="shared" si="51"/>
        <v>2498.7999999999993</v>
      </c>
      <c r="AC238" s="54">
        <f t="shared" si="52"/>
        <v>0.11425279367924353</v>
      </c>
      <c r="AD238" s="56">
        <f>INDEX(Assumptions!$B$14:$B$16,MATCH($R238,Assumptions!$A$14:$A$16,0))</f>
        <v>0.12</v>
      </c>
      <c r="AE238" s="56">
        <f>INDEX(Assumptions!$C$14:$C$16,MATCH($R238,Assumptions!$A$14:$A$16,0))</f>
        <v>0.08</v>
      </c>
      <c r="AF238" s="49">
        <f t="shared" si="53"/>
        <v>0</v>
      </c>
      <c r="AG238" s="49">
        <f t="shared" si="54"/>
        <v>0</v>
      </c>
      <c r="AH238" s="55">
        <f t="shared" si="55"/>
        <v>125.69600000000037</v>
      </c>
    </row>
    <row r="239" spans="1:34" x14ac:dyDescent="0.2">
      <c r="A239" s="48" t="s">
        <v>476</v>
      </c>
      <c r="B239" s="48">
        <v>2</v>
      </c>
      <c r="C239" s="48" t="s">
        <v>434</v>
      </c>
      <c r="D239" s="48" t="s">
        <v>416</v>
      </c>
      <c r="E239" s="48" t="s">
        <v>355</v>
      </c>
      <c r="F239" s="48" t="s">
        <v>280</v>
      </c>
      <c r="G239" s="48" t="s">
        <v>302</v>
      </c>
      <c r="H239" s="48" t="s">
        <v>62</v>
      </c>
      <c r="I239" s="48" t="s">
        <v>161</v>
      </c>
      <c r="J239" s="49">
        <v>14</v>
      </c>
      <c r="K239" s="50">
        <v>120</v>
      </c>
      <c r="L239" s="50">
        <v>114.13</v>
      </c>
      <c r="M239" s="48" t="s">
        <v>276</v>
      </c>
      <c r="N239" s="51">
        <v>1</v>
      </c>
      <c r="O239" s="51">
        <v>1</v>
      </c>
      <c r="P239" s="52">
        <v>76</v>
      </c>
      <c r="Q239" s="52">
        <v>76</v>
      </c>
      <c r="R239" s="53" t="str">
        <f>INDEX(SKU_Master!$D$5:$D$34,MATCH($I239,SKU_Master!$A$5:$A$34,0))</f>
        <v>Accessory</v>
      </c>
      <c r="S239" s="54">
        <f t="shared" si="42"/>
        <v>4.8916666666666719E-2</v>
      </c>
      <c r="T239" s="55">
        <f t="shared" si="43"/>
        <v>1680</v>
      </c>
      <c r="U239" s="55">
        <f t="shared" si="44"/>
        <v>1597.82</v>
      </c>
      <c r="V239" s="55">
        <f t="shared" si="45"/>
        <v>-82.180000000000064</v>
      </c>
      <c r="W239" s="55">
        <f t="shared" si="46"/>
        <v>1597.82</v>
      </c>
      <c r="X239" s="55">
        <f t="shared" si="47"/>
        <v>0</v>
      </c>
      <c r="Y239" s="55">
        <f t="shared" si="48"/>
        <v>1064</v>
      </c>
      <c r="Z239" s="55">
        <f t="shared" si="49"/>
        <v>1064</v>
      </c>
      <c r="AA239" s="55">
        <f t="shared" si="50"/>
        <v>0</v>
      </c>
      <c r="AB239" s="55">
        <f t="shared" si="51"/>
        <v>533.81999999999994</v>
      </c>
      <c r="AC239" s="54">
        <f t="shared" si="52"/>
        <v>0.33409270130552876</v>
      </c>
      <c r="AD239" s="56">
        <f>INDEX(Assumptions!$B$14:$B$16,MATCH($R239,Assumptions!$A$14:$A$16,0))</f>
        <v>0.32</v>
      </c>
      <c r="AE239" s="56">
        <f>INDEX(Assumptions!$C$14:$C$16,MATCH($R239,Assumptions!$A$14:$A$16,0))</f>
        <v>0.22</v>
      </c>
      <c r="AF239" s="49">
        <f t="shared" si="53"/>
        <v>0</v>
      </c>
      <c r="AG239" s="49">
        <f t="shared" si="54"/>
        <v>0</v>
      </c>
      <c r="AH239" s="55">
        <f t="shared" si="55"/>
        <v>0</v>
      </c>
    </row>
    <row r="240" spans="1:34" x14ac:dyDescent="0.2">
      <c r="A240" s="48" t="s">
        <v>477</v>
      </c>
      <c r="B240" s="48">
        <v>1</v>
      </c>
      <c r="C240" s="48" t="s">
        <v>436</v>
      </c>
      <c r="D240" s="48" t="s">
        <v>416</v>
      </c>
      <c r="E240" s="48" t="s">
        <v>317</v>
      </c>
      <c r="F240" s="48" t="s">
        <v>280</v>
      </c>
      <c r="G240" s="48" t="s">
        <v>306</v>
      </c>
      <c r="H240" s="48" t="s">
        <v>62</v>
      </c>
      <c r="I240" s="48" t="s">
        <v>93</v>
      </c>
      <c r="J240" s="49">
        <v>19</v>
      </c>
      <c r="K240" s="50">
        <v>1390</v>
      </c>
      <c r="L240" s="50">
        <v>1365.77</v>
      </c>
      <c r="M240" s="48" t="s">
        <v>276</v>
      </c>
      <c r="N240" s="51">
        <v>1</v>
      </c>
      <c r="O240" s="51">
        <v>1</v>
      </c>
      <c r="P240" s="52">
        <v>1186.2</v>
      </c>
      <c r="Q240" s="52">
        <v>1186.2</v>
      </c>
      <c r="R240" s="53" t="str">
        <f>INDEX(SKU_Master!$D$5:$D$34,MATCH($I240,SKU_Master!$A$5:$A$34,0))</f>
        <v>Laptop</v>
      </c>
      <c r="S240" s="54">
        <f t="shared" si="42"/>
        <v>1.7431654676258956E-2</v>
      </c>
      <c r="T240" s="55">
        <f t="shared" si="43"/>
        <v>26410</v>
      </c>
      <c r="U240" s="55">
        <f t="shared" si="44"/>
        <v>25949.63</v>
      </c>
      <c r="V240" s="55">
        <f t="shared" si="45"/>
        <v>-460.36999999999898</v>
      </c>
      <c r="W240" s="55">
        <f t="shared" si="46"/>
        <v>25949.63</v>
      </c>
      <c r="X240" s="55">
        <f t="shared" si="47"/>
        <v>0</v>
      </c>
      <c r="Y240" s="55">
        <f t="shared" si="48"/>
        <v>22537.8</v>
      </c>
      <c r="Z240" s="55">
        <f t="shared" si="49"/>
        <v>22537.8</v>
      </c>
      <c r="AA240" s="55">
        <f t="shared" si="50"/>
        <v>0</v>
      </c>
      <c r="AB240" s="55">
        <f t="shared" si="51"/>
        <v>3411.8300000000017</v>
      </c>
      <c r="AC240" s="54">
        <f t="shared" si="52"/>
        <v>0.13147894594258192</v>
      </c>
      <c r="AD240" s="56">
        <f>INDEX(Assumptions!$B$14:$B$16,MATCH($R240,Assumptions!$A$14:$A$16,0))</f>
        <v>0.12</v>
      </c>
      <c r="AE240" s="56">
        <f>INDEX(Assumptions!$C$14:$C$16,MATCH($R240,Assumptions!$A$14:$A$16,0))</f>
        <v>0.08</v>
      </c>
      <c r="AF240" s="49">
        <f t="shared" si="53"/>
        <v>0</v>
      </c>
      <c r="AG240" s="49">
        <f t="shared" si="54"/>
        <v>0</v>
      </c>
      <c r="AH240" s="55">
        <f t="shared" si="55"/>
        <v>0</v>
      </c>
    </row>
    <row r="241" spans="1:34" x14ac:dyDescent="0.2">
      <c r="A241" s="48" t="s">
        <v>477</v>
      </c>
      <c r="B241" s="48">
        <v>2</v>
      </c>
      <c r="C241" s="48" t="s">
        <v>436</v>
      </c>
      <c r="D241" s="48" t="s">
        <v>416</v>
      </c>
      <c r="E241" s="48" t="s">
        <v>317</v>
      </c>
      <c r="F241" s="48" t="s">
        <v>280</v>
      </c>
      <c r="G241" s="48" t="s">
        <v>306</v>
      </c>
      <c r="H241" s="48" t="s">
        <v>62</v>
      </c>
      <c r="I241" s="48" t="s">
        <v>173</v>
      </c>
      <c r="J241" s="49">
        <v>17</v>
      </c>
      <c r="K241" s="50">
        <v>55</v>
      </c>
      <c r="L241" s="50">
        <v>54.12</v>
      </c>
      <c r="M241" s="48" t="s">
        <v>276</v>
      </c>
      <c r="N241" s="51">
        <v>1</v>
      </c>
      <c r="O241" s="51">
        <v>1</v>
      </c>
      <c r="P241" s="52">
        <v>34</v>
      </c>
      <c r="Q241" s="52">
        <v>34</v>
      </c>
      <c r="R241" s="53" t="str">
        <f>INDEX(SKU_Master!$D$5:$D$34,MATCH($I241,SKU_Master!$A$5:$A$34,0))</f>
        <v>Accessory</v>
      </c>
      <c r="S241" s="54">
        <f t="shared" si="42"/>
        <v>1.6000000000000014E-2</v>
      </c>
      <c r="T241" s="55">
        <f t="shared" si="43"/>
        <v>935</v>
      </c>
      <c r="U241" s="55">
        <f t="shared" si="44"/>
        <v>920.04</v>
      </c>
      <c r="V241" s="55">
        <f t="shared" si="45"/>
        <v>-14.960000000000036</v>
      </c>
      <c r="W241" s="55">
        <f t="shared" si="46"/>
        <v>920.04</v>
      </c>
      <c r="X241" s="55">
        <f t="shared" si="47"/>
        <v>0</v>
      </c>
      <c r="Y241" s="55">
        <f t="shared" si="48"/>
        <v>578</v>
      </c>
      <c r="Z241" s="55">
        <f t="shared" si="49"/>
        <v>578</v>
      </c>
      <c r="AA241" s="55">
        <f t="shared" si="50"/>
        <v>0</v>
      </c>
      <c r="AB241" s="55">
        <f t="shared" si="51"/>
        <v>342.03999999999996</v>
      </c>
      <c r="AC241" s="54">
        <f t="shared" si="52"/>
        <v>0.37176644493717664</v>
      </c>
      <c r="AD241" s="56">
        <f>INDEX(Assumptions!$B$14:$B$16,MATCH($R241,Assumptions!$A$14:$A$16,0))</f>
        <v>0.32</v>
      </c>
      <c r="AE241" s="56">
        <f>INDEX(Assumptions!$C$14:$C$16,MATCH($R241,Assumptions!$A$14:$A$16,0))</f>
        <v>0.22</v>
      </c>
      <c r="AF241" s="49">
        <f t="shared" si="53"/>
        <v>0</v>
      </c>
      <c r="AG241" s="49">
        <f t="shared" si="54"/>
        <v>0</v>
      </c>
      <c r="AH241" s="55">
        <f t="shared" si="55"/>
        <v>0</v>
      </c>
    </row>
    <row r="242" spans="1:34" x14ac:dyDescent="0.2">
      <c r="A242" s="48" t="s">
        <v>478</v>
      </c>
      <c r="B242" s="48">
        <v>1</v>
      </c>
      <c r="C242" s="48" t="s">
        <v>448</v>
      </c>
      <c r="D242" s="48" t="s">
        <v>416</v>
      </c>
      <c r="E242" s="48" t="s">
        <v>437</v>
      </c>
      <c r="F242" s="48" t="s">
        <v>274</v>
      </c>
      <c r="G242" s="48" t="s">
        <v>302</v>
      </c>
      <c r="H242" s="48" t="s">
        <v>62</v>
      </c>
      <c r="I242" s="48" t="s">
        <v>93</v>
      </c>
      <c r="J242" s="49">
        <v>8</v>
      </c>
      <c r="K242" s="50">
        <v>1390</v>
      </c>
      <c r="L242" s="50">
        <v>1348.07</v>
      </c>
      <c r="M242" s="48" t="s">
        <v>276</v>
      </c>
      <c r="N242" s="51">
        <v>1</v>
      </c>
      <c r="O242" s="51">
        <v>1</v>
      </c>
      <c r="P242" s="52">
        <v>1186.2</v>
      </c>
      <c r="Q242" s="52">
        <v>1186.2</v>
      </c>
      <c r="R242" s="53" t="str">
        <f>INDEX(SKU_Master!$D$5:$D$34,MATCH($I242,SKU_Master!$A$5:$A$34,0))</f>
        <v>Laptop</v>
      </c>
      <c r="S242" s="54">
        <f t="shared" si="42"/>
        <v>3.0165467625899334E-2</v>
      </c>
      <c r="T242" s="55">
        <f t="shared" si="43"/>
        <v>11120</v>
      </c>
      <c r="U242" s="55">
        <f t="shared" si="44"/>
        <v>10784.56</v>
      </c>
      <c r="V242" s="55">
        <f t="shared" si="45"/>
        <v>-335.44000000000051</v>
      </c>
      <c r="W242" s="55">
        <f t="shared" si="46"/>
        <v>10784.56</v>
      </c>
      <c r="X242" s="55">
        <f t="shared" si="47"/>
        <v>0</v>
      </c>
      <c r="Y242" s="55">
        <f t="shared" si="48"/>
        <v>9489.6</v>
      </c>
      <c r="Z242" s="55">
        <f t="shared" si="49"/>
        <v>9489.6</v>
      </c>
      <c r="AA242" s="55">
        <f t="shared" si="50"/>
        <v>0</v>
      </c>
      <c r="AB242" s="55">
        <f t="shared" si="51"/>
        <v>1294.9599999999991</v>
      </c>
      <c r="AC242" s="54">
        <f t="shared" si="52"/>
        <v>0.12007536700616429</v>
      </c>
      <c r="AD242" s="56">
        <f>INDEX(Assumptions!$B$14:$B$16,MATCH($R242,Assumptions!$A$14:$A$16,0))</f>
        <v>0.12</v>
      </c>
      <c r="AE242" s="56">
        <f>INDEX(Assumptions!$C$14:$C$16,MATCH($R242,Assumptions!$A$14:$A$16,0))</f>
        <v>0.08</v>
      </c>
      <c r="AF242" s="49">
        <f t="shared" si="53"/>
        <v>0</v>
      </c>
      <c r="AG242" s="49">
        <f t="shared" si="54"/>
        <v>0</v>
      </c>
      <c r="AH242" s="55">
        <f t="shared" si="55"/>
        <v>0</v>
      </c>
    </row>
    <row r="243" spans="1:34" x14ac:dyDescent="0.2">
      <c r="A243" s="48" t="s">
        <v>478</v>
      </c>
      <c r="B243" s="48">
        <v>2</v>
      </c>
      <c r="C243" s="48" t="s">
        <v>448</v>
      </c>
      <c r="D243" s="48" t="s">
        <v>416</v>
      </c>
      <c r="E243" s="48" t="s">
        <v>437</v>
      </c>
      <c r="F243" s="48" t="s">
        <v>274</v>
      </c>
      <c r="G243" s="48" t="s">
        <v>302</v>
      </c>
      <c r="H243" s="48" t="s">
        <v>62</v>
      </c>
      <c r="I243" s="48" t="s">
        <v>141</v>
      </c>
      <c r="J243" s="49">
        <v>4</v>
      </c>
      <c r="K243" s="50">
        <v>450</v>
      </c>
      <c r="L243" s="50">
        <v>434.4</v>
      </c>
      <c r="M243" s="48" t="s">
        <v>276</v>
      </c>
      <c r="N243" s="51">
        <v>1</v>
      </c>
      <c r="O243" s="51">
        <v>1</v>
      </c>
      <c r="P243" s="52">
        <v>351.7</v>
      </c>
      <c r="Q243" s="52">
        <v>351.7</v>
      </c>
      <c r="R243" s="53" t="str">
        <f>INDEX(SKU_Master!$D$5:$D$34,MATCH($I243,SKU_Master!$A$5:$A$34,0))</f>
        <v>Monitor</v>
      </c>
      <c r="S243" s="54">
        <f t="shared" si="42"/>
        <v>3.4666666666666734E-2</v>
      </c>
      <c r="T243" s="55">
        <f t="shared" si="43"/>
        <v>1800</v>
      </c>
      <c r="U243" s="55">
        <f t="shared" si="44"/>
        <v>1737.6</v>
      </c>
      <c r="V243" s="55">
        <f t="shared" si="45"/>
        <v>-62.400000000000091</v>
      </c>
      <c r="W243" s="55">
        <f t="shared" si="46"/>
        <v>1737.6</v>
      </c>
      <c r="X243" s="55">
        <f t="shared" si="47"/>
        <v>0</v>
      </c>
      <c r="Y243" s="55">
        <f t="shared" si="48"/>
        <v>1406.8</v>
      </c>
      <c r="Z243" s="55">
        <f t="shared" si="49"/>
        <v>1406.8</v>
      </c>
      <c r="AA243" s="55">
        <f t="shared" si="50"/>
        <v>0</v>
      </c>
      <c r="AB243" s="55">
        <f t="shared" si="51"/>
        <v>330.79999999999995</v>
      </c>
      <c r="AC243" s="54">
        <f t="shared" si="52"/>
        <v>0.19037753222836093</v>
      </c>
      <c r="AD243" s="56">
        <f>INDEX(Assumptions!$B$14:$B$16,MATCH($R243,Assumptions!$A$14:$A$16,0))</f>
        <v>0.18</v>
      </c>
      <c r="AE243" s="56">
        <f>INDEX(Assumptions!$C$14:$C$16,MATCH($R243,Assumptions!$A$14:$A$16,0))</f>
        <v>0.12</v>
      </c>
      <c r="AF243" s="49">
        <f t="shared" si="53"/>
        <v>0</v>
      </c>
      <c r="AG243" s="49">
        <f t="shared" si="54"/>
        <v>0</v>
      </c>
      <c r="AH243" s="55">
        <f t="shared" si="55"/>
        <v>0</v>
      </c>
    </row>
    <row r="244" spans="1:34" x14ac:dyDescent="0.2">
      <c r="A244" s="48" t="s">
        <v>478</v>
      </c>
      <c r="B244" s="48">
        <v>3</v>
      </c>
      <c r="C244" s="48" t="s">
        <v>448</v>
      </c>
      <c r="D244" s="48" t="s">
        <v>416</v>
      </c>
      <c r="E244" s="48" t="s">
        <v>437</v>
      </c>
      <c r="F244" s="48" t="s">
        <v>274</v>
      </c>
      <c r="G244" s="48" t="s">
        <v>302</v>
      </c>
      <c r="H244" s="48" t="s">
        <v>62</v>
      </c>
      <c r="I244" s="48" t="s">
        <v>151</v>
      </c>
      <c r="J244" s="49">
        <v>4</v>
      </c>
      <c r="K244" s="50">
        <v>335</v>
      </c>
      <c r="L244" s="50">
        <v>318.91000000000003</v>
      </c>
      <c r="M244" s="48" t="s">
        <v>276</v>
      </c>
      <c r="N244" s="51">
        <v>1</v>
      </c>
      <c r="O244" s="51">
        <v>1</v>
      </c>
      <c r="P244" s="52">
        <v>216.7</v>
      </c>
      <c r="Q244" s="52">
        <v>216.7</v>
      </c>
      <c r="R244" s="53" t="str">
        <f>INDEX(SKU_Master!$D$5:$D$34,MATCH($I244,SKU_Master!$A$5:$A$34,0))</f>
        <v>Accessory</v>
      </c>
      <c r="S244" s="54">
        <f t="shared" si="42"/>
        <v>4.8029850746268532E-2</v>
      </c>
      <c r="T244" s="55">
        <f t="shared" si="43"/>
        <v>1340</v>
      </c>
      <c r="U244" s="55">
        <f t="shared" si="44"/>
        <v>1275.6400000000001</v>
      </c>
      <c r="V244" s="55">
        <f t="shared" si="45"/>
        <v>-64.3599999999999</v>
      </c>
      <c r="W244" s="55">
        <f t="shared" si="46"/>
        <v>1275.6400000000001</v>
      </c>
      <c r="X244" s="55">
        <f t="shared" si="47"/>
        <v>0</v>
      </c>
      <c r="Y244" s="55">
        <f t="shared" si="48"/>
        <v>866.8</v>
      </c>
      <c r="Z244" s="55">
        <f t="shared" si="49"/>
        <v>866.8</v>
      </c>
      <c r="AA244" s="55">
        <f t="shared" si="50"/>
        <v>0</v>
      </c>
      <c r="AB244" s="55">
        <f t="shared" si="51"/>
        <v>408.84000000000015</v>
      </c>
      <c r="AC244" s="54">
        <f t="shared" si="52"/>
        <v>0.32049794612900201</v>
      </c>
      <c r="AD244" s="56">
        <f>INDEX(Assumptions!$B$14:$B$16,MATCH($R244,Assumptions!$A$14:$A$16,0))</f>
        <v>0.32</v>
      </c>
      <c r="AE244" s="56">
        <f>INDEX(Assumptions!$C$14:$C$16,MATCH($R244,Assumptions!$A$14:$A$16,0))</f>
        <v>0.22</v>
      </c>
      <c r="AF244" s="49">
        <f t="shared" si="53"/>
        <v>0</v>
      </c>
      <c r="AG244" s="49">
        <f t="shared" si="54"/>
        <v>0</v>
      </c>
      <c r="AH244" s="55">
        <f t="shared" si="55"/>
        <v>0</v>
      </c>
    </row>
    <row r="245" spans="1:34" x14ac:dyDescent="0.2">
      <c r="A245" s="48" t="s">
        <v>479</v>
      </c>
      <c r="B245" s="48">
        <v>1</v>
      </c>
      <c r="C245" s="48" t="s">
        <v>480</v>
      </c>
      <c r="D245" s="48" t="s">
        <v>416</v>
      </c>
      <c r="E245" s="48" t="s">
        <v>374</v>
      </c>
      <c r="F245" s="48" t="s">
        <v>274</v>
      </c>
      <c r="G245" s="48" t="s">
        <v>281</v>
      </c>
      <c r="H245" s="48" t="s">
        <v>62</v>
      </c>
      <c r="I245" s="48" t="s">
        <v>110</v>
      </c>
      <c r="J245" s="49">
        <v>2</v>
      </c>
      <c r="K245" s="50">
        <v>1165</v>
      </c>
      <c r="L245" s="50">
        <v>1160.21</v>
      </c>
      <c r="M245" s="48" t="s">
        <v>276</v>
      </c>
      <c r="N245" s="51">
        <v>1</v>
      </c>
      <c r="O245" s="51">
        <v>1</v>
      </c>
      <c r="P245" s="52">
        <v>992.65</v>
      </c>
      <c r="Q245" s="52">
        <v>992.65</v>
      </c>
      <c r="R245" s="53" t="str">
        <f>INDEX(SKU_Master!$D$5:$D$34,MATCH($I245,SKU_Master!$A$5:$A$34,0))</f>
        <v>Laptop</v>
      </c>
      <c r="S245" s="54">
        <f t="shared" si="42"/>
        <v>4.1115879828326207E-3</v>
      </c>
      <c r="T245" s="55">
        <f t="shared" si="43"/>
        <v>2330</v>
      </c>
      <c r="U245" s="55">
        <f t="shared" si="44"/>
        <v>2320.42</v>
      </c>
      <c r="V245" s="55">
        <f t="shared" si="45"/>
        <v>-9.5799999999999272</v>
      </c>
      <c r="W245" s="55">
        <f t="shared" si="46"/>
        <v>2320.42</v>
      </c>
      <c r="X245" s="55">
        <f t="shared" si="47"/>
        <v>0</v>
      </c>
      <c r="Y245" s="55">
        <f t="shared" si="48"/>
        <v>1985.3</v>
      </c>
      <c r="Z245" s="55">
        <f t="shared" si="49"/>
        <v>1985.3</v>
      </c>
      <c r="AA245" s="55">
        <f t="shared" si="50"/>
        <v>0</v>
      </c>
      <c r="AB245" s="55">
        <f t="shared" si="51"/>
        <v>335.12000000000012</v>
      </c>
      <c r="AC245" s="54">
        <f t="shared" si="52"/>
        <v>0.14442213047637933</v>
      </c>
      <c r="AD245" s="56">
        <f>INDEX(Assumptions!$B$14:$B$16,MATCH($R245,Assumptions!$A$14:$A$16,0))</f>
        <v>0.12</v>
      </c>
      <c r="AE245" s="56">
        <f>INDEX(Assumptions!$C$14:$C$16,MATCH($R245,Assumptions!$A$14:$A$16,0))</f>
        <v>0.08</v>
      </c>
      <c r="AF245" s="49">
        <f t="shared" si="53"/>
        <v>0</v>
      </c>
      <c r="AG245" s="49">
        <f t="shared" si="54"/>
        <v>0</v>
      </c>
      <c r="AH245" s="55">
        <f t="shared" si="55"/>
        <v>0</v>
      </c>
    </row>
    <row r="246" spans="1:34" x14ac:dyDescent="0.2">
      <c r="A246" s="48" t="s">
        <v>479</v>
      </c>
      <c r="B246" s="48">
        <v>2</v>
      </c>
      <c r="C246" s="48" t="s">
        <v>480</v>
      </c>
      <c r="D246" s="48" t="s">
        <v>416</v>
      </c>
      <c r="E246" s="48" t="s">
        <v>374</v>
      </c>
      <c r="F246" s="48" t="s">
        <v>274</v>
      </c>
      <c r="G246" s="48" t="s">
        <v>281</v>
      </c>
      <c r="H246" s="48" t="s">
        <v>62</v>
      </c>
      <c r="I246" s="48" t="s">
        <v>146</v>
      </c>
      <c r="J246" s="49">
        <v>2</v>
      </c>
      <c r="K246" s="50">
        <v>235</v>
      </c>
      <c r="L246" s="50">
        <v>234.53</v>
      </c>
      <c r="M246" s="48" t="s">
        <v>276</v>
      </c>
      <c r="N246" s="51">
        <v>1</v>
      </c>
      <c r="O246" s="51">
        <v>1</v>
      </c>
      <c r="P246" s="52">
        <v>181.8</v>
      </c>
      <c r="Q246" s="52">
        <v>181.8</v>
      </c>
      <c r="R246" s="53" t="str">
        <f>INDEX(SKU_Master!$D$5:$D$34,MATCH($I246,SKU_Master!$A$5:$A$34,0))</f>
        <v>Monitor</v>
      </c>
      <c r="S246" s="54">
        <f t="shared" si="42"/>
        <v>2.0000000000000018E-3</v>
      </c>
      <c r="T246" s="55">
        <f t="shared" si="43"/>
        <v>470</v>
      </c>
      <c r="U246" s="55">
        <f t="shared" si="44"/>
        <v>469.06</v>
      </c>
      <c r="V246" s="55">
        <f t="shared" si="45"/>
        <v>-0.93999999999999773</v>
      </c>
      <c r="W246" s="55">
        <f t="shared" si="46"/>
        <v>469.06</v>
      </c>
      <c r="X246" s="55">
        <f t="shared" si="47"/>
        <v>0</v>
      </c>
      <c r="Y246" s="55">
        <f t="shared" si="48"/>
        <v>363.6</v>
      </c>
      <c r="Z246" s="55">
        <f t="shared" si="49"/>
        <v>363.6</v>
      </c>
      <c r="AA246" s="55">
        <f t="shared" si="50"/>
        <v>0</v>
      </c>
      <c r="AB246" s="55">
        <f t="shared" si="51"/>
        <v>105.45999999999998</v>
      </c>
      <c r="AC246" s="54">
        <f t="shared" si="52"/>
        <v>0.22483264401142705</v>
      </c>
      <c r="AD246" s="56">
        <f>INDEX(Assumptions!$B$14:$B$16,MATCH($R246,Assumptions!$A$14:$A$16,0))</f>
        <v>0.18</v>
      </c>
      <c r="AE246" s="56">
        <f>INDEX(Assumptions!$C$14:$C$16,MATCH($R246,Assumptions!$A$14:$A$16,0))</f>
        <v>0.12</v>
      </c>
      <c r="AF246" s="49">
        <f t="shared" si="53"/>
        <v>0</v>
      </c>
      <c r="AG246" s="49">
        <f t="shared" si="54"/>
        <v>0</v>
      </c>
      <c r="AH246" s="55">
        <f t="shared" si="55"/>
        <v>0</v>
      </c>
    </row>
    <row r="247" spans="1:34" x14ac:dyDescent="0.2">
      <c r="A247" s="48" t="s">
        <v>479</v>
      </c>
      <c r="B247" s="48">
        <v>3</v>
      </c>
      <c r="C247" s="48" t="s">
        <v>480</v>
      </c>
      <c r="D247" s="48" t="s">
        <v>416</v>
      </c>
      <c r="E247" s="48" t="s">
        <v>374</v>
      </c>
      <c r="F247" s="48" t="s">
        <v>274</v>
      </c>
      <c r="G247" s="48" t="s">
        <v>281</v>
      </c>
      <c r="H247" s="48" t="s">
        <v>62</v>
      </c>
      <c r="I247" s="48" t="s">
        <v>151</v>
      </c>
      <c r="J247" s="49">
        <v>1</v>
      </c>
      <c r="K247" s="50">
        <v>335</v>
      </c>
      <c r="L247" s="50">
        <v>330.85</v>
      </c>
      <c r="M247" s="48" t="s">
        <v>276</v>
      </c>
      <c r="N247" s="51">
        <v>1</v>
      </c>
      <c r="O247" s="51">
        <v>1</v>
      </c>
      <c r="P247" s="52">
        <v>216.7</v>
      </c>
      <c r="Q247" s="52">
        <v>216.7</v>
      </c>
      <c r="R247" s="53" t="str">
        <f>INDEX(SKU_Master!$D$5:$D$34,MATCH($I247,SKU_Master!$A$5:$A$34,0))</f>
        <v>Accessory</v>
      </c>
      <c r="S247" s="54">
        <f t="shared" si="42"/>
        <v>1.2388059701492482E-2</v>
      </c>
      <c r="T247" s="55">
        <f t="shared" si="43"/>
        <v>335</v>
      </c>
      <c r="U247" s="55">
        <f t="shared" si="44"/>
        <v>330.85</v>
      </c>
      <c r="V247" s="55">
        <f t="shared" si="45"/>
        <v>-4.1499999999999773</v>
      </c>
      <c r="W247" s="55">
        <f t="shared" si="46"/>
        <v>330.85</v>
      </c>
      <c r="X247" s="55">
        <f t="shared" si="47"/>
        <v>0</v>
      </c>
      <c r="Y247" s="55">
        <f t="shared" si="48"/>
        <v>216.7</v>
      </c>
      <c r="Z247" s="55">
        <f t="shared" si="49"/>
        <v>216.7</v>
      </c>
      <c r="AA247" s="55">
        <f t="shared" si="50"/>
        <v>0</v>
      </c>
      <c r="AB247" s="55">
        <f t="shared" si="51"/>
        <v>114.15000000000003</v>
      </c>
      <c r="AC247" s="54">
        <f t="shared" si="52"/>
        <v>0.34502040199486178</v>
      </c>
      <c r="AD247" s="56">
        <f>INDEX(Assumptions!$B$14:$B$16,MATCH($R247,Assumptions!$A$14:$A$16,0))</f>
        <v>0.32</v>
      </c>
      <c r="AE247" s="56">
        <f>INDEX(Assumptions!$C$14:$C$16,MATCH($R247,Assumptions!$A$14:$A$16,0))</f>
        <v>0.22</v>
      </c>
      <c r="AF247" s="49">
        <f t="shared" si="53"/>
        <v>0</v>
      </c>
      <c r="AG247" s="49">
        <f t="shared" si="54"/>
        <v>0</v>
      </c>
      <c r="AH247" s="55">
        <f t="shared" si="55"/>
        <v>0</v>
      </c>
    </row>
    <row r="248" spans="1:34" x14ac:dyDescent="0.2">
      <c r="A248" s="48" t="s">
        <v>481</v>
      </c>
      <c r="B248" s="48">
        <v>1</v>
      </c>
      <c r="C248" s="48" t="s">
        <v>415</v>
      </c>
      <c r="D248" s="48" t="s">
        <v>416</v>
      </c>
      <c r="E248" s="48" t="s">
        <v>410</v>
      </c>
      <c r="F248" s="48" t="s">
        <v>297</v>
      </c>
      <c r="G248" s="48" t="s">
        <v>302</v>
      </c>
      <c r="H248" s="48" t="s">
        <v>64</v>
      </c>
      <c r="I248" s="48" t="s">
        <v>108</v>
      </c>
      <c r="J248" s="49">
        <v>21</v>
      </c>
      <c r="K248" s="50">
        <v>1105</v>
      </c>
      <c r="L248" s="50">
        <v>1019.96</v>
      </c>
      <c r="M248" s="48" t="s">
        <v>276</v>
      </c>
      <c r="N248" s="51">
        <v>0.79</v>
      </c>
      <c r="O248" s="51">
        <v>0.78920000000000001</v>
      </c>
      <c r="P248" s="52">
        <v>1169</v>
      </c>
      <c r="Q248" s="52">
        <v>1169</v>
      </c>
      <c r="R248" s="53" t="str">
        <f>INDEX(SKU_Master!$D$5:$D$34,MATCH($I248,SKU_Master!$A$5:$A$34,0))</f>
        <v>Laptop</v>
      </c>
      <c r="S248" s="54">
        <f t="shared" si="42"/>
        <v>7.6959276018099487E-2</v>
      </c>
      <c r="T248" s="55">
        <f t="shared" si="43"/>
        <v>29373.417721518985</v>
      </c>
      <c r="U248" s="55">
        <f t="shared" si="44"/>
        <v>27112.860759493669</v>
      </c>
      <c r="V248" s="55">
        <f t="shared" si="45"/>
        <v>-2260.5569620253154</v>
      </c>
      <c r="W248" s="55">
        <f t="shared" si="46"/>
        <v>27140.344652812975</v>
      </c>
      <c r="X248" s="55">
        <f t="shared" si="47"/>
        <v>27.483893319305935</v>
      </c>
      <c r="Y248" s="55">
        <f t="shared" si="48"/>
        <v>24549</v>
      </c>
      <c r="Z248" s="55">
        <f t="shared" si="49"/>
        <v>24549</v>
      </c>
      <c r="AA248" s="55">
        <f t="shared" si="50"/>
        <v>0</v>
      </c>
      <c r="AB248" s="55">
        <f t="shared" si="51"/>
        <v>2591.3446528129753</v>
      </c>
      <c r="AC248" s="54">
        <f t="shared" si="52"/>
        <v>9.5479430565904549E-2</v>
      </c>
      <c r="AD248" s="56">
        <f>INDEX(Assumptions!$B$14:$B$16,MATCH($R248,Assumptions!$A$14:$A$16,0))</f>
        <v>0.12</v>
      </c>
      <c r="AE248" s="56">
        <f>INDEX(Assumptions!$C$14:$C$16,MATCH($R248,Assumptions!$A$14:$A$16,0))</f>
        <v>0.08</v>
      </c>
      <c r="AF248" s="49">
        <f t="shared" si="53"/>
        <v>0</v>
      </c>
      <c r="AG248" s="49">
        <f t="shared" si="54"/>
        <v>0</v>
      </c>
      <c r="AH248" s="55">
        <f t="shared" si="55"/>
        <v>665.49670552458156</v>
      </c>
    </row>
    <row r="249" spans="1:34" x14ac:dyDescent="0.2">
      <c r="A249" s="48" t="s">
        <v>482</v>
      </c>
      <c r="B249" s="48">
        <v>1</v>
      </c>
      <c r="C249" s="48" t="s">
        <v>475</v>
      </c>
      <c r="D249" s="48" t="s">
        <v>416</v>
      </c>
      <c r="E249" s="48" t="s">
        <v>322</v>
      </c>
      <c r="F249" s="48" t="s">
        <v>274</v>
      </c>
      <c r="G249" s="48" t="s">
        <v>288</v>
      </c>
      <c r="H249" s="48" t="s">
        <v>62</v>
      </c>
      <c r="I249" s="48" t="s">
        <v>93</v>
      </c>
      <c r="J249" s="49">
        <v>9</v>
      </c>
      <c r="K249" s="50">
        <v>1390</v>
      </c>
      <c r="L249" s="50">
        <v>1362.79</v>
      </c>
      <c r="M249" s="48" t="s">
        <v>276</v>
      </c>
      <c r="N249" s="51">
        <v>1</v>
      </c>
      <c r="O249" s="51">
        <v>1</v>
      </c>
      <c r="P249" s="52">
        <v>1186.2</v>
      </c>
      <c r="Q249" s="52">
        <v>1186.2</v>
      </c>
      <c r="R249" s="53" t="str">
        <f>INDEX(SKU_Master!$D$5:$D$34,MATCH($I249,SKU_Master!$A$5:$A$34,0))</f>
        <v>Laptop</v>
      </c>
      <c r="S249" s="54">
        <f t="shared" si="42"/>
        <v>1.9575539568345346E-2</v>
      </c>
      <c r="T249" s="55">
        <f t="shared" si="43"/>
        <v>12510</v>
      </c>
      <c r="U249" s="55">
        <f t="shared" si="44"/>
        <v>12265.11</v>
      </c>
      <c r="V249" s="55">
        <f t="shared" si="45"/>
        <v>-244.88999999999942</v>
      </c>
      <c r="W249" s="55">
        <f t="shared" si="46"/>
        <v>12265.11</v>
      </c>
      <c r="X249" s="55">
        <f t="shared" si="47"/>
        <v>0</v>
      </c>
      <c r="Y249" s="55">
        <f t="shared" si="48"/>
        <v>10675.800000000001</v>
      </c>
      <c r="Z249" s="55">
        <f t="shared" si="49"/>
        <v>10675.800000000001</v>
      </c>
      <c r="AA249" s="55">
        <f t="shared" si="50"/>
        <v>0</v>
      </c>
      <c r="AB249" s="55">
        <f t="shared" si="51"/>
        <v>1589.3099999999995</v>
      </c>
      <c r="AC249" s="54">
        <f t="shared" si="52"/>
        <v>0.12957975917052514</v>
      </c>
      <c r="AD249" s="56">
        <f>INDEX(Assumptions!$B$14:$B$16,MATCH($R249,Assumptions!$A$14:$A$16,0))</f>
        <v>0.12</v>
      </c>
      <c r="AE249" s="56">
        <f>INDEX(Assumptions!$C$14:$C$16,MATCH($R249,Assumptions!$A$14:$A$16,0))</f>
        <v>0.08</v>
      </c>
      <c r="AF249" s="49">
        <f t="shared" si="53"/>
        <v>0</v>
      </c>
      <c r="AG249" s="49">
        <f t="shared" si="54"/>
        <v>0</v>
      </c>
      <c r="AH249" s="55">
        <f t="shared" si="55"/>
        <v>0</v>
      </c>
    </row>
    <row r="250" spans="1:34" x14ac:dyDescent="0.2">
      <c r="A250" s="48" t="s">
        <v>483</v>
      </c>
      <c r="B250" s="48">
        <v>1</v>
      </c>
      <c r="C250" s="48" t="s">
        <v>475</v>
      </c>
      <c r="D250" s="48" t="s">
        <v>416</v>
      </c>
      <c r="E250" s="48" t="s">
        <v>422</v>
      </c>
      <c r="F250" s="48" t="s">
        <v>280</v>
      </c>
      <c r="G250" s="48" t="s">
        <v>281</v>
      </c>
      <c r="H250" s="48" t="s">
        <v>68</v>
      </c>
      <c r="I250" s="48" t="s">
        <v>103</v>
      </c>
      <c r="J250" s="49">
        <v>28</v>
      </c>
      <c r="K250" s="50">
        <v>1605</v>
      </c>
      <c r="L250" s="50">
        <v>1556.1</v>
      </c>
      <c r="M250" s="48" t="s">
        <v>276</v>
      </c>
      <c r="N250" s="51">
        <v>1.37</v>
      </c>
      <c r="O250" s="51">
        <v>1.3673</v>
      </c>
      <c r="P250" s="52">
        <v>980.6</v>
      </c>
      <c r="Q250" s="52">
        <v>980.6</v>
      </c>
      <c r="R250" s="53" t="str">
        <f>INDEX(SKU_Master!$D$5:$D$34,MATCH($I250,SKU_Master!$A$5:$A$34,0))</f>
        <v>Laptop</v>
      </c>
      <c r="S250" s="54">
        <f t="shared" si="42"/>
        <v>3.04672897196262E-2</v>
      </c>
      <c r="T250" s="55">
        <f t="shared" si="43"/>
        <v>32802.919708029192</v>
      </c>
      <c r="U250" s="55">
        <f t="shared" si="44"/>
        <v>31803.503649635029</v>
      </c>
      <c r="V250" s="55">
        <f t="shared" si="45"/>
        <v>-999.41605839416297</v>
      </c>
      <c r="W250" s="55">
        <f t="shared" si="46"/>
        <v>31866.305858260803</v>
      </c>
      <c r="X250" s="55">
        <f t="shared" si="47"/>
        <v>62.802208625773346</v>
      </c>
      <c r="Y250" s="55">
        <f t="shared" si="48"/>
        <v>27456.799999999999</v>
      </c>
      <c r="Z250" s="55">
        <f t="shared" si="49"/>
        <v>27456.799999999999</v>
      </c>
      <c r="AA250" s="55">
        <f t="shared" si="50"/>
        <v>0</v>
      </c>
      <c r="AB250" s="55">
        <f t="shared" si="51"/>
        <v>4409.5058582608035</v>
      </c>
      <c r="AC250" s="54">
        <f t="shared" si="52"/>
        <v>0.13837518154360254</v>
      </c>
      <c r="AD250" s="56">
        <f>INDEX(Assumptions!$B$14:$B$16,MATCH($R250,Assumptions!$A$14:$A$16,0))</f>
        <v>0.12</v>
      </c>
      <c r="AE250" s="56">
        <f>INDEX(Assumptions!$C$14:$C$16,MATCH($R250,Assumptions!$A$14:$A$16,0))</f>
        <v>0.08</v>
      </c>
      <c r="AF250" s="49">
        <f t="shared" si="53"/>
        <v>0</v>
      </c>
      <c r="AG250" s="49">
        <f t="shared" si="54"/>
        <v>0</v>
      </c>
      <c r="AH250" s="55">
        <f t="shared" si="55"/>
        <v>0</v>
      </c>
    </row>
    <row r="251" spans="1:34" x14ac:dyDescent="0.2">
      <c r="A251" s="48" t="s">
        <v>483</v>
      </c>
      <c r="B251" s="48">
        <v>2</v>
      </c>
      <c r="C251" s="48" t="s">
        <v>475</v>
      </c>
      <c r="D251" s="48" t="s">
        <v>416</v>
      </c>
      <c r="E251" s="48" t="s">
        <v>422</v>
      </c>
      <c r="F251" s="48" t="s">
        <v>280</v>
      </c>
      <c r="G251" s="48" t="s">
        <v>281</v>
      </c>
      <c r="H251" s="48" t="s">
        <v>68</v>
      </c>
      <c r="I251" s="48" t="s">
        <v>135</v>
      </c>
      <c r="J251" s="49">
        <v>18</v>
      </c>
      <c r="K251" s="50">
        <v>360</v>
      </c>
      <c r="L251" s="50">
        <v>353.97</v>
      </c>
      <c r="M251" s="48" t="s">
        <v>276</v>
      </c>
      <c r="N251" s="51">
        <v>1.37</v>
      </c>
      <c r="O251" s="51">
        <v>1.3673</v>
      </c>
      <c r="P251" s="52">
        <v>201.7</v>
      </c>
      <c r="Q251" s="52">
        <v>201.7</v>
      </c>
      <c r="R251" s="53" t="str">
        <f>INDEX(SKU_Master!$D$5:$D$34,MATCH($I251,SKU_Master!$A$5:$A$34,0))</f>
        <v>Monitor</v>
      </c>
      <c r="S251" s="54">
        <f t="shared" si="42"/>
        <v>1.6749999999999932E-2</v>
      </c>
      <c r="T251" s="55">
        <f t="shared" si="43"/>
        <v>4729.9270072992695</v>
      </c>
      <c r="U251" s="55">
        <f t="shared" si="44"/>
        <v>4650.7007299270081</v>
      </c>
      <c r="V251" s="55">
        <f t="shared" si="45"/>
        <v>-79.226277372261393</v>
      </c>
      <c r="W251" s="55">
        <f t="shared" si="46"/>
        <v>4659.8844437943399</v>
      </c>
      <c r="X251" s="55">
        <f t="shared" si="47"/>
        <v>9.1837138673317895</v>
      </c>
      <c r="Y251" s="55">
        <f t="shared" si="48"/>
        <v>3630.6</v>
      </c>
      <c r="Z251" s="55">
        <f t="shared" si="49"/>
        <v>3630.6</v>
      </c>
      <c r="AA251" s="55">
        <f t="shared" si="50"/>
        <v>0</v>
      </c>
      <c r="AB251" s="55">
        <f t="shared" si="51"/>
        <v>1029.2844437943399</v>
      </c>
      <c r="AC251" s="54">
        <f t="shared" si="52"/>
        <v>0.22088196739836721</v>
      </c>
      <c r="AD251" s="56">
        <f>INDEX(Assumptions!$B$14:$B$16,MATCH($R251,Assumptions!$A$14:$A$16,0))</f>
        <v>0.18</v>
      </c>
      <c r="AE251" s="56">
        <f>INDEX(Assumptions!$C$14:$C$16,MATCH($R251,Assumptions!$A$14:$A$16,0))</f>
        <v>0.12</v>
      </c>
      <c r="AF251" s="49">
        <f t="shared" si="53"/>
        <v>0</v>
      </c>
      <c r="AG251" s="49">
        <f t="shared" si="54"/>
        <v>0</v>
      </c>
      <c r="AH251" s="55">
        <f t="shared" si="55"/>
        <v>0</v>
      </c>
    </row>
    <row r="252" spans="1:34" x14ac:dyDescent="0.2">
      <c r="A252" s="48" t="s">
        <v>484</v>
      </c>
      <c r="B252" s="48">
        <v>1</v>
      </c>
      <c r="C252" s="48" t="s">
        <v>485</v>
      </c>
      <c r="D252" s="48" t="s">
        <v>416</v>
      </c>
      <c r="E252" s="48" t="s">
        <v>407</v>
      </c>
      <c r="F252" s="48" t="s">
        <v>274</v>
      </c>
      <c r="G252" s="48" t="s">
        <v>302</v>
      </c>
      <c r="H252" s="48" t="s">
        <v>62</v>
      </c>
      <c r="I252" s="48" t="s">
        <v>103</v>
      </c>
      <c r="J252" s="49">
        <v>2</v>
      </c>
      <c r="K252" s="50">
        <v>1135</v>
      </c>
      <c r="L252" s="50">
        <v>1081.46</v>
      </c>
      <c r="M252" s="48" t="s">
        <v>276</v>
      </c>
      <c r="N252" s="51">
        <v>1</v>
      </c>
      <c r="O252" s="51">
        <v>1</v>
      </c>
      <c r="P252" s="52">
        <v>968.6</v>
      </c>
      <c r="Q252" s="52">
        <v>968.6</v>
      </c>
      <c r="R252" s="53" t="str">
        <f>INDEX(SKU_Master!$D$5:$D$34,MATCH($I252,SKU_Master!$A$5:$A$34,0))</f>
        <v>Laptop</v>
      </c>
      <c r="S252" s="54">
        <f t="shared" si="42"/>
        <v>4.7171806167400798E-2</v>
      </c>
      <c r="T252" s="55">
        <f t="shared" si="43"/>
        <v>2270</v>
      </c>
      <c r="U252" s="55">
        <f t="shared" si="44"/>
        <v>2162.92</v>
      </c>
      <c r="V252" s="55">
        <f t="shared" si="45"/>
        <v>-107.07999999999993</v>
      </c>
      <c r="W252" s="55">
        <f t="shared" si="46"/>
        <v>2162.92</v>
      </c>
      <c r="X252" s="55">
        <f t="shared" si="47"/>
        <v>0</v>
      </c>
      <c r="Y252" s="55">
        <f t="shared" si="48"/>
        <v>1937.2</v>
      </c>
      <c r="Z252" s="55">
        <f t="shared" si="49"/>
        <v>1937.2</v>
      </c>
      <c r="AA252" s="55">
        <f t="shared" si="50"/>
        <v>0</v>
      </c>
      <c r="AB252" s="55">
        <f t="shared" si="51"/>
        <v>225.72000000000003</v>
      </c>
      <c r="AC252" s="54">
        <f t="shared" si="52"/>
        <v>0.1043589221977697</v>
      </c>
      <c r="AD252" s="56">
        <f>INDEX(Assumptions!$B$14:$B$16,MATCH($R252,Assumptions!$A$14:$A$16,0))</f>
        <v>0.12</v>
      </c>
      <c r="AE252" s="56">
        <f>INDEX(Assumptions!$C$14:$C$16,MATCH($R252,Assumptions!$A$14:$A$16,0))</f>
        <v>0.08</v>
      </c>
      <c r="AF252" s="49">
        <f t="shared" si="53"/>
        <v>0</v>
      </c>
      <c r="AG252" s="49">
        <f t="shared" si="54"/>
        <v>0</v>
      </c>
      <c r="AH252" s="55">
        <f t="shared" si="55"/>
        <v>33.830399999999997</v>
      </c>
    </row>
    <row r="253" spans="1:34" x14ac:dyDescent="0.2">
      <c r="A253" s="48" t="s">
        <v>484</v>
      </c>
      <c r="B253" s="48">
        <v>2</v>
      </c>
      <c r="C253" s="48" t="s">
        <v>485</v>
      </c>
      <c r="D253" s="48" t="s">
        <v>416</v>
      </c>
      <c r="E253" s="48" t="s">
        <v>407</v>
      </c>
      <c r="F253" s="48" t="s">
        <v>274</v>
      </c>
      <c r="G253" s="48" t="s">
        <v>302</v>
      </c>
      <c r="H253" s="48" t="s">
        <v>62</v>
      </c>
      <c r="I253" s="48" t="s">
        <v>177</v>
      </c>
      <c r="J253" s="49">
        <v>2</v>
      </c>
      <c r="K253" s="50">
        <v>70</v>
      </c>
      <c r="L253" s="50">
        <v>67.099999999999994</v>
      </c>
      <c r="M253" s="48" t="s">
        <v>276</v>
      </c>
      <c r="N253" s="51">
        <v>1</v>
      </c>
      <c r="O253" s="51">
        <v>1</v>
      </c>
      <c r="P253" s="52">
        <v>44</v>
      </c>
      <c r="Q253" s="52">
        <v>44</v>
      </c>
      <c r="R253" s="53" t="str">
        <f>INDEX(SKU_Master!$D$5:$D$34,MATCH($I253,SKU_Master!$A$5:$A$34,0))</f>
        <v>Accessory</v>
      </c>
      <c r="S253" s="54">
        <f t="shared" si="42"/>
        <v>4.1428571428571481E-2</v>
      </c>
      <c r="T253" s="55">
        <f t="shared" si="43"/>
        <v>140</v>
      </c>
      <c r="U253" s="55">
        <f t="shared" si="44"/>
        <v>134.19999999999999</v>
      </c>
      <c r="V253" s="55">
        <f t="shared" si="45"/>
        <v>-5.8000000000000114</v>
      </c>
      <c r="W253" s="55">
        <f t="shared" si="46"/>
        <v>134.19999999999999</v>
      </c>
      <c r="X253" s="55">
        <f t="shared" si="47"/>
        <v>0</v>
      </c>
      <c r="Y253" s="55">
        <f t="shared" si="48"/>
        <v>88</v>
      </c>
      <c r="Z253" s="55">
        <f t="shared" si="49"/>
        <v>88</v>
      </c>
      <c r="AA253" s="55">
        <f t="shared" si="50"/>
        <v>0</v>
      </c>
      <c r="AB253" s="55">
        <f t="shared" si="51"/>
        <v>46.199999999999989</v>
      </c>
      <c r="AC253" s="54">
        <f t="shared" si="52"/>
        <v>0.34426229508196715</v>
      </c>
      <c r="AD253" s="56">
        <f>INDEX(Assumptions!$B$14:$B$16,MATCH($R253,Assumptions!$A$14:$A$16,0))</f>
        <v>0.32</v>
      </c>
      <c r="AE253" s="56">
        <f>INDEX(Assumptions!$C$14:$C$16,MATCH($R253,Assumptions!$A$14:$A$16,0))</f>
        <v>0.22</v>
      </c>
      <c r="AF253" s="49">
        <f t="shared" si="53"/>
        <v>0</v>
      </c>
      <c r="AG253" s="49">
        <f t="shared" si="54"/>
        <v>0</v>
      </c>
      <c r="AH253" s="55">
        <f t="shared" si="55"/>
        <v>0</v>
      </c>
    </row>
    <row r="254" spans="1:34" x14ac:dyDescent="0.2">
      <c r="A254" s="48" t="s">
        <v>486</v>
      </c>
      <c r="B254" s="48">
        <v>1</v>
      </c>
      <c r="C254" s="48" t="s">
        <v>487</v>
      </c>
      <c r="D254" s="48" t="s">
        <v>416</v>
      </c>
      <c r="E254" s="48" t="s">
        <v>336</v>
      </c>
      <c r="F254" s="48" t="s">
        <v>274</v>
      </c>
      <c r="G254" s="48" t="s">
        <v>288</v>
      </c>
      <c r="H254" s="48" t="s">
        <v>62</v>
      </c>
      <c r="I254" s="48" t="s">
        <v>101</v>
      </c>
      <c r="J254" s="49">
        <v>4</v>
      </c>
      <c r="K254" s="50">
        <v>3440</v>
      </c>
      <c r="L254" s="50">
        <v>3416.21</v>
      </c>
      <c r="M254" s="48" t="s">
        <v>276</v>
      </c>
      <c r="N254" s="51">
        <v>1</v>
      </c>
      <c r="O254" s="51">
        <v>1</v>
      </c>
      <c r="P254" s="52">
        <v>2938.5</v>
      </c>
      <c r="Q254" s="52">
        <v>2938.5</v>
      </c>
      <c r="R254" s="53" t="str">
        <f>INDEX(SKU_Master!$D$5:$D$34,MATCH($I254,SKU_Master!$A$5:$A$34,0))</f>
        <v>Laptop</v>
      </c>
      <c r="S254" s="54">
        <f t="shared" si="42"/>
        <v>6.915697674418575E-3</v>
      </c>
      <c r="T254" s="55">
        <f t="shared" si="43"/>
        <v>13760</v>
      </c>
      <c r="U254" s="55">
        <f t="shared" si="44"/>
        <v>13664.84</v>
      </c>
      <c r="V254" s="55">
        <f t="shared" si="45"/>
        <v>-95.159999999999854</v>
      </c>
      <c r="W254" s="55">
        <f t="shared" si="46"/>
        <v>13664.84</v>
      </c>
      <c r="X254" s="55">
        <f t="shared" si="47"/>
        <v>0</v>
      </c>
      <c r="Y254" s="55">
        <f t="shared" si="48"/>
        <v>11754</v>
      </c>
      <c r="Z254" s="55">
        <f t="shared" si="49"/>
        <v>11754</v>
      </c>
      <c r="AA254" s="55">
        <f t="shared" si="50"/>
        <v>0</v>
      </c>
      <c r="AB254" s="55">
        <f t="shared" si="51"/>
        <v>1910.8400000000001</v>
      </c>
      <c r="AC254" s="54">
        <f t="shared" si="52"/>
        <v>0.13983625128431801</v>
      </c>
      <c r="AD254" s="56">
        <f>INDEX(Assumptions!$B$14:$B$16,MATCH($R254,Assumptions!$A$14:$A$16,0))</f>
        <v>0.12</v>
      </c>
      <c r="AE254" s="56">
        <f>INDEX(Assumptions!$C$14:$C$16,MATCH($R254,Assumptions!$A$14:$A$16,0))</f>
        <v>0.08</v>
      </c>
      <c r="AF254" s="49">
        <f t="shared" si="53"/>
        <v>0</v>
      </c>
      <c r="AG254" s="49">
        <f t="shared" si="54"/>
        <v>0</v>
      </c>
      <c r="AH254" s="55">
        <f t="shared" si="55"/>
        <v>0</v>
      </c>
    </row>
    <row r="255" spans="1:34" x14ac:dyDescent="0.2">
      <c r="A255" s="48" t="s">
        <v>486</v>
      </c>
      <c r="B255" s="48">
        <v>2</v>
      </c>
      <c r="C255" s="48" t="s">
        <v>487</v>
      </c>
      <c r="D255" s="48" t="s">
        <v>416</v>
      </c>
      <c r="E255" s="48" t="s">
        <v>336</v>
      </c>
      <c r="F255" s="48" t="s">
        <v>274</v>
      </c>
      <c r="G255" s="48" t="s">
        <v>288</v>
      </c>
      <c r="H255" s="48" t="s">
        <v>62</v>
      </c>
      <c r="I255" s="48" t="s">
        <v>138</v>
      </c>
      <c r="J255" s="49">
        <v>1</v>
      </c>
      <c r="K255" s="50">
        <v>455</v>
      </c>
      <c r="L255" s="50">
        <v>453.49</v>
      </c>
      <c r="M255" s="48" t="s">
        <v>276</v>
      </c>
      <c r="N255" s="51">
        <v>1</v>
      </c>
      <c r="O255" s="51">
        <v>1</v>
      </c>
      <c r="P255" s="52">
        <v>358.2</v>
      </c>
      <c r="Q255" s="52">
        <v>358.2</v>
      </c>
      <c r="R255" s="53" t="str">
        <f>INDEX(SKU_Master!$D$5:$D$34,MATCH($I255,SKU_Master!$A$5:$A$34,0))</f>
        <v>Monitor</v>
      </c>
      <c r="S255" s="54">
        <f t="shared" si="42"/>
        <v>3.3186813186812936E-3</v>
      </c>
      <c r="T255" s="55">
        <f t="shared" si="43"/>
        <v>455</v>
      </c>
      <c r="U255" s="55">
        <f t="shared" si="44"/>
        <v>453.49</v>
      </c>
      <c r="V255" s="55">
        <f t="shared" si="45"/>
        <v>-1.5099999999999909</v>
      </c>
      <c r="W255" s="55">
        <f t="shared" si="46"/>
        <v>453.49</v>
      </c>
      <c r="X255" s="55">
        <f t="shared" si="47"/>
        <v>0</v>
      </c>
      <c r="Y255" s="55">
        <f t="shared" si="48"/>
        <v>358.2</v>
      </c>
      <c r="Z255" s="55">
        <f t="shared" si="49"/>
        <v>358.2</v>
      </c>
      <c r="AA255" s="55">
        <f t="shared" si="50"/>
        <v>0</v>
      </c>
      <c r="AB255" s="55">
        <f t="shared" si="51"/>
        <v>95.29000000000002</v>
      </c>
      <c r="AC255" s="54">
        <f t="shared" si="52"/>
        <v>0.21012591236851974</v>
      </c>
      <c r="AD255" s="56">
        <f>INDEX(Assumptions!$B$14:$B$16,MATCH($R255,Assumptions!$A$14:$A$16,0))</f>
        <v>0.18</v>
      </c>
      <c r="AE255" s="56">
        <f>INDEX(Assumptions!$C$14:$C$16,MATCH($R255,Assumptions!$A$14:$A$16,0))</f>
        <v>0.12</v>
      </c>
      <c r="AF255" s="49">
        <f t="shared" si="53"/>
        <v>0</v>
      </c>
      <c r="AG255" s="49">
        <f t="shared" si="54"/>
        <v>0</v>
      </c>
      <c r="AH255" s="55">
        <f t="shared" si="55"/>
        <v>0</v>
      </c>
    </row>
    <row r="256" spans="1:34" x14ac:dyDescent="0.2">
      <c r="A256" s="48" t="s">
        <v>486</v>
      </c>
      <c r="B256" s="48">
        <v>3</v>
      </c>
      <c r="C256" s="48" t="s">
        <v>487</v>
      </c>
      <c r="D256" s="48" t="s">
        <v>416</v>
      </c>
      <c r="E256" s="48" t="s">
        <v>336</v>
      </c>
      <c r="F256" s="48" t="s">
        <v>274</v>
      </c>
      <c r="G256" s="48" t="s">
        <v>288</v>
      </c>
      <c r="H256" s="48" t="s">
        <v>62</v>
      </c>
      <c r="I256" s="48" t="s">
        <v>166</v>
      </c>
      <c r="J256" s="49">
        <v>2</v>
      </c>
      <c r="K256" s="50">
        <v>265</v>
      </c>
      <c r="L256" s="50">
        <v>263.86</v>
      </c>
      <c r="M256" s="48" t="s">
        <v>276</v>
      </c>
      <c r="N256" s="51">
        <v>1</v>
      </c>
      <c r="O256" s="51">
        <v>1</v>
      </c>
      <c r="P256" s="52">
        <v>169.35</v>
      </c>
      <c r="Q256" s="52">
        <v>169.35</v>
      </c>
      <c r="R256" s="53" t="str">
        <f>INDEX(SKU_Master!$D$5:$D$34,MATCH($I256,SKU_Master!$A$5:$A$34,0))</f>
        <v>Accessory</v>
      </c>
      <c r="S256" s="54">
        <f t="shared" si="42"/>
        <v>4.3018867924528026E-3</v>
      </c>
      <c r="T256" s="55">
        <f t="shared" si="43"/>
        <v>530</v>
      </c>
      <c r="U256" s="55">
        <f t="shared" si="44"/>
        <v>527.72</v>
      </c>
      <c r="V256" s="55">
        <f t="shared" si="45"/>
        <v>-2.2799999999999727</v>
      </c>
      <c r="W256" s="55">
        <f t="shared" si="46"/>
        <v>527.72</v>
      </c>
      <c r="X256" s="55">
        <f t="shared" si="47"/>
        <v>0</v>
      </c>
      <c r="Y256" s="55">
        <f t="shared" si="48"/>
        <v>338.7</v>
      </c>
      <c r="Z256" s="55">
        <f t="shared" si="49"/>
        <v>338.7</v>
      </c>
      <c r="AA256" s="55">
        <f t="shared" si="50"/>
        <v>0</v>
      </c>
      <c r="AB256" s="55">
        <f t="shared" si="51"/>
        <v>189.02000000000004</v>
      </c>
      <c r="AC256" s="54">
        <f t="shared" si="52"/>
        <v>0.35818236943833859</v>
      </c>
      <c r="AD256" s="56">
        <f>INDEX(Assumptions!$B$14:$B$16,MATCH($R256,Assumptions!$A$14:$A$16,0))</f>
        <v>0.32</v>
      </c>
      <c r="AE256" s="56">
        <f>INDEX(Assumptions!$C$14:$C$16,MATCH($R256,Assumptions!$A$14:$A$16,0))</f>
        <v>0.22</v>
      </c>
      <c r="AF256" s="49">
        <f t="shared" si="53"/>
        <v>0</v>
      </c>
      <c r="AG256" s="49">
        <f t="shared" si="54"/>
        <v>0</v>
      </c>
      <c r="AH256" s="55">
        <f t="shared" si="55"/>
        <v>0</v>
      </c>
    </row>
    <row r="257" spans="1:34" x14ac:dyDescent="0.2">
      <c r="A257" s="48" t="s">
        <v>488</v>
      </c>
      <c r="B257" s="48">
        <v>1</v>
      </c>
      <c r="C257" s="48" t="s">
        <v>424</v>
      </c>
      <c r="D257" s="48" t="s">
        <v>416</v>
      </c>
      <c r="E257" s="48" t="s">
        <v>397</v>
      </c>
      <c r="F257" s="48" t="s">
        <v>280</v>
      </c>
      <c r="G257" s="48" t="s">
        <v>306</v>
      </c>
      <c r="H257" s="48" t="s">
        <v>70</v>
      </c>
      <c r="I257" s="48" t="s">
        <v>118</v>
      </c>
      <c r="J257" s="49">
        <v>19</v>
      </c>
      <c r="K257" s="50">
        <v>132140</v>
      </c>
      <c r="L257" s="50">
        <v>126528.98</v>
      </c>
      <c r="M257" s="48" t="s">
        <v>276</v>
      </c>
      <c r="N257" s="51">
        <v>83.5</v>
      </c>
      <c r="O257" s="51">
        <v>83.602099999999993</v>
      </c>
      <c r="P257" s="52">
        <v>1325.51</v>
      </c>
      <c r="Q257" s="52">
        <v>1345.51</v>
      </c>
      <c r="R257" s="53" t="str">
        <f>INDEX(SKU_Master!$D$5:$D$34,MATCH($I257,SKU_Master!$A$5:$A$34,0))</f>
        <v>Laptop</v>
      </c>
      <c r="S257" s="54">
        <f t="shared" si="42"/>
        <v>4.2462691085212723E-2</v>
      </c>
      <c r="T257" s="55">
        <f t="shared" si="43"/>
        <v>30067.784431137723</v>
      </c>
      <c r="U257" s="55">
        <f t="shared" si="44"/>
        <v>28791.025389221559</v>
      </c>
      <c r="V257" s="55">
        <f t="shared" si="45"/>
        <v>-1276.7590419161643</v>
      </c>
      <c r="W257" s="55">
        <f t="shared" si="46"/>
        <v>28755.86402733903</v>
      </c>
      <c r="X257" s="55">
        <f t="shared" si="47"/>
        <v>-35.161361882528581</v>
      </c>
      <c r="Y257" s="55">
        <f t="shared" si="48"/>
        <v>25184.69</v>
      </c>
      <c r="Z257" s="55">
        <f t="shared" si="49"/>
        <v>25564.69</v>
      </c>
      <c r="AA257" s="55">
        <f t="shared" si="50"/>
        <v>-380</v>
      </c>
      <c r="AB257" s="55">
        <f t="shared" si="51"/>
        <v>3191.1740273390315</v>
      </c>
      <c r="AC257" s="54">
        <f t="shared" si="52"/>
        <v>0.11097472238375763</v>
      </c>
      <c r="AD257" s="56">
        <f>INDEX(Assumptions!$B$14:$B$16,MATCH($R257,Assumptions!$A$14:$A$16,0))</f>
        <v>0.12</v>
      </c>
      <c r="AE257" s="56">
        <f>INDEX(Assumptions!$C$14:$C$16,MATCH($R257,Assumptions!$A$14:$A$16,0))</f>
        <v>0.08</v>
      </c>
      <c r="AF257" s="49">
        <f t="shared" si="53"/>
        <v>0</v>
      </c>
      <c r="AG257" s="49">
        <f t="shared" si="54"/>
        <v>0</v>
      </c>
      <c r="AH257" s="55">
        <f t="shared" si="55"/>
        <v>259.52965594165198</v>
      </c>
    </row>
    <row r="258" spans="1:34" x14ac:dyDescent="0.2">
      <c r="A258" s="48" t="s">
        <v>488</v>
      </c>
      <c r="B258" s="48">
        <v>2</v>
      </c>
      <c r="C258" s="48" t="s">
        <v>424</v>
      </c>
      <c r="D258" s="48" t="s">
        <v>416</v>
      </c>
      <c r="E258" s="48" t="s">
        <v>397</v>
      </c>
      <c r="F258" s="48" t="s">
        <v>280</v>
      </c>
      <c r="G258" s="48" t="s">
        <v>306</v>
      </c>
      <c r="H258" s="48" t="s">
        <v>70</v>
      </c>
      <c r="I258" s="48" t="s">
        <v>164</v>
      </c>
      <c r="J258" s="49">
        <v>17</v>
      </c>
      <c r="K258" s="50">
        <v>18765</v>
      </c>
      <c r="L258" s="50">
        <v>18542.82</v>
      </c>
      <c r="M258" s="48" t="s">
        <v>276</v>
      </c>
      <c r="N258" s="51">
        <v>83.5</v>
      </c>
      <c r="O258" s="51">
        <v>83.602099999999993</v>
      </c>
      <c r="P258" s="52">
        <v>142.65</v>
      </c>
      <c r="Q258" s="52">
        <v>147.65</v>
      </c>
      <c r="R258" s="53" t="str">
        <f>INDEX(SKU_Master!$D$5:$D$34,MATCH($I258,SKU_Master!$A$5:$A$34,0))</f>
        <v>Accessory</v>
      </c>
      <c r="S258" s="54">
        <f t="shared" si="42"/>
        <v>1.1840127897681851E-2</v>
      </c>
      <c r="T258" s="55">
        <f t="shared" si="43"/>
        <v>3820.4191616766466</v>
      </c>
      <c r="U258" s="55">
        <f t="shared" si="44"/>
        <v>3775.1849101796406</v>
      </c>
      <c r="V258" s="55">
        <f t="shared" si="45"/>
        <v>-45.234251497005971</v>
      </c>
      <c r="W258" s="55">
        <f t="shared" si="46"/>
        <v>3770.5744233697483</v>
      </c>
      <c r="X258" s="55">
        <f t="shared" si="47"/>
        <v>-4.6104868098923362</v>
      </c>
      <c r="Y258" s="55">
        <f t="shared" si="48"/>
        <v>2425.0500000000002</v>
      </c>
      <c r="Z258" s="55">
        <f t="shared" si="49"/>
        <v>2510.0500000000002</v>
      </c>
      <c r="AA258" s="55">
        <f t="shared" si="50"/>
        <v>-85</v>
      </c>
      <c r="AB258" s="55">
        <f t="shared" si="51"/>
        <v>1260.5244233697481</v>
      </c>
      <c r="AC258" s="54">
        <f t="shared" si="52"/>
        <v>0.33430567384033283</v>
      </c>
      <c r="AD258" s="56">
        <f>INDEX(Assumptions!$B$14:$B$16,MATCH($R258,Assumptions!$A$14:$A$16,0))</f>
        <v>0.32</v>
      </c>
      <c r="AE258" s="56">
        <f>INDEX(Assumptions!$C$14:$C$16,MATCH($R258,Assumptions!$A$14:$A$16,0))</f>
        <v>0.22</v>
      </c>
      <c r="AF258" s="49">
        <f t="shared" si="53"/>
        <v>0</v>
      </c>
      <c r="AG258" s="49">
        <f t="shared" si="54"/>
        <v>0</v>
      </c>
      <c r="AH258" s="55">
        <f t="shared" si="55"/>
        <v>0</v>
      </c>
    </row>
    <row r="259" spans="1:34" x14ac:dyDescent="0.2">
      <c r="A259" s="48" t="s">
        <v>489</v>
      </c>
      <c r="B259" s="48">
        <v>1</v>
      </c>
      <c r="C259" s="48" t="s">
        <v>490</v>
      </c>
      <c r="D259" s="48" t="s">
        <v>416</v>
      </c>
      <c r="E259" s="48" t="s">
        <v>287</v>
      </c>
      <c r="F259" s="48" t="s">
        <v>274</v>
      </c>
      <c r="G259" s="48" t="s">
        <v>288</v>
      </c>
      <c r="H259" s="48" t="s">
        <v>62</v>
      </c>
      <c r="I259" s="48" t="s">
        <v>93</v>
      </c>
      <c r="J259" s="49">
        <v>9</v>
      </c>
      <c r="K259" s="50">
        <v>1390</v>
      </c>
      <c r="L259" s="50">
        <v>1388.93</v>
      </c>
      <c r="M259" s="48" t="s">
        <v>276</v>
      </c>
      <c r="N259" s="51">
        <v>1</v>
      </c>
      <c r="O259" s="51">
        <v>1</v>
      </c>
      <c r="P259" s="52">
        <v>1186.2</v>
      </c>
      <c r="Q259" s="52">
        <v>1186.2</v>
      </c>
      <c r="R259" s="53" t="str">
        <f>INDEX(SKU_Master!$D$5:$D$34,MATCH($I259,SKU_Master!$A$5:$A$34,0))</f>
        <v>Laptop</v>
      </c>
      <c r="S259" s="54">
        <f t="shared" si="42"/>
        <v>7.6978417266182486E-4</v>
      </c>
      <c r="T259" s="55">
        <f t="shared" si="43"/>
        <v>12510</v>
      </c>
      <c r="U259" s="55">
        <f t="shared" si="44"/>
        <v>12500.37</v>
      </c>
      <c r="V259" s="55">
        <f t="shared" si="45"/>
        <v>-9.6299999999991996</v>
      </c>
      <c r="W259" s="55">
        <f t="shared" si="46"/>
        <v>12500.37</v>
      </c>
      <c r="X259" s="55">
        <f t="shared" si="47"/>
        <v>0</v>
      </c>
      <c r="Y259" s="55">
        <f t="shared" si="48"/>
        <v>10675.800000000001</v>
      </c>
      <c r="Z259" s="55">
        <f t="shared" si="49"/>
        <v>10675.800000000001</v>
      </c>
      <c r="AA259" s="55">
        <f t="shared" si="50"/>
        <v>0</v>
      </c>
      <c r="AB259" s="55">
        <f t="shared" si="51"/>
        <v>1824.5699999999997</v>
      </c>
      <c r="AC259" s="54">
        <f t="shared" si="52"/>
        <v>0.14596127954612539</v>
      </c>
      <c r="AD259" s="56">
        <f>INDEX(Assumptions!$B$14:$B$16,MATCH($R259,Assumptions!$A$14:$A$16,0))</f>
        <v>0.12</v>
      </c>
      <c r="AE259" s="56">
        <f>INDEX(Assumptions!$C$14:$C$16,MATCH($R259,Assumptions!$A$14:$A$16,0))</f>
        <v>0.08</v>
      </c>
      <c r="AF259" s="49">
        <f t="shared" si="53"/>
        <v>0</v>
      </c>
      <c r="AG259" s="49">
        <f t="shared" si="54"/>
        <v>0</v>
      </c>
      <c r="AH259" s="55">
        <f t="shared" si="55"/>
        <v>0</v>
      </c>
    </row>
    <row r="260" spans="1:34" x14ac:dyDescent="0.2">
      <c r="A260" s="48" t="s">
        <v>489</v>
      </c>
      <c r="B260" s="48">
        <v>2</v>
      </c>
      <c r="C260" s="48" t="s">
        <v>490</v>
      </c>
      <c r="D260" s="48" t="s">
        <v>416</v>
      </c>
      <c r="E260" s="48" t="s">
        <v>287</v>
      </c>
      <c r="F260" s="48" t="s">
        <v>274</v>
      </c>
      <c r="G260" s="48" t="s">
        <v>288</v>
      </c>
      <c r="H260" s="48" t="s">
        <v>62</v>
      </c>
      <c r="I260" s="48" t="s">
        <v>144</v>
      </c>
      <c r="J260" s="49">
        <v>7</v>
      </c>
      <c r="K260" s="50">
        <v>370</v>
      </c>
      <c r="L260" s="50">
        <v>369.8</v>
      </c>
      <c r="M260" s="48" t="s">
        <v>276</v>
      </c>
      <c r="N260" s="51">
        <v>1</v>
      </c>
      <c r="O260" s="51">
        <v>1</v>
      </c>
      <c r="P260" s="52">
        <v>289.60000000000002</v>
      </c>
      <c r="Q260" s="52">
        <v>289.60000000000002</v>
      </c>
      <c r="R260" s="53" t="str">
        <f>INDEX(SKU_Master!$D$5:$D$34,MATCH($I260,SKU_Master!$A$5:$A$34,0))</f>
        <v>Monitor</v>
      </c>
      <c r="S260" s="54">
        <f t="shared" si="42"/>
        <v>5.4054054054053502E-4</v>
      </c>
      <c r="T260" s="55">
        <f t="shared" si="43"/>
        <v>2590</v>
      </c>
      <c r="U260" s="55">
        <f t="shared" si="44"/>
        <v>2588.6</v>
      </c>
      <c r="V260" s="55">
        <f t="shared" si="45"/>
        <v>-1.4000000000000909</v>
      </c>
      <c r="W260" s="55">
        <f t="shared" si="46"/>
        <v>2588.6</v>
      </c>
      <c r="X260" s="55">
        <f t="shared" si="47"/>
        <v>0</v>
      </c>
      <c r="Y260" s="55">
        <f t="shared" si="48"/>
        <v>2027.2000000000003</v>
      </c>
      <c r="Z260" s="55">
        <f t="shared" si="49"/>
        <v>2027.2000000000003</v>
      </c>
      <c r="AA260" s="55">
        <f t="shared" si="50"/>
        <v>0</v>
      </c>
      <c r="AB260" s="55">
        <f t="shared" si="51"/>
        <v>561.39999999999964</v>
      </c>
      <c r="AC260" s="54">
        <f t="shared" si="52"/>
        <v>0.21687398593834492</v>
      </c>
      <c r="AD260" s="56">
        <f>INDEX(Assumptions!$B$14:$B$16,MATCH($R260,Assumptions!$A$14:$A$16,0))</f>
        <v>0.18</v>
      </c>
      <c r="AE260" s="56">
        <f>INDEX(Assumptions!$C$14:$C$16,MATCH($R260,Assumptions!$A$14:$A$16,0))</f>
        <v>0.12</v>
      </c>
      <c r="AF260" s="49">
        <f t="shared" si="53"/>
        <v>0</v>
      </c>
      <c r="AG260" s="49">
        <f t="shared" si="54"/>
        <v>0</v>
      </c>
      <c r="AH260" s="55">
        <f t="shared" si="55"/>
        <v>0</v>
      </c>
    </row>
    <row r="261" spans="1:34" x14ac:dyDescent="0.2">
      <c r="A261" s="48" t="s">
        <v>491</v>
      </c>
      <c r="B261" s="48">
        <v>1</v>
      </c>
      <c r="C261" s="48" t="s">
        <v>472</v>
      </c>
      <c r="D261" s="48" t="s">
        <v>416</v>
      </c>
      <c r="E261" s="48" t="s">
        <v>314</v>
      </c>
      <c r="F261" s="48" t="s">
        <v>274</v>
      </c>
      <c r="G261" s="48" t="s">
        <v>298</v>
      </c>
      <c r="H261" s="48" t="s">
        <v>68</v>
      </c>
      <c r="I261" s="48" t="s">
        <v>106</v>
      </c>
      <c r="J261" s="49">
        <v>7</v>
      </c>
      <c r="K261" s="50">
        <v>2145</v>
      </c>
      <c r="L261" s="50">
        <v>2144.77</v>
      </c>
      <c r="M261" s="48" t="s">
        <v>276</v>
      </c>
      <c r="N261" s="51">
        <v>1.37</v>
      </c>
      <c r="O261" s="51">
        <v>1.3673</v>
      </c>
      <c r="P261" s="52">
        <v>1310.4000000000001</v>
      </c>
      <c r="Q261" s="52">
        <v>1310.4000000000001</v>
      </c>
      <c r="R261" s="53" t="str">
        <f>INDEX(SKU_Master!$D$5:$D$34,MATCH($I261,SKU_Master!$A$5:$A$34,0))</f>
        <v>Laptop</v>
      </c>
      <c r="S261" s="54">
        <f t="shared" ref="S261:S324" si="56">IF(K261=0,0,1-L261/K261)</f>
        <v>1.0722610722613268E-4</v>
      </c>
      <c r="T261" s="55">
        <f t="shared" ref="T261:T324" si="57">J261*K261/N261</f>
        <v>10959.854014598539</v>
      </c>
      <c r="U261" s="55">
        <f t="shared" ref="U261:U324" si="58">J261*L261/N261</f>
        <v>10958.678832116788</v>
      </c>
      <c r="V261" s="55">
        <f t="shared" ref="V261:V324" si="59">U261-T261</f>
        <v>-1.1751824817511078</v>
      </c>
      <c r="W261" s="55">
        <f t="shared" ref="W261:W324" si="60">J261*L261/O261</f>
        <v>10980.318876618152</v>
      </c>
      <c r="X261" s="55">
        <f t="shared" ref="X261:X324" si="61">W261-U261</f>
        <v>21.640044501364173</v>
      </c>
      <c r="Y261" s="55">
        <f t="shared" ref="Y261:Y324" si="62">J261*P261</f>
        <v>9172.8000000000011</v>
      </c>
      <c r="Z261" s="55">
        <f t="shared" ref="Z261:Z324" si="63">J261*Q261</f>
        <v>9172.8000000000011</v>
      </c>
      <c r="AA261" s="55">
        <f t="shared" ref="AA261:AA324" si="64">Y261-Z261</f>
        <v>0</v>
      </c>
      <c r="AB261" s="55">
        <f t="shared" ref="AB261:AB324" si="65">W261-Z261</f>
        <v>1807.5188766181509</v>
      </c>
      <c r="AC261" s="54">
        <f t="shared" ref="AC261:AC324" si="66">IF(W261=0,0,AB261/W261)</f>
        <v>0.16461442485674441</v>
      </c>
      <c r="AD261" s="56">
        <f>INDEX(Assumptions!$B$14:$B$16,MATCH($R261,Assumptions!$A$14:$A$16,0))</f>
        <v>0.12</v>
      </c>
      <c r="AE261" s="56">
        <f>INDEX(Assumptions!$C$14:$C$16,MATCH($R261,Assumptions!$A$14:$A$16,0))</f>
        <v>0.08</v>
      </c>
      <c r="AF261" s="49">
        <f t="shared" ref="AF261:AF324" si="67">IF(AC261&lt;AE261,1,0)</f>
        <v>0</v>
      </c>
      <c r="AG261" s="49">
        <f t="shared" ref="AG261:AG324" si="68">IF(AND(AF261=1,M261="N"),1,0)</f>
        <v>0</v>
      </c>
      <c r="AH261" s="55">
        <f t="shared" ref="AH261:AH324" si="69">MAX(0,W261*AD261-AB261)</f>
        <v>0</v>
      </c>
    </row>
    <row r="262" spans="1:34" x14ac:dyDescent="0.2">
      <c r="A262" s="48" t="s">
        <v>491</v>
      </c>
      <c r="B262" s="48">
        <v>2</v>
      </c>
      <c r="C262" s="48" t="s">
        <v>472</v>
      </c>
      <c r="D262" s="48" t="s">
        <v>416</v>
      </c>
      <c r="E262" s="48" t="s">
        <v>314</v>
      </c>
      <c r="F262" s="48" t="s">
        <v>274</v>
      </c>
      <c r="G262" s="48" t="s">
        <v>298</v>
      </c>
      <c r="H262" s="48" t="s">
        <v>68</v>
      </c>
      <c r="I262" s="48" t="s">
        <v>166</v>
      </c>
      <c r="J262" s="49">
        <v>4</v>
      </c>
      <c r="K262" s="50">
        <v>375</v>
      </c>
      <c r="L262" s="50">
        <v>368.41</v>
      </c>
      <c r="M262" s="48" t="s">
        <v>276</v>
      </c>
      <c r="N262" s="51">
        <v>1.37</v>
      </c>
      <c r="O262" s="51">
        <v>1.3673</v>
      </c>
      <c r="P262" s="52">
        <v>172.35</v>
      </c>
      <c r="Q262" s="52">
        <v>172.35</v>
      </c>
      <c r="R262" s="53" t="str">
        <f>INDEX(SKU_Master!$D$5:$D$34,MATCH($I262,SKU_Master!$A$5:$A$34,0))</f>
        <v>Accessory</v>
      </c>
      <c r="S262" s="54">
        <f t="shared" si="56"/>
        <v>1.7573333333333219E-2</v>
      </c>
      <c r="T262" s="55">
        <f t="shared" si="57"/>
        <v>1094.8905109489051</v>
      </c>
      <c r="U262" s="55">
        <f t="shared" si="58"/>
        <v>1075.6496350364964</v>
      </c>
      <c r="V262" s="55">
        <f t="shared" si="59"/>
        <v>-19.240875912408683</v>
      </c>
      <c r="W262" s="55">
        <f t="shared" si="60"/>
        <v>1077.7737146200543</v>
      </c>
      <c r="X262" s="55">
        <f t="shared" si="61"/>
        <v>2.1240795835578865</v>
      </c>
      <c r="Y262" s="55">
        <f t="shared" si="62"/>
        <v>689.4</v>
      </c>
      <c r="Z262" s="55">
        <f t="shared" si="63"/>
        <v>689.4</v>
      </c>
      <c r="AA262" s="55">
        <f t="shared" si="64"/>
        <v>0</v>
      </c>
      <c r="AB262" s="55">
        <f t="shared" si="65"/>
        <v>388.37371462005433</v>
      </c>
      <c r="AC262" s="54">
        <f t="shared" si="66"/>
        <v>0.36034810401454914</v>
      </c>
      <c r="AD262" s="56">
        <f>INDEX(Assumptions!$B$14:$B$16,MATCH($R262,Assumptions!$A$14:$A$16,0))</f>
        <v>0.32</v>
      </c>
      <c r="AE262" s="56">
        <f>INDEX(Assumptions!$C$14:$C$16,MATCH($R262,Assumptions!$A$14:$A$16,0))</f>
        <v>0.22</v>
      </c>
      <c r="AF262" s="49">
        <f t="shared" si="67"/>
        <v>0</v>
      </c>
      <c r="AG262" s="49">
        <f t="shared" si="68"/>
        <v>0</v>
      </c>
      <c r="AH262" s="55">
        <f t="shared" si="69"/>
        <v>0</v>
      </c>
    </row>
    <row r="263" spans="1:34" x14ac:dyDescent="0.2">
      <c r="A263" s="48" t="s">
        <v>492</v>
      </c>
      <c r="B263" s="48">
        <v>1</v>
      </c>
      <c r="C263" s="48" t="s">
        <v>470</v>
      </c>
      <c r="D263" s="48" t="s">
        <v>416</v>
      </c>
      <c r="E263" s="48" t="s">
        <v>427</v>
      </c>
      <c r="F263" s="48" t="s">
        <v>297</v>
      </c>
      <c r="G263" s="48" t="s">
        <v>302</v>
      </c>
      <c r="H263" s="48" t="s">
        <v>66</v>
      </c>
      <c r="I263" s="48" t="s">
        <v>113</v>
      </c>
      <c r="J263" s="49">
        <v>58</v>
      </c>
      <c r="K263" s="50">
        <v>1655</v>
      </c>
      <c r="L263" s="50">
        <v>1520.32</v>
      </c>
      <c r="M263" s="48" t="s">
        <v>276</v>
      </c>
      <c r="N263" s="51">
        <v>0.92</v>
      </c>
      <c r="O263" s="51">
        <v>0.91710000000000003</v>
      </c>
      <c r="P263" s="52">
        <v>1504.8</v>
      </c>
      <c r="Q263" s="52">
        <v>1504.8</v>
      </c>
      <c r="R263" s="53" t="str">
        <f>INDEX(SKU_Master!$D$5:$D$34,MATCH($I263,SKU_Master!$A$5:$A$34,0))</f>
        <v>Laptop</v>
      </c>
      <c r="S263" s="54">
        <f t="shared" si="56"/>
        <v>8.1377643504531805E-2</v>
      </c>
      <c r="T263" s="55">
        <f t="shared" si="57"/>
        <v>104336.95652173912</v>
      </c>
      <c r="U263" s="55">
        <f t="shared" si="58"/>
        <v>95846.260869565216</v>
      </c>
      <c r="V263" s="55">
        <f t="shared" si="59"/>
        <v>-8490.6956521739048</v>
      </c>
      <c r="W263" s="55">
        <f t="shared" si="60"/>
        <v>96149.340311852575</v>
      </c>
      <c r="X263" s="55">
        <f t="shared" si="61"/>
        <v>303.07944228735869</v>
      </c>
      <c r="Y263" s="55">
        <f t="shared" si="62"/>
        <v>87278.399999999994</v>
      </c>
      <c r="Z263" s="55">
        <f t="shared" si="63"/>
        <v>87278.399999999994</v>
      </c>
      <c r="AA263" s="55">
        <f t="shared" si="64"/>
        <v>0</v>
      </c>
      <c r="AB263" s="55">
        <f t="shared" si="65"/>
        <v>8870.9403118525806</v>
      </c>
      <c r="AC263" s="54">
        <f t="shared" si="66"/>
        <v>9.226210271521787E-2</v>
      </c>
      <c r="AD263" s="56">
        <f>INDEX(Assumptions!$B$14:$B$16,MATCH($R263,Assumptions!$A$14:$A$16,0))</f>
        <v>0.12</v>
      </c>
      <c r="AE263" s="56">
        <f>INDEX(Assumptions!$C$14:$C$16,MATCH($R263,Assumptions!$A$14:$A$16,0))</f>
        <v>0.08</v>
      </c>
      <c r="AF263" s="49">
        <f t="shared" si="67"/>
        <v>0</v>
      </c>
      <c r="AG263" s="49">
        <f t="shared" si="68"/>
        <v>0</v>
      </c>
      <c r="AH263" s="55">
        <f t="shared" si="69"/>
        <v>2666.9805255697283</v>
      </c>
    </row>
    <row r="264" spans="1:34" x14ac:dyDescent="0.2">
      <c r="A264" s="48" t="s">
        <v>492</v>
      </c>
      <c r="B264" s="48">
        <v>2</v>
      </c>
      <c r="C264" s="48" t="s">
        <v>470</v>
      </c>
      <c r="D264" s="48" t="s">
        <v>416</v>
      </c>
      <c r="E264" s="48" t="s">
        <v>427</v>
      </c>
      <c r="F264" s="48" t="s">
        <v>297</v>
      </c>
      <c r="G264" s="48" t="s">
        <v>302</v>
      </c>
      <c r="H264" s="48" t="s">
        <v>66</v>
      </c>
      <c r="I264" s="48" t="s">
        <v>173</v>
      </c>
      <c r="J264" s="49">
        <v>31</v>
      </c>
      <c r="K264" s="50">
        <v>60</v>
      </c>
      <c r="L264" s="50">
        <v>57.91</v>
      </c>
      <c r="M264" s="48" t="s">
        <v>276</v>
      </c>
      <c r="N264" s="51">
        <v>0.92</v>
      </c>
      <c r="O264" s="51">
        <v>0.91710000000000003</v>
      </c>
      <c r="P264" s="52">
        <v>39</v>
      </c>
      <c r="Q264" s="52">
        <v>39</v>
      </c>
      <c r="R264" s="53" t="str">
        <f>INDEX(SKU_Master!$D$5:$D$34,MATCH($I264,SKU_Master!$A$5:$A$34,0))</f>
        <v>Accessory</v>
      </c>
      <c r="S264" s="54">
        <f t="shared" si="56"/>
        <v>3.4833333333333383E-2</v>
      </c>
      <c r="T264" s="55">
        <f t="shared" si="57"/>
        <v>2021.7391304347825</v>
      </c>
      <c r="U264" s="55">
        <f t="shared" si="58"/>
        <v>1951.315217391304</v>
      </c>
      <c r="V264" s="55">
        <f t="shared" si="59"/>
        <v>-70.423913043478478</v>
      </c>
      <c r="W264" s="55">
        <f t="shared" si="60"/>
        <v>1957.4855522843743</v>
      </c>
      <c r="X264" s="55">
        <f t="shared" si="61"/>
        <v>6.1703348930702759</v>
      </c>
      <c r="Y264" s="55">
        <f t="shared" si="62"/>
        <v>1209</v>
      </c>
      <c r="Z264" s="55">
        <f t="shared" si="63"/>
        <v>1209</v>
      </c>
      <c r="AA264" s="55">
        <f t="shared" si="64"/>
        <v>0</v>
      </c>
      <c r="AB264" s="55">
        <f t="shared" si="65"/>
        <v>748.48555228437431</v>
      </c>
      <c r="AC264" s="54">
        <f t="shared" si="66"/>
        <v>0.38237092039371429</v>
      </c>
      <c r="AD264" s="56">
        <f>INDEX(Assumptions!$B$14:$B$16,MATCH($R264,Assumptions!$A$14:$A$16,0))</f>
        <v>0.32</v>
      </c>
      <c r="AE264" s="56">
        <f>INDEX(Assumptions!$C$14:$C$16,MATCH($R264,Assumptions!$A$14:$A$16,0))</f>
        <v>0.22</v>
      </c>
      <c r="AF264" s="49">
        <f t="shared" si="67"/>
        <v>0</v>
      </c>
      <c r="AG264" s="49">
        <f t="shared" si="68"/>
        <v>0</v>
      </c>
      <c r="AH264" s="55">
        <f t="shared" si="69"/>
        <v>0</v>
      </c>
    </row>
    <row r="265" spans="1:34" x14ac:dyDescent="0.2">
      <c r="A265" s="48" t="s">
        <v>493</v>
      </c>
      <c r="B265" s="48">
        <v>1</v>
      </c>
      <c r="C265" s="48" t="s">
        <v>487</v>
      </c>
      <c r="D265" s="48" t="s">
        <v>416</v>
      </c>
      <c r="E265" s="48" t="s">
        <v>293</v>
      </c>
      <c r="F265" s="48" t="s">
        <v>274</v>
      </c>
      <c r="G265" s="48" t="s">
        <v>275</v>
      </c>
      <c r="H265" s="48" t="s">
        <v>66</v>
      </c>
      <c r="I265" s="48" t="s">
        <v>106</v>
      </c>
      <c r="J265" s="49">
        <v>4</v>
      </c>
      <c r="K265" s="50">
        <v>1450</v>
      </c>
      <c r="L265" s="50">
        <v>1433.63</v>
      </c>
      <c r="M265" s="48" t="s">
        <v>276</v>
      </c>
      <c r="N265" s="51">
        <v>0.92</v>
      </c>
      <c r="O265" s="51">
        <v>0.91710000000000003</v>
      </c>
      <c r="P265" s="52">
        <v>1318.4</v>
      </c>
      <c r="Q265" s="52">
        <v>1318.4</v>
      </c>
      <c r="R265" s="53" t="str">
        <f>INDEX(SKU_Master!$D$5:$D$34,MATCH($I265,SKU_Master!$A$5:$A$34,0))</f>
        <v>Laptop</v>
      </c>
      <c r="S265" s="54">
        <f t="shared" si="56"/>
        <v>1.1289655172413759E-2</v>
      </c>
      <c r="T265" s="55">
        <f t="shared" si="57"/>
        <v>6304.347826086956</v>
      </c>
      <c r="U265" s="55">
        <f t="shared" si="58"/>
        <v>6233.173913043478</v>
      </c>
      <c r="V265" s="55">
        <f t="shared" si="59"/>
        <v>-71.173913043478024</v>
      </c>
      <c r="W265" s="55">
        <f t="shared" si="60"/>
        <v>6252.8840911569077</v>
      </c>
      <c r="X265" s="55">
        <f t="shared" si="61"/>
        <v>19.71017811342972</v>
      </c>
      <c r="Y265" s="55">
        <f t="shared" si="62"/>
        <v>5273.6</v>
      </c>
      <c r="Z265" s="55">
        <f t="shared" si="63"/>
        <v>5273.6</v>
      </c>
      <c r="AA265" s="55">
        <f t="shared" si="64"/>
        <v>0</v>
      </c>
      <c r="AB265" s="55">
        <f t="shared" si="65"/>
        <v>979.28409115690738</v>
      </c>
      <c r="AC265" s="54">
        <f t="shared" si="66"/>
        <v>0.15661318471293145</v>
      </c>
      <c r="AD265" s="56">
        <f>INDEX(Assumptions!$B$14:$B$16,MATCH($R265,Assumptions!$A$14:$A$16,0))</f>
        <v>0.12</v>
      </c>
      <c r="AE265" s="56">
        <f>INDEX(Assumptions!$C$14:$C$16,MATCH($R265,Assumptions!$A$14:$A$16,0))</f>
        <v>0.08</v>
      </c>
      <c r="AF265" s="49">
        <f t="shared" si="67"/>
        <v>0</v>
      </c>
      <c r="AG265" s="49">
        <f t="shared" si="68"/>
        <v>0</v>
      </c>
      <c r="AH265" s="55">
        <f t="shared" si="69"/>
        <v>0</v>
      </c>
    </row>
    <row r="266" spans="1:34" x14ac:dyDescent="0.2">
      <c r="A266" s="48" t="s">
        <v>493</v>
      </c>
      <c r="B266" s="48">
        <v>2</v>
      </c>
      <c r="C266" s="48" t="s">
        <v>487</v>
      </c>
      <c r="D266" s="48" t="s">
        <v>416</v>
      </c>
      <c r="E266" s="48" t="s">
        <v>293</v>
      </c>
      <c r="F266" s="48" t="s">
        <v>274</v>
      </c>
      <c r="G266" s="48" t="s">
        <v>275</v>
      </c>
      <c r="H266" s="48" t="s">
        <v>66</v>
      </c>
      <c r="I266" s="48" t="s">
        <v>146</v>
      </c>
      <c r="J266" s="49">
        <v>3</v>
      </c>
      <c r="K266" s="50">
        <v>250</v>
      </c>
      <c r="L266" s="50">
        <v>247.88</v>
      </c>
      <c r="M266" s="48" t="s">
        <v>276</v>
      </c>
      <c r="N266" s="51">
        <v>0.92</v>
      </c>
      <c r="O266" s="51">
        <v>0.91710000000000003</v>
      </c>
      <c r="P266" s="52">
        <v>206.8</v>
      </c>
      <c r="Q266" s="52">
        <v>206.8</v>
      </c>
      <c r="R266" s="53" t="str">
        <f>INDEX(SKU_Master!$D$5:$D$34,MATCH($I266,SKU_Master!$A$5:$A$34,0))</f>
        <v>Monitor</v>
      </c>
      <c r="S266" s="54">
        <f t="shared" si="56"/>
        <v>8.4800000000000431E-3</v>
      </c>
      <c r="T266" s="55">
        <f t="shared" si="57"/>
        <v>815.21739130434776</v>
      </c>
      <c r="U266" s="55">
        <f t="shared" si="58"/>
        <v>808.30434782608688</v>
      </c>
      <c r="V266" s="55">
        <f t="shared" si="59"/>
        <v>-6.9130434782608745</v>
      </c>
      <c r="W266" s="55">
        <f t="shared" si="60"/>
        <v>810.86032057572777</v>
      </c>
      <c r="X266" s="55">
        <f t="shared" si="61"/>
        <v>2.5559727496408868</v>
      </c>
      <c r="Y266" s="55">
        <f t="shared" si="62"/>
        <v>620.40000000000009</v>
      </c>
      <c r="Z266" s="55">
        <f t="shared" si="63"/>
        <v>620.40000000000009</v>
      </c>
      <c r="AA266" s="55">
        <f t="shared" si="64"/>
        <v>0</v>
      </c>
      <c r="AB266" s="55">
        <f t="shared" si="65"/>
        <v>190.46032057572768</v>
      </c>
      <c r="AC266" s="54">
        <f t="shared" si="66"/>
        <v>0.23488671938034514</v>
      </c>
      <c r="AD266" s="56">
        <f>INDEX(Assumptions!$B$14:$B$16,MATCH($R266,Assumptions!$A$14:$A$16,0))</f>
        <v>0.18</v>
      </c>
      <c r="AE266" s="56">
        <f>INDEX(Assumptions!$C$14:$C$16,MATCH($R266,Assumptions!$A$14:$A$16,0))</f>
        <v>0.12</v>
      </c>
      <c r="AF266" s="49">
        <f t="shared" si="67"/>
        <v>0</v>
      </c>
      <c r="AG266" s="49">
        <f t="shared" si="68"/>
        <v>0</v>
      </c>
      <c r="AH266" s="55">
        <f t="shared" si="69"/>
        <v>0</v>
      </c>
    </row>
    <row r="267" spans="1:34" x14ac:dyDescent="0.2">
      <c r="A267" s="48" t="s">
        <v>494</v>
      </c>
      <c r="B267" s="48">
        <v>1</v>
      </c>
      <c r="C267" s="48" t="s">
        <v>470</v>
      </c>
      <c r="D267" s="48" t="s">
        <v>416</v>
      </c>
      <c r="E267" s="48" t="s">
        <v>374</v>
      </c>
      <c r="F267" s="48" t="s">
        <v>274</v>
      </c>
      <c r="G267" s="48" t="s">
        <v>281</v>
      </c>
      <c r="H267" s="48" t="s">
        <v>62</v>
      </c>
      <c r="I267" s="48" t="s">
        <v>118</v>
      </c>
      <c r="J267" s="49">
        <v>9</v>
      </c>
      <c r="K267" s="50">
        <v>1365</v>
      </c>
      <c r="L267" s="50">
        <v>1357.24</v>
      </c>
      <c r="M267" s="48" t="s">
        <v>276</v>
      </c>
      <c r="N267" s="51">
        <v>1</v>
      </c>
      <c r="O267" s="51">
        <v>1</v>
      </c>
      <c r="P267" s="52">
        <v>1162.5999999999999</v>
      </c>
      <c r="Q267" s="52">
        <v>1162.5999999999999</v>
      </c>
      <c r="R267" s="53" t="str">
        <f>INDEX(SKU_Master!$D$5:$D$34,MATCH($I267,SKU_Master!$A$5:$A$34,0))</f>
        <v>Laptop</v>
      </c>
      <c r="S267" s="54">
        <f t="shared" si="56"/>
        <v>5.6849816849816603E-3</v>
      </c>
      <c r="T267" s="55">
        <f t="shared" si="57"/>
        <v>12285</v>
      </c>
      <c r="U267" s="55">
        <f t="shared" si="58"/>
        <v>12215.16</v>
      </c>
      <c r="V267" s="55">
        <f t="shared" si="59"/>
        <v>-69.840000000000146</v>
      </c>
      <c r="W267" s="55">
        <f t="shared" si="60"/>
        <v>12215.16</v>
      </c>
      <c r="X267" s="55">
        <f t="shared" si="61"/>
        <v>0</v>
      </c>
      <c r="Y267" s="55">
        <f t="shared" si="62"/>
        <v>10463.4</v>
      </c>
      <c r="Z267" s="55">
        <f t="shared" si="63"/>
        <v>10463.4</v>
      </c>
      <c r="AA267" s="55">
        <f t="shared" si="64"/>
        <v>0</v>
      </c>
      <c r="AB267" s="55">
        <f t="shared" si="65"/>
        <v>1751.7600000000002</v>
      </c>
      <c r="AC267" s="54">
        <f t="shared" si="66"/>
        <v>0.14340868232589668</v>
      </c>
      <c r="AD267" s="56">
        <f>INDEX(Assumptions!$B$14:$B$16,MATCH($R267,Assumptions!$A$14:$A$16,0))</f>
        <v>0.12</v>
      </c>
      <c r="AE267" s="56">
        <f>INDEX(Assumptions!$C$14:$C$16,MATCH($R267,Assumptions!$A$14:$A$16,0))</f>
        <v>0.08</v>
      </c>
      <c r="AF267" s="49">
        <f t="shared" si="67"/>
        <v>0</v>
      </c>
      <c r="AG267" s="49">
        <f t="shared" si="68"/>
        <v>0</v>
      </c>
      <c r="AH267" s="55">
        <f t="shared" si="69"/>
        <v>0</v>
      </c>
    </row>
    <row r="268" spans="1:34" x14ac:dyDescent="0.2">
      <c r="A268" s="48" t="s">
        <v>494</v>
      </c>
      <c r="B268" s="48">
        <v>2</v>
      </c>
      <c r="C268" s="48" t="s">
        <v>470</v>
      </c>
      <c r="D268" s="48" t="s">
        <v>416</v>
      </c>
      <c r="E268" s="48" t="s">
        <v>374</v>
      </c>
      <c r="F268" s="48" t="s">
        <v>274</v>
      </c>
      <c r="G268" s="48" t="s">
        <v>281</v>
      </c>
      <c r="H268" s="48" t="s">
        <v>62</v>
      </c>
      <c r="I268" s="48" t="s">
        <v>135</v>
      </c>
      <c r="J268" s="49">
        <v>9</v>
      </c>
      <c r="K268" s="50">
        <v>240</v>
      </c>
      <c r="L268" s="50">
        <v>239.88</v>
      </c>
      <c r="M268" s="48" t="s">
        <v>276</v>
      </c>
      <c r="N268" s="51">
        <v>1</v>
      </c>
      <c r="O268" s="51">
        <v>1</v>
      </c>
      <c r="P268" s="52">
        <v>186.7</v>
      </c>
      <c r="Q268" s="52">
        <v>186.7</v>
      </c>
      <c r="R268" s="53" t="str">
        <f>INDEX(SKU_Master!$D$5:$D$34,MATCH($I268,SKU_Master!$A$5:$A$34,0))</f>
        <v>Monitor</v>
      </c>
      <c r="S268" s="54">
        <f t="shared" si="56"/>
        <v>5.0000000000005596E-4</v>
      </c>
      <c r="T268" s="55">
        <f t="shared" si="57"/>
        <v>2160</v>
      </c>
      <c r="U268" s="55">
        <f t="shared" si="58"/>
        <v>2158.92</v>
      </c>
      <c r="V268" s="55">
        <f t="shared" si="59"/>
        <v>-1.0799999999999272</v>
      </c>
      <c r="W268" s="55">
        <f t="shared" si="60"/>
        <v>2158.92</v>
      </c>
      <c r="X268" s="55">
        <f t="shared" si="61"/>
        <v>0</v>
      </c>
      <c r="Y268" s="55">
        <f t="shared" si="62"/>
        <v>1680.3</v>
      </c>
      <c r="Z268" s="55">
        <f t="shared" si="63"/>
        <v>1680.3</v>
      </c>
      <c r="AA268" s="55">
        <f t="shared" si="64"/>
        <v>0</v>
      </c>
      <c r="AB268" s="55">
        <f t="shared" si="65"/>
        <v>478.62000000000012</v>
      </c>
      <c r="AC268" s="54">
        <f t="shared" si="66"/>
        <v>0.22169418042354516</v>
      </c>
      <c r="AD268" s="56">
        <f>INDEX(Assumptions!$B$14:$B$16,MATCH($R268,Assumptions!$A$14:$A$16,0))</f>
        <v>0.18</v>
      </c>
      <c r="AE268" s="56">
        <f>INDEX(Assumptions!$C$14:$C$16,MATCH($R268,Assumptions!$A$14:$A$16,0))</f>
        <v>0.12</v>
      </c>
      <c r="AF268" s="49">
        <f t="shared" si="67"/>
        <v>0</v>
      </c>
      <c r="AG268" s="49">
        <f t="shared" si="68"/>
        <v>0</v>
      </c>
      <c r="AH268" s="55">
        <f t="shared" si="69"/>
        <v>0</v>
      </c>
    </row>
    <row r="269" spans="1:34" x14ac:dyDescent="0.2">
      <c r="A269" s="48" t="s">
        <v>494</v>
      </c>
      <c r="B269" s="48">
        <v>3</v>
      </c>
      <c r="C269" s="48" t="s">
        <v>470</v>
      </c>
      <c r="D269" s="48" t="s">
        <v>416</v>
      </c>
      <c r="E269" s="48" t="s">
        <v>374</v>
      </c>
      <c r="F269" s="48" t="s">
        <v>274</v>
      </c>
      <c r="G269" s="48" t="s">
        <v>281</v>
      </c>
      <c r="H269" s="48" t="s">
        <v>62</v>
      </c>
      <c r="I269" s="48" t="s">
        <v>161</v>
      </c>
      <c r="J269" s="49">
        <v>6</v>
      </c>
      <c r="K269" s="50">
        <v>120</v>
      </c>
      <c r="L269" s="50">
        <v>118.34</v>
      </c>
      <c r="M269" s="48" t="s">
        <v>276</v>
      </c>
      <c r="N269" s="51">
        <v>1</v>
      </c>
      <c r="O269" s="51">
        <v>1</v>
      </c>
      <c r="P269" s="52">
        <v>76</v>
      </c>
      <c r="Q269" s="52">
        <v>76</v>
      </c>
      <c r="R269" s="53" t="str">
        <f>INDEX(SKU_Master!$D$5:$D$34,MATCH($I269,SKU_Master!$A$5:$A$34,0))</f>
        <v>Accessory</v>
      </c>
      <c r="S269" s="54">
        <f t="shared" si="56"/>
        <v>1.3833333333333253E-2</v>
      </c>
      <c r="T269" s="55">
        <f t="shared" si="57"/>
        <v>720</v>
      </c>
      <c r="U269" s="55">
        <f t="shared" si="58"/>
        <v>710.04</v>
      </c>
      <c r="V269" s="55">
        <f t="shared" si="59"/>
        <v>-9.9600000000000364</v>
      </c>
      <c r="W269" s="55">
        <f t="shared" si="60"/>
        <v>710.04</v>
      </c>
      <c r="X269" s="55">
        <f t="shared" si="61"/>
        <v>0</v>
      </c>
      <c r="Y269" s="55">
        <f t="shared" si="62"/>
        <v>456</v>
      </c>
      <c r="Z269" s="55">
        <f t="shared" si="63"/>
        <v>456</v>
      </c>
      <c r="AA269" s="55">
        <f t="shared" si="64"/>
        <v>0</v>
      </c>
      <c r="AB269" s="55">
        <f t="shared" si="65"/>
        <v>254.03999999999996</v>
      </c>
      <c r="AC269" s="54">
        <f t="shared" si="66"/>
        <v>0.35778266013182353</v>
      </c>
      <c r="AD269" s="56">
        <f>INDEX(Assumptions!$B$14:$B$16,MATCH($R269,Assumptions!$A$14:$A$16,0))</f>
        <v>0.32</v>
      </c>
      <c r="AE269" s="56">
        <f>INDEX(Assumptions!$C$14:$C$16,MATCH($R269,Assumptions!$A$14:$A$16,0))</f>
        <v>0.22</v>
      </c>
      <c r="AF269" s="49">
        <f t="shared" si="67"/>
        <v>0</v>
      </c>
      <c r="AG269" s="49">
        <f t="shared" si="68"/>
        <v>0</v>
      </c>
      <c r="AH269" s="55">
        <f t="shared" si="69"/>
        <v>0</v>
      </c>
    </row>
    <row r="270" spans="1:34" x14ac:dyDescent="0.2">
      <c r="A270" s="48" t="s">
        <v>495</v>
      </c>
      <c r="B270" s="48">
        <v>1</v>
      </c>
      <c r="C270" s="48" t="s">
        <v>487</v>
      </c>
      <c r="D270" s="48" t="s">
        <v>416</v>
      </c>
      <c r="E270" s="48" t="s">
        <v>384</v>
      </c>
      <c r="F270" s="48" t="s">
        <v>297</v>
      </c>
      <c r="G270" s="48" t="s">
        <v>281</v>
      </c>
      <c r="H270" s="48" t="s">
        <v>70</v>
      </c>
      <c r="I270" s="48" t="s">
        <v>110</v>
      </c>
      <c r="J270" s="49">
        <v>25</v>
      </c>
      <c r="K270" s="50">
        <v>113335</v>
      </c>
      <c r="L270" s="50">
        <v>110954.7</v>
      </c>
      <c r="M270" s="48" t="s">
        <v>276</v>
      </c>
      <c r="N270" s="51">
        <v>83.5</v>
      </c>
      <c r="O270" s="51">
        <v>83.602099999999993</v>
      </c>
      <c r="P270" s="52">
        <v>1136.8599999999999</v>
      </c>
      <c r="Q270" s="52">
        <v>1156.8599999999999</v>
      </c>
      <c r="R270" s="53" t="str">
        <f>INDEX(SKU_Master!$D$5:$D$34,MATCH($I270,SKU_Master!$A$5:$A$34,0))</f>
        <v>Laptop</v>
      </c>
      <c r="S270" s="54">
        <f t="shared" si="56"/>
        <v>2.1002338200908799E-2</v>
      </c>
      <c r="T270" s="55">
        <f t="shared" si="57"/>
        <v>33932.634730538921</v>
      </c>
      <c r="U270" s="55">
        <f t="shared" si="58"/>
        <v>33219.970059880237</v>
      </c>
      <c r="V270" s="55">
        <f t="shared" si="59"/>
        <v>-712.66467065868346</v>
      </c>
      <c r="W270" s="55">
        <f t="shared" si="60"/>
        <v>33179.399799765801</v>
      </c>
      <c r="X270" s="55">
        <f t="shared" si="61"/>
        <v>-40.570260114436678</v>
      </c>
      <c r="Y270" s="55">
        <f t="shared" si="62"/>
        <v>28421.499999999996</v>
      </c>
      <c r="Z270" s="55">
        <f t="shared" si="63"/>
        <v>28921.499999999996</v>
      </c>
      <c r="AA270" s="55">
        <f t="shared" si="64"/>
        <v>-500</v>
      </c>
      <c r="AB270" s="55">
        <f t="shared" si="65"/>
        <v>4257.8997997658043</v>
      </c>
      <c r="AC270" s="54">
        <f t="shared" si="66"/>
        <v>0.12832962095341638</v>
      </c>
      <c r="AD270" s="56">
        <f>INDEX(Assumptions!$B$14:$B$16,MATCH($R270,Assumptions!$A$14:$A$16,0))</f>
        <v>0.12</v>
      </c>
      <c r="AE270" s="56">
        <f>INDEX(Assumptions!$C$14:$C$16,MATCH($R270,Assumptions!$A$14:$A$16,0))</f>
        <v>0.08</v>
      </c>
      <c r="AF270" s="49">
        <f t="shared" si="67"/>
        <v>0</v>
      </c>
      <c r="AG270" s="49">
        <f t="shared" si="68"/>
        <v>0</v>
      </c>
      <c r="AH270" s="55">
        <f t="shared" si="69"/>
        <v>0</v>
      </c>
    </row>
    <row r="271" spans="1:34" x14ac:dyDescent="0.2">
      <c r="A271" s="48" t="s">
        <v>495</v>
      </c>
      <c r="B271" s="48">
        <v>2</v>
      </c>
      <c r="C271" s="48" t="s">
        <v>487</v>
      </c>
      <c r="D271" s="48" t="s">
        <v>416</v>
      </c>
      <c r="E271" s="48" t="s">
        <v>384</v>
      </c>
      <c r="F271" s="48" t="s">
        <v>297</v>
      </c>
      <c r="G271" s="48" t="s">
        <v>281</v>
      </c>
      <c r="H271" s="48" t="s">
        <v>70</v>
      </c>
      <c r="I271" s="48" t="s">
        <v>161</v>
      </c>
      <c r="J271" s="49">
        <v>20</v>
      </c>
      <c r="K271" s="50">
        <v>12195</v>
      </c>
      <c r="L271" s="50">
        <v>11885.76</v>
      </c>
      <c r="M271" s="48" t="s">
        <v>276</v>
      </c>
      <c r="N271" s="51">
        <v>83.5</v>
      </c>
      <c r="O271" s="51">
        <v>83.602099999999993</v>
      </c>
      <c r="P271" s="52">
        <v>92.7</v>
      </c>
      <c r="Q271" s="52">
        <v>97.7</v>
      </c>
      <c r="R271" s="53" t="str">
        <f>INDEX(SKU_Master!$D$5:$D$34,MATCH($I271,SKU_Master!$A$5:$A$34,0))</f>
        <v>Accessory</v>
      </c>
      <c r="S271" s="54">
        <f t="shared" si="56"/>
        <v>2.5357933579335801E-2</v>
      </c>
      <c r="T271" s="55">
        <f t="shared" si="57"/>
        <v>2920.9580838323354</v>
      </c>
      <c r="U271" s="55">
        <f t="shared" si="58"/>
        <v>2846.8886227544913</v>
      </c>
      <c r="V271" s="55">
        <f t="shared" si="59"/>
        <v>-74.069461077844153</v>
      </c>
      <c r="W271" s="55">
        <f t="shared" si="60"/>
        <v>2843.4118281717806</v>
      </c>
      <c r="X271" s="55">
        <f t="shared" si="61"/>
        <v>-3.4767945827106814</v>
      </c>
      <c r="Y271" s="55">
        <f t="shared" si="62"/>
        <v>1854</v>
      </c>
      <c r="Z271" s="55">
        <f t="shared" si="63"/>
        <v>1954</v>
      </c>
      <c r="AA271" s="55">
        <f t="shared" si="64"/>
        <v>-100</v>
      </c>
      <c r="AB271" s="55">
        <f t="shared" si="65"/>
        <v>889.4118281717806</v>
      </c>
      <c r="AC271" s="54">
        <f t="shared" si="66"/>
        <v>0.31279740041865228</v>
      </c>
      <c r="AD271" s="56">
        <f>INDEX(Assumptions!$B$14:$B$16,MATCH($R271,Assumptions!$A$14:$A$16,0))</f>
        <v>0.32</v>
      </c>
      <c r="AE271" s="56">
        <f>INDEX(Assumptions!$C$14:$C$16,MATCH($R271,Assumptions!$A$14:$A$16,0))</f>
        <v>0.22</v>
      </c>
      <c r="AF271" s="49">
        <f t="shared" si="67"/>
        <v>0</v>
      </c>
      <c r="AG271" s="49">
        <f t="shared" si="68"/>
        <v>0</v>
      </c>
      <c r="AH271" s="55">
        <f t="shared" si="69"/>
        <v>20.479956843189257</v>
      </c>
    </row>
    <row r="272" spans="1:34" x14ac:dyDescent="0.2">
      <c r="A272" s="48" t="s">
        <v>496</v>
      </c>
      <c r="B272" s="48">
        <v>1</v>
      </c>
      <c r="C272" s="48" t="s">
        <v>441</v>
      </c>
      <c r="D272" s="48" t="s">
        <v>416</v>
      </c>
      <c r="E272" s="48" t="s">
        <v>417</v>
      </c>
      <c r="F272" s="48" t="s">
        <v>280</v>
      </c>
      <c r="G272" s="48" t="s">
        <v>298</v>
      </c>
      <c r="H272" s="48" t="s">
        <v>62</v>
      </c>
      <c r="I272" s="48" t="s">
        <v>123</v>
      </c>
      <c r="J272" s="49">
        <v>9</v>
      </c>
      <c r="K272" s="50">
        <v>1465</v>
      </c>
      <c r="L272" s="50">
        <v>1429.58</v>
      </c>
      <c r="M272" s="48" t="s">
        <v>276</v>
      </c>
      <c r="N272" s="51">
        <v>1</v>
      </c>
      <c r="O272" s="51">
        <v>1</v>
      </c>
      <c r="P272" s="52">
        <v>1249.25</v>
      </c>
      <c r="Q272" s="52">
        <v>1249.25</v>
      </c>
      <c r="R272" s="53" t="str">
        <f>INDEX(SKU_Master!$D$5:$D$34,MATCH($I272,SKU_Master!$A$5:$A$34,0))</f>
        <v>Laptop</v>
      </c>
      <c r="S272" s="54">
        <f t="shared" si="56"/>
        <v>2.4177474402730437E-2</v>
      </c>
      <c r="T272" s="55">
        <f t="shared" si="57"/>
        <v>13185</v>
      </c>
      <c r="U272" s="55">
        <f t="shared" si="58"/>
        <v>12866.22</v>
      </c>
      <c r="V272" s="55">
        <f t="shared" si="59"/>
        <v>-318.78000000000065</v>
      </c>
      <c r="W272" s="55">
        <f t="shared" si="60"/>
        <v>12866.22</v>
      </c>
      <c r="X272" s="55">
        <f t="shared" si="61"/>
        <v>0</v>
      </c>
      <c r="Y272" s="55">
        <f t="shared" si="62"/>
        <v>11243.25</v>
      </c>
      <c r="Z272" s="55">
        <f t="shared" si="63"/>
        <v>11243.25</v>
      </c>
      <c r="AA272" s="55">
        <f t="shared" si="64"/>
        <v>0</v>
      </c>
      <c r="AB272" s="55">
        <f t="shared" si="65"/>
        <v>1622.9699999999993</v>
      </c>
      <c r="AC272" s="54">
        <f t="shared" si="66"/>
        <v>0.12614194378768584</v>
      </c>
      <c r="AD272" s="56">
        <f>INDEX(Assumptions!$B$14:$B$16,MATCH($R272,Assumptions!$A$14:$A$16,0))</f>
        <v>0.12</v>
      </c>
      <c r="AE272" s="56">
        <f>INDEX(Assumptions!$C$14:$C$16,MATCH($R272,Assumptions!$A$14:$A$16,0))</f>
        <v>0.08</v>
      </c>
      <c r="AF272" s="49">
        <f t="shared" si="67"/>
        <v>0</v>
      </c>
      <c r="AG272" s="49">
        <f t="shared" si="68"/>
        <v>0</v>
      </c>
      <c r="AH272" s="55">
        <f t="shared" si="69"/>
        <v>0</v>
      </c>
    </row>
    <row r="273" spans="1:34" x14ac:dyDescent="0.2">
      <c r="A273" s="48" t="s">
        <v>496</v>
      </c>
      <c r="B273" s="48">
        <v>2</v>
      </c>
      <c r="C273" s="48" t="s">
        <v>441</v>
      </c>
      <c r="D273" s="48" t="s">
        <v>416</v>
      </c>
      <c r="E273" s="48" t="s">
        <v>417</v>
      </c>
      <c r="F273" s="48" t="s">
        <v>280</v>
      </c>
      <c r="G273" s="48" t="s">
        <v>298</v>
      </c>
      <c r="H273" s="48" t="s">
        <v>62</v>
      </c>
      <c r="I273" s="48" t="s">
        <v>144</v>
      </c>
      <c r="J273" s="49">
        <v>10</v>
      </c>
      <c r="K273" s="50">
        <v>370</v>
      </c>
      <c r="L273" s="50">
        <v>365.25</v>
      </c>
      <c r="M273" s="48" t="s">
        <v>276</v>
      </c>
      <c r="N273" s="51">
        <v>1</v>
      </c>
      <c r="O273" s="51">
        <v>1</v>
      </c>
      <c r="P273" s="52">
        <v>289.60000000000002</v>
      </c>
      <c r="Q273" s="52">
        <v>289.60000000000002</v>
      </c>
      <c r="R273" s="53" t="str">
        <f>INDEX(SKU_Master!$D$5:$D$34,MATCH($I273,SKU_Master!$A$5:$A$34,0))</f>
        <v>Monitor</v>
      </c>
      <c r="S273" s="54">
        <f t="shared" si="56"/>
        <v>1.2837837837837873E-2</v>
      </c>
      <c r="T273" s="55">
        <f t="shared" si="57"/>
        <v>3700</v>
      </c>
      <c r="U273" s="55">
        <f t="shared" si="58"/>
        <v>3652.5</v>
      </c>
      <c r="V273" s="55">
        <f t="shared" si="59"/>
        <v>-47.5</v>
      </c>
      <c r="W273" s="55">
        <f t="shared" si="60"/>
        <v>3652.5</v>
      </c>
      <c r="X273" s="55">
        <f t="shared" si="61"/>
        <v>0</v>
      </c>
      <c r="Y273" s="55">
        <f t="shared" si="62"/>
        <v>2896</v>
      </c>
      <c r="Z273" s="55">
        <f t="shared" si="63"/>
        <v>2896</v>
      </c>
      <c r="AA273" s="55">
        <f t="shared" si="64"/>
        <v>0</v>
      </c>
      <c r="AB273" s="55">
        <f t="shared" si="65"/>
        <v>756.5</v>
      </c>
      <c r="AC273" s="54">
        <f t="shared" si="66"/>
        <v>0.20711841204654347</v>
      </c>
      <c r="AD273" s="56">
        <f>INDEX(Assumptions!$B$14:$B$16,MATCH($R273,Assumptions!$A$14:$A$16,0))</f>
        <v>0.18</v>
      </c>
      <c r="AE273" s="56">
        <f>INDEX(Assumptions!$C$14:$C$16,MATCH($R273,Assumptions!$A$14:$A$16,0))</f>
        <v>0.12</v>
      </c>
      <c r="AF273" s="49">
        <f t="shared" si="67"/>
        <v>0</v>
      </c>
      <c r="AG273" s="49">
        <f t="shared" si="68"/>
        <v>0</v>
      </c>
      <c r="AH273" s="55">
        <f t="shared" si="69"/>
        <v>0</v>
      </c>
    </row>
    <row r="274" spans="1:34" x14ac:dyDescent="0.2">
      <c r="A274" s="48" t="s">
        <v>496</v>
      </c>
      <c r="B274" s="48">
        <v>3</v>
      </c>
      <c r="C274" s="48" t="s">
        <v>441</v>
      </c>
      <c r="D274" s="48" t="s">
        <v>416</v>
      </c>
      <c r="E274" s="48" t="s">
        <v>417</v>
      </c>
      <c r="F274" s="48" t="s">
        <v>280</v>
      </c>
      <c r="G274" s="48" t="s">
        <v>298</v>
      </c>
      <c r="H274" s="48" t="s">
        <v>62</v>
      </c>
      <c r="I274" s="48" t="s">
        <v>164</v>
      </c>
      <c r="J274" s="49">
        <v>9</v>
      </c>
      <c r="K274" s="50">
        <v>190</v>
      </c>
      <c r="L274" s="50">
        <v>183.88</v>
      </c>
      <c r="M274" s="48" t="s">
        <v>276</v>
      </c>
      <c r="N274" s="51">
        <v>1</v>
      </c>
      <c r="O274" s="51">
        <v>1</v>
      </c>
      <c r="P274" s="52">
        <v>121</v>
      </c>
      <c r="Q274" s="52">
        <v>121</v>
      </c>
      <c r="R274" s="53" t="str">
        <f>INDEX(SKU_Master!$D$5:$D$34,MATCH($I274,SKU_Master!$A$5:$A$34,0))</f>
        <v>Accessory</v>
      </c>
      <c r="S274" s="54">
        <f t="shared" si="56"/>
        <v>3.2210526315789467E-2</v>
      </c>
      <c r="T274" s="55">
        <f t="shared" si="57"/>
        <v>1710</v>
      </c>
      <c r="U274" s="55">
        <f t="shared" si="58"/>
        <v>1654.92</v>
      </c>
      <c r="V274" s="55">
        <f t="shared" si="59"/>
        <v>-55.079999999999927</v>
      </c>
      <c r="W274" s="55">
        <f t="shared" si="60"/>
        <v>1654.92</v>
      </c>
      <c r="X274" s="55">
        <f t="shared" si="61"/>
        <v>0</v>
      </c>
      <c r="Y274" s="55">
        <f t="shared" si="62"/>
        <v>1089</v>
      </c>
      <c r="Z274" s="55">
        <f t="shared" si="63"/>
        <v>1089</v>
      </c>
      <c r="AA274" s="55">
        <f t="shared" si="64"/>
        <v>0</v>
      </c>
      <c r="AB274" s="55">
        <f t="shared" si="65"/>
        <v>565.92000000000007</v>
      </c>
      <c r="AC274" s="54">
        <f t="shared" si="66"/>
        <v>0.34196214922775725</v>
      </c>
      <c r="AD274" s="56">
        <f>INDEX(Assumptions!$B$14:$B$16,MATCH($R274,Assumptions!$A$14:$A$16,0))</f>
        <v>0.32</v>
      </c>
      <c r="AE274" s="56">
        <f>INDEX(Assumptions!$C$14:$C$16,MATCH($R274,Assumptions!$A$14:$A$16,0))</f>
        <v>0.22</v>
      </c>
      <c r="AF274" s="49">
        <f t="shared" si="67"/>
        <v>0</v>
      </c>
      <c r="AG274" s="49">
        <f t="shared" si="68"/>
        <v>0</v>
      </c>
      <c r="AH274" s="55">
        <f t="shared" si="69"/>
        <v>0</v>
      </c>
    </row>
    <row r="275" spans="1:34" x14ac:dyDescent="0.2">
      <c r="A275" s="48" t="s">
        <v>497</v>
      </c>
      <c r="B275" s="48">
        <v>1</v>
      </c>
      <c r="C275" s="48" t="s">
        <v>472</v>
      </c>
      <c r="D275" s="48" t="s">
        <v>416</v>
      </c>
      <c r="E275" s="48" t="s">
        <v>498</v>
      </c>
      <c r="F275" s="48" t="s">
        <v>280</v>
      </c>
      <c r="G275" s="48" t="s">
        <v>302</v>
      </c>
      <c r="H275" s="48" t="s">
        <v>66</v>
      </c>
      <c r="I275" s="48" t="s">
        <v>108</v>
      </c>
      <c r="J275" s="49">
        <v>15</v>
      </c>
      <c r="K275" s="50">
        <v>1280</v>
      </c>
      <c r="L275" s="50">
        <v>1222.69</v>
      </c>
      <c r="M275" s="48" t="s">
        <v>276</v>
      </c>
      <c r="N275" s="51">
        <v>0.92</v>
      </c>
      <c r="O275" s="51">
        <v>0.91710000000000003</v>
      </c>
      <c r="P275" s="52">
        <v>1165</v>
      </c>
      <c r="Q275" s="52">
        <v>1165</v>
      </c>
      <c r="R275" s="53" t="str">
        <f>INDEX(SKU_Master!$D$5:$D$34,MATCH($I275,SKU_Master!$A$5:$A$34,0))</f>
        <v>Laptop</v>
      </c>
      <c r="S275" s="54">
        <f t="shared" si="56"/>
        <v>4.4773437499999957E-2</v>
      </c>
      <c r="T275" s="55">
        <f t="shared" si="57"/>
        <v>20869.565217391304</v>
      </c>
      <c r="U275" s="55">
        <f t="shared" si="58"/>
        <v>19935.163043478264</v>
      </c>
      <c r="V275" s="55">
        <f t="shared" si="59"/>
        <v>-934.40217391304031</v>
      </c>
      <c r="W275" s="55">
        <f t="shared" si="60"/>
        <v>19998.200850507033</v>
      </c>
      <c r="X275" s="55">
        <f t="shared" si="61"/>
        <v>63.037807028769748</v>
      </c>
      <c r="Y275" s="55">
        <f t="shared" si="62"/>
        <v>17475</v>
      </c>
      <c r="Z275" s="55">
        <f t="shared" si="63"/>
        <v>17475</v>
      </c>
      <c r="AA275" s="55">
        <f t="shared" si="64"/>
        <v>0</v>
      </c>
      <c r="AB275" s="55">
        <f t="shared" si="65"/>
        <v>2523.2008505070335</v>
      </c>
      <c r="AC275" s="54">
        <f t="shared" si="66"/>
        <v>0.12617139258520149</v>
      </c>
      <c r="AD275" s="56">
        <f>INDEX(Assumptions!$B$14:$B$16,MATCH($R275,Assumptions!$A$14:$A$16,0))</f>
        <v>0.12</v>
      </c>
      <c r="AE275" s="56">
        <f>INDEX(Assumptions!$C$14:$C$16,MATCH($R275,Assumptions!$A$14:$A$16,0))</f>
        <v>0.08</v>
      </c>
      <c r="AF275" s="49">
        <f t="shared" si="67"/>
        <v>0</v>
      </c>
      <c r="AG275" s="49">
        <f t="shared" si="68"/>
        <v>0</v>
      </c>
      <c r="AH275" s="55">
        <f t="shared" si="69"/>
        <v>0</v>
      </c>
    </row>
    <row r="276" spans="1:34" x14ac:dyDescent="0.2">
      <c r="A276" s="48" t="s">
        <v>497</v>
      </c>
      <c r="B276" s="48">
        <v>2</v>
      </c>
      <c r="C276" s="48" t="s">
        <v>472</v>
      </c>
      <c r="D276" s="48" t="s">
        <v>416</v>
      </c>
      <c r="E276" s="48" t="s">
        <v>498</v>
      </c>
      <c r="F276" s="48" t="s">
        <v>280</v>
      </c>
      <c r="G276" s="48" t="s">
        <v>302</v>
      </c>
      <c r="H276" s="48" t="s">
        <v>66</v>
      </c>
      <c r="I276" s="48" t="s">
        <v>135</v>
      </c>
      <c r="J276" s="49">
        <v>14</v>
      </c>
      <c r="K276" s="50">
        <v>255</v>
      </c>
      <c r="L276" s="50">
        <v>249.76</v>
      </c>
      <c r="M276" s="48" t="s">
        <v>276</v>
      </c>
      <c r="N276" s="51">
        <v>0.92</v>
      </c>
      <c r="O276" s="51">
        <v>0.91710000000000003</v>
      </c>
      <c r="P276" s="52">
        <v>211.7</v>
      </c>
      <c r="Q276" s="52">
        <v>211.7</v>
      </c>
      <c r="R276" s="53" t="str">
        <f>INDEX(SKU_Master!$D$5:$D$34,MATCH($I276,SKU_Master!$A$5:$A$34,0))</f>
        <v>Monitor</v>
      </c>
      <c r="S276" s="54">
        <f t="shared" si="56"/>
        <v>2.0549019607843166E-2</v>
      </c>
      <c r="T276" s="55">
        <f t="shared" si="57"/>
        <v>3880.4347826086955</v>
      </c>
      <c r="U276" s="55">
        <f t="shared" si="58"/>
        <v>3800.6956521739125</v>
      </c>
      <c r="V276" s="55">
        <f t="shared" si="59"/>
        <v>-79.739130434782965</v>
      </c>
      <c r="W276" s="55">
        <f t="shared" si="60"/>
        <v>3812.7139897502998</v>
      </c>
      <c r="X276" s="55">
        <f t="shared" si="61"/>
        <v>12.018337576387239</v>
      </c>
      <c r="Y276" s="55">
        <f t="shared" si="62"/>
        <v>2963.7999999999997</v>
      </c>
      <c r="Z276" s="55">
        <f t="shared" si="63"/>
        <v>2963.7999999999997</v>
      </c>
      <c r="AA276" s="55">
        <f t="shared" si="64"/>
        <v>0</v>
      </c>
      <c r="AB276" s="55">
        <f t="shared" si="65"/>
        <v>848.91398975030006</v>
      </c>
      <c r="AC276" s="54">
        <f t="shared" si="66"/>
        <v>0.22265346732863556</v>
      </c>
      <c r="AD276" s="56">
        <f>INDEX(Assumptions!$B$14:$B$16,MATCH($R276,Assumptions!$A$14:$A$16,0))</f>
        <v>0.18</v>
      </c>
      <c r="AE276" s="56">
        <f>INDEX(Assumptions!$C$14:$C$16,MATCH($R276,Assumptions!$A$14:$A$16,0))</f>
        <v>0.12</v>
      </c>
      <c r="AF276" s="49">
        <f t="shared" si="67"/>
        <v>0</v>
      </c>
      <c r="AG276" s="49">
        <f t="shared" si="68"/>
        <v>0</v>
      </c>
      <c r="AH276" s="55">
        <f t="shared" si="69"/>
        <v>0</v>
      </c>
    </row>
    <row r="277" spans="1:34" x14ac:dyDescent="0.2">
      <c r="A277" s="48" t="s">
        <v>497</v>
      </c>
      <c r="B277" s="48">
        <v>3</v>
      </c>
      <c r="C277" s="48" t="s">
        <v>472</v>
      </c>
      <c r="D277" s="48" t="s">
        <v>416</v>
      </c>
      <c r="E277" s="48" t="s">
        <v>498</v>
      </c>
      <c r="F277" s="48" t="s">
        <v>280</v>
      </c>
      <c r="G277" s="48" t="s">
        <v>302</v>
      </c>
      <c r="H277" s="48" t="s">
        <v>66</v>
      </c>
      <c r="I277" s="48" t="s">
        <v>151</v>
      </c>
      <c r="J277" s="49">
        <v>17</v>
      </c>
      <c r="K277" s="50">
        <v>325</v>
      </c>
      <c r="L277" s="50">
        <v>305.14</v>
      </c>
      <c r="M277" s="48" t="s">
        <v>276</v>
      </c>
      <c r="N277" s="51">
        <v>0.92</v>
      </c>
      <c r="O277" s="51">
        <v>0.91710000000000003</v>
      </c>
      <c r="P277" s="52">
        <v>221.7</v>
      </c>
      <c r="Q277" s="52">
        <v>221.7</v>
      </c>
      <c r="R277" s="53" t="str">
        <f>INDEX(SKU_Master!$D$5:$D$34,MATCH($I277,SKU_Master!$A$5:$A$34,0))</f>
        <v>Accessory</v>
      </c>
      <c r="S277" s="54">
        <f t="shared" si="56"/>
        <v>6.1107692307692307E-2</v>
      </c>
      <c r="T277" s="55">
        <f t="shared" si="57"/>
        <v>6005.4347826086951</v>
      </c>
      <c r="U277" s="55">
        <f t="shared" si="58"/>
        <v>5638.45652173913</v>
      </c>
      <c r="V277" s="55">
        <f t="shared" si="59"/>
        <v>-366.97826086956502</v>
      </c>
      <c r="W277" s="55">
        <f t="shared" si="60"/>
        <v>5656.2861192890632</v>
      </c>
      <c r="X277" s="55">
        <f t="shared" si="61"/>
        <v>17.829597549933169</v>
      </c>
      <c r="Y277" s="55">
        <f t="shared" si="62"/>
        <v>3768.8999999999996</v>
      </c>
      <c r="Z277" s="55">
        <f t="shared" si="63"/>
        <v>3768.8999999999996</v>
      </c>
      <c r="AA277" s="55">
        <f t="shared" si="64"/>
        <v>0</v>
      </c>
      <c r="AB277" s="55">
        <f t="shared" si="65"/>
        <v>1887.3861192890636</v>
      </c>
      <c r="AC277" s="54">
        <f t="shared" si="66"/>
        <v>0.33367939306547817</v>
      </c>
      <c r="AD277" s="56">
        <f>INDEX(Assumptions!$B$14:$B$16,MATCH($R277,Assumptions!$A$14:$A$16,0))</f>
        <v>0.32</v>
      </c>
      <c r="AE277" s="56">
        <f>INDEX(Assumptions!$C$14:$C$16,MATCH($R277,Assumptions!$A$14:$A$16,0))</f>
        <v>0.22</v>
      </c>
      <c r="AF277" s="49">
        <f t="shared" si="67"/>
        <v>0</v>
      </c>
      <c r="AG277" s="49">
        <f t="shared" si="68"/>
        <v>0</v>
      </c>
      <c r="AH277" s="55">
        <f t="shared" si="69"/>
        <v>0</v>
      </c>
    </row>
    <row r="278" spans="1:34" x14ac:dyDescent="0.2">
      <c r="A278" s="48" t="s">
        <v>499</v>
      </c>
      <c r="B278" s="48">
        <v>1</v>
      </c>
      <c r="C278" s="48" t="s">
        <v>458</v>
      </c>
      <c r="D278" s="48" t="s">
        <v>416</v>
      </c>
      <c r="E278" s="48" t="s">
        <v>349</v>
      </c>
      <c r="F278" s="48" t="s">
        <v>274</v>
      </c>
      <c r="G278" s="48" t="s">
        <v>275</v>
      </c>
      <c r="H278" s="48" t="s">
        <v>66</v>
      </c>
      <c r="I278" s="48" t="s">
        <v>108</v>
      </c>
      <c r="J278" s="49">
        <v>2</v>
      </c>
      <c r="K278" s="50">
        <v>1280</v>
      </c>
      <c r="L278" s="50">
        <v>1269.83</v>
      </c>
      <c r="M278" s="48" t="s">
        <v>276</v>
      </c>
      <c r="N278" s="51">
        <v>0.92</v>
      </c>
      <c r="O278" s="51">
        <v>0.91710000000000003</v>
      </c>
      <c r="P278" s="52">
        <v>1165</v>
      </c>
      <c r="Q278" s="52">
        <v>1165</v>
      </c>
      <c r="R278" s="53" t="str">
        <f>INDEX(SKU_Master!$D$5:$D$34,MATCH($I278,SKU_Master!$A$5:$A$34,0))</f>
        <v>Laptop</v>
      </c>
      <c r="S278" s="54">
        <f t="shared" si="56"/>
        <v>7.945312500000079E-3</v>
      </c>
      <c r="T278" s="55">
        <f t="shared" si="57"/>
        <v>2782.608695652174</v>
      </c>
      <c r="U278" s="55">
        <f t="shared" si="58"/>
        <v>2760.4999999999995</v>
      </c>
      <c r="V278" s="55">
        <f t="shared" si="59"/>
        <v>-22.108695652174447</v>
      </c>
      <c r="W278" s="55">
        <f t="shared" si="60"/>
        <v>2769.2290917021041</v>
      </c>
      <c r="X278" s="55">
        <f t="shared" si="61"/>
        <v>8.7290917021045971</v>
      </c>
      <c r="Y278" s="55">
        <f t="shared" si="62"/>
        <v>2330</v>
      </c>
      <c r="Z278" s="55">
        <f t="shared" si="63"/>
        <v>2330</v>
      </c>
      <c r="AA278" s="55">
        <f t="shared" si="64"/>
        <v>0</v>
      </c>
      <c r="AB278" s="55">
        <f t="shared" si="65"/>
        <v>439.22909170210414</v>
      </c>
      <c r="AC278" s="54">
        <f t="shared" si="66"/>
        <v>0.1586106014190875</v>
      </c>
      <c r="AD278" s="56">
        <f>INDEX(Assumptions!$B$14:$B$16,MATCH($R278,Assumptions!$A$14:$A$16,0))</f>
        <v>0.12</v>
      </c>
      <c r="AE278" s="56">
        <f>INDEX(Assumptions!$C$14:$C$16,MATCH($R278,Assumptions!$A$14:$A$16,0))</f>
        <v>0.08</v>
      </c>
      <c r="AF278" s="49">
        <f t="shared" si="67"/>
        <v>0</v>
      </c>
      <c r="AG278" s="49">
        <f t="shared" si="68"/>
        <v>0</v>
      </c>
      <c r="AH278" s="55">
        <f t="shared" si="69"/>
        <v>0</v>
      </c>
    </row>
    <row r="279" spans="1:34" x14ac:dyDescent="0.2">
      <c r="A279" s="48" t="s">
        <v>499</v>
      </c>
      <c r="B279" s="48">
        <v>2</v>
      </c>
      <c r="C279" s="48" t="s">
        <v>458</v>
      </c>
      <c r="D279" s="48" t="s">
        <v>416</v>
      </c>
      <c r="E279" s="48" t="s">
        <v>349</v>
      </c>
      <c r="F279" s="48" t="s">
        <v>274</v>
      </c>
      <c r="G279" s="48" t="s">
        <v>275</v>
      </c>
      <c r="H279" s="48" t="s">
        <v>66</v>
      </c>
      <c r="I279" s="48" t="s">
        <v>138</v>
      </c>
      <c r="J279" s="49">
        <v>1</v>
      </c>
      <c r="K279" s="50">
        <v>460</v>
      </c>
      <c r="L279" s="50">
        <v>451.09</v>
      </c>
      <c r="M279" s="48" t="s">
        <v>276</v>
      </c>
      <c r="N279" s="51">
        <v>0.92</v>
      </c>
      <c r="O279" s="51">
        <v>0.91710000000000003</v>
      </c>
      <c r="P279" s="52">
        <v>383.2</v>
      </c>
      <c r="Q279" s="52">
        <v>383.2</v>
      </c>
      <c r="R279" s="53" t="str">
        <f>INDEX(SKU_Master!$D$5:$D$34,MATCH($I279,SKU_Master!$A$5:$A$34,0))</f>
        <v>Monitor</v>
      </c>
      <c r="S279" s="54">
        <f t="shared" si="56"/>
        <v>1.9369565217391305E-2</v>
      </c>
      <c r="T279" s="55">
        <f t="shared" si="57"/>
        <v>500</v>
      </c>
      <c r="U279" s="55">
        <f t="shared" si="58"/>
        <v>490.31521739130432</v>
      </c>
      <c r="V279" s="55">
        <f t="shared" si="59"/>
        <v>-9.6847826086956843</v>
      </c>
      <c r="W279" s="55">
        <f t="shared" si="60"/>
        <v>491.86566350452512</v>
      </c>
      <c r="X279" s="55">
        <f t="shared" si="61"/>
        <v>1.5504461132208007</v>
      </c>
      <c r="Y279" s="55">
        <f t="shared" si="62"/>
        <v>383.2</v>
      </c>
      <c r="Z279" s="55">
        <f t="shared" si="63"/>
        <v>383.2</v>
      </c>
      <c r="AA279" s="55">
        <f t="shared" si="64"/>
        <v>0</v>
      </c>
      <c r="AB279" s="55">
        <f t="shared" si="65"/>
        <v>108.66566350452513</v>
      </c>
      <c r="AC279" s="54">
        <f t="shared" si="66"/>
        <v>0.22092549158704472</v>
      </c>
      <c r="AD279" s="56">
        <f>INDEX(Assumptions!$B$14:$B$16,MATCH($R279,Assumptions!$A$14:$A$16,0))</f>
        <v>0.18</v>
      </c>
      <c r="AE279" s="56">
        <f>INDEX(Assumptions!$C$14:$C$16,MATCH($R279,Assumptions!$A$14:$A$16,0))</f>
        <v>0.12</v>
      </c>
      <c r="AF279" s="49">
        <f t="shared" si="67"/>
        <v>0</v>
      </c>
      <c r="AG279" s="49">
        <f t="shared" si="68"/>
        <v>0</v>
      </c>
      <c r="AH279" s="55">
        <f t="shared" si="69"/>
        <v>0</v>
      </c>
    </row>
    <row r="280" spans="1:34" x14ac:dyDescent="0.2">
      <c r="A280" s="48" t="s">
        <v>499</v>
      </c>
      <c r="B280" s="48">
        <v>3</v>
      </c>
      <c r="C280" s="48" t="s">
        <v>458</v>
      </c>
      <c r="D280" s="48" t="s">
        <v>416</v>
      </c>
      <c r="E280" s="48" t="s">
        <v>349</v>
      </c>
      <c r="F280" s="48" t="s">
        <v>274</v>
      </c>
      <c r="G280" s="48" t="s">
        <v>275</v>
      </c>
      <c r="H280" s="48" t="s">
        <v>66</v>
      </c>
      <c r="I280" s="48" t="s">
        <v>157</v>
      </c>
      <c r="J280" s="49">
        <v>1</v>
      </c>
      <c r="K280" s="50">
        <v>135</v>
      </c>
      <c r="L280" s="50">
        <v>134.22999999999999</v>
      </c>
      <c r="M280" s="48" t="s">
        <v>276</v>
      </c>
      <c r="N280" s="51">
        <v>0.92</v>
      </c>
      <c r="O280" s="51">
        <v>0.91710000000000003</v>
      </c>
      <c r="P280" s="52">
        <v>91</v>
      </c>
      <c r="Q280" s="52">
        <v>91</v>
      </c>
      <c r="R280" s="53" t="str">
        <f>INDEX(SKU_Master!$D$5:$D$34,MATCH($I280,SKU_Master!$A$5:$A$34,0))</f>
        <v>Accessory</v>
      </c>
      <c r="S280" s="54">
        <f t="shared" si="56"/>
        <v>5.7037037037037663E-3</v>
      </c>
      <c r="T280" s="55">
        <f t="shared" si="57"/>
        <v>146.7391304347826</v>
      </c>
      <c r="U280" s="55">
        <f t="shared" si="58"/>
        <v>145.90217391304347</v>
      </c>
      <c r="V280" s="55">
        <f t="shared" si="59"/>
        <v>-0.83695652173912549</v>
      </c>
      <c r="W280" s="55">
        <f t="shared" si="60"/>
        <v>146.36353723694253</v>
      </c>
      <c r="X280" s="55">
        <f t="shared" si="61"/>
        <v>0.46136332389906443</v>
      </c>
      <c r="Y280" s="55">
        <f t="shared" si="62"/>
        <v>91</v>
      </c>
      <c r="Z280" s="55">
        <f t="shared" si="63"/>
        <v>91</v>
      </c>
      <c r="AA280" s="55">
        <f t="shared" si="64"/>
        <v>0</v>
      </c>
      <c r="AB280" s="55">
        <f t="shared" si="65"/>
        <v>55.363537236942534</v>
      </c>
      <c r="AC280" s="54">
        <f t="shared" si="66"/>
        <v>0.37826044848394547</v>
      </c>
      <c r="AD280" s="56">
        <f>INDEX(Assumptions!$B$14:$B$16,MATCH($R280,Assumptions!$A$14:$A$16,0))</f>
        <v>0.32</v>
      </c>
      <c r="AE280" s="56">
        <f>INDEX(Assumptions!$C$14:$C$16,MATCH($R280,Assumptions!$A$14:$A$16,0))</f>
        <v>0.22</v>
      </c>
      <c r="AF280" s="49">
        <f t="shared" si="67"/>
        <v>0</v>
      </c>
      <c r="AG280" s="49">
        <f t="shared" si="68"/>
        <v>0</v>
      </c>
      <c r="AH280" s="55">
        <f t="shared" si="69"/>
        <v>0</v>
      </c>
    </row>
    <row r="281" spans="1:34" x14ac:dyDescent="0.2">
      <c r="A281" s="48" t="s">
        <v>500</v>
      </c>
      <c r="B281" s="48">
        <v>1</v>
      </c>
      <c r="C281" s="48" t="s">
        <v>426</v>
      </c>
      <c r="D281" s="48" t="s">
        <v>416</v>
      </c>
      <c r="E281" s="48" t="s">
        <v>362</v>
      </c>
      <c r="F281" s="48" t="s">
        <v>280</v>
      </c>
      <c r="G281" s="48" t="s">
        <v>275</v>
      </c>
      <c r="H281" s="48" t="s">
        <v>62</v>
      </c>
      <c r="I281" s="48" t="s">
        <v>113</v>
      </c>
      <c r="J281" s="49">
        <v>29</v>
      </c>
      <c r="K281" s="50">
        <v>1740</v>
      </c>
      <c r="L281" s="50">
        <v>1672.05</v>
      </c>
      <c r="M281" s="48" t="s">
        <v>276</v>
      </c>
      <c r="N281" s="51">
        <v>1</v>
      </c>
      <c r="O281" s="51">
        <v>1</v>
      </c>
      <c r="P281" s="52">
        <v>1484.8</v>
      </c>
      <c r="Q281" s="52">
        <v>1484.8</v>
      </c>
      <c r="R281" s="53" t="str">
        <f>INDEX(SKU_Master!$D$5:$D$34,MATCH($I281,SKU_Master!$A$5:$A$34,0))</f>
        <v>Laptop</v>
      </c>
      <c r="S281" s="54">
        <f t="shared" si="56"/>
        <v>3.905172413793101E-2</v>
      </c>
      <c r="T281" s="55">
        <f t="shared" si="57"/>
        <v>50460</v>
      </c>
      <c r="U281" s="55">
        <f t="shared" si="58"/>
        <v>48489.45</v>
      </c>
      <c r="V281" s="55">
        <f t="shared" si="59"/>
        <v>-1970.5500000000029</v>
      </c>
      <c r="W281" s="55">
        <f t="shared" si="60"/>
        <v>48489.45</v>
      </c>
      <c r="X281" s="55">
        <f t="shared" si="61"/>
        <v>0</v>
      </c>
      <c r="Y281" s="55">
        <f t="shared" si="62"/>
        <v>43059.199999999997</v>
      </c>
      <c r="Z281" s="55">
        <f t="shared" si="63"/>
        <v>43059.199999999997</v>
      </c>
      <c r="AA281" s="55">
        <f t="shared" si="64"/>
        <v>0</v>
      </c>
      <c r="AB281" s="55">
        <f t="shared" si="65"/>
        <v>5430.25</v>
      </c>
      <c r="AC281" s="54">
        <f t="shared" si="66"/>
        <v>0.11198827786250412</v>
      </c>
      <c r="AD281" s="56">
        <f>INDEX(Assumptions!$B$14:$B$16,MATCH($R281,Assumptions!$A$14:$A$16,0))</f>
        <v>0.12</v>
      </c>
      <c r="AE281" s="56">
        <f>INDEX(Assumptions!$C$14:$C$16,MATCH($R281,Assumptions!$A$14:$A$16,0))</f>
        <v>0.08</v>
      </c>
      <c r="AF281" s="49">
        <f t="shared" si="67"/>
        <v>0</v>
      </c>
      <c r="AG281" s="49">
        <f t="shared" si="68"/>
        <v>0</v>
      </c>
      <c r="AH281" s="55">
        <f t="shared" si="69"/>
        <v>388.48399999999947</v>
      </c>
    </row>
    <row r="282" spans="1:34" x14ac:dyDescent="0.2">
      <c r="A282" s="48" t="s">
        <v>500</v>
      </c>
      <c r="B282" s="48">
        <v>2</v>
      </c>
      <c r="C282" s="48" t="s">
        <v>426</v>
      </c>
      <c r="D282" s="48" t="s">
        <v>416</v>
      </c>
      <c r="E282" s="48" t="s">
        <v>362</v>
      </c>
      <c r="F282" s="48" t="s">
        <v>280</v>
      </c>
      <c r="G282" s="48" t="s">
        <v>275</v>
      </c>
      <c r="H282" s="48" t="s">
        <v>62</v>
      </c>
      <c r="I282" s="48" t="s">
        <v>146</v>
      </c>
      <c r="J282" s="49">
        <v>31</v>
      </c>
      <c r="K282" s="50">
        <v>235</v>
      </c>
      <c r="L282" s="50">
        <v>224.89</v>
      </c>
      <c r="M282" s="48" t="s">
        <v>276</v>
      </c>
      <c r="N282" s="51">
        <v>1</v>
      </c>
      <c r="O282" s="51">
        <v>1</v>
      </c>
      <c r="P282" s="52">
        <v>181.8</v>
      </c>
      <c r="Q282" s="52">
        <v>181.8</v>
      </c>
      <c r="R282" s="53" t="str">
        <f>INDEX(SKU_Master!$D$5:$D$34,MATCH($I282,SKU_Master!$A$5:$A$34,0))</f>
        <v>Monitor</v>
      </c>
      <c r="S282" s="54">
        <f t="shared" si="56"/>
        <v>4.3021276595744729E-2</v>
      </c>
      <c r="T282" s="55">
        <f t="shared" si="57"/>
        <v>7285</v>
      </c>
      <c r="U282" s="55">
        <f t="shared" si="58"/>
        <v>6971.5899999999992</v>
      </c>
      <c r="V282" s="55">
        <f t="shared" si="59"/>
        <v>-313.41000000000076</v>
      </c>
      <c r="W282" s="55">
        <f t="shared" si="60"/>
        <v>6971.5899999999992</v>
      </c>
      <c r="X282" s="55">
        <f t="shared" si="61"/>
        <v>0</v>
      </c>
      <c r="Y282" s="55">
        <f t="shared" si="62"/>
        <v>5635.8</v>
      </c>
      <c r="Z282" s="55">
        <f t="shared" si="63"/>
        <v>5635.8</v>
      </c>
      <c r="AA282" s="55">
        <f t="shared" si="64"/>
        <v>0</v>
      </c>
      <c r="AB282" s="55">
        <f t="shared" si="65"/>
        <v>1335.7899999999991</v>
      </c>
      <c r="AC282" s="54">
        <f t="shared" si="66"/>
        <v>0.19160478456134097</v>
      </c>
      <c r="AD282" s="56">
        <f>INDEX(Assumptions!$B$14:$B$16,MATCH($R282,Assumptions!$A$14:$A$16,0))</f>
        <v>0.18</v>
      </c>
      <c r="AE282" s="56">
        <f>INDEX(Assumptions!$C$14:$C$16,MATCH($R282,Assumptions!$A$14:$A$16,0))</f>
        <v>0.12</v>
      </c>
      <c r="AF282" s="49">
        <f t="shared" si="67"/>
        <v>0</v>
      </c>
      <c r="AG282" s="49">
        <f t="shared" si="68"/>
        <v>0</v>
      </c>
      <c r="AH282" s="55">
        <f t="shared" si="69"/>
        <v>0</v>
      </c>
    </row>
    <row r="283" spans="1:34" x14ac:dyDescent="0.2">
      <c r="A283" s="48" t="s">
        <v>501</v>
      </c>
      <c r="B283" s="48">
        <v>1</v>
      </c>
      <c r="C283" s="48" t="s">
        <v>415</v>
      </c>
      <c r="D283" s="48" t="s">
        <v>416</v>
      </c>
      <c r="E283" s="48" t="s">
        <v>343</v>
      </c>
      <c r="F283" s="48" t="s">
        <v>280</v>
      </c>
      <c r="G283" s="48" t="s">
        <v>281</v>
      </c>
      <c r="H283" s="48" t="s">
        <v>62</v>
      </c>
      <c r="I283" s="48" t="s">
        <v>121</v>
      </c>
      <c r="J283" s="49">
        <v>14</v>
      </c>
      <c r="K283" s="50">
        <v>920</v>
      </c>
      <c r="L283" s="50">
        <v>879.51</v>
      </c>
      <c r="M283" s="48" t="s">
        <v>276</v>
      </c>
      <c r="N283" s="51">
        <v>1</v>
      </c>
      <c r="O283" s="51">
        <v>1</v>
      </c>
      <c r="P283" s="52">
        <v>782.4</v>
      </c>
      <c r="Q283" s="52">
        <v>782.4</v>
      </c>
      <c r="R283" s="53" t="str">
        <f>INDEX(SKU_Master!$D$5:$D$34,MATCH($I283,SKU_Master!$A$5:$A$34,0))</f>
        <v>Laptop</v>
      </c>
      <c r="S283" s="54">
        <f t="shared" si="56"/>
        <v>4.4010869565217381E-2</v>
      </c>
      <c r="T283" s="55">
        <f t="shared" si="57"/>
        <v>12880</v>
      </c>
      <c r="U283" s="55">
        <f t="shared" si="58"/>
        <v>12313.14</v>
      </c>
      <c r="V283" s="55">
        <f t="shared" si="59"/>
        <v>-566.86000000000058</v>
      </c>
      <c r="W283" s="55">
        <f t="shared" si="60"/>
        <v>12313.14</v>
      </c>
      <c r="X283" s="55">
        <f t="shared" si="61"/>
        <v>0</v>
      </c>
      <c r="Y283" s="55">
        <f t="shared" si="62"/>
        <v>10953.6</v>
      </c>
      <c r="Z283" s="55">
        <f t="shared" si="63"/>
        <v>10953.6</v>
      </c>
      <c r="AA283" s="55">
        <f t="shared" si="64"/>
        <v>0</v>
      </c>
      <c r="AB283" s="55">
        <f t="shared" si="65"/>
        <v>1359.5399999999991</v>
      </c>
      <c r="AC283" s="54">
        <f t="shared" si="66"/>
        <v>0.11041375311252849</v>
      </c>
      <c r="AD283" s="56">
        <f>INDEX(Assumptions!$B$14:$B$16,MATCH($R283,Assumptions!$A$14:$A$16,0))</f>
        <v>0.12</v>
      </c>
      <c r="AE283" s="56">
        <f>INDEX(Assumptions!$C$14:$C$16,MATCH($R283,Assumptions!$A$14:$A$16,0))</f>
        <v>0.08</v>
      </c>
      <c r="AF283" s="49">
        <f t="shared" si="67"/>
        <v>0</v>
      </c>
      <c r="AG283" s="49">
        <f t="shared" si="68"/>
        <v>0</v>
      </c>
      <c r="AH283" s="55">
        <f t="shared" si="69"/>
        <v>118.03680000000077</v>
      </c>
    </row>
    <row r="284" spans="1:34" x14ac:dyDescent="0.2">
      <c r="A284" s="48" t="s">
        <v>501</v>
      </c>
      <c r="B284" s="48">
        <v>2</v>
      </c>
      <c r="C284" s="48" t="s">
        <v>415</v>
      </c>
      <c r="D284" s="48" t="s">
        <v>416</v>
      </c>
      <c r="E284" s="48" t="s">
        <v>343</v>
      </c>
      <c r="F284" s="48" t="s">
        <v>280</v>
      </c>
      <c r="G284" s="48" t="s">
        <v>281</v>
      </c>
      <c r="H284" s="48" t="s">
        <v>62</v>
      </c>
      <c r="I284" s="48" t="s">
        <v>166</v>
      </c>
      <c r="J284" s="49">
        <v>11</v>
      </c>
      <c r="K284" s="50">
        <v>265</v>
      </c>
      <c r="L284" s="50">
        <v>258.12</v>
      </c>
      <c r="M284" s="48" t="s">
        <v>276</v>
      </c>
      <c r="N284" s="51">
        <v>1</v>
      </c>
      <c r="O284" s="51">
        <v>1</v>
      </c>
      <c r="P284" s="52">
        <v>169.35</v>
      </c>
      <c r="Q284" s="52">
        <v>169.35</v>
      </c>
      <c r="R284" s="53" t="str">
        <f>INDEX(SKU_Master!$D$5:$D$34,MATCH($I284,SKU_Master!$A$5:$A$34,0))</f>
        <v>Accessory</v>
      </c>
      <c r="S284" s="54">
        <f t="shared" si="56"/>
        <v>2.5962264150943382E-2</v>
      </c>
      <c r="T284" s="55">
        <f t="shared" si="57"/>
        <v>2915</v>
      </c>
      <c r="U284" s="55">
        <f t="shared" si="58"/>
        <v>2839.32</v>
      </c>
      <c r="V284" s="55">
        <f t="shared" si="59"/>
        <v>-75.679999999999836</v>
      </c>
      <c r="W284" s="55">
        <f t="shared" si="60"/>
        <v>2839.32</v>
      </c>
      <c r="X284" s="55">
        <f t="shared" si="61"/>
        <v>0</v>
      </c>
      <c r="Y284" s="55">
        <f t="shared" si="62"/>
        <v>1862.85</v>
      </c>
      <c r="Z284" s="55">
        <f t="shared" si="63"/>
        <v>1862.85</v>
      </c>
      <c r="AA284" s="55">
        <f t="shared" si="64"/>
        <v>0</v>
      </c>
      <c r="AB284" s="55">
        <f t="shared" si="65"/>
        <v>976.47000000000025</v>
      </c>
      <c r="AC284" s="54">
        <f t="shared" si="66"/>
        <v>0.34390980939098104</v>
      </c>
      <c r="AD284" s="56">
        <f>INDEX(Assumptions!$B$14:$B$16,MATCH($R284,Assumptions!$A$14:$A$16,0))</f>
        <v>0.32</v>
      </c>
      <c r="AE284" s="56">
        <f>INDEX(Assumptions!$C$14:$C$16,MATCH($R284,Assumptions!$A$14:$A$16,0))</f>
        <v>0.22</v>
      </c>
      <c r="AF284" s="49">
        <f t="shared" si="67"/>
        <v>0</v>
      </c>
      <c r="AG284" s="49">
        <f t="shared" si="68"/>
        <v>0</v>
      </c>
      <c r="AH284" s="55">
        <f t="shared" si="69"/>
        <v>0</v>
      </c>
    </row>
    <row r="285" spans="1:34" x14ac:dyDescent="0.2">
      <c r="A285" s="48" t="s">
        <v>502</v>
      </c>
      <c r="B285" s="48">
        <v>1</v>
      </c>
      <c r="C285" s="48" t="s">
        <v>458</v>
      </c>
      <c r="D285" s="48" t="s">
        <v>416</v>
      </c>
      <c r="E285" s="48" t="s">
        <v>355</v>
      </c>
      <c r="F285" s="48" t="s">
        <v>280</v>
      </c>
      <c r="G285" s="48" t="s">
        <v>302</v>
      </c>
      <c r="H285" s="48" t="s">
        <v>62</v>
      </c>
      <c r="I285" s="48" t="s">
        <v>93</v>
      </c>
      <c r="J285" s="49">
        <v>14</v>
      </c>
      <c r="K285" s="50">
        <v>1390</v>
      </c>
      <c r="L285" s="50">
        <v>1372.33</v>
      </c>
      <c r="M285" s="48" t="s">
        <v>276</v>
      </c>
      <c r="N285" s="51">
        <v>1</v>
      </c>
      <c r="O285" s="51">
        <v>1</v>
      </c>
      <c r="P285" s="52">
        <v>1186.2</v>
      </c>
      <c r="Q285" s="52">
        <v>1186.2</v>
      </c>
      <c r="R285" s="53" t="str">
        <f>INDEX(SKU_Master!$D$5:$D$34,MATCH($I285,SKU_Master!$A$5:$A$34,0))</f>
        <v>Laptop</v>
      </c>
      <c r="S285" s="54">
        <f t="shared" si="56"/>
        <v>1.2712230215827347E-2</v>
      </c>
      <c r="T285" s="55">
        <f t="shared" si="57"/>
        <v>19460</v>
      </c>
      <c r="U285" s="55">
        <f t="shared" si="58"/>
        <v>19212.62</v>
      </c>
      <c r="V285" s="55">
        <f t="shared" si="59"/>
        <v>-247.38000000000102</v>
      </c>
      <c r="W285" s="55">
        <f t="shared" si="60"/>
        <v>19212.62</v>
      </c>
      <c r="X285" s="55">
        <f t="shared" si="61"/>
        <v>0</v>
      </c>
      <c r="Y285" s="55">
        <f t="shared" si="62"/>
        <v>16606.8</v>
      </c>
      <c r="Z285" s="55">
        <f t="shared" si="63"/>
        <v>16606.8</v>
      </c>
      <c r="AA285" s="55">
        <f t="shared" si="64"/>
        <v>0</v>
      </c>
      <c r="AB285" s="55">
        <f t="shared" si="65"/>
        <v>2605.8199999999997</v>
      </c>
      <c r="AC285" s="54">
        <f t="shared" si="66"/>
        <v>0.13563064277542572</v>
      </c>
      <c r="AD285" s="56">
        <f>INDEX(Assumptions!$B$14:$B$16,MATCH($R285,Assumptions!$A$14:$A$16,0))</f>
        <v>0.12</v>
      </c>
      <c r="AE285" s="56">
        <f>INDEX(Assumptions!$C$14:$C$16,MATCH($R285,Assumptions!$A$14:$A$16,0))</f>
        <v>0.08</v>
      </c>
      <c r="AF285" s="49">
        <f t="shared" si="67"/>
        <v>0</v>
      </c>
      <c r="AG285" s="49">
        <f t="shared" si="68"/>
        <v>0</v>
      </c>
      <c r="AH285" s="55">
        <f t="shared" si="69"/>
        <v>0</v>
      </c>
    </row>
    <row r="286" spans="1:34" x14ac:dyDescent="0.2">
      <c r="A286" s="48" t="s">
        <v>502</v>
      </c>
      <c r="B286" s="48">
        <v>2</v>
      </c>
      <c r="C286" s="48" t="s">
        <v>458</v>
      </c>
      <c r="D286" s="48" t="s">
        <v>416</v>
      </c>
      <c r="E286" s="48" t="s">
        <v>355</v>
      </c>
      <c r="F286" s="48" t="s">
        <v>280</v>
      </c>
      <c r="G286" s="48" t="s">
        <v>302</v>
      </c>
      <c r="H286" s="48" t="s">
        <v>62</v>
      </c>
      <c r="I286" s="48" t="s">
        <v>138</v>
      </c>
      <c r="J286" s="49">
        <v>16</v>
      </c>
      <c r="K286" s="50">
        <v>455</v>
      </c>
      <c r="L286" s="50">
        <v>429.45</v>
      </c>
      <c r="M286" s="48" t="s">
        <v>276</v>
      </c>
      <c r="N286" s="51">
        <v>1</v>
      </c>
      <c r="O286" s="51">
        <v>1</v>
      </c>
      <c r="P286" s="52">
        <v>358.2</v>
      </c>
      <c r="Q286" s="52">
        <v>358.2</v>
      </c>
      <c r="R286" s="53" t="str">
        <f>INDEX(SKU_Master!$D$5:$D$34,MATCH($I286,SKU_Master!$A$5:$A$34,0))</f>
        <v>Monitor</v>
      </c>
      <c r="S286" s="54">
        <f t="shared" si="56"/>
        <v>5.6153846153846221E-2</v>
      </c>
      <c r="T286" s="55">
        <f t="shared" si="57"/>
        <v>7280</v>
      </c>
      <c r="U286" s="55">
        <f t="shared" si="58"/>
        <v>6871.2</v>
      </c>
      <c r="V286" s="55">
        <f t="shared" si="59"/>
        <v>-408.80000000000018</v>
      </c>
      <c r="W286" s="55">
        <f t="shared" si="60"/>
        <v>6871.2</v>
      </c>
      <c r="X286" s="55">
        <f t="shared" si="61"/>
        <v>0</v>
      </c>
      <c r="Y286" s="55">
        <f t="shared" si="62"/>
        <v>5731.2</v>
      </c>
      <c r="Z286" s="55">
        <f t="shared" si="63"/>
        <v>5731.2</v>
      </c>
      <c r="AA286" s="55">
        <f t="shared" si="64"/>
        <v>0</v>
      </c>
      <c r="AB286" s="55">
        <f t="shared" si="65"/>
        <v>1140</v>
      </c>
      <c r="AC286" s="54">
        <f t="shared" si="66"/>
        <v>0.16590988473629062</v>
      </c>
      <c r="AD286" s="56">
        <f>INDEX(Assumptions!$B$14:$B$16,MATCH($R286,Assumptions!$A$14:$A$16,0))</f>
        <v>0.18</v>
      </c>
      <c r="AE286" s="56">
        <f>INDEX(Assumptions!$C$14:$C$16,MATCH($R286,Assumptions!$A$14:$A$16,0))</f>
        <v>0.12</v>
      </c>
      <c r="AF286" s="49">
        <f t="shared" si="67"/>
        <v>0</v>
      </c>
      <c r="AG286" s="49">
        <f t="shared" si="68"/>
        <v>0</v>
      </c>
      <c r="AH286" s="55">
        <f t="shared" si="69"/>
        <v>96.816000000000031</v>
      </c>
    </row>
    <row r="287" spans="1:34" x14ac:dyDescent="0.2">
      <c r="A287" s="48" t="s">
        <v>502</v>
      </c>
      <c r="B287" s="48">
        <v>3</v>
      </c>
      <c r="C287" s="48" t="s">
        <v>458</v>
      </c>
      <c r="D287" s="48" t="s">
        <v>416</v>
      </c>
      <c r="E287" s="48" t="s">
        <v>355</v>
      </c>
      <c r="F287" s="48" t="s">
        <v>280</v>
      </c>
      <c r="G287" s="48" t="s">
        <v>302</v>
      </c>
      <c r="H287" s="48" t="s">
        <v>62</v>
      </c>
      <c r="I287" s="48" t="s">
        <v>151</v>
      </c>
      <c r="J287" s="49">
        <v>16</v>
      </c>
      <c r="K287" s="50">
        <v>335</v>
      </c>
      <c r="L287" s="50">
        <v>312.98</v>
      </c>
      <c r="M287" s="48" t="s">
        <v>276</v>
      </c>
      <c r="N287" s="51">
        <v>1</v>
      </c>
      <c r="O287" s="51">
        <v>1</v>
      </c>
      <c r="P287" s="52">
        <v>216.7</v>
      </c>
      <c r="Q287" s="52">
        <v>216.7</v>
      </c>
      <c r="R287" s="53" t="str">
        <f>INDEX(SKU_Master!$D$5:$D$34,MATCH($I287,SKU_Master!$A$5:$A$34,0))</f>
        <v>Accessory</v>
      </c>
      <c r="S287" s="54">
        <f t="shared" si="56"/>
        <v>6.5731343283581989E-2</v>
      </c>
      <c r="T287" s="55">
        <f t="shared" si="57"/>
        <v>5360</v>
      </c>
      <c r="U287" s="55">
        <f t="shared" si="58"/>
        <v>5007.68</v>
      </c>
      <c r="V287" s="55">
        <f t="shared" si="59"/>
        <v>-352.31999999999971</v>
      </c>
      <c r="W287" s="55">
        <f t="shared" si="60"/>
        <v>5007.68</v>
      </c>
      <c r="X287" s="55">
        <f t="shared" si="61"/>
        <v>0</v>
      </c>
      <c r="Y287" s="55">
        <f t="shared" si="62"/>
        <v>3467.2</v>
      </c>
      <c r="Z287" s="55">
        <f t="shared" si="63"/>
        <v>3467.2</v>
      </c>
      <c r="AA287" s="55">
        <f t="shared" si="64"/>
        <v>0</v>
      </c>
      <c r="AB287" s="55">
        <f t="shared" si="65"/>
        <v>1540.4800000000005</v>
      </c>
      <c r="AC287" s="54">
        <f t="shared" si="66"/>
        <v>0.30762349031887032</v>
      </c>
      <c r="AD287" s="56">
        <f>INDEX(Assumptions!$B$14:$B$16,MATCH($R287,Assumptions!$A$14:$A$16,0))</f>
        <v>0.32</v>
      </c>
      <c r="AE287" s="56">
        <f>INDEX(Assumptions!$C$14:$C$16,MATCH($R287,Assumptions!$A$14:$A$16,0))</f>
        <v>0.22</v>
      </c>
      <c r="AF287" s="49">
        <f t="shared" si="67"/>
        <v>0</v>
      </c>
      <c r="AG287" s="49">
        <f t="shared" si="68"/>
        <v>0</v>
      </c>
      <c r="AH287" s="55">
        <f t="shared" si="69"/>
        <v>61.977599999999711</v>
      </c>
    </row>
    <row r="288" spans="1:34" x14ac:dyDescent="0.2">
      <c r="A288" s="48" t="s">
        <v>503</v>
      </c>
      <c r="B288" s="48">
        <v>1</v>
      </c>
      <c r="C288" s="48" t="s">
        <v>485</v>
      </c>
      <c r="D288" s="48" t="s">
        <v>416</v>
      </c>
      <c r="E288" s="48" t="s">
        <v>305</v>
      </c>
      <c r="F288" s="48" t="s">
        <v>274</v>
      </c>
      <c r="G288" s="48" t="s">
        <v>306</v>
      </c>
      <c r="H288" s="48" t="s">
        <v>62</v>
      </c>
      <c r="I288" s="48" t="s">
        <v>93</v>
      </c>
      <c r="J288" s="49">
        <v>4</v>
      </c>
      <c r="K288" s="50">
        <v>1390</v>
      </c>
      <c r="L288" s="50">
        <v>1384.58</v>
      </c>
      <c r="M288" s="48" t="s">
        <v>276</v>
      </c>
      <c r="N288" s="51">
        <v>1</v>
      </c>
      <c r="O288" s="51">
        <v>1</v>
      </c>
      <c r="P288" s="52">
        <v>1186.2</v>
      </c>
      <c r="Q288" s="52">
        <v>1186.2</v>
      </c>
      <c r="R288" s="53" t="str">
        <f>INDEX(SKU_Master!$D$5:$D$34,MATCH($I288,SKU_Master!$A$5:$A$34,0))</f>
        <v>Laptop</v>
      </c>
      <c r="S288" s="54">
        <f t="shared" si="56"/>
        <v>3.8992805755395654E-3</v>
      </c>
      <c r="T288" s="55">
        <f t="shared" si="57"/>
        <v>5560</v>
      </c>
      <c r="U288" s="55">
        <f t="shared" si="58"/>
        <v>5538.32</v>
      </c>
      <c r="V288" s="55">
        <f t="shared" si="59"/>
        <v>-21.680000000000291</v>
      </c>
      <c r="W288" s="55">
        <f t="shared" si="60"/>
        <v>5538.32</v>
      </c>
      <c r="X288" s="55">
        <f t="shared" si="61"/>
        <v>0</v>
      </c>
      <c r="Y288" s="55">
        <f t="shared" si="62"/>
        <v>4744.8</v>
      </c>
      <c r="Z288" s="55">
        <f t="shared" si="63"/>
        <v>4744.8</v>
      </c>
      <c r="AA288" s="55">
        <f t="shared" si="64"/>
        <v>0</v>
      </c>
      <c r="AB288" s="55">
        <f t="shared" si="65"/>
        <v>793.51999999999953</v>
      </c>
      <c r="AC288" s="54">
        <f t="shared" si="66"/>
        <v>0.14327810599604204</v>
      </c>
      <c r="AD288" s="56">
        <f>INDEX(Assumptions!$B$14:$B$16,MATCH($R288,Assumptions!$A$14:$A$16,0))</f>
        <v>0.12</v>
      </c>
      <c r="AE288" s="56">
        <f>INDEX(Assumptions!$C$14:$C$16,MATCH($R288,Assumptions!$A$14:$A$16,0))</f>
        <v>0.08</v>
      </c>
      <c r="AF288" s="49">
        <f t="shared" si="67"/>
        <v>0</v>
      </c>
      <c r="AG288" s="49">
        <f t="shared" si="68"/>
        <v>0</v>
      </c>
      <c r="AH288" s="55">
        <f t="shared" si="69"/>
        <v>0</v>
      </c>
    </row>
    <row r="289" spans="1:34" x14ac:dyDescent="0.2">
      <c r="A289" s="48" t="s">
        <v>503</v>
      </c>
      <c r="B289" s="48">
        <v>2</v>
      </c>
      <c r="C289" s="48" t="s">
        <v>485</v>
      </c>
      <c r="D289" s="48" t="s">
        <v>416</v>
      </c>
      <c r="E289" s="48" t="s">
        <v>305</v>
      </c>
      <c r="F289" s="48" t="s">
        <v>274</v>
      </c>
      <c r="G289" s="48" t="s">
        <v>306</v>
      </c>
      <c r="H289" s="48" t="s">
        <v>62</v>
      </c>
      <c r="I289" s="48" t="s">
        <v>138</v>
      </c>
      <c r="J289" s="49">
        <v>4</v>
      </c>
      <c r="K289" s="50">
        <v>455</v>
      </c>
      <c r="L289" s="50">
        <v>450.11</v>
      </c>
      <c r="M289" s="48" t="s">
        <v>276</v>
      </c>
      <c r="N289" s="51">
        <v>1</v>
      </c>
      <c r="O289" s="51">
        <v>1</v>
      </c>
      <c r="P289" s="52">
        <v>358.2</v>
      </c>
      <c r="Q289" s="52">
        <v>358.2</v>
      </c>
      <c r="R289" s="53" t="str">
        <f>INDEX(SKU_Master!$D$5:$D$34,MATCH($I289,SKU_Master!$A$5:$A$34,0))</f>
        <v>Monitor</v>
      </c>
      <c r="S289" s="54">
        <f t="shared" si="56"/>
        <v>1.0747252747252745E-2</v>
      </c>
      <c r="T289" s="55">
        <f t="shared" si="57"/>
        <v>1820</v>
      </c>
      <c r="U289" s="55">
        <f t="shared" si="58"/>
        <v>1800.44</v>
      </c>
      <c r="V289" s="55">
        <f t="shared" si="59"/>
        <v>-19.559999999999945</v>
      </c>
      <c r="W289" s="55">
        <f t="shared" si="60"/>
        <v>1800.44</v>
      </c>
      <c r="X289" s="55">
        <f t="shared" si="61"/>
        <v>0</v>
      </c>
      <c r="Y289" s="55">
        <f t="shared" si="62"/>
        <v>1432.8</v>
      </c>
      <c r="Z289" s="55">
        <f t="shared" si="63"/>
        <v>1432.8</v>
      </c>
      <c r="AA289" s="55">
        <f t="shared" si="64"/>
        <v>0</v>
      </c>
      <c r="AB289" s="55">
        <f t="shared" si="65"/>
        <v>367.6400000000001</v>
      </c>
      <c r="AC289" s="54">
        <f t="shared" si="66"/>
        <v>0.20419453022594483</v>
      </c>
      <c r="AD289" s="56">
        <f>INDEX(Assumptions!$B$14:$B$16,MATCH($R289,Assumptions!$A$14:$A$16,0))</f>
        <v>0.18</v>
      </c>
      <c r="AE289" s="56">
        <f>INDEX(Assumptions!$C$14:$C$16,MATCH($R289,Assumptions!$A$14:$A$16,0))</f>
        <v>0.12</v>
      </c>
      <c r="AF289" s="49">
        <f t="shared" si="67"/>
        <v>0</v>
      </c>
      <c r="AG289" s="49">
        <f t="shared" si="68"/>
        <v>0</v>
      </c>
      <c r="AH289" s="55">
        <f t="shared" si="69"/>
        <v>0</v>
      </c>
    </row>
    <row r="290" spans="1:34" x14ac:dyDescent="0.2">
      <c r="A290" s="48" t="s">
        <v>503</v>
      </c>
      <c r="B290" s="48">
        <v>3</v>
      </c>
      <c r="C290" s="48" t="s">
        <v>485</v>
      </c>
      <c r="D290" s="48" t="s">
        <v>416</v>
      </c>
      <c r="E290" s="48" t="s">
        <v>305</v>
      </c>
      <c r="F290" s="48" t="s">
        <v>274</v>
      </c>
      <c r="G290" s="48" t="s">
        <v>306</v>
      </c>
      <c r="H290" s="48" t="s">
        <v>62</v>
      </c>
      <c r="I290" s="48" t="s">
        <v>164</v>
      </c>
      <c r="J290" s="49">
        <v>2</v>
      </c>
      <c r="K290" s="50">
        <v>190</v>
      </c>
      <c r="L290" s="50">
        <v>186.96</v>
      </c>
      <c r="M290" s="48" t="s">
        <v>276</v>
      </c>
      <c r="N290" s="51">
        <v>1</v>
      </c>
      <c r="O290" s="51">
        <v>1</v>
      </c>
      <c r="P290" s="52">
        <v>121</v>
      </c>
      <c r="Q290" s="52">
        <v>121</v>
      </c>
      <c r="R290" s="53" t="str">
        <f>INDEX(SKU_Master!$D$5:$D$34,MATCH($I290,SKU_Master!$A$5:$A$34,0))</f>
        <v>Accessory</v>
      </c>
      <c r="S290" s="54">
        <f t="shared" si="56"/>
        <v>1.5999999999999903E-2</v>
      </c>
      <c r="T290" s="55">
        <f t="shared" si="57"/>
        <v>380</v>
      </c>
      <c r="U290" s="55">
        <f t="shared" si="58"/>
        <v>373.92</v>
      </c>
      <c r="V290" s="55">
        <f t="shared" si="59"/>
        <v>-6.0799999999999841</v>
      </c>
      <c r="W290" s="55">
        <f t="shared" si="60"/>
        <v>373.92</v>
      </c>
      <c r="X290" s="55">
        <f t="shared" si="61"/>
        <v>0</v>
      </c>
      <c r="Y290" s="55">
        <f t="shared" si="62"/>
        <v>242</v>
      </c>
      <c r="Z290" s="55">
        <f t="shared" si="63"/>
        <v>242</v>
      </c>
      <c r="AA290" s="55">
        <f t="shared" si="64"/>
        <v>0</v>
      </c>
      <c r="AB290" s="55">
        <f t="shared" si="65"/>
        <v>131.92000000000002</v>
      </c>
      <c r="AC290" s="54">
        <f t="shared" si="66"/>
        <v>0.35280273855370137</v>
      </c>
      <c r="AD290" s="56">
        <f>INDEX(Assumptions!$B$14:$B$16,MATCH($R290,Assumptions!$A$14:$A$16,0))</f>
        <v>0.32</v>
      </c>
      <c r="AE290" s="56">
        <f>INDEX(Assumptions!$C$14:$C$16,MATCH($R290,Assumptions!$A$14:$A$16,0))</f>
        <v>0.22</v>
      </c>
      <c r="AF290" s="49">
        <f t="shared" si="67"/>
        <v>0</v>
      </c>
      <c r="AG290" s="49">
        <f t="shared" si="68"/>
        <v>0</v>
      </c>
      <c r="AH290" s="55">
        <f t="shared" si="69"/>
        <v>0</v>
      </c>
    </row>
    <row r="291" spans="1:34" x14ac:dyDescent="0.2">
      <c r="A291" s="48" t="s">
        <v>504</v>
      </c>
      <c r="B291" s="48">
        <v>1</v>
      </c>
      <c r="C291" s="48" t="s">
        <v>458</v>
      </c>
      <c r="D291" s="48" t="s">
        <v>416</v>
      </c>
      <c r="E291" s="48" t="s">
        <v>293</v>
      </c>
      <c r="F291" s="48" t="s">
        <v>274</v>
      </c>
      <c r="G291" s="48" t="s">
        <v>275</v>
      </c>
      <c r="H291" s="48" t="s">
        <v>66</v>
      </c>
      <c r="I291" s="48" t="s">
        <v>103</v>
      </c>
      <c r="J291" s="49">
        <v>6</v>
      </c>
      <c r="K291" s="50">
        <v>1090</v>
      </c>
      <c r="L291" s="50">
        <v>1088.03</v>
      </c>
      <c r="M291" s="48" t="s">
        <v>276</v>
      </c>
      <c r="N291" s="51">
        <v>0.92</v>
      </c>
      <c r="O291" s="51">
        <v>0.91710000000000003</v>
      </c>
      <c r="P291" s="52">
        <v>988.6</v>
      </c>
      <c r="Q291" s="52">
        <v>988.6</v>
      </c>
      <c r="R291" s="53" t="str">
        <f>INDEX(SKU_Master!$D$5:$D$34,MATCH($I291,SKU_Master!$A$5:$A$34,0))</f>
        <v>Laptop</v>
      </c>
      <c r="S291" s="54">
        <f t="shared" si="56"/>
        <v>1.8073394495412565E-3</v>
      </c>
      <c r="T291" s="55">
        <f t="shared" si="57"/>
        <v>7108.695652173913</v>
      </c>
      <c r="U291" s="55">
        <f t="shared" si="58"/>
        <v>7095.847826086957</v>
      </c>
      <c r="V291" s="55">
        <f t="shared" si="59"/>
        <v>-12.847826086956047</v>
      </c>
      <c r="W291" s="55">
        <f t="shared" si="60"/>
        <v>7118.2859012103372</v>
      </c>
      <c r="X291" s="55">
        <f t="shared" si="61"/>
        <v>22.438075123380258</v>
      </c>
      <c r="Y291" s="55">
        <f t="shared" si="62"/>
        <v>5931.6</v>
      </c>
      <c r="Z291" s="55">
        <f t="shared" si="63"/>
        <v>5931.6</v>
      </c>
      <c r="AA291" s="55">
        <f t="shared" si="64"/>
        <v>0</v>
      </c>
      <c r="AB291" s="55">
        <f t="shared" si="65"/>
        <v>1186.6859012103369</v>
      </c>
      <c r="AC291" s="54">
        <f t="shared" si="66"/>
        <v>0.16670950249533559</v>
      </c>
      <c r="AD291" s="56">
        <f>INDEX(Assumptions!$B$14:$B$16,MATCH($R291,Assumptions!$A$14:$A$16,0))</f>
        <v>0.12</v>
      </c>
      <c r="AE291" s="56">
        <f>INDEX(Assumptions!$C$14:$C$16,MATCH($R291,Assumptions!$A$14:$A$16,0))</f>
        <v>0.08</v>
      </c>
      <c r="AF291" s="49">
        <f t="shared" si="67"/>
        <v>0</v>
      </c>
      <c r="AG291" s="49">
        <f t="shared" si="68"/>
        <v>0</v>
      </c>
      <c r="AH291" s="55">
        <f t="shared" si="69"/>
        <v>0</v>
      </c>
    </row>
    <row r="292" spans="1:34" x14ac:dyDescent="0.2">
      <c r="A292" s="48" t="s">
        <v>505</v>
      </c>
      <c r="B292" s="48">
        <v>1</v>
      </c>
      <c r="C292" s="48" t="s">
        <v>506</v>
      </c>
      <c r="D292" s="48" t="s">
        <v>416</v>
      </c>
      <c r="E292" s="48" t="s">
        <v>360</v>
      </c>
      <c r="F292" s="48" t="s">
        <v>280</v>
      </c>
      <c r="G292" s="48" t="s">
        <v>275</v>
      </c>
      <c r="H292" s="48" t="s">
        <v>68</v>
      </c>
      <c r="I292" s="48" t="s">
        <v>113</v>
      </c>
      <c r="J292" s="49">
        <v>26</v>
      </c>
      <c r="K292" s="50">
        <v>2450</v>
      </c>
      <c r="L292" s="50">
        <v>2379.15</v>
      </c>
      <c r="M292" s="48" t="s">
        <v>276</v>
      </c>
      <c r="N292" s="51">
        <v>1.37</v>
      </c>
      <c r="O292" s="51">
        <v>1.3673</v>
      </c>
      <c r="P292" s="52">
        <v>1496.8</v>
      </c>
      <c r="Q292" s="52">
        <v>1496.8</v>
      </c>
      <c r="R292" s="53" t="str">
        <f>INDEX(SKU_Master!$D$5:$D$34,MATCH($I292,SKU_Master!$A$5:$A$34,0))</f>
        <v>Laptop</v>
      </c>
      <c r="S292" s="54">
        <f t="shared" si="56"/>
        <v>2.8918367346938756E-2</v>
      </c>
      <c r="T292" s="55">
        <f t="shared" si="57"/>
        <v>46496.350364963502</v>
      </c>
      <c r="U292" s="55">
        <f t="shared" si="58"/>
        <v>45151.751824817518</v>
      </c>
      <c r="V292" s="55">
        <f t="shared" si="59"/>
        <v>-1344.5985401459839</v>
      </c>
      <c r="W292" s="55">
        <f t="shared" si="60"/>
        <v>45240.912747751041</v>
      </c>
      <c r="X292" s="55">
        <f t="shared" si="61"/>
        <v>89.16092293352267</v>
      </c>
      <c r="Y292" s="55">
        <f t="shared" si="62"/>
        <v>38916.799999999996</v>
      </c>
      <c r="Z292" s="55">
        <f t="shared" si="63"/>
        <v>38916.799999999996</v>
      </c>
      <c r="AA292" s="55">
        <f t="shared" si="64"/>
        <v>0</v>
      </c>
      <c r="AB292" s="55">
        <f t="shared" si="65"/>
        <v>6324.1127477510454</v>
      </c>
      <c r="AC292" s="54">
        <f t="shared" si="66"/>
        <v>0.13978747031502856</v>
      </c>
      <c r="AD292" s="56">
        <f>INDEX(Assumptions!$B$14:$B$16,MATCH($R292,Assumptions!$A$14:$A$16,0))</f>
        <v>0.12</v>
      </c>
      <c r="AE292" s="56">
        <f>INDEX(Assumptions!$C$14:$C$16,MATCH($R292,Assumptions!$A$14:$A$16,0))</f>
        <v>0.08</v>
      </c>
      <c r="AF292" s="49">
        <f t="shared" si="67"/>
        <v>0</v>
      </c>
      <c r="AG292" s="49">
        <f t="shared" si="68"/>
        <v>0</v>
      </c>
      <c r="AH292" s="55">
        <f t="shared" si="69"/>
        <v>0</v>
      </c>
    </row>
    <row r="293" spans="1:34" x14ac:dyDescent="0.2">
      <c r="A293" s="48" t="s">
        <v>505</v>
      </c>
      <c r="B293" s="48">
        <v>2</v>
      </c>
      <c r="C293" s="48" t="s">
        <v>506</v>
      </c>
      <c r="D293" s="48" t="s">
        <v>416</v>
      </c>
      <c r="E293" s="48" t="s">
        <v>360</v>
      </c>
      <c r="F293" s="48" t="s">
        <v>280</v>
      </c>
      <c r="G293" s="48" t="s">
        <v>275</v>
      </c>
      <c r="H293" s="48" t="s">
        <v>68</v>
      </c>
      <c r="I293" s="48" t="s">
        <v>135</v>
      </c>
      <c r="J293" s="49">
        <v>17</v>
      </c>
      <c r="K293" s="50">
        <v>360</v>
      </c>
      <c r="L293" s="50">
        <v>348.17</v>
      </c>
      <c r="M293" s="48" t="s">
        <v>276</v>
      </c>
      <c r="N293" s="51">
        <v>1.37</v>
      </c>
      <c r="O293" s="51">
        <v>1.3673</v>
      </c>
      <c r="P293" s="52">
        <v>201.7</v>
      </c>
      <c r="Q293" s="52">
        <v>201.7</v>
      </c>
      <c r="R293" s="53" t="str">
        <f>INDEX(SKU_Master!$D$5:$D$34,MATCH($I293,SKU_Master!$A$5:$A$34,0))</f>
        <v>Monitor</v>
      </c>
      <c r="S293" s="54">
        <f t="shared" si="56"/>
        <v>3.2861111111111119E-2</v>
      </c>
      <c r="T293" s="55">
        <f t="shared" si="57"/>
        <v>4467.1532846715327</v>
      </c>
      <c r="U293" s="55">
        <f t="shared" si="58"/>
        <v>4320.3576642335765</v>
      </c>
      <c r="V293" s="55">
        <f t="shared" si="59"/>
        <v>-146.79562043795613</v>
      </c>
      <c r="W293" s="55">
        <f t="shared" si="60"/>
        <v>4328.8890514151981</v>
      </c>
      <c r="X293" s="55">
        <f t="shared" si="61"/>
        <v>8.5313871816215396</v>
      </c>
      <c r="Y293" s="55">
        <f t="shared" si="62"/>
        <v>3428.8999999999996</v>
      </c>
      <c r="Z293" s="55">
        <f t="shared" si="63"/>
        <v>3428.8999999999996</v>
      </c>
      <c r="AA293" s="55">
        <f t="shared" si="64"/>
        <v>0</v>
      </c>
      <c r="AB293" s="55">
        <f t="shared" si="65"/>
        <v>899.98905141519845</v>
      </c>
      <c r="AC293" s="54">
        <f t="shared" si="66"/>
        <v>0.20790300715167892</v>
      </c>
      <c r="AD293" s="56">
        <f>INDEX(Assumptions!$B$14:$B$16,MATCH($R293,Assumptions!$A$14:$A$16,0))</f>
        <v>0.18</v>
      </c>
      <c r="AE293" s="56">
        <f>INDEX(Assumptions!$C$14:$C$16,MATCH($R293,Assumptions!$A$14:$A$16,0))</f>
        <v>0.12</v>
      </c>
      <c r="AF293" s="49">
        <f t="shared" si="67"/>
        <v>0</v>
      </c>
      <c r="AG293" s="49">
        <f t="shared" si="68"/>
        <v>0</v>
      </c>
      <c r="AH293" s="55">
        <f t="shared" si="69"/>
        <v>0</v>
      </c>
    </row>
    <row r="294" spans="1:34" x14ac:dyDescent="0.2">
      <c r="A294" s="48" t="s">
        <v>507</v>
      </c>
      <c r="B294" s="48">
        <v>1</v>
      </c>
      <c r="C294" s="48" t="s">
        <v>426</v>
      </c>
      <c r="D294" s="48" t="s">
        <v>416</v>
      </c>
      <c r="E294" s="48" t="s">
        <v>407</v>
      </c>
      <c r="F294" s="48" t="s">
        <v>274</v>
      </c>
      <c r="G294" s="48" t="s">
        <v>302</v>
      </c>
      <c r="H294" s="48" t="s">
        <v>62</v>
      </c>
      <c r="I294" s="48" t="s">
        <v>113</v>
      </c>
      <c r="J294" s="49">
        <v>7</v>
      </c>
      <c r="K294" s="50">
        <v>1740</v>
      </c>
      <c r="L294" s="50">
        <v>1734.12</v>
      </c>
      <c r="M294" s="48" t="s">
        <v>276</v>
      </c>
      <c r="N294" s="51">
        <v>1</v>
      </c>
      <c r="O294" s="51">
        <v>1</v>
      </c>
      <c r="P294" s="52">
        <v>1484.8</v>
      </c>
      <c r="Q294" s="52">
        <v>1484.8</v>
      </c>
      <c r="R294" s="53" t="str">
        <f>INDEX(SKU_Master!$D$5:$D$34,MATCH($I294,SKU_Master!$A$5:$A$34,0))</f>
        <v>Laptop</v>
      </c>
      <c r="S294" s="54">
        <f t="shared" si="56"/>
        <v>3.3793103448276351E-3</v>
      </c>
      <c r="T294" s="55">
        <f t="shared" si="57"/>
        <v>12180</v>
      </c>
      <c r="U294" s="55">
        <f t="shared" si="58"/>
        <v>12138.84</v>
      </c>
      <c r="V294" s="55">
        <f t="shared" si="59"/>
        <v>-41.159999999999854</v>
      </c>
      <c r="W294" s="55">
        <f t="shared" si="60"/>
        <v>12138.84</v>
      </c>
      <c r="X294" s="55">
        <f t="shared" si="61"/>
        <v>0</v>
      </c>
      <c r="Y294" s="55">
        <f t="shared" si="62"/>
        <v>10393.6</v>
      </c>
      <c r="Z294" s="55">
        <f t="shared" si="63"/>
        <v>10393.6</v>
      </c>
      <c r="AA294" s="55">
        <f t="shared" si="64"/>
        <v>0</v>
      </c>
      <c r="AB294" s="55">
        <f t="shared" si="65"/>
        <v>1745.2399999999998</v>
      </c>
      <c r="AC294" s="54">
        <f t="shared" si="66"/>
        <v>0.14377321061979562</v>
      </c>
      <c r="AD294" s="56">
        <f>INDEX(Assumptions!$B$14:$B$16,MATCH($R294,Assumptions!$A$14:$A$16,0))</f>
        <v>0.12</v>
      </c>
      <c r="AE294" s="56">
        <f>INDEX(Assumptions!$C$14:$C$16,MATCH($R294,Assumptions!$A$14:$A$16,0))</f>
        <v>0.08</v>
      </c>
      <c r="AF294" s="49">
        <f t="shared" si="67"/>
        <v>0</v>
      </c>
      <c r="AG294" s="49">
        <f t="shared" si="68"/>
        <v>0</v>
      </c>
      <c r="AH294" s="55">
        <f t="shared" si="69"/>
        <v>0</v>
      </c>
    </row>
    <row r="295" spans="1:34" x14ac:dyDescent="0.2">
      <c r="A295" s="48" t="s">
        <v>507</v>
      </c>
      <c r="B295" s="48">
        <v>2</v>
      </c>
      <c r="C295" s="48" t="s">
        <v>426</v>
      </c>
      <c r="D295" s="48" t="s">
        <v>416</v>
      </c>
      <c r="E295" s="48" t="s">
        <v>407</v>
      </c>
      <c r="F295" s="48" t="s">
        <v>274</v>
      </c>
      <c r="G295" s="48" t="s">
        <v>302</v>
      </c>
      <c r="H295" s="48" t="s">
        <v>62</v>
      </c>
      <c r="I295" s="48" t="s">
        <v>135</v>
      </c>
      <c r="J295" s="49">
        <v>3</v>
      </c>
      <c r="K295" s="50">
        <v>240</v>
      </c>
      <c r="L295" s="50">
        <v>229.15</v>
      </c>
      <c r="M295" s="48" t="s">
        <v>276</v>
      </c>
      <c r="N295" s="51">
        <v>1</v>
      </c>
      <c r="O295" s="51">
        <v>1</v>
      </c>
      <c r="P295" s="52">
        <v>186.7</v>
      </c>
      <c r="Q295" s="52">
        <v>186.7</v>
      </c>
      <c r="R295" s="53" t="str">
        <f>INDEX(SKU_Master!$D$5:$D$34,MATCH($I295,SKU_Master!$A$5:$A$34,0))</f>
        <v>Monitor</v>
      </c>
      <c r="S295" s="54">
        <f t="shared" si="56"/>
        <v>4.5208333333333295E-2</v>
      </c>
      <c r="T295" s="55">
        <f t="shared" si="57"/>
        <v>720</v>
      </c>
      <c r="U295" s="55">
        <f t="shared" si="58"/>
        <v>687.45</v>
      </c>
      <c r="V295" s="55">
        <f t="shared" si="59"/>
        <v>-32.549999999999955</v>
      </c>
      <c r="W295" s="55">
        <f t="shared" si="60"/>
        <v>687.45</v>
      </c>
      <c r="X295" s="55">
        <f t="shared" si="61"/>
        <v>0</v>
      </c>
      <c r="Y295" s="55">
        <f t="shared" si="62"/>
        <v>560.09999999999991</v>
      </c>
      <c r="Z295" s="55">
        <f t="shared" si="63"/>
        <v>560.09999999999991</v>
      </c>
      <c r="AA295" s="55">
        <f t="shared" si="64"/>
        <v>0</v>
      </c>
      <c r="AB295" s="55">
        <f t="shared" si="65"/>
        <v>127.35000000000014</v>
      </c>
      <c r="AC295" s="54">
        <f t="shared" si="66"/>
        <v>0.18524983635173486</v>
      </c>
      <c r="AD295" s="56">
        <f>INDEX(Assumptions!$B$14:$B$16,MATCH($R295,Assumptions!$A$14:$A$16,0))</f>
        <v>0.18</v>
      </c>
      <c r="AE295" s="56">
        <f>INDEX(Assumptions!$C$14:$C$16,MATCH($R295,Assumptions!$A$14:$A$16,0))</f>
        <v>0.12</v>
      </c>
      <c r="AF295" s="49">
        <f t="shared" si="67"/>
        <v>0</v>
      </c>
      <c r="AG295" s="49">
        <f t="shared" si="68"/>
        <v>0</v>
      </c>
      <c r="AH295" s="55">
        <f t="shared" si="69"/>
        <v>0</v>
      </c>
    </row>
    <row r="296" spans="1:34" x14ac:dyDescent="0.2">
      <c r="A296" s="48" t="s">
        <v>507</v>
      </c>
      <c r="B296" s="48">
        <v>3</v>
      </c>
      <c r="C296" s="48" t="s">
        <v>426</v>
      </c>
      <c r="D296" s="48" t="s">
        <v>416</v>
      </c>
      <c r="E296" s="48" t="s">
        <v>407</v>
      </c>
      <c r="F296" s="48" t="s">
        <v>274</v>
      </c>
      <c r="G296" s="48" t="s">
        <v>302</v>
      </c>
      <c r="H296" s="48" t="s">
        <v>62</v>
      </c>
      <c r="I296" s="48" t="s">
        <v>161</v>
      </c>
      <c r="J296" s="49">
        <v>8</v>
      </c>
      <c r="K296" s="50">
        <v>120</v>
      </c>
      <c r="L296" s="50">
        <v>114.91</v>
      </c>
      <c r="M296" s="48" t="s">
        <v>276</v>
      </c>
      <c r="N296" s="51">
        <v>1</v>
      </c>
      <c r="O296" s="51">
        <v>1</v>
      </c>
      <c r="P296" s="52">
        <v>76</v>
      </c>
      <c r="Q296" s="52">
        <v>76</v>
      </c>
      <c r="R296" s="53" t="str">
        <f>INDEX(SKU_Master!$D$5:$D$34,MATCH($I296,SKU_Master!$A$5:$A$34,0))</f>
        <v>Accessory</v>
      </c>
      <c r="S296" s="54">
        <f t="shared" si="56"/>
        <v>4.2416666666666658E-2</v>
      </c>
      <c r="T296" s="55">
        <f t="shared" si="57"/>
        <v>960</v>
      </c>
      <c r="U296" s="55">
        <f t="shared" si="58"/>
        <v>919.28</v>
      </c>
      <c r="V296" s="55">
        <f t="shared" si="59"/>
        <v>-40.720000000000027</v>
      </c>
      <c r="W296" s="55">
        <f t="shared" si="60"/>
        <v>919.28</v>
      </c>
      <c r="X296" s="55">
        <f t="shared" si="61"/>
        <v>0</v>
      </c>
      <c r="Y296" s="55">
        <f t="shared" si="62"/>
        <v>608</v>
      </c>
      <c r="Z296" s="55">
        <f t="shared" si="63"/>
        <v>608</v>
      </c>
      <c r="AA296" s="55">
        <f t="shared" si="64"/>
        <v>0</v>
      </c>
      <c r="AB296" s="55">
        <f t="shared" si="65"/>
        <v>311.27999999999997</v>
      </c>
      <c r="AC296" s="54">
        <f t="shared" si="66"/>
        <v>0.33861282743016274</v>
      </c>
      <c r="AD296" s="56">
        <f>INDEX(Assumptions!$B$14:$B$16,MATCH($R296,Assumptions!$A$14:$A$16,0))</f>
        <v>0.32</v>
      </c>
      <c r="AE296" s="56">
        <f>INDEX(Assumptions!$C$14:$C$16,MATCH($R296,Assumptions!$A$14:$A$16,0))</f>
        <v>0.22</v>
      </c>
      <c r="AF296" s="49">
        <f t="shared" si="67"/>
        <v>0</v>
      </c>
      <c r="AG296" s="49">
        <f t="shared" si="68"/>
        <v>0</v>
      </c>
      <c r="AH296" s="55">
        <f t="shared" si="69"/>
        <v>0</v>
      </c>
    </row>
    <row r="297" spans="1:34" x14ac:dyDescent="0.2">
      <c r="A297" s="48" t="s">
        <v>508</v>
      </c>
      <c r="B297" s="48">
        <v>1</v>
      </c>
      <c r="C297" s="48" t="s">
        <v>446</v>
      </c>
      <c r="D297" s="48" t="s">
        <v>416</v>
      </c>
      <c r="E297" s="48" t="s">
        <v>336</v>
      </c>
      <c r="F297" s="48" t="s">
        <v>274</v>
      </c>
      <c r="G297" s="48" t="s">
        <v>288</v>
      </c>
      <c r="H297" s="48" t="s">
        <v>62</v>
      </c>
      <c r="I297" s="48" t="s">
        <v>93</v>
      </c>
      <c r="J297" s="49">
        <v>7</v>
      </c>
      <c r="K297" s="50">
        <v>1390</v>
      </c>
      <c r="L297" s="50">
        <v>1362.72</v>
      </c>
      <c r="M297" s="48" t="s">
        <v>276</v>
      </c>
      <c r="N297" s="51">
        <v>1</v>
      </c>
      <c r="O297" s="51">
        <v>1</v>
      </c>
      <c r="P297" s="52">
        <v>1186.2</v>
      </c>
      <c r="Q297" s="52">
        <v>1186.2</v>
      </c>
      <c r="R297" s="53" t="str">
        <f>INDEX(SKU_Master!$D$5:$D$34,MATCH($I297,SKU_Master!$A$5:$A$34,0))</f>
        <v>Laptop</v>
      </c>
      <c r="S297" s="54">
        <f t="shared" si="56"/>
        <v>1.9625899280575565E-2</v>
      </c>
      <c r="T297" s="55">
        <f t="shared" si="57"/>
        <v>9730</v>
      </c>
      <c r="U297" s="55">
        <f t="shared" si="58"/>
        <v>9539.0400000000009</v>
      </c>
      <c r="V297" s="55">
        <f t="shared" si="59"/>
        <v>-190.95999999999913</v>
      </c>
      <c r="W297" s="55">
        <f t="shared" si="60"/>
        <v>9539.0400000000009</v>
      </c>
      <c r="X297" s="55">
        <f t="shared" si="61"/>
        <v>0</v>
      </c>
      <c r="Y297" s="55">
        <f t="shared" si="62"/>
        <v>8303.4</v>
      </c>
      <c r="Z297" s="55">
        <f t="shared" si="63"/>
        <v>8303.4</v>
      </c>
      <c r="AA297" s="55">
        <f t="shared" si="64"/>
        <v>0</v>
      </c>
      <c r="AB297" s="55">
        <f t="shared" si="65"/>
        <v>1235.6400000000012</v>
      </c>
      <c r="AC297" s="54">
        <f t="shared" si="66"/>
        <v>0.12953504755195502</v>
      </c>
      <c r="AD297" s="56">
        <f>INDEX(Assumptions!$B$14:$B$16,MATCH($R297,Assumptions!$A$14:$A$16,0))</f>
        <v>0.12</v>
      </c>
      <c r="AE297" s="56">
        <f>INDEX(Assumptions!$C$14:$C$16,MATCH($R297,Assumptions!$A$14:$A$16,0))</f>
        <v>0.08</v>
      </c>
      <c r="AF297" s="49">
        <f t="shared" si="67"/>
        <v>0</v>
      </c>
      <c r="AG297" s="49">
        <f t="shared" si="68"/>
        <v>0</v>
      </c>
      <c r="AH297" s="55">
        <f t="shared" si="69"/>
        <v>0</v>
      </c>
    </row>
    <row r="298" spans="1:34" x14ac:dyDescent="0.2">
      <c r="A298" s="48" t="s">
        <v>508</v>
      </c>
      <c r="B298" s="48">
        <v>2</v>
      </c>
      <c r="C298" s="48" t="s">
        <v>446</v>
      </c>
      <c r="D298" s="48" t="s">
        <v>416</v>
      </c>
      <c r="E298" s="48" t="s">
        <v>336</v>
      </c>
      <c r="F298" s="48" t="s">
        <v>274</v>
      </c>
      <c r="G298" s="48" t="s">
        <v>288</v>
      </c>
      <c r="H298" s="48" t="s">
        <v>62</v>
      </c>
      <c r="I298" s="48" t="s">
        <v>161</v>
      </c>
      <c r="J298" s="49">
        <v>7</v>
      </c>
      <c r="K298" s="50">
        <v>120</v>
      </c>
      <c r="L298" s="50">
        <v>118.86</v>
      </c>
      <c r="M298" s="48" t="s">
        <v>276</v>
      </c>
      <c r="N298" s="51">
        <v>1</v>
      </c>
      <c r="O298" s="51">
        <v>1</v>
      </c>
      <c r="P298" s="52">
        <v>76</v>
      </c>
      <c r="Q298" s="52">
        <v>76</v>
      </c>
      <c r="R298" s="53" t="str">
        <f>INDEX(SKU_Master!$D$5:$D$34,MATCH($I298,SKU_Master!$A$5:$A$34,0))</f>
        <v>Accessory</v>
      </c>
      <c r="S298" s="54">
        <f t="shared" si="56"/>
        <v>9.4999999999999529E-3</v>
      </c>
      <c r="T298" s="55">
        <f t="shared" si="57"/>
        <v>840</v>
      </c>
      <c r="U298" s="55">
        <f t="shared" si="58"/>
        <v>832.02</v>
      </c>
      <c r="V298" s="55">
        <f t="shared" si="59"/>
        <v>-7.9800000000000182</v>
      </c>
      <c r="W298" s="55">
        <f t="shared" si="60"/>
        <v>832.02</v>
      </c>
      <c r="X298" s="55">
        <f t="shared" si="61"/>
        <v>0</v>
      </c>
      <c r="Y298" s="55">
        <f t="shared" si="62"/>
        <v>532</v>
      </c>
      <c r="Z298" s="55">
        <f t="shared" si="63"/>
        <v>532</v>
      </c>
      <c r="AA298" s="55">
        <f t="shared" si="64"/>
        <v>0</v>
      </c>
      <c r="AB298" s="55">
        <f t="shared" si="65"/>
        <v>300.02</v>
      </c>
      <c r="AC298" s="54">
        <f t="shared" si="66"/>
        <v>0.36059229345448424</v>
      </c>
      <c r="AD298" s="56">
        <f>INDEX(Assumptions!$B$14:$B$16,MATCH($R298,Assumptions!$A$14:$A$16,0))</f>
        <v>0.32</v>
      </c>
      <c r="AE298" s="56">
        <f>INDEX(Assumptions!$C$14:$C$16,MATCH($R298,Assumptions!$A$14:$A$16,0))</f>
        <v>0.22</v>
      </c>
      <c r="AF298" s="49">
        <f t="shared" si="67"/>
        <v>0</v>
      </c>
      <c r="AG298" s="49">
        <f t="shared" si="68"/>
        <v>0</v>
      </c>
      <c r="AH298" s="55">
        <f t="shared" si="69"/>
        <v>0</v>
      </c>
    </row>
    <row r="299" spans="1:34" x14ac:dyDescent="0.2">
      <c r="A299" s="48" t="s">
        <v>509</v>
      </c>
      <c r="B299" s="48">
        <v>1</v>
      </c>
      <c r="C299" s="48" t="s">
        <v>450</v>
      </c>
      <c r="D299" s="48" t="s">
        <v>416</v>
      </c>
      <c r="E299" s="48" t="s">
        <v>343</v>
      </c>
      <c r="F299" s="48" t="s">
        <v>280</v>
      </c>
      <c r="G299" s="48" t="s">
        <v>281</v>
      </c>
      <c r="H299" s="48" t="s">
        <v>62</v>
      </c>
      <c r="I299" s="48" t="s">
        <v>113</v>
      </c>
      <c r="J299" s="49">
        <v>6</v>
      </c>
      <c r="K299" s="50">
        <v>1740</v>
      </c>
      <c r="L299" s="50">
        <v>1696.52</v>
      </c>
      <c r="M299" s="48" t="s">
        <v>276</v>
      </c>
      <c r="N299" s="51">
        <v>1</v>
      </c>
      <c r="O299" s="51">
        <v>1</v>
      </c>
      <c r="P299" s="52">
        <v>1484.8</v>
      </c>
      <c r="Q299" s="52">
        <v>1484.8</v>
      </c>
      <c r="R299" s="53" t="str">
        <f>INDEX(SKU_Master!$D$5:$D$34,MATCH($I299,SKU_Master!$A$5:$A$34,0))</f>
        <v>Laptop</v>
      </c>
      <c r="S299" s="54">
        <f t="shared" si="56"/>
        <v>2.498850574712641E-2</v>
      </c>
      <c r="T299" s="55">
        <f t="shared" si="57"/>
        <v>10440</v>
      </c>
      <c r="U299" s="55">
        <f t="shared" si="58"/>
        <v>10179.119999999999</v>
      </c>
      <c r="V299" s="55">
        <f t="shared" si="59"/>
        <v>-260.88000000000102</v>
      </c>
      <c r="W299" s="55">
        <f t="shared" si="60"/>
        <v>10179.119999999999</v>
      </c>
      <c r="X299" s="55">
        <f t="shared" si="61"/>
        <v>0</v>
      </c>
      <c r="Y299" s="55">
        <f t="shared" si="62"/>
        <v>8908.7999999999993</v>
      </c>
      <c r="Z299" s="55">
        <f t="shared" si="63"/>
        <v>8908.7999999999993</v>
      </c>
      <c r="AA299" s="55">
        <f t="shared" si="64"/>
        <v>0</v>
      </c>
      <c r="AB299" s="55">
        <f t="shared" si="65"/>
        <v>1270.3199999999997</v>
      </c>
      <c r="AC299" s="54">
        <f t="shared" si="66"/>
        <v>0.1247966425388442</v>
      </c>
      <c r="AD299" s="56">
        <f>INDEX(Assumptions!$B$14:$B$16,MATCH($R299,Assumptions!$A$14:$A$16,0))</f>
        <v>0.12</v>
      </c>
      <c r="AE299" s="56">
        <f>INDEX(Assumptions!$C$14:$C$16,MATCH($R299,Assumptions!$A$14:$A$16,0))</f>
        <v>0.08</v>
      </c>
      <c r="AF299" s="49">
        <f t="shared" si="67"/>
        <v>0</v>
      </c>
      <c r="AG299" s="49">
        <f t="shared" si="68"/>
        <v>0</v>
      </c>
      <c r="AH299" s="55">
        <f t="shared" si="69"/>
        <v>0</v>
      </c>
    </row>
    <row r="300" spans="1:34" x14ac:dyDescent="0.2">
      <c r="A300" s="48" t="s">
        <v>509</v>
      </c>
      <c r="B300" s="48">
        <v>2</v>
      </c>
      <c r="C300" s="48" t="s">
        <v>450</v>
      </c>
      <c r="D300" s="48" t="s">
        <v>416</v>
      </c>
      <c r="E300" s="48" t="s">
        <v>343</v>
      </c>
      <c r="F300" s="48" t="s">
        <v>280</v>
      </c>
      <c r="G300" s="48" t="s">
        <v>281</v>
      </c>
      <c r="H300" s="48" t="s">
        <v>62</v>
      </c>
      <c r="I300" s="48" t="s">
        <v>164</v>
      </c>
      <c r="J300" s="49">
        <v>6</v>
      </c>
      <c r="K300" s="50">
        <v>190</v>
      </c>
      <c r="L300" s="50">
        <v>183.9</v>
      </c>
      <c r="M300" s="48" t="s">
        <v>276</v>
      </c>
      <c r="N300" s="51">
        <v>1</v>
      </c>
      <c r="O300" s="51">
        <v>1</v>
      </c>
      <c r="P300" s="52">
        <v>121</v>
      </c>
      <c r="Q300" s="52">
        <v>121</v>
      </c>
      <c r="R300" s="53" t="str">
        <f>INDEX(SKU_Master!$D$5:$D$34,MATCH($I300,SKU_Master!$A$5:$A$34,0))</f>
        <v>Accessory</v>
      </c>
      <c r="S300" s="54">
        <f t="shared" si="56"/>
        <v>3.2105263157894748E-2</v>
      </c>
      <c r="T300" s="55">
        <f t="shared" si="57"/>
        <v>1140</v>
      </c>
      <c r="U300" s="55">
        <f t="shared" si="58"/>
        <v>1103.4000000000001</v>
      </c>
      <c r="V300" s="55">
        <f t="shared" si="59"/>
        <v>-36.599999999999909</v>
      </c>
      <c r="W300" s="55">
        <f t="shared" si="60"/>
        <v>1103.4000000000001</v>
      </c>
      <c r="X300" s="55">
        <f t="shared" si="61"/>
        <v>0</v>
      </c>
      <c r="Y300" s="55">
        <f t="shared" si="62"/>
        <v>726</v>
      </c>
      <c r="Z300" s="55">
        <f t="shared" si="63"/>
        <v>726</v>
      </c>
      <c r="AA300" s="55">
        <f t="shared" si="64"/>
        <v>0</v>
      </c>
      <c r="AB300" s="55">
        <f t="shared" si="65"/>
        <v>377.40000000000009</v>
      </c>
      <c r="AC300" s="54">
        <f t="shared" si="66"/>
        <v>0.34203371397498644</v>
      </c>
      <c r="AD300" s="56">
        <f>INDEX(Assumptions!$B$14:$B$16,MATCH($R300,Assumptions!$A$14:$A$16,0))</f>
        <v>0.32</v>
      </c>
      <c r="AE300" s="56">
        <f>INDEX(Assumptions!$C$14:$C$16,MATCH($R300,Assumptions!$A$14:$A$16,0))</f>
        <v>0.22</v>
      </c>
      <c r="AF300" s="49">
        <f t="shared" si="67"/>
        <v>0</v>
      </c>
      <c r="AG300" s="49">
        <f t="shared" si="68"/>
        <v>0</v>
      </c>
      <c r="AH300" s="55">
        <f t="shared" si="69"/>
        <v>0</v>
      </c>
    </row>
    <row r="301" spans="1:34" x14ac:dyDescent="0.2">
      <c r="A301" s="48" t="s">
        <v>510</v>
      </c>
      <c r="B301" s="48">
        <v>1</v>
      </c>
      <c r="C301" s="48" t="s">
        <v>472</v>
      </c>
      <c r="D301" s="48" t="s">
        <v>416</v>
      </c>
      <c r="E301" s="48" t="s">
        <v>284</v>
      </c>
      <c r="F301" s="48" t="s">
        <v>274</v>
      </c>
      <c r="G301" s="48" t="s">
        <v>275</v>
      </c>
      <c r="H301" s="48" t="s">
        <v>64</v>
      </c>
      <c r="I301" s="48" t="s">
        <v>103</v>
      </c>
      <c r="J301" s="49">
        <v>9</v>
      </c>
      <c r="K301" s="50">
        <v>940</v>
      </c>
      <c r="L301" s="50">
        <v>932.01</v>
      </c>
      <c r="M301" s="48" t="s">
        <v>276</v>
      </c>
      <c r="N301" s="51">
        <v>0.79</v>
      </c>
      <c r="O301" s="51">
        <v>0.78920000000000001</v>
      </c>
      <c r="P301" s="52">
        <v>992.6</v>
      </c>
      <c r="Q301" s="52">
        <v>992.6</v>
      </c>
      <c r="R301" s="53" t="str">
        <f>INDEX(SKU_Master!$D$5:$D$34,MATCH($I301,SKU_Master!$A$5:$A$34,0))</f>
        <v>Laptop</v>
      </c>
      <c r="S301" s="54">
        <f t="shared" si="56"/>
        <v>8.5000000000000631E-3</v>
      </c>
      <c r="T301" s="55">
        <f t="shared" si="57"/>
        <v>10708.860759493671</v>
      </c>
      <c r="U301" s="55">
        <f t="shared" si="58"/>
        <v>10617.835443037975</v>
      </c>
      <c r="V301" s="55">
        <f t="shared" si="59"/>
        <v>-91.025316455696156</v>
      </c>
      <c r="W301" s="55">
        <f t="shared" si="60"/>
        <v>10628.598580841359</v>
      </c>
      <c r="X301" s="55">
        <f t="shared" si="61"/>
        <v>10.76313780338387</v>
      </c>
      <c r="Y301" s="55">
        <f t="shared" si="62"/>
        <v>8933.4</v>
      </c>
      <c r="Z301" s="55">
        <f t="shared" si="63"/>
        <v>8933.4</v>
      </c>
      <c r="AA301" s="55">
        <f t="shared" si="64"/>
        <v>0</v>
      </c>
      <c r="AB301" s="55">
        <f t="shared" si="65"/>
        <v>1695.1985808413592</v>
      </c>
      <c r="AC301" s="54">
        <f t="shared" si="66"/>
        <v>0.15949408268151638</v>
      </c>
      <c r="AD301" s="56">
        <f>INDEX(Assumptions!$B$14:$B$16,MATCH($R301,Assumptions!$A$14:$A$16,0))</f>
        <v>0.12</v>
      </c>
      <c r="AE301" s="56">
        <f>INDEX(Assumptions!$C$14:$C$16,MATCH($R301,Assumptions!$A$14:$A$16,0))</f>
        <v>0.08</v>
      </c>
      <c r="AF301" s="49">
        <f t="shared" si="67"/>
        <v>0</v>
      </c>
      <c r="AG301" s="49">
        <f t="shared" si="68"/>
        <v>0</v>
      </c>
      <c r="AH301" s="55">
        <f t="shared" si="69"/>
        <v>0</v>
      </c>
    </row>
    <row r="302" spans="1:34" x14ac:dyDescent="0.2">
      <c r="A302" s="48" t="s">
        <v>510</v>
      </c>
      <c r="B302" s="48">
        <v>2</v>
      </c>
      <c r="C302" s="48" t="s">
        <v>472</v>
      </c>
      <c r="D302" s="48" t="s">
        <v>416</v>
      </c>
      <c r="E302" s="48" t="s">
        <v>284</v>
      </c>
      <c r="F302" s="48" t="s">
        <v>274</v>
      </c>
      <c r="G302" s="48" t="s">
        <v>275</v>
      </c>
      <c r="H302" s="48" t="s">
        <v>64</v>
      </c>
      <c r="I302" s="48" t="s">
        <v>173</v>
      </c>
      <c r="J302" s="49">
        <v>7</v>
      </c>
      <c r="K302" s="50">
        <v>50</v>
      </c>
      <c r="L302" s="50">
        <v>49.26</v>
      </c>
      <c r="M302" s="48" t="s">
        <v>276</v>
      </c>
      <c r="N302" s="51">
        <v>0.79</v>
      </c>
      <c r="O302" s="51">
        <v>0.78920000000000001</v>
      </c>
      <c r="P302" s="52">
        <v>40</v>
      </c>
      <c r="Q302" s="52">
        <v>40</v>
      </c>
      <c r="R302" s="53" t="str">
        <f>INDEX(SKU_Master!$D$5:$D$34,MATCH($I302,SKU_Master!$A$5:$A$34,0))</f>
        <v>Accessory</v>
      </c>
      <c r="S302" s="54">
        <f t="shared" si="56"/>
        <v>1.4800000000000035E-2</v>
      </c>
      <c r="T302" s="55">
        <f t="shared" si="57"/>
        <v>443.03797468354429</v>
      </c>
      <c r="U302" s="55">
        <f t="shared" si="58"/>
        <v>436.48101265822783</v>
      </c>
      <c r="V302" s="55">
        <f t="shared" si="59"/>
        <v>-6.5569620253164658</v>
      </c>
      <c r="W302" s="55">
        <f t="shared" si="60"/>
        <v>436.92346680182465</v>
      </c>
      <c r="X302" s="55">
        <f t="shared" si="61"/>
        <v>0.44245414359681945</v>
      </c>
      <c r="Y302" s="55">
        <f t="shared" si="62"/>
        <v>280</v>
      </c>
      <c r="Z302" s="55">
        <f t="shared" si="63"/>
        <v>280</v>
      </c>
      <c r="AA302" s="55">
        <f t="shared" si="64"/>
        <v>0</v>
      </c>
      <c r="AB302" s="55">
        <f t="shared" si="65"/>
        <v>156.92346680182465</v>
      </c>
      <c r="AC302" s="54">
        <f t="shared" si="66"/>
        <v>0.35915550142103131</v>
      </c>
      <c r="AD302" s="56">
        <f>INDEX(Assumptions!$B$14:$B$16,MATCH($R302,Assumptions!$A$14:$A$16,0))</f>
        <v>0.32</v>
      </c>
      <c r="AE302" s="56">
        <f>INDEX(Assumptions!$C$14:$C$16,MATCH($R302,Assumptions!$A$14:$A$16,0))</f>
        <v>0.22</v>
      </c>
      <c r="AF302" s="49">
        <f t="shared" si="67"/>
        <v>0</v>
      </c>
      <c r="AG302" s="49">
        <f t="shared" si="68"/>
        <v>0</v>
      </c>
      <c r="AH302" s="55">
        <f t="shared" si="69"/>
        <v>0</v>
      </c>
    </row>
    <row r="303" spans="1:34" x14ac:dyDescent="0.2">
      <c r="A303" s="48" t="s">
        <v>511</v>
      </c>
      <c r="B303" s="48">
        <v>1</v>
      </c>
      <c r="C303" s="48" t="s">
        <v>475</v>
      </c>
      <c r="D303" s="48" t="s">
        <v>416</v>
      </c>
      <c r="E303" s="48" t="s">
        <v>336</v>
      </c>
      <c r="F303" s="48" t="s">
        <v>274</v>
      </c>
      <c r="G303" s="48" t="s">
        <v>288</v>
      </c>
      <c r="H303" s="48" t="s">
        <v>62</v>
      </c>
      <c r="I303" s="48" t="s">
        <v>93</v>
      </c>
      <c r="J303" s="49">
        <v>5</v>
      </c>
      <c r="K303" s="50">
        <v>1390</v>
      </c>
      <c r="L303" s="50">
        <v>1384.48</v>
      </c>
      <c r="M303" s="48" t="s">
        <v>276</v>
      </c>
      <c r="N303" s="51">
        <v>1</v>
      </c>
      <c r="O303" s="51">
        <v>1</v>
      </c>
      <c r="P303" s="52">
        <v>1186.2</v>
      </c>
      <c r="Q303" s="52">
        <v>1186.2</v>
      </c>
      <c r="R303" s="53" t="str">
        <f>INDEX(SKU_Master!$D$5:$D$34,MATCH($I303,SKU_Master!$A$5:$A$34,0))</f>
        <v>Laptop</v>
      </c>
      <c r="S303" s="54">
        <f t="shared" si="56"/>
        <v>3.9712230215827038E-3</v>
      </c>
      <c r="T303" s="55">
        <f t="shared" si="57"/>
        <v>6950</v>
      </c>
      <c r="U303" s="55">
        <f t="shared" si="58"/>
        <v>6922.4</v>
      </c>
      <c r="V303" s="55">
        <f t="shared" si="59"/>
        <v>-27.600000000000364</v>
      </c>
      <c r="W303" s="55">
        <f t="shared" si="60"/>
        <v>6922.4</v>
      </c>
      <c r="X303" s="55">
        <f t="shared" si="61"/>
        <v>0</v>
      </c>
      <c r="Y303" s="55">
        <f t="shared" si="62"/>
        <v>5931</v>
      </c>
      <c r="Z303" s="55">
        <f t="shared" si="63"/>
        <v>5931</v>
      </c>
      <c r="AA303" s="55">
        <f t="shared" si="64"/>
        <v>0</v>
      </c>
      <c r="AB303" s="55">
        <f t="shared" si="65"/>
        <v>991.39999999999964</v>
      </c>
      <c r="AC303" s="54">
        <f t="shared" si="66"/>
        <v>0.14321622558650174</v>
      </c>
      <c r="AD303" s="56">
        <f>INDEX(Assumptions!$B$14:$B$16,MATCH($R303,Assumptions!$A$14:$A$16,0))</f>
        <v>0.12</v>
      </c>
      <c r="AE303" s="56">
        <f>INDEX(Assumptions!$C$14:$C$16,MATCH($R303,Assumptions!$A$14:$A$16,0))</f>
        <v>0.08</v>
      </c>
      <c r="AF303" s="49">
        <f t="shared" si="67"/>
        <v>0</v>
      </c>
      <c r="AG303" s="49">
        <f t="shared" si="68"/>
        <v>0</v>
      </c>
      <c r="AH303" s="55">
        <f t="shared" si="69"/>
        <v>0</v>
      </c>
    </row>
    <row r="304" spans="1:34" x14ac:dyDescent="0.2">
      <c r="A304" s="48" t="s">
        <v>511</v>
      </c>
      <c r="B304" s="48">
        <v>2</v>
      </c>
      <c r="C304" s="48" t="s">
        <v>475</v>
      </c>
      <c r="D304" s="48" t="s">
        <v>416</v>
      </c>
      <c r="E304" s="48" t="s">
        <v>336</v>
      </c>
      <c r="F304" s="48" t="s">
        <v>274</v>
      </c>
      <c r="G304" s="48" t="s">
        <v>288</v>
      </c>
      <c r="H304" s="48" t="s">
        <v>62</v>
      </c>
      <c r="I304" s="48" t="s">
        <v>141</v>
      </c>
      <c r="J304" s="49">
        <v>4</v>
      </c>
      <c r="K304" s="50">
        <v>450</v>
      </c>
      <c r="L304" s="50">
        <v>441.95</v>
      </c>
      <c r="M304" s="48" t="s">
        <v>276</v>
      </c>
      <c r="N304" s="51">
        <v>1</v>
      </c>
      <c r="O304" s="51">
        <v>1</v>
      </c>
      <c r="P304" s="52">
        <v>351.7</v>
      </c>
      <c r="Q304" s="52">
        <v>351.7</v>
      </c>
      <c r="R304" s="53" t="str">
        <f>INDEX(SKU_Master!$D$5:$D$34,MATCH($I304,SKU_Master!$A$5:$A$34,0))</f>
        <v>Monitor</v>
      </c>
      <c r="S304" s="54">
        <f t="shared" si="56"/>
        <v>1.7888888888888954E-2</v>
      </c>
      <c r="T304" s="55">
        <f t="shared" si="57"/>
        <v>1800</v>
      </c>
      <c r="U304" s="55">
        <f t="shared" si="58"/>
        <v>1767.8</v>
      </c>
      <c r="V304" s="55">
        <f t="shared" si="59"/>
        <v>-32.200000000000045</v>
      </c>
      <c r="W304" s="55">
        <f t="shared" si="60"/>
        <v>1767.8</v>
      </c>
      <c r="X304" s="55">
        <f t="shared" si="61"/>
        <v>0</v>
      </c>
      <c r="Y304" s="55">
        <f t="shared" si="62"/>
        <v>1406.8</v>
      </c>
      <c r="Z304" s="55">
        <f t="shared" si="63"/>
        <v>1406.8</v>
      </c>
      <c r="AA304" s="55">
        <f t="shared" si="64"/>
        <v>0</v>
      </c>
      <c r="AB304" s="55">
        <f t="shared" si="65"/>
        <v>361</v>
      </c>
      <c r="AC304" s="54">
        <f t="shared" si="66"/>
        <v>0.20420862088471547</v>
      </c>
      <c r="AD304" s="56">
        <f>INDEX(Assumptions!$B$14:$B$16,MATCH($R304,Assumptions!$A$14:$A$16,0))</f>
        <v>0.18</v>
      </c>
      <c r="AE304" s="56">
        <f>INDEX(Assumptions!$C$14:$C$16,MATCH($R304,Assumptions!$A$14:$A$16,0))</f>
        <v>0.12</v>
      </c>
      <c r="AF304" s="49">
        <f t="shared" si="67"/>
        <v>0</v>
      </c>
      <c r="AG304" s="49">
        <f t="shared" si="68"/>
        <v>0</v>
      </c>
      <c r="AH304" s="55">
        <f t="shared" si="69"/>
        <v>0</v>
      </c>
    </row>
    <row r="305" spans="1:34" x14ac:dyDescent="0.2">
      <c r="A305" s="48" t="s">
        <v>512</v>
      </c>
      <c r="B305" s="48">
        <v>1</v>
      </c>
      <c r="C305" s="48" t="s">
        <v>462</v>
      </c>
      <c r="D305" s="48" t="s">
        <v>416</v>
      </c>
      <c r="E305" s="48" t="s">
        <v>296</v>
      </c>
      <c r="F305" s="48" t="s">
        <v>297</v>
      </c>
      <c r="G305" s="48" t="s">
        <v>298</v>
      </c>
      <c r="H305" s="48" t="s">
        <v>66</v>
      </c>
      <c r="I305" s="48" t="s">
        <v>98</v>
      </c>
      <c r="J305" s="49">
        <v>67</v>
      </c>
      <c r="K305" s="50">
        <v>1980</v>
      </c>
      <c r="L305" s="50">
        <v>1925.98</v>
      </c>
      <c r="M305" s="48" t="s">
        <v>276</v>
      </c>
      <c r="N305" s="51">
        <v>0.92</v>
      </c>
      <c r="O305" s="51">
        <v>0.91710000000000003</v>
      </c>
      <c r="P305" s="52">
        <v>1800.2</v>
      </c>
      <c r="Q305" s="52">
        <v>1800.2</v>
      </c>
      <c r="R305" s="53" t="str">
        <f>INDEX(SKU_Master!$D$5:$D$34,MATCH($I305,SKU_Master!$A$5:$A$34,0))</f>
        <v>Laptop</v>
      </c>
      <c r="S305" s="54">
        <f t="shared" si="56"/>
        <v>2.7282828282828242E-2</v>
      </c>
      <c r="T305" s="55">
        <f t="shared" si="57"/>
        <v>144195.65217391303</v>
      </c>
      <c r="U305" s="55">
        <f t="shared" si="58"/>
        <v>140261.58695652173</v>
      </c>
      <c r="V305" s="55">
        <f t="shared" si="59"/>
        <v>-3934.0652173912968</v>
      </c>
      <c r="W305" s="55">
        <f t="shared" si="60"/>
        <v>140705.11394613454</v>
      </c>
      <c r="X305" s="55">
        <f t="shared" si="61"/>
        <v>443.52698961281567</v>
      </c>
      <c r="Y305" s="55">
        <f t="shared" si="62"/>
        <v>120613.40000000001</v>
      </c>
      <c r="Z305" s="55">
        <f t="shared" si="63"/>
        <v>120613.40000000001</v>
      </c>
      <c r="AA305" s="55">
        <f t="shared" si="64"/>
        <v>0</v>
      </c>
      <c r="AB305" s="55">
        <f t="shared" si="65"/>
        <v>20091.713946134536</v>
      </c>
      <c r="AC305" s="54">
        <f t="shared" si="66"/>
        <v>0.14279306119482019</v>
      </c>
      <c r="AD305" s="56">
        <f>INDEX(Assumptions!$B$14:$B$16,MATCH($R305,Assumptions!$A$14:$A$16,0))</f>
        <v>0.12</v>
      </c>
      <c r="AE305" s="56">
        <f>INDEX(Assumptions!$C$14:$C$16,MATCH($R305,Assumptions!$A$14:$A$16,0))</f>
        <v>0.08</v>
      </c>
      <c r="AF305" s="49">
        <f t="shared" si="67"/>
        <v>0</v>
      </c>
      <c r="AG305" s="49">
        <f t="shared" si="68"/>
        <v>0</v>
      </c>
      <c r="AH305" s="55">
        <f t="shared" si="69"/>
        <v>0</v>
      </c>
    </row>
    <row r="306" spans="1:34" x14ac:dyDescent="0.2">
      <c r="A306" s="48" t="s">
        <v>512</v>
      </c>
      <c r="B306" s="48">
        <v>2</v>
      </c>
      <c r="C306" s="48" t="s">
        <v>462</v>
      </c>
      <c r="D306" s="48" t="s">
        <v>416</v>
      </c>
      <c r="E306" s="48" t="s">
        <v>296</v>
      </c>
      <c r="F306" s="48" t="s">
        <v>297</v>
      </c>
      <c r="G306" s="48" t="s">
        <v>298</v>
      </c>
      <c r="H306" s="48" t="s">
        <v>66</v>
      </c>
      <c r="I306" s="48" t="s">
        <v>138</v>
      </c>
      <c r="J306" s="49">
        <v>74</v>
      </c>
      <c r="K306" s="50">
        <v>460</v>
      </c>
      <c r="L306" s="50">
        <v>442.05</v>
      </c>
      <c r="M306" s="48" t="s">
        <v>276</v>
      </c>
      <c r="N306" s="51">
        <v>0.92</v>
      </c>
      <c r="O306" s="51">
        <v>0.91710000000000003</v>
      </c>
      <c r="P306" s="52">
        <v>383.2</v>
      </c>
      <c r="Q306" s="52">
        <v>383.2</v>
      </c>
      <c r="R306" s="53" t="str">
        <f>INDEX(SKU_Master!$D$5:$D$34,MATCH($I306,SKU_Master!$A$5:$A$34,0))</f>
        <v>Monitor</v>
      </c>
      <c r="S306" s="54">
        <f t="shared" si="56"/>
        <v>3.9021739130434718E-2</v>
      </c>
      <c r="T306" s="55">
        <f t="shared" si="57"/>
        <v>37000</v>
      </c>
      <c r="U306" s="55">
        <f t="shared" si="58"/>
        <v>35556.195652173912</v>
      </c>
      <c r="V306" s="55">
        <f t="shared" si="59"/>
        <v>-1443.8043478260879</v>
      </c>
      <c r="W306" s="55">
        <f t="shared" si="60"/>
        <v>35668.629375204451</v>
      </c>
      <c r="X306" s="55">
        <f t="shared" si="61"/>
        <v>112.43372303053911</v>
      </c>
      <c r="Y306" s="55">
        <f t="shared" si="62"/>
        <v>28356.799999999999</v>
      </c>
      <c r="Z306" s="55">
        <f t="shared" si="63"/>
        <v>28356.799999999999</v>
      </c>
      <c r="AA306" s="55">
        <f t="shared" si="64"/>
        <v>0</v>
      </c>
      <c r="AB306" s="55">
        <f t="shared" si="65"/>
        <v>7311.8293752044519</v>
      </c>
      <c r="AC306" s="54">
        <f t="shared" si="66"/>
        <v>0.20499328130302008</v>
      </c>
      <c r="AD306" s="56">
        <f>INDEX(Assumptions!$B$14:$B$16,MATCH($R306,Assumptions!$A$14:$A$16,0))</f>
        <v>0.18</v>
      </c>
      <c r="AE306" s="56">
        <f>INDEX(Assumptions!$C$14:$C$16,MATCH($R306,Assumptions!$A$14:$A$16,0))</f>
        <v>0.12</v>
      </c>
      <c r="AF306" s="49">
        <f t="shared" si="67"/>
        <v>0</v>
      </c>
      <c r="AG306" s="49">
        <f t="shared" si="68"/>
        <v>0</v>
      </c>
      <c r="AH306" s="55">
        <f t="shared" si="69"/>
        <v>0</v>
      </c>
    </row>
    <row r="307" spans="1:34" x14ac:dyDescent="0.2">
      <c r="A307" s="48" t="s">
        <v>513</v>
      </c>
      <c r="B307" s="48">
        <v>1</v>
      </c>
      <c r="C307" s="48" t="s">
        <v>426</v>
      </c>
      <c r="D307" s="48" t="s">
        <v>416</v>
      </c>
      <c r="E307" s="48" t="s">
        <v>293</v>
      </c>
      <c r="F307" s="48" t="s">
        <v>274</v>
      </c>
      <c r="G307" s="48" t="s">
        <v>275</v>
      </c>
      <c r="H307" s="48" t="s">
        <v>66</v>
      </c>
      <c r="I307" s="48" t="s">
        <v>106</v>
      </c>
      <c r="J307" s="49">
        <v>7</v>
      </c>
      <c r="K307" s="50">
        <v>1450</v>
      </c>
      <c r="L307" s="50">
        <v>1445.72</v>
      </c>
      <c r="M307" s="48" t="s">
        <v>276</v>
      </c>
      <c r="N307" s="51">
        <v>0.92</v>
      </c>
      <c r="O307" s="51">
        <v>0.91710000000000003</v>
      </c>
      <c r="P307" s="52">
        <v>1318.4</v>
      </c>
      <c r="Q307" s="52">
        <v>1318.4</v>
      </c>
      <c r="R307" s="53" t="str">
        <f>INDEX(SKU_Master!$D$5:$D$34,MATCH($I307,SKU_Master!$A$5:$A$34,0))</f>
        <v>Laptop</v>
      </c>
      <c r="S307" s="54">
        <f t="shared" si="56"/>
        <v>2.9517241379309889E-3</v>
      </c>
      <c r="T307" s="55">
        <f t="shared" si="57"/>
        <v>11032.608695652174</v>
      </c>
      <c r="U307" s="55">
        <f t="shared" si="58"/>
        <v>11000.04347826087</v>
      </c>
      <c r="V307" s="55">
        <f t="shared" si="59"/>
        <v>-32.565217391304031</v>
      </c>
      <c r="W307" s="55">
        <f t="shared" si="60"/>
        <v>11034.827172609313</v>
      </c>
      <c r="X307" s="55">
        <f t="shared" si="61"/>
        <v>34.783694348443532</v>
      </c>
      <c r="Y307" s="55">
        <f t="shared" si="62"/>
        <v>9228.8000000000011</v>
      </c>
      <c r="Z307" s="55">
        <f t="shared" si="63"/>
        <v>9228.8000000000011</v>
      </c>
      <c r="AA307" s="55">
        <f t="shared" si="64"/>
        <v>0</v>
      </c>
      <c r="AB307" s="55">
        <f t="shared" si="65"/>
        <v>1806.0271726093124</v>
      </c>
      <c r="AC307" s="54">
        <f t="shared" si="66"/>
        <v>0.16366610408654514</v>
      </c>
      <c r="AD307" s="56">
        <f>INDEX(Assumptions!$B$14:$B$16,MATCH($R307,Assumptions!$A$14:$A$16,0))</f>
        <v>0.12</v>
      </c>
      <c r="AE307" s="56">
        <f>INDEX(Assumptions!$C$14:$C$16,MATCH($R307,Assumptions!$A$14:$A$16,0))</f>
        <v>0.08</v>
      </c>
      <c r="AF307" s="49">
        <f t="shared" si="67"/>
        <v>0</v>
      </c>
      <c r="AG307" s="49">
        <f t="shared" si="68"/>
        <v>0</v>
      </c>
      <c r="AH307" s="55">
        <f t="shared" si="69"/>
        <v>0</v>
      </c>
    </row>
    <row r="308" spans="1:34" x14ac:dyDescent="0.2">
      <c r="A308" s="48" t="s">
        <v>513</v>
      </c>
      <c r="B308" s="48">
        <v>2</v>
      </c>
      <c r="C308" s="48" t="s">
        <v>426</v>
      </c>
      <c r="D308" s="48" t="s">
        <v>416</v>
      </c>
      <c r="E308" s="48" t="s">
        <v>293</v>
      </c>
      <c r="F308" s="48" t="s">
        <v>274</v>
      </c>
      <c r="G308" s="48" t="s">
        <v>275</v>
      </c>
      <c r="H308" s="48" t="s">
        <v>66</v>
      </c>
      <c r="I308" s="48" t="s">
        <v>135</v>
      </c>
      <c r="J308" s="49">
        <v>4</v>
      </c>
      <c r="K308" s="50">
        <v>255</v>
      </c>
      <c r="L308" s="50">
        <v>254.35</v>
      </c>
      <c r="M308" s="48" t="s">
        <v>276</v>
      </c>
      <c r="N308" s="51">
        <v>0.92</v>
      </c>
      <c r="O308" s="51">
        <v>0.91710000000000003</v>
      </c>
      <c r="P308" s="52">
        <v>211.7</v>
      </c>
      <c r="Q308" s="52">
        <v>211.7</v>
      </c>
      <c r="R308" s="53" t="str">
        <f>INDEX(SKU_Master!$D$5:$D$34,MATCH($I308,SKU_Master!$A$5:$A$34,0))</f>
        <v>Monitor</v>
      </c>
      <c r="S308" s="54">
        <f t="shared" si="56"/>
        <v>2.5490196078431504E-3</v>
      </c>
      <c r="T308" s="55">
        <f t="shared" si="57"/>
        <v>1108.695652173913</v>
      </c>
      <c r="U308" s="55">
        <f t="shared" si="58"/>
        <v>1105.8695652173913</v>
      </c>
      <c r="V308" s="55">
        <f t="shared" si="59"/>
        <v>-2.826086956521749</v>
      </c>
      <c r="W308" s="55">
        <f t="shared" si="60"/>
        <v>1109.3664812997492</v>
      </c>
      <c r="X308" s="55">
        <f t="shared" si="61"/>
        <v>3.4969160823579841</v>
      </c>
      <c r="Y308" s="55">
        <f t="shared" si="62"/>
        <v>846.8</v>
      </c>
      <c r="Z308" s="55">
        <f t="shared" si="63"/>
        <v>846.8</v>
      </c>
      <c r="AA308" s="55">
        <f t="shared" si="64"/>
        <v>0</v>
      </c>
      <c r="AB308" s="55">
        <f t="shared" si="65"/>
        <v>262.56648129974928</v>
      </c>
      <c r="AC308" s="54">
        <f t="shared" si="66"/>
        <v>0.23668146255160219</v>
      </c>
      <c r="AD308" s="56">
        <f>INDEX(Assumptions!$B$14:$B$16,MATCH($R308,Assumptions!$A$14:$A$16,0))</f>
        <v>0.18</v>
      </c>
      <c r="AE308" s="56">
        <f>INDEX(Assumptions!$C$14:$C$16,MATCH($R308,Assumptions!$A$14:$A$16,0))</f>
        <v>0.12</v>
      </c>
      <c r="AF308" s="49">
        <f t="shared" si="67"/>
        <v>0</v>
      </c>
      <c r="AG308" s="49">
        <f t="shared" si="68"/>
        <v>0</v>
      </c>
      <c r="AH308" s="55">
        <f t="shared" si="69"/>
        <v>0</v>
      </c>
    </row>
    <row r="309" spans="1:34" x14ac:dyDescent="0.2">
      <c r="A309" s="48" t="s">
        <v>513</v>
      </c>
      <c r="B309" s="48">
        <v>3</v>
      </c>
      <c r="C309" s="48" t="s">
        <v>426</v>
      </c>
      <c r="D309" s="48" t="s">
        <v>416</v>
      </c>
      <c r="E309" s="48" t="s">
        <v>293</v>
      </c>
      <c r="F309" s="48" t="s">
        <v>274</v>
      </c>
      <c r="G309" s="48" t="s">
        <v>275</v>
      </c>
      <c r="H309" s="48" t="s">
        <v>66</v>
      </c>
      <c r="I309" s="48" t="s">
        <v>161</v>
      </c>
      <c r="J309" s="49">
        <v>6</v>
      </c>
      <c r="K309" s="50">
        <v>120</v>
      </c>
      <c r="L309" s="50">
        <v>119.83</v>
      </c>
      <c r="M309" s="48" t="s">
        <v>276</v>
      </c>
      <c r="N309" s="51">
        <v>0.92</v>
      </c>
      <c r="O309" s="51">
        <v>0.91710000000000003</v>
      </c>
      <c r="P309" s="52">
        <v>81</v>
      </c>
      <c r="Q309" s="52">
        <v>81</v>
      </c>
      <c r="R309" s="53" t="str">
        <f>INDEX(SKU_Master!$D$5:$D$34,MATCH($I309,SKU_Master!$A$5:$A$34,0))</f>
        <v>Accessory</v>
      </c>
      <c r="S309" s="54">
        <f t="shared" si="56"/>
        <v>1.4166666666667327E-3</v>
      </c>
      <c r="T309" s="55">
        <f t="shared" si="57"/>
        <v>782.60869565217388</v>
      </c>
      <c r="U309" s="55">
        <f t="shared" si="58"/>
        <v>781.5</v>
      </c>
      <c r="V309" s="55">
        <f t="shared" si="59"/>
        <v>-1.1086956521738784</v>
      </c>
      <c r="W309" s="55">
        <f t="shared" si="60"/>
        <v>783.97121360811252</v>
      </c>
      <c r="X309" s="55">
        <f t="shared" si="61"/>
        <v>2.4712136081125209</v>
      </c>
      <c r="Y309" s="55">
        <f t="shared" si="62"/>
        <v>486</v>
      </c>
      <c r="Z309" s="55">
        <f t="shared" si="63"/>
        <v>486</v>
      </c>
      <c r="AA309" s="55">
        <f t="shared" si="64"/>
        <v>0</v>
      </c>
      <c r="AB309" s="55">
        <f t="shared" si="65"/>
        <v>297.97121360811252</v>
      </c>
      <c r="AC309" s="54">
        <f t="shared" si="66"/>
        <v>0.38007927897855293</v>
      </c>
      <c r="AD309" s="56">
        <f>INDEX(Assumptions!$B$14:$B$16,MATCH($R309,Assumptions!$A$14:$A$16,0))</f>
        <v>0.32</v>
      </c>
      <c r="AE309" s="56">
        <f>INDEX(Assumptions!$C$14:$C$16,MATCH($R309,Assumptions!$A$14:$A$16,0))</f>
        <v>0.22</v>
      </c>
      <c r="AF309" s="49">
        <f t="shared" si="67"/>
        <v>0</v>
      </c>
      <c r="AG309" s="49">
        <f t="shared" si="68"/>
        <v>0</v>
      </c>
      <c r="AH309" s="55">
        <f t="shared" si="69"/>
        <v>0</v>
      </c>
    </row>
    <row r="310" spans="1:34" x14ac:dyDescent="0.2">
      <c r="A310" s="48" t="s">
        <v>514</v>
      </c>
      <c r="B310" s="48">
        <v>1</v>
      </c>
      <c r="C310" s="48" t="s">
        <v>475</v>
      </c>
      <c r="D310" s="48" t="s">
        <v>416</v>
      </c>
      <c r="E310" s="48" t="s">
        <v>410</v>
      </c>
      <c r="F310" s="48" t="s">
        <v>297</v>
      </c>
      <c r="G310" s="48" t="s">
        <v>302</v>
      </c>
      <c r="H310" s="48" t="s">
        <v>64</v>
      </c>
      <c r="I310" s="48" t="s">
        <v>106</v>
      </c>
      <c r="J310" s="49">
        <v>22</v>
      </c>
      <c r="K310" s="50">
        <v>1250</v>
      </c>
      <c r="L310" s="50">
        <v>1160.83</v>
      </c>
      <c r="M310" s="48" t="s">
        <v>276</v>
      </c>
      <c r="N310" s="51">
        <v>0.79</v>
      </c>
      <c r="O310" s="51">
        <v>0.78920000000000001</v>
      </c>
      <c r="P310" s="52">
        <v>1322.4</v>
      </c>
      <c r="Q310" s="52">
        <v>1322.4</v>
      </c>
      <c r="R310" s="53" t="str">
        <f>INDEX(SKU_Master!$D$5:$D$34,MATCH($I310,SKU_Master!$A$5:$A$34,0))</f>
        <v>Laptop</v>
      </c>
      <c r="S310" s="54">
        <f t="shared" si="56"/>
        <v>7.1336000000000066E-2</v>
      </c>
      <c r="T310" s="55">
        <f t="shared" si="57"/>
        <v>34810.126582278477</v>
      </c>
      <c r="U310" s="55">
        <f t="shared" si="58"/>
        <v>32326.911392405058</v>
      </c>
      <c r="V310" s="55">
        <f t="shared" si="59"/>
        <v>-2483.2151898734191</v>
      </c>
      <c r="W310" s="55">
        <f t="shared" si="60"/>
        <v>32359.680689305624</v>
      </c>
      <c r="X310" s="55">
        <f t="shared" si="61"/>
        <v>32.769296900565678</v>
      </c>
      <c r="Y310" s="55">
        <f t="shared" si="62"/>
        <v>29092.800000000003</v>
      </c>
      <c r="Z310" s="55">
        <f t="shared" si="63"/>
        <v>29092.800000000003</v>
      </c>
      <c r="AA310" s="55">
        <f t="shared" si="64"/>
        <v>0</v>
      </c>
      <c r="AB310" s="55">
        <f t="shared" si="65"/>
        <v>3266.8806893056208</v>
      </c>
      <c r="AC310" s="54">
        <f t="shared" si="66"/>
        <v>0.10095528199650235</v>
      </c>
      <c r="AD310" s="56">
        <f>INDEX(Assumptions!$B$14:$B$16,MATCH($R310,Assumptions!$A$14:$A$16,0))</f>
        <v>0.12</v>
      </c>
      <c r="AE310" s="56">
        <f>INDEX(Assumptions!$C$14:$C$16,MATCH($R310,Assumptions!$A$14:$A$16,0))</f>
        <v>0.08</v>
      </c>
      <c r="AF310" s="49">
        <f t="shared" si="67"/>
        <v>0</v>
      </c>
      <c r="AG310" s="49">
        <f t="shared" si="68"/>
        <v>0</v>
      </c>
      <c r="AH310" s="55">
        <f t="shared" si="69"/>
        <v>616.28099341105371</v>
      </c>
    </row>
    <row r="311" spans="1:34" x14ac:dyDescent="0.2">
      <c r="A311" s="48" t="s">
        <v>515</v>
      </c>
      <c r="B311" s="48">
        <v>1</v>
      </c>
      <c r="C311" s="48" t="s">
        <v>426</v>
      </c>
      <c r="D311" s="48" t="s">
        <v>416</v>
      </c>
      <c r="E311" s="48" t="s">
        <v>322</v>
      </c>
      <c r="F311" s="48" t="s">
        <v>274</v>
      </c>
      <c r="G311" s="48" t="s">
        <v>288</v>
      </c>
      <c r="H311" s="48" t="s">
        <v>62</v>
      </c>
      <c r="I311" s="48" t="s">
        <v>98</v>
      </c>
      <c r="J311" s="49">
        <v>3</v>
      </c>
      <c r="K311" s="50">
        <v>2085</v>
      </c>
      <c r="L311" s="50">
        <v>2053.65</v>
      </c>
      <c r="M311" s="48" t="s">
        <v>276</v>
      </c>
      <c r="N311" s="51">
        <v>1</v>
      </c>
      <c r="O311" s="51">
        <v>1</v>
      </c>
      <c r="P311" s="52">
        <v>1780.2</v>
      </c>
      <c r="Q311" s="52">
        <v>1780.2</v>
      </c>
      <c r="R311" s="53" t="str">
        <f>INDEX(SKU_Master!$D$5:$D$34,MATCH($I311,SKU_Master!$A$5:$A$34,0))</f>
        <v>Laptop</v>
      </c>
      <c r="S311" s="54">
        <f t="shared" si="56"/>
        <v>1.5035971223021583E-2</v>
      </c>
      <c r="T311" s="55">
        <f t="shared" si="57"/>
        <v>6255</v>
      </c>
      <c r="U311" s="55">
        <f t="shared" si="58"/>
        <v>6160.9500000000007</v>
      </c>
      <c r="V311" s="55">
        <f t="shared" si="59"/>
        <v>-94.049999999999272</v>
      </c>
      <c r="W311" s="55">
        <f t="shared" si="60"/>
        <v>6160.9500000000007</v>
      </c>
      <c r="X311" s="55">
        <f t="shared" si="61"/>
        <v>0</v>
      </c>
      <c r="Y311" s="55">
        <f t="shared" si="62"/>
        <v>5340.6</v>
      </c>
      <c r="Z311" s="55">
        <f t="shared" si="63"/>
        <v>5340.6</v>
      </c>
      <c r="AA311" s="55">
        <f t="shared" si="64"/>
        <v>0</v>
      </c>
      <c r="AB311" s="55">
        <f t="shared" si="65"/>
        <v>820.35000000000036</v>
      </c>
      <c r="AC311" s="54">
        <f t="shared" si="66"/>
        <v>0.13315316631363674</v>
      </c>
      <c r="AD311" s="56">
        <f>INDEX(Assumptions!$B$14:$B$16,MATCH($R311,Assumptions!$A$14:$A$16,0))</f>
        <v>0.12</v>
      </c>
      <c r="AE311" s="56">
        <f>INDEX(Assumptions!$C$14:$C$16,MATCH($R311,Assumptions!$A$14:$A$16,0))</f>
        <v>0.08</v>
      </c>
      <c r="AF311" s="49">
        <f t="shared" si="67"/>
        <v>0</v>
      </c>
      <c r="AG311" s="49">
        <f t="shared" si="68"/>
        <v>0</v>
      </c>
      <c r="AH311" s="55">
        <f t="shared" si="69"/>
        <v>0</v>
      </c>
    </row>
    <row r="312" spans="1:34" x14ac:dyDescent="0.2">
      <c r="A312" s="48" t="s">
        <v>515</v>
      </c>
      <c r="B312" s="48">
        <v>2</v>
      </c>
      <c r="C312" s="48" t="s">
        <v>426</v>
      </c>
      <c r="D312" s="48" t="s">
        <v>416</v>
      </c>
      <c r="E312" s="48" t="s">
        <v>322</v>
      </c>
      <c r="F312" s="48" t="s">
        <v>274</v>
      </c>
      <c r="G312" s="48" t="s">
        <v>288</v>
      </c>
      <c r="H312" s="48" t="s">
        <v>62</v>
      </c>
      <c r="I312" s="48" t="s">
        <v>138</v>
      </c>
      <c r="J312" s="49">
        <v>1</v>
      </c>
      <c r="K312" s="50">
        <v>455</v>
      </c>
      <c r="L312" s="50">
        <v>453.81</v>
      </c>
      <c r="M312" s="48" t="s">
        <v>276</v>
      </c>
      <c r="N312" s="51">
        <v>1</v>
      </c>
      <c r="O312" s="51">
        <v>1</v>
      </c>
      <c r="P312" s="52">
        <v>358.2</v>
      </c>
      <c r="Q312" s="52">
        <v>358.2</v>
      </c>
      <c r="R312" s="53" t="str">
        <f>INDEX(SKU_Master!$D$5:$D$34,MATCH($I312,SKU_Master!$A$5:$A$34,0))</f>
        <v>Monitor</v>
      </c>
      <c r="S312" s="54">
        <f t="shared" si="56"/>
        <v>2.615384615384575E-3</v>
      </c>
      <c r="T312" s="55">
        <f t="shared" si="57"/>
        <v>455</v>
      </c>
      <c r="U312" s="55">
        <f t="shared" si="58"/>
        <v>453.81</v>
      </c>
      <c r="V312" s="55">
        <f t="shared" si="59"/>
        <v>-1.1899999999999977</v>
      </c>
      <c r="W312" s="55">
        <f t="shared" si="60"/>
        <v>453.81</v>
      </c>
      <c r="X312" s="55">
        <f t="shared" si="61"/>
        <v>0</v>
      </c>
      <c r="Y312" s="55">
        <f t="shared" si="62"/>
        <v>358.2</v>
      </c>
      <c r="Z312" s="55">
        <f t="shared" si="63"/>
        <v>358.2</v>
      </c>
      <c r="AA312" s="55">
        <f t="shared" si="64"/>
        <v>0</v>
      </c>
      <c r="AB312" s="55">
        <f t="shared" si="65"/>
        <v>95.610000000000014</v>
      </c>
      <c r="AC312" s="54">
        <f t="shared" si="66"/>
        <v>0.21068288490778081</v>
      </c>
      <c r="AD312" s="56">
        <f>INDEX(Assumptions!$B$14:$B$16,MATCH($R312,Assumptions!$A$14:$A$16,0))</f>
        <v>0.18</v>
      </c>
      <c r="AE312" s="56">
        <f>INDEX(Assumptions!$C$14:$C$16,MATCH($R312,Assumptions!$A$14:$A$16,0))</f>
        <v>0.12</v>
      </c>
      <c r="AF312" s="49">
        <f t="shared" si="67"/>
        <v>0</v>
      </c>
      <c r="AG312" s="49">
        <f t="shared" si="68"/>
        <v>0</v>
      </c>
      <c r="AH312" s="55">
        <f t="shared" si="69"/>
        <v>0</v>
      </c>
    </row>
    <row r="313" spans="1:34" x14ac:dyDescent="0.2">
      <c r="A313" s="48" t="s">
        <v>515</v>
      </c>
      <c r="B313" s="48">
        <v>3</v>
      </c>
      <c r="C313" s="48" t="s">
        <v>426</v>
      </c>
      <c r="D313" s="48" t="s">
        <v>416</v>
      </c>
      <c r="E313" s="48" t="s">
        <v>322</v>
      </c>
      <c r="F313" s="48" t="s">
        <v>274</v>
      </c>
      <c r="G313" s="48" t="s">
        <v>288</v>
      </c>
      <c r="H313" s="48" t="s">
        <v>62</v>
      </c>
      <c r="I313" s="48" t="s">
        <v>161</v>
      </c>
      <c r="J313" s="49">
        <v>1</v>
      </c>
      <c r="K313" s="50">
        <v>120</v>
      </c>
      <c r="L313" s="50">
        <v>119.11</v>
      </c>
      <c r="M313" s="48" t="s">
        <v>276</v>
      </c>
      <c r="N313" s="51">
        <v>1</v>
      </c>
      <c r="O313" s="51">
        <v>1</v>
      </c>
      <c r="P313" s="52">
        <v>76</v>
      </c>
      <c r="Q313" s="52">
        <v>76</v>
      </c>
      <c r="R313" s="53" t="str">
        <f>INDEX(SKU_Master!$D$5:$D$34,MATCH($I313,SKU_Master!$A$5:$A$34,0))</f>
        <v>Accessory</v>
      </c>
      <c r="S313" s="54">
        <f t="shared" si="56"/>
        <v>7.416666666666627E-3</v>
      </c>
      <c r="T313" s="55">
        <f t="shared" si="57"/>
        <v>120</v>
      </c>
      <c r="U313" s="55">
        <f t="shared" si="58"/>
        <v>119.11</v>
      </c>
      <c r="V313" s="55">
        <f t="shared" si="59"/>
        <v>-0.89000000000000057</v>
      </c>
      <c r="W313" s="55">
        <f t="shared" si="60"/>
        <v>119.11</v>
      </c>
      <c r="X313" s="55">
        <f t="shared" si="61"/>
        <v>0</v>
      </c>
      <c r="Y313" s="55">
        <f t="shared" si="62"/>
        <v>76</v>
      </c>
      <c r="Z313" s="55">
        <f t="shared" si="63"/>
        <v>76</v>
      </c>
      <c r="AA313" s="55">
        <f t="shared" si="64"/>
        <v>0</v>
      </c>
      <c r="AB313" s="55">
        <f t="shared" si="65"/>
        <v>43.11</v>
      </c>
      <c r="AC313" s="54">
        <f t="shared" si="66"/>
        <v>0.36193434640248512</v>
      </c>
      <c r="AD313" s="56">
        <f>INDEX(Assumptions!$B$14:$B$16,MATCH($R313,Assumptions!$A$14:$A$16,0))</f>
        <v>0.32</v>
      </c>
      <c r="AE313" s="56">
        <f>INDEX(Assumptions!$C$14:$C$16,MATCH($R313,Assumptions!$A$14:$A$16,0))</f>
        <v>0.22</v>
      </c>
      <c r="AF313" s="49">
        <f t="shared" si="67"/>
        <v>0</v>
      </c>
      <c r="AG313" s="49">
        <f t="shared" si="68"/>
        <v>0</v>
      </c>
      <c r="AH313" s="55">
        <f t="shared" si="69"/>
        <v>0</v>
      </c>
    </row>
    <row r="314" spans="1:34" x14ac:dyDescent="0.2">
      <c r="A314" s="48" t="s">
        <v>516</v>
      </c>
      <c r="B314" s="48">
        <v>1</v>
      </c>
      <c r="C314" s="48" t="s">
        <v>480</v>
      </c>
      <c r="D314" s="48" t="s">
        <v>416</v>
      </c>
      <c r="E314" s="48" t="s">
        <v>362</v>
      </c>
      <c r="F314" s="48" t="s">
        <v>280</v>
      </c>
      <c r="G314" s="48" t="s">
        <v>275</v>
      </c>
      <c r="H314" s="48" t="s">
        <v>62</v>
      </c>
      <c r="I314" s="48" t="s">
        <v>110</v>
      </c>
      <c r="J314" s="49">
        <v>14</v>
      </c>
      <c r="K314" s="50">
        <v>1165</v>
      </c>
      <c r="L314" s="50">
        <v>1117.99</v>
      </c>
      <c r="M314" s="48" t="s">
        <v>276</v>
      </c>
      <c r="N314" s="51">
        <v>1</v>
      </c>
      <c r="O314" s="51">
        <v>1</v>
      </c>
      <c r="P314" s="52">
        <v>992.65</v>
      </c>
      <c r="Q314" s="52">
        <v>992.65</v>
      </c>
      <c r="R314" s="53" t="str">
        <f>INDEX(SKU_Master!$D$5:$D$34,MATCH($I314,SKU_Master!$A$5:$A$34,0))</f>
        <v>Laptop</v>
      </c>
      <c r="S314" s="54">
        <f t="shared" si="56"/>
        <v>4.0351931330472102E-2</v>
      </c>
      <c r="T314" s="55">
        <f t="shared" si="57"/>
        <v>16310</v>
      </c>
      <c r="U314" s="55">
        <f t="shared" si="58"/>
        <v>15651.86</v>
      </c>
      <c r="V314" s="55">
        <f t="shared" si="59"/>
        <v>-658.13999999999942</v>
      </c>
      <c r="W314" s="55">
        <f t="shared" si="60"/>
        <v>15651.86</v>
      </c>
      <c r="X314" s="55">
        <f t="shared" si="61"/>
        <v>0</v>
      </c>
      <c r="Y314" s="55">
        <f t="shared" si="62"/>
        <v>13897.1</v>
      </c>
      <c r="Z314" s="55">
        <f t="shared" si="63"/>
        <v>13897.1</v>
      </c>
      <c r="AA314" s="55">
        <f t="shared" si="64"/>
        <v>0</v>
      </c>
      <c r="AB314" s="55">
        <f t="shared" si="65"/>
        <v>1754.7600000000002</v>
      </c>
      <c r="AC314" s="54">
        <f t="shared" si="66"/>
        <v>0.11211191513340907</v>
      </c>
      <c r="AD314" s="56">
        <f>INDEX(Assumptions!$B$14:$B$16,MATCH($R314,Assumptions!$A$14:$A$16,0))</f>
        <v>0.12</v>
      </c>
      <c r="AE314" s="56">
        <f>INDEX(Assumptions!$C$14:$C$16,MATCH($R314,Assumptions!$A$14:$A$16,0))</f>
        <v>0.08</v>
      </c>
      <c r="AF314" s="49">
        <f t="shared" si="67"/>
        <v>0</v>
      </c>
      <c r="AG314" s="49">
        <f t="shared" si="68"/>
        <v>0</v>
      </c>
      <c r="AH314" s="55">
        <f t="shared" si="69"/>
        <v>123.46319999999969</v>
      </c>
    </row>
    <row r="315" spans="1:34" x14ac:dyDescent="0.2">
      <c r="A315" s="48" t="s">
        <v>517</v>
      </c>
      <c r="B315" s="48">
        <v>1</v>
      </c>
      <c r="C315" s="48" t="s">
        <v>421</v>
      </c>
      <c r="D315" s="48" t="s">
        <v>416</v>
      </c>
      <c r="E315" s="48" t="s">
        <v>279</v>
      </c>
      <c r="F315" s="48" t="s">
        <v>280</v>
      </c>
      <c r="G315" s="48" t="s">
        <v>281</v>
      </c>
      <c r="H315" s="48" t="s">
        <v>64</v>
      </c>
      <c r="I315" s="48" t="s">
        <v>121</v>
      </c>
      <c r="J315" s="49">
        <v>29</v>
      </c>
      <c r="K315" s="50">
        <v>765</v>
      </c>
      <c r="L315" s="50">
        <v>736.16</v>
      </c>
      <c r="M315" s="48" t="s">
        <v>276</v>
      </c>
      <c r="N315" s="51">
        <v>0.79</v>
      </c>
      <c r="O315" s="51">
        <v>0.78920000000000001</v>
      </c>
      <c r="P315" s="52">
        <v>806.4</v>
      </c>
      <c r="Q315" s="52">
        <v>806.4</v>
      </c>
      <c r="R315" s="53" t="str">
        <f>INDEX(SKU_Master!$D$5:$D$34,MATCH($I315,SKU_Master!$A$5:$A$34,0))</f>
        <v>Laptop</v>
      </c>
      <c r="S315" s="54">
        <f t="shared" si="56"/>
        <v>3.7699346405228762E-2</v>
      </c>
      <c r="T315" s="55">
        <f t="shared" si="57"/>
        <v>28082.278481012658</v>
      </c>
      <c r="U315" s="55">
        <f t="shared" si="58"/>
        <v>27023.594936708858</v>
      </c>
      <c r="V315" s="55">
        <f t="shared" si="59"/>
        <v>-1058.6835443037999</v>
      </c>
      <c r="W315" s="55">
        <f t="shared" si="60"/>
        <v>27050.988342625442</v>
      </c>
      <c r="X315" s="55">
        <f t="shared" si="61"/>
        <v>27.393405916584015</v>
      </c>
      <c r="Y315" s="55">
        <f t="shared" si="62"/>
        <v>23385.599999999999</v>
      </c>
      <c r="Z315" s="55">
        <f t="shared" si="63"/>
        <v>23385.599999999999</v>
      </c>
      <c r="AA315" s="55">
        <f t="shared" si="64"/>
        <v>0</v>
      </c>
      <c r="AB315" s="55">
        <f t="shared" si="65"/>
        <v>3665.3883426254433</v>
      </c>
      <c r="AC315" s="54">
        <f t="shared" si="66"/>
        <v>0.13549923929580526</v>
      </c>
      <c r="AD315" s="56">
        <f>INDEX(Assumptions!$B$14:$B$16,MATCH($R315,Assumptions!$A$14:$A$16,0))</f>
        <v>0.12</v>
      </c>
      <c r="AE315" s="56">
        <f>INDEX(Assumptions!$C$14:$C$16,MATCH($R315,Assumptions!$A$14:$A$16,0))</f>
        <v>0.08</v>
      </c>
      <c r="AF315" s="49">
        <f t="shared" si="67"/>
        <v>0</v>
      </c>
      <c r="AG315" s="49">
        <f t="shared" si="68"/>
        <v>0</v>
      </c>
      <c r="AH315" s="55">
        <f t="shared" si="69"/>
        <v>0</v>
      </c>
    </row>
    <row r="316" spans="1:34" x14ac:dyDescent="0.2">
      <c r="A316" s="48" t="s">
        <v>518</v>
      </c>
      <c r="B316" s="48">
        <v>1</v>
      </c>
      <c r="C316" s="48" t="s">
        <v>436</v>
      </c>
      <c r="D316" s="48" t="s">
        <v>416</v>
      </c>
      <c r="E316" s="48" t="s">
        <v>358</v>
      </c>
      <c r="F316" s="48" t="s">
        <v>274</v>
      </c>
      <c r="G316" s="48" t="s">
        <v>288</v>
      </c>
      <c r="H316" s="48" t="s">
        <v>62</v>
      </c>
      <c r="I316" s="48" t="s">
        <v>108</v>
      </c>
      <c r="J316" s="49">
        <v>6</v>
      </c>
      <c r="K316" s="50">
        <v>1345</v>
      </c>
      <c r="L316" s="50">
        <v>1334.04</v>
      </c>
      <c r="M316" s="48" t="s">
        <v>276</v>
      </c>
      <c r="N316" s="51">
        <v>1</v>
      </c>
      <c r="O316" s="51">
        <v>1</v>
      </c>
      <c r="P316" s="52">
        <v>1145</v>
      </c>
      <c r="Q316" s="52">
        <v>1145</v>
      </c>
      <c r="R316" s="53" t="str">
        <f>INDEX(SKU_Master!$D$5:$D$34,MATCH($I316,SKU_Master!$A$5:$A$34,0))</f>
        <v>Laptop</v>
      </c>
      <c r="S316" s="54">
        <f t="shared" si="56"/>
        <v>8.148698884758443E-3</v>
      </c>
      <c r="T316" s="55">
        <f t="shared" si="57"/>
        <v>8070</v>
      </c>
      <c r="U316" s="55">
        <f t="shared" si="58"/>
        <v>8004.24</v>
      </c>
      <c r="V316" s="55">
        <f t="shared" si="59"/>
        <v>-65.760000000000218</v>
      </c>
      <c r="W316" s="55">
        <f t="shared" si="60"/>
        <v>8004.24</v>
      </c>
      <c r="X316" s="55">
        <f t="shared" si="61"/>
        <v>0</v>
      </c>
      <c r="Y316" s="55">
        <f t="shared" si="62"/>
        <v>6870</v>
      </c>
      <c r="Z316" s="55">
        <f t="shared" si="63"/>
        <v>6870</v>
      </c>
      <c r="AA316" s="55">
        <f t="shared" si="64"/>
        <v>0</v>
      </c>
      <c r="AB316" s="55">
        <f t="shared" si="65"/>
        <v>1134.2399999999998</v>
      </c>
      <c r="AC316" s="54">
        <f t="shared" si="66"/>
        <v>0.14170489640490538</v>
      </c>
      <c r="AD316" s="56">
        <f>INDEX(Assumptions!$B$14:$B$16,MATCH($R316,Assumptions!$A$14:$A$16,0))</f>
        <v>0.12</v>
      </c>
      <c r="AE316" s="56">
        <f>INDEX(Assumptions!$C$14:$C$16,MATCH($R316,Assumptions!$A$14:$A$16,0))</f>
        <v>0.08</v>
      </c>
      <c r="AF316" s="49">
        <f t="shared" si="67"/>
        <v>0</v>
      </c>
      <c r="AG316" s="49">
        <f t="shared" si="68"/>
        <v>0</v>
      </c>
      <c r="AH316" s="55">
        <f t="shared" si="69"/>
        <v>0</v>
      </c>
    </row>
    <row r="317" spans="1:34" x14ac:dyDescent="0.2">
      <c r="A317" s="48" t="s">
        <v>518</v>
      </c>
      <c r="B317" s="48">
        <v>2</v>
      </c>
      <c r="C317" s="48" t="s">
        <v>436</v>
      </c>
      <c r="D317" s="48" t="s">
        <v>416</v>
      </c>
      <c r="E317" s="48" t="s">
        <v>358</v>
      </c>
      <c r="F317" s="48" t="s">
        <v>274</v>
      </c>
      <c r="G317" s="48" t="s">
        <v>288</v>
      </c>
      <c r="H317" s="48" t="s">
        <v>62</v>
      </c>
      <c r="I317" s="48" t="s">
        <v>138</v>
      </c>
      <c r="J317" s="49">
        <v>5</v>
      </c>
      <c r="K317" s="50">
        <v>455</v>
      </c>
      <c r="L317" s="50">
        <v>447.39</v>
      </c>
      <c r="M317" s="48" t="s">
        <v>276</v>
      </c>
      <c r="N317" s="51">
        <v>1</v>
      </c>
      <c r="O317" s="51">
        <v>1</v>
      </c>
      <c r="P317" s="52">
        <v>358.2</v>
      </c>
      <c r="Q317" s="52">
        <v>358.2</v>
      </c>
      <c r="R317" s="53" t="str">
        <f>INDEX(SKU_Master!$D$5:$D$34,MATCH($I317,SKU_Master!$A$5:$A$34,0))</f>
        <v>Monitor</v>
      </c>
      <c r="S317" s="54">
        <f t="shared" si="56"/>
        <v>1.6725274725274741E-2</v>
      </c>
      <c r="T317" s="55">
        <f t="shared" si="57"/>
        <v>2275</v>
      </c>
      <c r="U317" s="55">
        <f t="shared" si="58"/>
        <v>2236.9499999999998</v>
      </c>
      <c r="V317" s="55">
        <f t="shared" si="59"/>
        <v>-38.050000000000182</v>
      </c>
      <c r="W317" s="55">
        <f t="shared" si="60"/>
        <v>2236.9499999999998</v>
      </c>
      <c r="X317" s="55">
        <f t="shared" si="61"/>
        <v>0</v>
      </c>
      <c r="Y317" s="55">
        <f t="shared" si="62"/>
        <v>1791</v>
      </c>
      <c r="Z317" s="55">
        <f t="shared" si="63"/>
        <v>1791</v>
      </c>
      <c r="AA317" s="55">
        <f t="shared" si="64"/>
        <v>0</v>
      </c>
      <c r="AB317" s="55">
        <f t="shared" si="65"/>
        <v>445.94999999999982</v>
      </c>
      <c r="AC317" s="54">
        <f t="shared" si="66"/>
        <v>0.19935626634479978</v>
      </c>
      <c r="AD317" s="56">
        <f>INDEX(Assumptions!$B$14:$B$16,MATCH($R317,Assumptions!$A$14:$A$16,0))</f>
        <v>0.18</v>
      </c>
      <c r="AE317" s="56">
        <f>INDEX(Assumptions!$C$14:$C$16,MATCH($R317,Assumptions!$A$14:$A$16,0))</f>
        <v>0.12</v>
      </c>
      <c r="AF317" s="49">
        <f t="shared" si="67"/>
        <v>0</v>
      </c>
      <c r="AG317" s="49">
        <f t="shared" si="68"/>
        <v>0</v>
      </c>
      <c r="AH317" s="55">
        <f t="shared" si="69"/>
        <v>0</v>
      </c>
    </row>
    <row r="318" spans="1:34" x14ac:dyDescent="0.2">
      <c r="A318" s="48" t="s">
        <v>518</v>
      </c>
      <c r="B318" s="48">
        <v>3</v>
      </c>
      <c r="C318" s="48" t="s">
        <v>436</v>
      </c>
      <c r="D318" s="48" t="s">
        <v>416</v>
      </c>
      <c r="E318" s="48" t="s">
        <v>358</v>
      </c>
      <c r="F318" s="48" t="s">
        <v>274</v>
      </c>
      <c r="G318" s="48" t="s">
        <v>288</v>
      </c>
      <c r="H318" s="48" t="s">
        <v>62</v>
      </c>
      <c r="I318" s="48" t="s">
        <v>151</v>
      </c>
      <c r="J318" s="49">
        <v>3</v>
      </c>
      <c r="K318" s="50">
        <v>335</v>
      </c>
      <c r="L318" s="50">
        <v>329.69</v>
      </c>
      <c r="M318" s="48" t="s">
        <v>276</v>
      </c>
      <c r="N318" s="51">
        <v>1</v>
      </c>
      <c r="O318" s="51">
        <v>1</v>
      </c>
      <c r="P318" s="52">
        <v>216.7</v>
      </c>
      <c r="Q318" s="52">
        <v>216.7</v>
      </c>
      <c r="R318" s="53" t="str">
        <f>INDEX(SKU_Master!$D$5:$D$34,MATCH($I318,SKU_Master!$A$5:$A$34,0))</f>
        <v>Accessory</v>
      </c>
      <c r="S318" s="54">
        <f t="shared" si="56"/>
        <v>1.5850746268656679E-2</v>
      </c>
      <c r="T318" s="55">
        <f t="shared" si="57"/>
        <v>1005</v>
      </c>
      <c r="U318" s="55">
        <f t="shared" si="58"/>
        <v>989.06999999999994</v>
      </c>
      <c r="V318" s="55">
        <f t="shared" si="59"/>
        <v>-15.930000000000064</v>
      </c>
      <c r="W318" s="55">
        <f t="shared" si="60"/>
        <v>989.06999999999994</v>
      </c>
      <c r="X318" s="55">
        <f t="shared" si="61"/>
        <v>0</v>
      </c>
      <c r="Y318" s="55">
        <f t="shared" si="62"/>
        <v>650.09999999999991</v>
      </c>
      <c r="Z318" s="55">
        <f t="shared" si="63"/>
        <v>650.09999999999991</v>
      </c>
      <c r="AA318" s="55">
        <f t="shared" si="64"/>
        <v>0</v>
      </c>
      <c r="AB318" s="55">
        <f t="shared" si="65"/>
        <v>338.97</v>
      </c>
      <c r="AC318" s="54">
        <f t="shared" si="66"/>
        <v>0.34271588461888447</v>
      </c>
      <c r="AD318" s="56">
        <f>INDEX(Assumptions!$B$14:$B$16,MATCH($R318,Assumptions!$A$14:$A$16,0))</f>
        <v>0.32</v>
      </c>
      <c r="AE318" s="56">
        <f>INDEX(Assumptions!$C$14:$C$16,MATCH($R318,Assumptions!$A$14:$A$16,0))</f>
        <v>0.22</v>
      </c>
      <c r="AF318" s="49">
        <f t="shared" si="67"/>
        <v>0</v>
      </c>
      <c r="AG318" s="49">
        <f t="shared" si="68"/>
        <v>0</v>
      </c>
      <c r="AH318" s="55">
        <f t="shared" si="69"/>
        <v>0</v>
      </c>
    </row>
    <row r="319" spans="1:34" x14ac:dyDescent="0.2">
      <c r="A319" s="48" t="s">
        <v>519</v>
      </c>
      <c r="B319" s="48">
        <v>1</v>
      </c>
      <c r="C319" s="48" t="s">
        <v>446</v>
      </c>
      <c r="D319" s="48" t="s">
        <v>416</v>
      </c>
      <c r="E319" s="48" t="s">
        <v>279</v>
      </c>
      <c r="F319" s="48" t="s">
        <v>280</v>
      </c>
      <c r="G319" s="48" t="s">
        <v>281</v>
      </c>
      <c r="H319" s="48" t="s">
        <v>64</v>
      </c>
      <c r="I319" s="48" t="s">
        <v>118</v>
      </c>
      <c r="J319" s="49">
        <v>26</v>
      </c>
      <c r="K319" s="50">
        <v>1120</v>
      </c>
      <c r="L319" s="50">
        <v>1096.48</v>
      </c>
      <c r="M319" s="48" t="s">
        <v>276</v>
      </c>
      <c r="N319" s="51">
        <v>0.79</v>
      </c>
      <c r="O319" s="51">
        <v>0.78920000000000001</v>
      </c>
      <c r="P319" s="52">
        <v>1186.5999999999999</v>
      </c>
      <c r="Q319" s="52">
        <v>1186.5999999999999</v>
      </c>
      <c r="R319" s="53" t="str">
        <f>INDEX(SKU_Master!$D$5:$D$34,MATCH($I319,SKU_Master!$A$5:$A$34,0))</f>
        <v>Laptop</v>
      </c>
      <c r="S319" s="54">
        <f t="shared" si="56"/>
        <v>2.1000000000000019E-2</v>
      </c>
      <c r="T319" s="55">
        <f t="shared" si="57"/>
        <v>36860.759493670885</v>
      </c>
      <c r="U319" s="55">
        <f t="shared" si="58"/>
        <v>36086.683544303793</v>
      </c>
      <c r="V319" s="55">
        <f t="shared" si="59"/>
        <v>-774.07594936709211</v>
      </c>
      <c r="W319" s="55">
        <f t="shared" si="60"/>
        <v>36123.264064875824</v>
      </c>
      <c r="X319" s="55">
        <f t="shared" si="61"/>
        <v>36.580520572031674</v>
      </c>
      <c r="Y319" s="55">
        <f t="shared" si="62"/>
        <v>30851.599999999999</v>
      </c>
      <c r="Z319" s="55">
        <f t="shared" si="63"/>
        <v>30851.599999999999</v>
      </c>
      <c r="AA319" s="55">
        <f t="shared" si="64"/>
        <v>0</v>
      </c>
      <c r="AB319" s="55">
        <f t="shared" si="65"/>
        <v>5271.6640648758257</v>
      </c>
      <c r="AC319" s="54">
        <f t="shared" si="66"/>
        <v>0.14593542973880058</v>
      </c>
      <c r="AD319" s="56">
        <f>INDEX(Assumptions!$B$14:$B$16,MATCH($R319,Assumptions!$A$14:$A$16,0))</f>
        <v>0.12</v>
      </c>
      <c r="AE319" s="56">
        <f>INDEX(Assumptions!$C$14:$C$16,MATCH($R319,Assumptions!$A$14:$A$16,0))</f>
        <v>0.08</v>
      </c>
      <c r="AF319" s="49">
        <f t="shared" si="67"/>
        <v>0</v>
      </c>
      <c r="AG319" s="49">
        <f t="shared" si="68"/>
        <v>0</v>
      </c>
      <c r="AH319" s="55">
        <f t="shared" si="69"/>
        <v>0</v>
      </c>
    </row>
    <row r="320" spans="1:34" x14ac:dyDescent="0.2">
      <c r="A320" s="48" t="s">
        <v>520</v>
      </c>
      <c r="B320" s="48">
        <v>1</v>
      </c>
      <c r="C320" s="48" t="s">
        <v>419</v>
      </c>
      <c r="D320" s="48" t="s">
        <v>416</v>
      </c>
      <c r="E320" s="48" t="s">
        <v>309</v>
      </c>
      <c r="F320" s="48" t="s">
        <v>280</v>
      </c>
      <c r="G320" s="48" t="s">
        <v>298</v>
      </c>
      <c r="H320" s="48" t="s">
        <v>70</v>
      </c>
      <c r="I320" s="48" t="s">
        <v>103</v>
      </c>
      <c r="J320" s="49">
        <v>20</v>
      </c>
      <c r="K320" s="50">
        <v>110670</v>
      </c>
      <c r="L320" s="50">
        <v>107405.78</v>
      </c>
      <c r="M320" s="48" t="s">
        <v>276</v>
      </c>
      <c r="N320" s="51">
        <v>83.5</v>
      </c>
      <c r="O320" s="51">
        <v>83.602099999999993</v>
      </c>
      <c r="P320" s="52">
        <v>1110.17</v>
      </c>
      <c r="Q320" s="52">
        <v>1130.17</v>
      </c>
      <c r="R320" s="53" t="str">
        <f>INDEX(SKU_Master!$D$5:$D$34,MATCH($I320,SKU_Master!$A$5:$A$34,0))</f>
        <v>Laptop</v>
      </c>
      <c r="S320" s="54">
        <f t="shared" si="56"/>
        <v>2.9495075449534669E-2</v>
      </c>
      <c r="T320" s="55">
        <f t="shared" si="57"/>
        <v>26507.784431137723</v>
      </c>
      <c r="U320" s="55">
        <f t="shared" si="58"/>
        <v>25725.935329341319</v>
      </c>
      <c r="V320" s="55">
        <f t="shared" si="59"/>
        <v>-781.84910179640428</v>
      </c>
      <c r="W320" s="55">
        <f t="shared" si="60"/>
        <v>25694.51724298792</v>
      </c>
      <c r="X320" s="55">
        <f t="shared" si="61"/>
        <v>-31.418086353398394</v>
      </c>
      <c r="Y320" s="55">
        <f t="shared" si="62"/>
        <v>22203.4</v>
      </c>
      <c r="Z320" s="55">
        <f t="shared" si="63"/>
        <v>22603.4</v>
      </c>
      <c r="AA320" s="55">
        <f t="shared" si="64"/>
        <v>-400</v>
      </c>
      <c r="AB320" s="55">
        <f t="shared" si="65"/>
        <v>3091.1172429879189</v>
      </c>
      <c r="AC320" s="54">
        <f t="shared" si="66"/>
        <v>0.12030260050250566</v>
      </c>
      <c r="AD320" s="56">
        <f>INDEX(Assumptions!$B$14:$B$16,MATCH($R320,Assumptions!$A$14:$A$16,0))</f>
        <v>0.12</v>
      </c>
      <c r="AE320" s="56">
        <f>INDEX(Assumptions!$C$14:$C$16,MATCH($R320,Assumptions!$A$14:$A$16,0))</f>
        <v>0.08</v>
      </c>
      <c r="AF320" s="49">
        <f t="shared" si="67"/>
        <v>0</v>
      </c>
      <c r="AG320" s="49">
        <f t="shared" si="68"/>
        <v>0</v>
      </c>
      <c r="AH320" s="55">
        <f t="shared" si="69"/>
        <v>0</v>
      </c>
    </row>
    <row r="321" spans="1:34" x14ac:dyDescent="0.2">
      <c r="A321" s="48" t="s">
        <v>520</v>
      </c>
      <c r="B321" s="48">
        <v>2</v>
      </c>
      <c r="C321" s="48" t="s">
        <v>419</v>
      </c>
      <c r="D321" s="48" t="s">
        <v>416</v>
      </c>
      <c r="E321" s="48" t="s">
        <v>309</v>
      </c>
      <c r="F321" s="48" t="s">
        <v>280</v>
      </c>
      <c r="G321" s="48" t="s">
        <v>298</v>
      </c>
      <c r="H321" s="48" t="s">
        <v>70</v>
      </c>
      <c r="I321" s="48" t="s">
        <v>135</v>
      </c>
      <c r="J321" s="49">
        <v>10</v>
      </c>
      <c r="K321" s="50">
        <v>26950</v>
      </c>
      <c r="L321" s="50">
        <v>26496.39</v>
      </c>
      <c r="M321" s="48" t="s">
        <v>276</v>
      </c>
      <c r="N321" s="51">
        <v>83.5</v>
      </c>
      <c r="O321" s="51">
        <v>83.602099999999993</v>
      </c>
      <c r="P321" s="52">
        <v>249.49</v>
      </c>
      <c r="Q321" s="52">
        <v>269.49</v>
      </c>
      <c r="R321" s="53" t="str">
        <f>INDEX(SKU_Master!$D$5:$D$34,MATCH($I321,SKU_Master!$A$5:$A$34,0))</f>
        <v>Monitor</v>
      </c>
      <c r="S321" s="54">
        <f t="shared" si="56"/>
        <v>1.68315398886828E-2</v>
      </c>
      <c r="T321" s="55">
        <f t="shared" si="57"/>
        <v>3227.5449101796407</v>
      </c>
      <c r="U321" s="55">
        <f t="shared" si="58"/>
        <v>3173.2203592814376</v>
      </c>
      <c r="V321" s="55">
        <f t="shared" si="59"/>
        <v>-54.324550898203142</v>
      </c>
      <c r="W321" s="55">
        <f t="shared" si="60"/>
        <v>3169.3450284143587</v>
      </c>
      <c r="X321" s="55">
        <f t="shared" si="61"/>
        <v>-3.8753308670789011</v>
      </c>
      <c r="Y321" s="55">
        <f t="shared" si="62"/>
        <v>2494.9</v>
      </c>
      <c r="Z321" s="55">
        <f t="shared" si="63"/>
        <v>2694.9</v>
      </c>
      <c r="AA321" s="55">
        <f t="shared" si="64"/>
        <v>-200</v>
      </c>
      <c r="AB321" s="55">
        <f t="shared" si="65"/>
        <v>474.4450284143586</v>
      </c>
      <c r="AC321" s="54">
        <f t="shared" si="66"/>
        <v>0.14969813136808463</v>
      </c>
      <c r="AD321" s="56">
        <f>INDEX(Assumptions!$B$14:$B$16,MATCH($R321,Assumptions!$A$14:$A$16,0))</f>
        <v>0.18</v>
      </c>
      <c r="AE321" s="56">
        <f>INDEX(Assumptions!$C$14:$C$16,MATCH($R321,Assumptions!$A$14:$A$16,0))</f>
        <v>0.12</v>
      </c>
      <c r="AF321" s="49">
        <f t="shared" si="67"/>
        <v>0</v>
      </c>
      <c r="AG321" s="49">
        <f t="shared" si="68"/>
        <v>0</v>
      </c>
      <c r="AH321" s="55">
        <f t="shared" si="69"/>
        <v>96.037076700225953</v>
      </c>
    </row>
    <row r="322" spans="1:34" x14ac:dyDescent="0.2">
      <c r="A322" s="48" t="s">
        <v>520</v>
      </c>
      <c r="B322" s="48">
        <v>3</v>
      </c>
      <c r="C322" s="48" t="s">
        <v>419</v>
      </c>
      <c r="D322" s="48" t="s">
        <v>416</v>
      </c>
      <c r="E322" s="48" t="s">
        <v>309</v>
      </c>
      <c r="F322" s="48" t="s">
        <v>280</v>
      </c>
      <c r="G322" s="48" t="s">
        <v>298</v>
      </c>
      <c r="H322" s="48" t="s">
        <v>70</v>
      </c>
      <c r="I322" s="48" t="s">
        <v>151</v>
      </c>
      <c r="J322" s="49">
        <v>23</v>
      </c>
      <c r="K322" s="50">
        <v>32735</v>
      </c>
      <c r="L322" s="50">
        <v>31946.06</v>
      </c>
      <c r="M322" s="48" t="s">
        <v>276</v>
      </c>
      <c r="N322" s="51">
        <v>83.5</v>
      </c>
      <c r="O322" s="51">
        <v>83.602099999999993</v>
      </c>
      <c r="P322" s="52">
        <v>248.88</v>
      </c>
      <c r="Q322" s="52">
        <v>253.88</v>
      </c>
      <c r="R322" s="53" t="str">
        <f>INDEX(SKU_Master!$D$5:$D$34,MATCH($I322,SKU_Master!$A$5:$A$34,0))</f>
        <v>Accessory</v>
      </c>
      <c r="S322" s="54">
        <f t="shared" si="56"/>
        <v>2.4100809531082845E-2</v>
      </c>
      <c r="T322" s="55">
        <f t="shared" si="57"/>
        <v>9016.8263473053885</v>
      </c>
      <c r="U322" s="55">
        <f t="shared" si="58"/>
        <v>8799.5135329341319</v>
      </c>
      <c r="V322" s="55">
        <f t="shared" si="59"/>
        <v>-217.31281437125654</v>
      </c>
      <c r="W322" s="55">
        <f t="shared" si="60"/>
        <v>8788.7670285794266</v>
      </c>
      <c r="X322" s="55">
        <f t="shared" si="61"/>
        <v>-10.746504354705394</v>
      </c>
      <c r="Y322" s="55">
        <f t="shared" si="62"/>
        <v>5724.24</v>
      </c>
      <c r="Z322" s="55">
        <f t="shared" si="63"/>
        <v>5839.24</v>
      </c>
      <c r="AA322" s="55">
        <f t="shared" si="64"/>
        <v>-115</v>
      </c>
      <c r="AB322" s="55">
        <f t="shared" si="65"/>
        <v>2949.5270285794268</v>
      </c>
      <c r="AC322" s="54">
        <f t="shared" si="66"/>
        <v>0.33560191309976889</v>
      </c>
      <c r="AD322" s="56">
        <f>INDEX(Assumptions!$B$14:$B$16,MATCH($R322,Assumptions!$A$14:$A$16,0))</f>
        <v>0.32</v>
      </c>
      <c r="AE322" s="56">
        <f>INDEX(Assumptions!$C$14:$C$16,MATCH($R322,Assumptions!$A$14:$A$16,0))</f>
        <v>0.22</v>
      </c>
      <c r="AF322" s="49">
        <f t="shared" si="67"/>
        <v>0</v>
      </c>
      <c r="AG322" s="49">
        <f t="shared" si="68"/>
        <v>0</v>
      </c>
      <c r="AH322" s="55">
        <f t="shared" si="69"/>
        <v>0</v>
      </c>
    </row>
    <row r="323" spans="1:34" x14ac:dyDescent="0.2">
      <c r="A323" s="48" t="s">
        <v>521</v>
      </c>
      <c r="B323" s="48">
        <v>1</v>
      </c>
      <c r="C323" s="48" t="s">
        <v>434</v>
      </c>
      <c r="D323" s="48" t="s">
        <v>416</v>
      </c>
      <c r="E323" s="48" t="s">
        <v>374</v>
      </c>
      <c r="F323" s="48" t="s">
        <v>274</v>
      </c>
      <c r="G323" s="48" t="s">
        <v>281</v>
      </c>
      <c r="H323" s="48" t="s">
        <v>62</v>
      </c>
      <c r="I323" s="48" t="s">
        <v>93</v>
      </c>
      <c r="J323" s="49">
        <v>8</v>
      </c>
      <c r="K323" s="50">
        <v>1390</v>
      </c>
      <c r="L323" s="50">
        <v>1367.43</v>
      </c>
      <c r="M323" s="48" t="s">
        <v>276</v>
      </c>
      <c r="N323" s="51">
        <v>1</v>
      </c>
      <c r="O323" s="51">
        <v>1</v>
      </c>
      <c r="P323" s="52">
        <v>1186.2</v>
      </c>
      <c r="Q323" s="52">
        <v>1186.2</v>
      </c>
      <c r="R323" s="53" t="str">
        <f>INDEX(SKU_Master!$D$5:$D$34,MATCH($I323,SKU_Master!$A$5:$A$34,0))</f>
        <v>Laptop</v>
      </c>
      <c r="S323" s="54">
        <f t="shared" si="56"/>
        <v>1.6237410071942349E-2</v>
      </c>
      <c r="T323" s="55">
        <f t="shared" si="57"/>
        <v>11120</v>
      </c>
      <c r="U323" s="55">
        <f t="shared" si="58"/>
        <v>10939.44</v>
      </c>
      <c r="V323" s="55">
        <f t="shared" si="59"/>
        <v>-180.55999999999949</v>
      </c>
      <c r="W323" s="55">
        <f t="shared" si="60"/>
        <v>10939.44</v>
      </c>
      <c r="X323" s="55">
        <f t="shared" si="61"/>
        <v>0</v>
      </c>
      <c r="Y323" s="55">
        <f t="shared" si="62"/>
        <v>9489.6</v>
      </c>
      <c r="Z323" s="55">
        <f t="shared" si="63"/>
        <v>9489.6</v>
      </c>
      <c r="AA323" s="55">
        <f t="shared" si="64"/>
        <v>0</v>
      </c>
      <c r="AB323" s="55">
        <f t="shared" si="65"/>
        <v>1449.8400000000001</v>
      </c>
      <c r="AC323" s="54">
        <f t="shared" si="66"/>
        <v>0.13253329238059719</v>
      </c>
      <c r="AD323" s="56">
        <f>INDEX(Assumptions!$B$14:$B$16,MATCH($R323,Assumptions!$A$14:$A$16,0))</f>
        <v>0.12</v>
      </c>
      <c r="AE323" s="56">
        <f>INDEX(Assumptions!$C$14:$C$16,MATCH($R323,Assumptions!$A$14:$A$16,0))</f>
        <v>0.08</v>
      </c>
      <c r="AF323" s="49">
        <f t="shared" si="67"/>
        <v>0</v>
      </c>
      <c r="AG323" s="49">
        <f t="shared" si="68"/>
        <v>0</v>
      </c>
      <c r="AH323" s="55">
        <f t="shared" si="69"/>
        <v>0</v>
      </c>
    </row>
    <row r="324" spans="1:34" x14ac:dyDescent="0.2">
      <c r="A324" s="48" t="s">
        <v>521</v>
      </c>
      <c r="B324" s="48">
        <v>2</v>
      </c>
      <c r="C324" s="48" t="s">
        <v>434</v>
      </c>
      <c r="D324" s="48" t="s">
        <v>416</v>
      </c>
      <c r="E324" s="48" t="s">
        <v>374</v>
      </c>
      <c r="F324" s="48" t="s">
        <v>274</v>
      </c>
      <c r="G324" s="48" t="s">
        <v>281</v>
      </c>
      <c r="H324" s="48" t="s">
        <v>62</v>
      </c>
      <c r="I324" s="48" t="s">
        <v>157</v>
      </c>
      <c r="J324" s="49">
        <v>9</v>
      </c>
      <c r="K324" s="50">
        <v>135</v>
      </c>
      <c r="L324" s="50">
        <v>134.62</v>
      </c>
      <c r="M324" s="48" t="s">
        <v>276</v>
      </c>
      <c r="N324" s="51">
        <v>1</v>
      </c>
      <c r="O324" s="51">
        <v>1</v>
      </c>
      <c r="P324" s="52">
        <v>86</v>
      </c>
      <c r="Q324" s="52">
        <v>86</v>
      </c>
      <c r="R324" s="53" t="str">
        <f>INDEX(SKU_Master!$D$5:$D$34,MATCH($I324,SKU_Master!$A$5:$A$34,0))</f>
        <v>Accessory</v>
      </c>
      <c r="S324" s="54">
        <f t="shared" si="56"/>
        <v>2.8148148148148255E-3</v>
      </c>
      <c r="T324" s="55">
        <f t="shared" si="57"/>
        <v>1215</v>
      </c>
      <c r="U324" s="55">
        <f t="shared" si="58"/>
        <v>1211.58</v>
      </c>
      <c r="V324" s="55">
        <f t="shared" si="59"/>
        <v>-3.4200000000000728</v>
      </c>
      <c r="W324" s="55">
        <f t="shared" si="60"/>
        <v>1211.58</v>
      </c>
      <c r="X324" s="55">
        <f t="shared" si="61"/>
        <v>0</v>
      </c>
      <c r="Y324" s="55">
        <f t="shared" si="62"/>
        <v>774</v>
      </c>
      <c r="Z324" s="55">
        <f t="shared" si="63"/>
        <v>774</v>
      </c>
      <c r="AA324" s="55">
        <f t="shared" si="64"/>
        <v>0</v>
      </c>
      <c r="AB324" s="55">
        <f t="shared" si="65"/>
        <v>437.57999999999993</v>
      </c>
      <c r="AC324" s="54">
        <f t="shared" si="66"/>
        <v>0.36116476006536913</v>
      </c>
      <c r="AD324" s="56">
        <f>INDEX(Assumptions!$B$14:$B$16,MATCH($R324,Assumptions!$A$14:$A$16,0))</f>
        <v>0.32</v>
      </c>
      <c r="AE324" s="56">
        <f>INDEX(Assumptions!$C$14:$C$16,MATCH($R324,Assumptions!$A$14:$A$16,0))</f>
        <v>0.22</v>
      </c>
      <c r="AF324" s="49">
        <f t="shared" si="67"/>
        <v>0</v>
      </c>
      <c r="AG324" s="49">
        <f t="shared" si="68"/>
        <v>0</v>
      </c>
      <c r="AH324" s="55">
        <f t="shared" si="69"/>
        <v>0</v>
      </c>
    </row>
    <row r="325" spans="1:34" x14ac:dyDescent="0.2">
      <c r="A325" s="48" t="s">
        <v>522</v>
      </c>
      <c r="B325" s="48">
        <v>1</v>
      </c>
      <c r="C325" s="48" t="s">
        <v>466</v>
      </c>
      <c r="D325" s="48" t="s">
        <v>416</v>
      </c>
      <c r="E325" s="48" t="s">
        <v>333</v>
      </c>
      <c r="F325" s="48" t="s">
        <v>297</v>
      </c>
      <c r="G325" s="48" t="s">
        <v>302</v>
      </c>
      <c r="H325" s="48" t="s">
        <v>70</v>
      </c>
      <c r="I325" s="48" t="s">
        <v>132</v>
      </c>
      <c r="J325" s="49">
        <v>77</v>
      </c>
      <c r="K325" s="50">
        <v>102085</v>
      </c>
      <c r="L325" s="50">
        <v>96001.71</v>
      </c>
      <c r="M325" s="48" t="s">
        <v>276</v>
      </c>
      <c r="N325" s="51">
        <v>83.5</v>
      </c>
      <c r="O325" s="51">
        <v>83.602099999999993</v>
      </c>
      <c r="P325" s="52">
        <v>1024.03</v>
      </c>
      <c r="Q325" s="52">
        <v>1044.03</v>
      </c>
      <c r="R325" s="53" t="str">
        <f>INDEX(SKU_Master!$D$5:$D$34,MATCH($I325,SKU_Master!$A$5:$A$34,0))</f>
        <v>Laptop</v>
      </c>
      <c r="S325" s="54">
        <f t="shared" ref="S325:S388" si="70">IF(K325=0,0,1-L325/K325)</f>
        <v>5.9590439339765822E-2</v>
      </c>
      <c r="T325" s="55">
        <f t="shared" ref="T325:T388" si="71">J325*K325/N325</f>
        <v>94138.263473053899</v>
      </c>
      <c r="U325" s="55">
        <f t="shared" ref="U325:U388" si="72">J325*L325/N325</f>
        <v>88528.52299401199</v>
      </c>
      <c r="V325" s="55">
        <f t="shared" ref="V325:V388" si="73">U325-T325</f>
        <v>-5609.7404790419096</v>
      </c>
      <c r="W325" s="55">
        <f t="shared" ref="W325:W388" si="74">J325*L325/O325</f>
        <v>88420.406544811689</v>
      </c>
      <c r="X325" s="55">
        <f t="shared" ref="X325:X388" si="75">W325-U325</f>
        <v>-108.11644920030085</v>
      </c>
      <c r="Y325" s="55">
        <f t="shared" ref="Y325:Y388" si="76">J325*P325</f>
        <v>78850.31</v>
      </c>
      <c r="Z325" s="55">
        <f t="shared" ref="Z325:Z388" si="77">J325*Q325</f>
        <v>80390.31</v>
      </c>
      <c r="AA325" s="55">
        <f t="shared" ref="AA325:AA388" si="78">Y325-Z325</f>
        <v>-1540</v>
      </c>
      <c r="AB325" s="55">
        <f t="shared" ref="AB325:AB388" si="79">W325-Z325</f>
        <v>8030.0965448116913</v>
      </c>
      <c r="AC325" s="54">
        <f t="shared" ref="AC325:AC388" si="80">IF(W325=0,0,AB325/W325)</f>
        <v>9.0817231661811215E-2</v>
      </c>
      <c r="AD325" s="56">
        <f>INDEX(Assumptions!$B$14:$B$16,MATCH($R325,Assumptions!$A$14:$A$16,0))</f>
        <v>0.12</v>
      </c>
      <c r="AE325" s="56">
        <f>INDEX(Assumptions!$C$14:$C$16,MATCH($R325,Assumptions!$A$14:$A$16,0))</f>
        <v>0.08</v>
      </c>
      <c r="AF325" s="49">
        <f t="shared" ref="AF325:AF388" si="81">IF(AC325&lt;AE325,1,0)</f>
        <v>0</v>
      </c>
      <c r="AG325" s="49">
        <f t="shared" ref="AG325:AG388" si="82">IF(AND(AF325=1,M325="N"),1,0)</f>
        <v>0</v>
      </c>
      <c r="AH325" s="55">
        <f t="shared" ref="AH325:AH388" si="83">MAX(0,W325*AD325-AB325)</f>
        <v>2580.3522405657113</v>
      </c>
    </row>
    <row r="326" spans="1:34" x14ac:dyDescent="0.2">
      <c r="A326" s="48" t="s">
        <v>522</v>
      </c>
      <c r="B326" s="48">
        <v>2</v>
      </c>
      <c r="C326" s="48" t="s">
        <v>466</v>
      </c>
      <c r="D326" s="48" t="s">
        <v>416</v>
      </c>
      <c r="E326" s="48" t="s">
        <v>333</v>
      </c>
      <c r="F326" s="48" t="s">
        <v>297</v>
      </c>
      <c r="G326" s="48" t="s">
        <v>302</v>
      </c>
      <c r="H326" s="48" t="s">
        <v>70</v>
      </c>
      <c r="I326" s="48" t="s">
        <v>157</v>
      </c>
      <c r="J326" s="49">
        <v>78</v>
      </c>
      <c r="K326" s="50">
        <v>13655</v>
      </c>
      <c r="L326" s="50">
        <v>12503.2</v>
      </c>
      <c r="M326" s="48" t="s">
        <v>276</v>
      </c>
      <c r="N326" s="51">
        <v>83.5</v>
      </c>
      <c r="O326" s="51">
        <v>83.602099999999993</v>
      </c>
      <c r="P326" s="52">
        <v>103.8</v>
      </c>
      <c r="Q326" s="52">
        <v>108.8</v>
      </c>
      <c r="R326" s="53" t="str">
        <f>INDEX(SKU_Master!$D$5:$D$34,MATCH($I326,SKU_Master!$A$5:$A$34,0))</f>
        <v>Accessory</v>
      </c>
      <c r="S326" s="54">
        <f t="shared" si="70"/>
        <v>8.4350054924935858E-2</v>
      </c>
      <c r="T326" s="55">
        <f t="shared" si="71"/>
        <v>12755.56886227545</v>
      </c>
      <c r="U326" s="55">
        <f t="shared" si="72"/>
        <v>11679.635928143714</v>
      </c>
      <c r="V326" s="55">
        <f t="shared" si="73"/>
        <v>-1075.9329341317352</v>
      </c>
      <c r="W326" s="55">
        <f t="shared" si="74"/>
        <v>11665.372042089853</v>
      </c>
      <c r="X326" s="55">
        <f t="shared" si="75"/>
        <v>-14.263886053860915</v>
      </c>
      <c r="Y326" s="55">
        <f t="shared" si="76"/>
        <v>8096.4</v>
      </c>
      <c r="Z326" s="55">
        <f t="shared" si="77"/>
        <v>8486.4</v>
      </c>
      <c r="AA326" s="55">
        <f t="shared" si="78"/>
        <v>-390</v>
      </c>
      <c r="AB326" s="55">
        <f t="shared" si="79"/>
        <v>3178.9720420898539</v>
      </c>
      <c r="AC326" s="54">
        <f t="shared" si="80"/>
        <v>0.27251355812911909</v>
      </c>
      <c r="AD326" s="56">
        <f>INDEX(Assumptions!$B$14:$B$16,MATCH($R326,Assumptions!$A$14:$A$16,0))</f>
        <v>0.32</v>
      </c>
      <c r="AE326" s="56">
        <f>INDEX(Assumptions!$C$14:$C$16,MATCH($R326,Assumptions!$A$14:$A$16,0))</f>
        <v>0.22</v>
      </c>
      <c r="AF326" s="49">
        <f t="shared" si="81"/>
        <v>0</v>
      </c>
      <c r="AG326" s="49">
        <f t="shared" si="82"/>
        <v>0</v>
      </c>
      <c r="AH326" s="55">
        <f t="shared" si="83"/>
        <v>553.94701137889933</v>
      </c>
    </row>
    <row r="327" spans="1:34" x14ac:dyDescent="0.2">
      <c r="A327" s="48" t="s">
        <v>523</v>
      </c>
      <c r="B327" s="48">
        <v>1</v>
      </c>
      <c r="C327" s="48" t="s">
        <v>458</v>
      </c>
      <c r="D327" s="48" t="s">
        <v>416</v>
      </c>
      <c r="E327" s="48" t="s">
        <v>333</v>
      </c>
      <c r="F327" s="48" t="s">
        <v>297</v>
      </c>
      <c r="G327" s="48" t="s">
        <v>302</v>
      </c>
      <c r="H327" s="48" t="s">
        <v>70</v>
      </c>
      <c r="I327" s="48" t="s">
        <v>132</v>
      </c>
      <c r="J327" s="49">
        <v>28</v>
      </c>
      <c r="K327" s="50">
        <v>102085</v>
      </c>
      <c r="L327" s="50">
        <v>96313.77</v>
      </c>
      <c r="M327" s="48" t="s">
        <v>276</v>
      </c>
      <c r="N327" s="51">
        <v>83.5</v>
      </c>
      <c r="O327" s="51">
        <v>83.602099999999993</v>
      </c>
      <c r="P327" s="52">
        <v>1024.03</v>
      </c>
      <c r="Q327" s="52">
        <v>1044.03</v>
      </c>
      <c r="R327" s="53" t="str">
        <f>INDEX(SKU_Master!$D$5:$D$34,MATCH($I327,SKU_Master!$A$5:$A$34,0))</f>
        <v>Laptop</v>
      </c>
      <c r="S327" s="54">
        <f t="shared" si="70"/>
        <v>5.6533574962041366E-2</v>
      </c>
      <c r="T327" s="55">
        <f t="shared" si="71"/>
        <v>34232.09580838323</v>
      </c>
      <c r="U327" s="55">
        <f t="shared" si="72"/>
        <v>32296.833053892216</v>
      </c>
      <c r="V327" s="55">
        <f t="shared" si="73"/>
        <v>-1935.2627544910138</v>
      </c>
      <c r="W327" s="55">
        <f t="shared" si="74"/>
        <v>32257.390185174776</v>
      </c>
      <c r="X327" s="55">
        <f t="shared" si="75"/>
        <v>-39.442868717440433</v>
      </c>
      <c r="Y327" s="55">
        <f t="shared" si="76"/>
        <v>28672.84</v>
      </c>
      <c r="Z327" s="55">
        <f t="shared" si="77"/>
        <v>29232.84</v>
      </c>
      <c r="AA327" s="55">
        <f t="shared" si="78"/>
        <v>-560</v>
      </c>
      <c r="AB327" s="55">
        <f t="shared" si="79"/>
        <v>3024.5501851747758</v>
      </c>
      <c r="AC327" s="54">
        <f t="shared" si="80"/>
        <v>9.3763015786839252E-2</v>
      </c>
      <c r="AD327" s="56">
        <f>INDEX(Assumptions!$B$14:$B$16,MATCH($R327,Assumptions!$A$14:$A$16,0))</f>
        <v>0.12</v>
      </c>
      <c r="AE327" s="56">
        <f>INDEX(Assumptions!$C$14:$C$16,MATCH($R327,Assumptions!$A$14:$A$16,0))</f>
        <v>0.08</v>
      </c>
      <c r="AF327" s="49">
        <f t="shared" si="81"/>
        <v>0</v>
      </c>
      <c r="AG327" s="49">
        <f t="shared" si="82"/>
        <v>0</v>
      </c>
      <c r="AH327" s="55">
        <f t="shared" si="83"/>
        <v>846.33663704619721</v>
      </c>
    </row>
    <row r="328" spans="1:34" x14ac:dyDescent="0.2">
      <c r="A328" s="48" t="s">
        <v>523</v>
      </c>
      <c r="B328" s="48">
        <v>2</v>
      </c>
      <c r="C328" s="48" t="s">
        <v>458</v>
      </c>
      <c r="D328" s="48" t="s">
        <v>416</v>
      </c>
      <c r="E328" s="48" t="s">
        <v>333</v>
      </c>
      <c r="F328" s="48" t="s">
        <v>297</v>
      </c>
      <c r="G328" s="48" t="s">
        <v>302</v>
      </c>
      <c r="H328" s="48" t="s">
        <v>70</v>
      </c>
      <c r="I328" s="48" t="s">
        <v>144</v>
      </c>
      <c r="J328" s="49">
        <v>13</v>
      </c>
      <c r="K328" s="50">
        <v>39290</v>
      </c>
      <c r="L328" s="50">
        <v>38115.980000000003</v>
      </c>
      <c r="M328" s="48" t="s">
        <v>276</v>
      </c>
      <c r="N328" s="51">
        <v>83.5</v>
      </c>
      <c r="O328" s="51">
        <v>83.602099999999993</v>
      </c>
      <c r="P328" s="52">
        <v>363.71</v>
      </c>
      <c r="Q328" s="52">
        <v>383.71</v>
      </c>
      <c r="R328" s="53" t="str">
        <f>INDEX(SKU_Master!$D$5:$D$34,MATCH($I328,SKU_Master!$A$5:$A$34,0))</f>
        <v>Monitor</v>
      </c>
      <c r="S328" s="54">
        <f t="shared" si="70"/>
        <v>2.988088572155756E-2</v>
      </c>
      <c r="T328" s="55">
        <f t="shared" si="71"/>
        <v>6117.0059880239523</v>
      </c>
      <c r="U328" s="55">
        <f t="shared" si="72"/>
        <v>5934.2244311377253</v>
      </c>
      <c r="V328" s="55">
        <f t="shared" si="73"/>
        <v>-182.78155688622701</v>
      </c>
      <c r="W328" s="55">
        <f t="shared" si="74"/>
        <v>5926.977193156632</v>
      </c>
      <c r="X328" s="55">
        <f t="shared" si="75"/>
        <v>-7.2472379810933489</v>
      </c>
      <c r="Y328" s="55">
        <f t="shared" si="76"/>
        <v>4728.2299999999996</v>
      </c>
      <c r="Z328" s="55">
        <f t="shared" si="77"/>
        <v>4988.2299999999996</v>
      </c>
      <c r="AA328" s="55">
        <f t="shared" si="78"/>
        <v>-260</v>
      </c>
      <c r="AB328" s="55">
        <f t="shared" si="79"/>
        <v>938.74719315663242</v>
      </c>
      <c r="AC328" s="54">
        <f t="shared" si="80"/>
        <v>0.15838549104601291</v>
      </c>
      <c r="AD328" s="56">
        <f>INDEX(Assumptions!$B$14:$B$16,MATCH($R328,Assumptions!$A$14:$A$16,0))</f>
        <v>0.18</v>
      </c>
      <c r="AE328" s="56">
        <f>INDEX(Assumptions!$C$14:$C$16,MATCH($R328,Assumptions!$A$14:$A$16,0))</f>
        <v>0.12</v>
      </c>
      <c r="AF328" s="49">
        <f t="shared" si="81"/>
        <v>0</v>
      </c>
      <c r="AG328" s="49">
        <f t="shared" si="82"/>
        <v>0</v>
      </c>
      <c r="AH328" s="55">
        <f t="shared" si="83"/>
        <v>128.1087016115614</v>
      </c>
    </row>
    <row r="329" spans="1:34" x14ac:dyDescent="0.2">
      <c r="A329" s="48" t="s">
        <v>523</v>
      </c>
      <c r="B329" s="48">
        <v>3</v>
      </c>
      <c r="C329" s="48" t="s">
        <v>458</v>
      </c>
      <c r="D329" s="48" t="s">
        <v>416</v>
      </c>
      <c r="E329" s="48" t="s">
        <v>333</v>
      </c>
      <c r="F329" s="48" t="s">
        <v>297</v>
      </c>
      <c r="G329" s="48" t="s">
        <v>302</v>
      </c>
      <c r="H329" s="48" t="s">
        <v>70</v>
      </c>
      <c r="I329" s="48" t="s">
        <v>157</v>
      </c>
      <c r="J329" s="49">
        <v>15</v>
      </c>
      <c r="K329" s="50">
        <v>13655</v>
      </c>
      <c r="L329" s="50">
        <v>12845.67</v>
      </c>
      <c r="M329" s="48" t="s">
        <v>276</v>
      </c>
      <c r="N329" s="51">
        <v>83.5</v>
      </c>
      <c r="O329" s="51">
        <v>83.602099999999993</v>
      </c>
      <c r="P329" s="52">
        <v>103.8</v>
      </c>
      <c r="Q329" s="52">
        <v>108.8</v>
      </c>
      <c r="R329" s="53" t="str">
        <f>INDEX(SKU_Master!$D$5:$D$34,MATCH($I329,SKU_Master!$A$5:$A$34,0))</f>
        <v>Accessory</v>
      </c>
      <c r="S329" s="54">
        <f t="shared" si="70"/>
        <v>5.9269864518491366E-2</v>
      </c>
      <c r="T329" s="55">
        <f t="shared" si="71"/>
        <v>2452.9940119760481</v>
      </c>
      <c r="U329" s="55">
        <f t="shared" si="72"/>
        <v>2307.6053892215568</v>
      </c>
      <c r="V329" s="55">
        <f t="shared" si="73"/>
        <v>-145.38862275449128</v>
      </c>
      <c r="W329" s="55">
        <f t="shared" si="74"/>
        <v>2304.787200321523</v>
      </c>
      <c r="X329" s="55">
        <f t="shared" si="75"/>
        <v>-2.8181889000338742</v>
      </c>
      <c r="Y329" s="55">
        <f t="shared" si="76"/>
        <v>1557</v>
      </c>
      <c r="Z329" s="55">
        <f t="shared" si="77"/>
        <v>1632</v>
      </c>
      <c r="AA329" s="55">
        <f t="shared" si="78"/>
        <v>-75</v>
      </c>
      <c r="AB329" s="55">
        <f t="shared" si="79"/>
        <v>672.78720032152296</v>
      </c>
      <c r="AC329" s="54">
        <f t="shared" si="80"/>
        <v>0.29190859799449931</v>
      </c>
      <c r="AD329" s="56">
        <f>INDEX(Assumptions!$B$14:$B$16,MATCH($R329,Assumptions!$A$14:$A$16,0))</f>
        <v>0.32</v>
      </c>
      <c r="AE329" s="56">
        <f>INDEX(Assumptions!$C$14:$C$16,MATCH($R329,Assumptions!$A$14:$A$16,0))</f>
        <v>0.22</v>
      </c>
      <c r="AF329" s="49">
        <f t="shared" si="81"/>
        <v>0</v>
      </c>
      <c r="AG329" s="49">
        <f t="shared" si="82"/>
        <v>0</v>
      </c>
      <c r="AH329" s="55">
        <f t="shared" si="83"/>
        <v>64.744703781364365</v>
      </c>
    </row>
    <row r="330" spans="1:34" x14ac:dyDescent="0.2">
      <c r="A330" s="48" t="s">
        <v>524</v>
      </c>
      <c r="B330" s="48">
        <v>1</v>
      </c>
      <c r="C330" s="48" t="s">
        <v>458</v>
      </c>
      <c r="D330" s="48" t="s">
        <v>416</v>
      </c>
      <c r="E330" s="48" t="s">
        <v>296</v>
      </c>
      <c r="F330" s="48" t="s">
        <v>297</v>
      </c>
      <c r="G330" s="48" t="s">
        <v>298</v>
      </c>
      <c r="H330" s="48" t="s">
        <v>66</v>
      </c>
      <c r="I330" s="48" t="s">
        <v>103</v>
      </c>
      <c r="J330" s="49">
        <v>23</v>
      </c>
      <c r="K330" s="50">
        <v>1090</v>
      </c>
      <c r="L330" s="50">
        <v>1057.21</v>
      </c>
      <c r="M330" s="48" t="s">
        <v>276</v>
      </c>
      <c r="N330" s="51">
        <v>0.92</v>
      </c>
      <c r="O330" s="51">
        <v>0.91710000000000003</v>
      </c>
      <c r="P330" s="52">
        <v>988.6</v>
      </c>
      <c r="Q330" s="52">
        <v>988.6</v>
      </c>
      <c r="R330" s="53" t="str">
        <f>INDEX(SKU_Master!$D$5:$D$34,MATCH($I330,SKU_Master!$A$5:$A$34,0))</f>
        <v>Laptop</v>
      </c>
      <c r="S330" s="54">
        <f t="shared" si="70"/>
        <v>3.0082568807339394E-2</v>
      </c>
      <c r="T330" s="55">
        <f t="shared" si="71"/>
        <v>27250</v>
      </c>
      <c r="U330" s="55">
        <f t="shared" si="72"/>
        <v>26430.25</v>
      </c>
      <c r="V330" s="55">
        <f t="shared" si="73"/>
        <v>-819.75</v>
      </c>
      <c r="W330" s="55">
        <f t="shared" si="74"/>
        <v>26513.826191255044</v>
      </c>
      <c r="X330" s="55">
        <f t="shared" si="75"/>
        <v>83.57619125504425</v>
      </c>
      <c r="Y330" s="55">
        <f t="shared" si="76"/>
        <v>22737.8</v>
      </c>
      <c r="Z330" s="55">
        <f t="shared" si="77"/>
        <v>22737.8</v>
      </c>
      <c r="AA330" s="55">
        <f t="shared" si="78"/>
        <v>0</v>
      </c>
      <c r="AB330" s="55">
        <f t="shared" si="79"/>
        <v>3776.026191255045</v>
      </c>
      <c r="AC330" s="54">
        <f t="shared" si="80"/>
        <v>0.14241724917471466</v>
      </c>
      <c r="AD330" s="56">
        <f>INDEX(Assumptions!$B$14:$B$16,MATCH($R330,Assumptions!$A$14:$A$16,0))</f>
        <v>0.12</v>
      </c>
      <c r="AE330" s="56">
        <f>INDEX(Assumptions!$C$14:$C$16,MATCH($R330,Assumptions!$A$14:$A$16,0))</f>
        <v>0.08</v>
      </c>
      <c r="AF330" s="49">
        <f t="shared" si="81"/>
        <v>0</v>
      </c>
      <c r="AG330" s="49">
        <f t="shared" si="82"/>
        <v>0</v>
      </c>
      <c r="AH330" s="55">
        <f t="shared" si="83"/>
        <v>0</v>
      </c>
    </row>
    <row r="331" spans="1:34" x14ac:dyDescent="0.2">
      <c r="A331" s="48" t="s">
        <v>524</v>
      </c>
      <c r="B331" s="48">
        <v>2</v>
      </c>
      <c r="C331" s="48" t="s">
        <v>458</v>
      </c>
      <c r="D331" s="48" t="s">
        <v>416</v>
      </c>
      <c r="E331" s="48" t="s">
        <v>296</v>
      </c>
      <c r="F331" s="48" t="s">
        <v>297</v>
      </c>
      <c r="G331" s="48" t="s">
        <v>298</v>
      </c>
      <c r="H331" s="48" t="s">
        <v>66</v>
      </c>
      <c r="I331" s="48" t="s">
        <v>177</v>
      </c>
      <c r="J331" s="49">
        <v>13</v>
      </c>
      <c r="K331" s="50">
        <v>75</v>
      </c>
      <c r="L331" s="50">
        <v>72.13</v>
      </c>
      <c r="M331" s="48" t="s">
        <v>276</v>
      </c>
      <c r="N331" s="51">
        <v>0.92</v>
      </c>
      <c r="O331" s="51">
        <v>0.91710000000000003</v>
      </c>
      <c r="P331" s="52">
        <v>49</v>
      </c>
      <c r="Q331" s="52">
        <v>49</v>
      </c>
      <c r="R331" s="53" t="str">
        <f>INDEX(SKU_Master!$D$5:$D$34,MATCH($I331,SKU_Master!$A$5:$A$34,0))</f>
        <v>Accessory</v>
      </c>
      <c r="S331" s="54">
        <f t="shared" si="70"/>
        <v>3.8266666666666782E-2</v>
      </c>
      <c r="T331" s="55">
        <f t="shared" si="71"/>
        <v>1059.782608695652</v>
      </c>
      <c r="U331" s="55">
        <f t="shared" si="72"/>
        <v>1019.2282608695651</v>
      </c>
      <c r="V331" s="55">
        <f t="shared" si="73"/>
        <v>-40.554347826086882</v>
      </c>
      <c r="W331" s="55">
        <f t="shared" si="74"/>
        <v>1022.4512048849634</v>
      </c>
      <c r="X331" s="55">
        <f t="shared" si="75"/>
        <v>3.2229440153982978</v>
      </c>
      <c r="Y331" s="55">
        <f t="shared" si="76"/>
        <v>637</v>
      </c>
      <c r="Z331" s="55">
        <f t="shared" si="77"/>
        <v>637</v>
      </c>
      <c r="AA331" s="55">
        <f t="shared" si="78"/>
        <v>0</v>
      </c>
      <c r="AB331" s="55">
        <f t="shared" si="79"/>
        <v>385.45120488496343</v>
      </c>
      <c r="AC331" s="54">
        <f t="shared" si="80"/>
        <v>0.3769873838901982</v>
      </c>
      <c r="AD331" s="56">
        <f>INDEX(Assumptions!$B$14:$B$16,MATCH($R331,Assumptions!$A$14:$A$16,0))</f>
        <v>0.32</v>
      </c>
      <c r="AE331" s="56">
        <f>INDEX(Assumptions!$C$14:$C$16,MATCH($R331,Assumptions!$A$14:$A$16,0))</f>
        <v>0.22</v>
      </c>
      <c r="AF331" s="49">
        <f t="shared" si="81"/>
        <v>0</v>
      </c>
      <c r="AG331" s="49">
        <f t="shared" si="82"/>
        <v>0</v>
      </c>
      <c r="AH331" s="55">
        <f t="shared" si="83"/>
        <v>0</v>
      </c>
    </row>
    <row r="332" spans="1:34" x14ac:dyDescent="0.2">
      <c r="A332" s="48" t="s">
        <v>525</v>
      </c>
      <c r="B332" s="48">
        <v>1</v>
      </c>
      <c r="C332" s="48" t="s">
        <v>526</v>
      </c>
      <c r="D332" s="48" t="s">
        <v>527</v>
      </c>
      <c r="E332" s="48" t="s">
        <v>427</v>
      </c>
      <c r="F332" s="48" t="s">
        <v>297</v>
      </c>
      <c r="G332" s="48" t="s">
        <v>302</v>
      </c>
      <c r="H332" s="48" t="s">
        <v>66</v>
      </c>
      <c r="I332" s="48" t="s">
        <v>106</v>
      </c>
      <c r="J332" s="49">
        <v>45</v>
      </c>
      <c r="K332" s="50">
        <v>1450</v>
      </c>
      <c r="L332" s="50">
        <v>1410.51</v>
      </c>
      <c r="M332" s="48" t="s">
        <v>276</v>
      </c>
      <c r="N332" s="51">
        <v>0.92</v>
      </c>
      <c r="O332" s="51">
        <v>0.91739999999999999</v>
      </c>
      <c r="P332" s="52">
        <v>1318.4</v>
      </c>
      <c r="Q332" s="52">
        <v>1318.4</v>
      </c>
      <c r="R332" s="53" t="str">
        <f>INDEX(SKU_Master!$D$5:$D$34,MATCH($I332,SKU_Master!$A$5:$A$34,0))</f>
        <v>Laptop</v>
      </c>
      <c r="S332" s="54">
        <f t="shared" si="70"/>
        <v>2.7234482758620726E-2</v>
      </c>
      <c r="T332" s="55">
        <f t="shared" si="71"/>
        <v>70923.913043478256</v>
      </c>
      <c r="U332" s="55">
        <f t="shared" si="72"/>
        <v>68992.336956521729</v>
      </c>
      <c r="V332" s="55">
        <f t="shared" si="73"/>
        <v>-1931.5760869565274</v>
      </c>
      <c r="W332" s="55">
        <f t="shared" si="74"/>
        <v>69187.867887508168</v>
      </c>
      <c r="X332" s="55">
        <f t="shared" si="75"/>
        <v>195.53093098643876</v>
      </c>
      <c r="Y332" s="55">
        <f t="shared" si="76"/>
        <v>59328.000000000007</v>
      </c>
      <c r="Z332" s="55">
        <f t="shared" si="77"/>
        <v>59328.000000000007</v>
      </c>
      <c r="AA332" s="55">
        <f t="shared" si="78"/>
        <v>0</v>
      </c>
      <c r="AB332" s="55">
        <f t="shared" si="79"/>
        <v>9859.8678875081605</v>
      </c>
      <c r="AC332" s="54">
        <f t="shared" si="80"/>
        <v>0.14250862454005978</v>
      </c>
      <c r="AD332" s="56">
        <f>INDEX(Assumptions!$B$14:$B$16,MATCH($R332,Assumptions!$A$14:$A$16,0))</f>
        <v>0.12</v>
      </c>
      <c r="AE332" s="56">
        <f>INDEX(Assumptions!$C$14:$C$16,MATCH($R332,Assumptions!$A$14:$A$16,0))</f>
        <v>0.08</v>
      </c>
      <c r="AF332" s="49">
        <f t="shared" si="81"/>
        <v>0</v>
      </c>
      <c r="AG332" s="49">
        <f t="shared" si="82"/>
        <v>0</v>
      </c>
      <c r="AH332" s="55">
        <f t="shared" si="83"/>
        <v>0</v>
      </c>
    </row>
    <row r="333" spans="1:34" x14ac:dyDescent="0.2">
      <c r="A333" s="48" t="s">
        <v>525</v>
      </c>
      <c r="B333" s="48">
        <v>2</v>
      </c>
      <c r="C333" s="48" t="s">
        <v>526</v>
      </c>
      <c r="D333" s="48" t="s">
        <v>527</v>
      </c>
      <c r="E333" s="48" t="s">
        <v>427</v>
      </c>
      <c r="F333" s="48" t="s">
        <v>297</v>
      </c>
      <c r="G333" s="48" t="s">
        <v>302</v>
      </c>
      <c r="H333" s="48" t="s">
        <v>66</v>
      </c>
      <c r="I333" s="48" t="s">
        <v>146</v>
      </c>
      <c r="J333" s="49">
        <v>46</v>
      </c>
      <c r="K333" s="50">
        <v>250</v>
      </c>
      <c r="L333" s="50">
        <v>236.43</v>
      </c>
      <c r="M333" s="48" t="s">
        <v>276</v>
      </c>
      <c r="N333" s="51">
        <v>0.92</v>
      </c>
      <c r="O333" s="51">
        <v>0.91739999999999999</v>
      </c>
      <c r="P333" s="52">
        <v>206.8</v>
      </c>
      <c r="Q333" s="52">
        <v>206.8</v>
      </c>
      <c r="R333" s="53" t="str">
        <f>INDEX(SKU_Master!$D$5:$D$34,MATCH($I333,SKU_Master!$A$5:$A$34,0))</f>
        <v>Monitor</v>
      </c>
      <c r="S333" s="54">
        <f t="shared" si="70"/>
        <v>5.4279999999999995E-2</v>
      </c>
      <c r="T333" s="55">
        <f t="shared" si="71"/>
        <v>12500</v>
      </c>
      <c r="U333" s="55">
        <f t="shared" si="72"/>
        <v>11821.5</v>
      </c>
      <c r="V333" s="55">
        <f t="shared" si="73"/>
        <v>-678.5</v>
      </c>
      <c r="W333" s="55">
        <f t="shared" si="74"/>
        <v>11855.003270111185</v>
      </c>
      <c r="X333" s="55">
        <f t="shared" si="75"/>
        <v>33.503270111184975</v>
      </c>
      <c r="Y333" s="55">
        <f t="shared" si="76"/>
        <v>9512.8000000000011</v>
      </c>
      <c r="Z333" s="55">
        <f t="shared" si="77"/>
        <v>9512.8000000000011</v>
      </c>
      <c r="AA333" s="55">
        <f t="shared" si="78"/>
        <v>0</v>
      </c>
      <c r="AB333" s="55">
        <f t="shared" si="79"/>
        <v>2342.2032701111839</v>
      </c>
      <c r="AC333" s="54">
        <f t="shared" si="80"/>
        <v>0.19757086664128917</v>
      </c>
      <c r="AD333" s="56">
        <f>INDEX(Assumptions!$B$14:$B$16,MATCH($R333,Assumptions!$A$14:$A$16,0))</f>
        <v>0.18</v>
      </c>
      <c r="AE333" s="56">
        <f>INDEX(Assumptions!$C$14:$C$16,MATCH($R333,Assumptions!$A$14:$A$16,0))</f>
        <v>0.12</v>
      </c>
      <c r="AF333" s="49">
        <f t="shared" si="81"/>
        <v>0</v>
      </c>
      <c r="AG333" s="49">
        <f t="shared" si="82"/>
        <v>0</v>
      </c>
      <c r="AH333" s="55">
        <f t="shared" si="83"/>
        <v>0</v>
      </c>
    </row>
    <row r="334" spans="1:34" x14ac:dyDescent="0.2">
      <c r="A334" s="48" t="s">
        <v>525</v>
      </c>
      <c r="B334" s="48">
        <v>3</v>
      </c>
      <c r="C334" s="48" t="s">
        <v>526</v>
      </c>
      <c r="D334" s="48" t="s">
        <v>527</v>
      </c>
      <c r="E334" s="48" t="s">
        <v>427</v>
      </c>
      <c r="F334" s="48" t="s">
        <v>297</v>
      </c>
      <c r="G334" s="48" t="s">
        <v>302</v>
      </c>
      <c r="H334" s="48" t="s">
        <v>66</v>
      </c>
      <c r="I334" s="48" t="s">
        <v>151</v>
      </c>
      <c r="J334" s="49">
        <v>51</v>
      </c>
      <c r="K334" s="50">
        <v>325</v>
      </c>
      <c r="L334" s="50">
        <v>300.48</v>
      </c>
      <c r="M334" s="48" t="s">
        <v>276</v>
      </c>
      <c r="N334" s="51">
        <v>0.92</v>
      </c>
      <c r="O334" s="51">
        <v>0.91739999999999999</v>
      </c>
      <c r="P334" s="52">
        <v>221.7</v>
      </c>
      <c r="Q334" s="52">
        <v>221.7</v>
      </c>
      <c r="R334" s="53" t="str">
        <f>INDEX(SKU_Master!$D$5:$D$34,MATCH($I334,SKU_Master!$A$5:$A$34,0))</f>
        <v>Accessory</v>
      </c>
      <c r="S334" s="54">
        <f t="shared" si="70"/>
        <v>7.5446153846153829E-2</v>
      </c>
      <c r="T334" s="55">
        <f t="shared" si="71"/>
        <v>18016.304347826088</v>
      </c>
      <c r="U334" s="55">
        <f t="shared" si="72"/>
        <v>16657.043478260872</v>
      </c>
      <c r="V334" s="55">
        <f t="shared" si="73"/>
        <v>-1359.2608695652161</v>
      </c>
      <c r="W334" s="55">
        <f t="shared" si="74"/>
        <v>16704.251144538917</v>
      </c>
      <c r="X334" s="55">
        <f t="shared" si="75"/>
        <v>47.207666278045508</v>
      </c>
      <c r="Y334" s="55">
        <f t="shared" si="76"/>
        <v>11306.699999999999</v>
      </c>
      <c r="Z334" s="55">
        <f t="shared" si="77"/>
        <v>11306.699999999999</v>
      </c>
      <c r="AA334" s="55">
        <f t="shared" si="78"/>
        <v>0</v>
      </c>
      <c r="AB334" s="55">
        <f t="shared" si="79"/>
        <v>5397.5511445389184</v>
      </c>
      <c r="AC334" s="54">
        <f t="shared" si="80"/>
        <v>0.32312440095846662</v>
      </c>
      <c r="AD334" s="56">
        <f>INDEX(Assumptions!$B$14:$B$16,MATCH($R334,Assumptions!$A$14:$A$16,0))</f>
        <v>0.32</v>
      </c>
      <c r="AE334" s="56">
        <f>INDEX(Assumptions!$C$14:$C$16,MATCH($R334,Assumptions!$A$14:$A$16,0))</f>
        <v>0.22</v>
      </c>
      <c r="AF334" s="49">
        <f t="shared" si="81"/>
        <v>0</v>
      </c>
      <c r="AG334" s="49">
        <f t="shared" si="82"/>
        <v>0</v>
      </c>
      <c r="AH334" s="55">
        <f t="shared" si="83"/>
        <v>0</v>
      </c>
    </row>
    <row r="335" spans="1:34" x14ac:dyDescent="0.2">
      <c r="A335" s="48" t="s">
        <v>528</v>
      </c>
      <c r="B335" s="48">
        <v>1</v>
      </c>
      <c r="C335" s="48" t="s">
        <v>526</v>
      </c>
      <c r="D335" s="48" t="s">
        <v>527</v>
      </c>
      <c r="E335" s="48" t="s">
        <v>343</v>
      </c>
      <c r="F335" s="48" t="s">
        <v>280</v>
      </c>
      <c r="G335" s="48" t="s">
        <v>281</v>
      </c>
      <c r="H335" s="48" t="s">
        <v>62</v>
      </c>
      <c r="I335" s="48" t="s">
        <v>113</v>
      </c>
      <c r="J335" s="49">
        <v>24</v>
      </c>
      <c r="K335" s="50">
        <v>1740</v>
      </c>
      <c r="L335" s="50">
        <v>1709.75</v>
      </c>
      <c r="M335" s="48" t="s">
        <v>276</v>
      </c>
      <c r="N335" s="51">
        <v>1</v>
      </c>
      <c r="O335" s="51">
        <v>1</v>
      </c>
      <c r="P335" s="52">
        <v>1484.8</v>
      </c>
      <c r="Q335" s="52">
        <v>1484.8</v>
      </c>
      <c r="R335" s="53" t="str">
        <f>INDEX(SKU_Master!$D$5:$D$34,MATCH($I335,SKU_Master!$A$5:$A$34,0))</f>
        <v>Laptop</v>
      </c>
      <c r="S335" s="54">
        <f t="shared" si="70"/>
        <v>1.7385057471264398E-2</v>
      </c>
      <c r="T335" s="55">
        <f t="shared" si="71"/>
        <v>41760</v>
      </c>
      <c r="U335" s="55">
        <f t="shared" si="72"/>
        <v>41034</v>
      </c>
      <c r="V335" s="55">
        <f t="shared" si="73"/>
        <v>-726</v>
      </c>
      <c r="W335" s="55">
        <f t="shared" si="74"/>
        <v>41034</v>
      </c>
      <c r="X335" s="55">
        <f t="shared" si="75"/>
        <v>0</v>
      </c>
      <c r="Y335" s="55">
        <f t="shared" si="76"/>
        <v>35635.199999999997</v>
      </c>
      <c r="Z335" s="55">
        <f t="shared" si="77"/>
        <v>35635.199999999997</v>
      </c>
      <c r="AA335" s="55">
        <f t="shared" si="78"/>
        <v>0</v>
      </c>
      <c r="AB335" s="55">
        <f t="shared" si="79"/>
        <v>5398.8000000000029</v>
      </c>
      <c r="AC335" s="54">
        <f t="shared" si="80"/>
        <v>0.13156894282789888</v>
      </c>
      <c r="AD335" s="56">
        <f>INDEX(Assumptions!$B$14:$B$16,MATCH($R335,Assumptions!$A$14:$A$16,0))</f>
        <v>0.12</v>
      </c>
      <c r="AE335" s="56">
        <f>INDEX(Assumptions!$C$14:$C$16,MATCH($R335,Assumptions!$A$14:$A$16,0))</f>
        <v>0.08</v>
      </c>
      <c r="AF335" s="49">
        <f t="shared" si="81"/>
        <v>0</v>
      </c>
      <c r="AG335" s="49">
        <f t="shared" si="82"/>
        <v>0</v>
      </c>
      <c r="AH335" s="55">
        <f t="shared" si="83"/>
        <v>0</v>
      </c>
    </row>
    <row r="336" spans="1:34" x14ac:dyDescent="0.2">
      <c r="A336" s="48" t="s">
        <v>528</v>
      </c>
      <c r="B336" s="48">
        <v>2</v>
      </c>
      <c r="C336" s="48" t="s">
        <v>526</v>
      </c>
      <c r="D336" s="48" t="s">
        <v>527</v>
      </c>
      <c r="E336" s="48" t="s">
        <v>343</v>
      </c>
      <c r="F336" s="48" t="s">
        <v>280</v>
      </c>
      <c r="G336" s="48" t="s">
        <v>281</v>
      </c>
      <c r="H336" s="48" t="s">
        <v>62</v>
      </c>
      <c r="I336" s="48" t="s">
        <v>146</v>
      </c>
      <c r="J336" s="49">
        <v>25</v>
      </c>
      <c r="K336" s="50">
        <v>235</v>
      </c>
      <c r="L336" s="50">
        <v>225.67</v>
      </c>
      <c r="M336" s="48" t="s">
        <v>276</v>
      </c>
      <c r="N336" s="51">
        <v>1</v>
      </c>
      <c r="O336" s="51">
        <v>1</v>
      </c>
      <c r="P336" s="52">
        <v>181.8</v>
      </c>
      <c r="Q336" s="52">
        <v>181.8</v>
      </c>
      <c r="R336" s="53" t="str">
        <f>INDEX(SKU_Master!$D$5:$D$34,MATCH($I336,SKU_Master!$A$5:$A$34,0))</f>
        <v>Monitor</v>
      </c>
      <c r="S336" s="54">
        <f t="shared" si="70"/>
        <v>3.9702127659574482E-2</v>
      </c>
      <c r="T336" s="55">
        <f t="shared" si="71"/>
        <v>5875</v>
      </c>
      <c r="U336" s="55">
        <f t="shared" si="72"/>
        <v>5641.75</v>
      </c>
      <c r="V336" s="55">
        <f t="shared" si="73"/>
        <v>-233.25</v>
      </c>
      <c r="W336" s="55">
        <f t="shared" si="74"/>
        <v>5641.75</v>
      </c>
      <c r="X336" s="55">
        <f t="shared" si="75"/>
        <v>0</v>
      </c>
      <c r="Y336" s="55">
        <f t="shared" si="76"/>
        <v>4545</v>
      </c>
      <c r="Z336" s="55">
        <f t="shared" si="77"/>
        <v>4545</v>
      </c>
      <c r="AA336" s="55">
        <f t="shared" si="78"/>
        <v>0</v>
      </c>
      <c r="AB336" s="55">
        <f t="shared" si="79"/>
        <v>1096.75</v>
      </c>
      <c r="AC336" s="54">
        <f t="shared" si="80"/>
        <v>0.19439890105020605</v>
      </c>
      <c r="AD336" s="56">
        <f>INDEX(Assumptions!$B$14:$B$16,MATCH($R336,Assumptions!$A$14:$A$16,0))</f>
        <v>0.18</v>
      </c>
      <c r="AE336" s="56">
        <f>INDEX(Assumptions!$C$14:$C$16,MATCH($R336,Assumptions!$A$14:$A$16,0))</f>
        <v>0.12</v>
      </c>
      <c r="AF336" s="49">
        <f t="shared" si="81"/>
        <v>0</v>
      </c>
      <c r="AG336" s="49">
        <f t="shared" si="82"/>
        <v>0</v>
      </c>
      <c r="AH336" s="55">
        <f t="shared" si="83"/>
        <v>0</v>
      </c>
    </row>
    <row r="337" spans="1:34" x14ac:dyDescent="0.2">
      <c r="A337" s="48" t="s">
        <v>528</v>
      </c>
      <c r="B337" s="48">
        <v>3</v>
      </c>
      <c r="C337" s="48" t="s">
        <v>526</v>
      </c>
      <c r="D337" s="48" t="s">
        <v>527</v>
      </c>
      <c r="E337" s="48" t="s">
        <v>343</v>
      </c>
      <c r="F337" s="48" t="s">
        <v>280</v>
      </c>
      <c r="G337" s="48" t="s">
        <v>281</v>
      </c>
      <c r="H337" s="48" t="s">
        <v>62</v>
      </c>
      <c r="I337" s="48" t="s">
        <v>157</v>
      </c>
      <c r="J337" s="49">
        <v>10</v>
      </c>
      <c r="K337" s="50">
        <v>135</v>
      </c>
      <c r="L337" s="50">
        <v>129.55000000000001</v>
      </c>
      <c r="M337" s="48" t="s">
        <v>276</v>
      </c>
      <c r="N337" s="51">
        <v>1</v>
      </c>
      <c r="O337" s="51">
        <v>1</v>
      </c>
      <c r="P337" s="52">
        <v>86</v>
      </c>
      <c r="Q337" s="52">
        <v>86</v>
      </c>
      <c r="R337" s="53" t="str">
        <f>INDEX(SKU_Master!$D$5:$D$34,MATCH($I337,SKU_Master!$A$5:$A$34,0))</f>
        <v>Accessory</v>
      </c>
      <c r="S337" s="54">
        <f t="shared" si="70"/>
        <v>4.0370370370370279E-2</v>
      </c>
      <c r="T337" s="55">
        <f t="shared" si="71"/>
        <v>1350</v>
      </c>
      <c r="U337" s="55">
        <f t="shared" si="72"/>
        <v>1295.5</v>
      </c>
      <c r="V337" s="55">
        <f t="shared" si="73"/>
        <v>-54.5</v>
      </c>
      <c r="W337" s="55">
        <f t="shared" si="74"/>
        <v>1295.5</v>
      </c>
      <c r="X337" s="55">
        <f t="shared" si="75"/>
        <v>0</v>
      </c>
      <c r="Y337" s="55">
        <f t="shared" si="76"/>
        <v>860</v>
      </c>
      <c r="Z337" s="55">
        <f t="shared" si="77"/>
        <v>860</v>
      </c>
      <c r="AA337" s="55">
        <f t="shared" si="78"/>
        <v>0</v>
      </c>
      <c r="AB337" s="55">
        <f t="shared" si="79"/>
        <v>435.5</v>
      </c>
      <c r="AC337" s="54">
        <f t="shared" si="80"/>
        <v>0.33616364338093402</v>
      </c>
      <c r="AD337" s="56">
        <f>INDEX(Assumptions!$B$14:$B$16,MATCH($R337,Assumptions!$A$14:$A$16,0))</f>
        <v>0.32</v>
      </c>
      <c r="AE337" s="56">
        <f>INDEX(Assumptions!$C$14:$C$16,MATCH($R337,Assumptions!$A$14:$A$16,0))</f>
        <v>0.22</v>
      </c>
      <c r="AF337" s="49">
        <f t="shared" si="81"/>
        <v>0</v>
      </c>
      <c r="AG337" s="49">
        <f t="shared" si="82"/>
        <v>0</v>
      </c>
      <c r="AH337" s="55">
        <f t="shared" si="83"/>
        <v>0</v>
      </c>
    </row>
    <row r="338" spans="1:34" x14ac:dyDescent="0.2">
      <c r="A338" s="48" t="s">
        <v>529</v>
      </c>
      <c r="B338" s="48">
        <v>1</v>
      </c>
      <c r="C338" s="48" t="s">
        <v>530</v>
      </c>
      <c r="D338" s="48" t="s">
        <v>527</v>
      </c>
      <c r="E338" s="48" t="s">
        <v>343</v>
      </c>
      <c r="F338" s="48" t="s">
        <v>280</v>
      </c>
      <c r="G338" s="48" t="s">
        <v>281</v>
      </c>
      <c r="H338" s="48" t="s">
        <v>62</v>
      </c>
      <c r="I338" s="48" t="s">
        <v>93</v>
      </c>
      <c r="J338" s="49">
        <v>12</v>
      </c>
      <c r="K338" s="50">
        <v>1390</v>
      </c>
      <c r="L338" s="50">
        <v>1338.11</v>
      </c>
      <c r="M338" s="48" t="s">
        <v>276</v>
      </c>
      <c r="N338" s="51">
        <v>1</v>
      </c>
      <c r="O338" s="51">
        <v>1</v>
      </c>
      <c r="P338" s="52">
        <v>1186.2</v>
      </c>
      <c r="Q338" s="52">
        <v>1186.2</v>
      </c>
      <c r="R338" s="53" t="str">
        <f>INDEX(SKU_Master!$D$5:$D$34,MATCH($I338,SKU_Master!$A$5:$A$34,0))</f>
        <v>Laptop</v>
      </c>
      <c r="S338" s="54">
        <f t="shared" si="70"/>
        <v>3.7330935251798647E-2</v>
      </c>
      <c r="T338" s="55">
        <f t="shared" si="71"/>
        <v>16680</v>
      </c>
      <c r="U338" s="55">
        <f t="shared" si="72"/>
        <v>16057.32</v>
      </c>
      <c r="V338" s="55">
        <f t="shared" si="73"/>
        <v>-622.68000000000029</v>
      </c>
      <c r="W338" s="55">
        <f t="shared" si="74"/>
        <v>16057.32</v>
      </c>
      <c r="X338" s="55">
        <f t="shared" si="75"/>
        <v>0</v>
      </c>
      <c r="Y338" s="55">
        <f t="shared" si="76"/>
        <v>14234.400000000001</v>
      </c>
      <c r="Z338" s="55">
        <f t="shared" si="77"/>
        <v>14234.400000000001</v>
      </c>
      <c r="AA338" s="55">
        <f t="shared" si="78"/>
        <v>0</v>
      </c>
      <c r="AB338" s="55">
        <f t="shared" si="79"/>
        <v>1822.9199999999983</v>
      </c>
      <c r="AC338" s="54">
        <f t="shared" si="80"/>
        <v>0.11352579384355535</v>
      </c>
      <c r="AD338" s="56">
        <f>INDEX(Assumptions!$B$14:$B$16,MATCH($R338,Assumptions!$A$14:$A$16,0))</f>
        <v>0.12</v>
      </c>
      <c r="AE338" s="56">
        <f>INDEX(Assumptions!$C$14:$C$16,MATCH($R338,Assumptions!$A$14:$A$16,0))</f>
        <v>0.08</v>
      </c>
      <c r="AF338" s="49">
        <f t="shared" si="81"/>
        <v>0</v>
      </c>
      <c r="AG338" s="49">
        <f t="shared" si="82"/>
        <v>0</v>
      </c>
      <c r="AH338" s="55">
        <f t="shared" si="83"/>
        <v>103.95840000000157</v>
      </c>
    </row>
    <row r="339" spans="1:34" x14ac:dyDescent="0.2">
      <c r="A339" s="48" t="s">
        <v>531</v>
      </c>
      <c r="B339" s="48">
        <v>1</v>
      </c>
      <c r="C339" s="48" t="s">
        <v>532</v>
      </c>
      <c r="D339" s="48" t="s">
        <v>527</v>
      </c>
      <c r="E339" s="48" t="s">
        <v>293</v>
      </c>
      <c r="F339" s="48" t="s">
        <v>274</v>
      </c>
      <c r="G339" s="48" t="s">
        <v>275</v>
      </c>
      <c r="H339" s="48" t="s">
        <v>66</v>
      </c>
      <c r="I339" s="48" t="s">
        <v>108</v>
      </c>
      <c r="J339" s="49">
        <v>2</v>
      </c>
      <c r="K339" s="50">
        <v>1280</v>
      </c>
      <c r="L339" s="50">
        <v>1260.93</v>
      </c>
      <c r="M339" s="48" t="s">
        <v>276</v>
      </c>
      <c r="N339" s="51">
        <v>0.92</v>
      </c>
      <c r="O339" s="51">
        <v>0.91739999999999999</v>
      </c>
      <c r="P339" s="52">
        <v>1165</v>
      </c>
      <c r="Q339" s="52">
        <v>1165</v>
      </c>
      <c r="R339" s="53" t="str">
        <f>INDEX(SKU_Master!$D$5:$D$34,MATCH($I339,SKU_Master!$A$5:$A$34,0))</f>
        <v>Laptop</v>
      </c>
      <c r="S339" s="54">
        <f t="shared" si="70"/>
        <v>1.4898437499999972E-2</v>
      </c>
      <c r="T339" s="55">
        <f t="shared" si="71"/>
        <v>2782.608695652174</v>
      </c>
      <c r="U339" s="55">
        <f t="shared" si="72"/>
        <v>2741.1521739130435</v>
      </c>
      <c r="V339" s="55">
        <f t="shared" si="73"/>
        <v>-41.456521739130494</v>
      </c>
      <c r="W339" s="55">
        <f t="shared" si="74"/>
        <v>2748.9208633093526</v>
      </c>
      <c r="X339" s="55">
        <f t="shared" si="75"/>
        <v>7.7686893963091279</v>
      </c>
      <c r="Y339" s="55">
        <f t="shared" si="76"/>
        <v>2330</v>
      </c>
      <c r="Z339" s="55">
        <f t="shared" si="77"/>
        <v>2330</v>
      </c>
      <c r="AA339" s="55">
        <f t="shared" si="78"/>
        <v>0</v>
      </c>
      <c r="AB339" s="55">
        <f t="shared" si="79"/>
        <v>418.92086330935263</v>
      </c>
      <c r="AC339" s="54">
        <f t="shared" si="80"/>
        <v>0.15239466108348604</v>
      </c>
      <c r="AD339" s="56">
        <f>INDEX(Assumptions!$B$14:$B$16,MATCH($R339,Assumptions!$A$14:$A$16,0))</f>
        <v>0.12</v>
      </c>
      <c r="AE339" s="56">
        <f>INDEX(Assumptions!$C$14:$C$16,MATCH($R339,Assumptions!$A$14:$A$16,0))</f>
        <v>0.08</v>
      </c>
      <c r="AF339" s="49">
        <f t="shared" si="81"/>
        <v>0</v>
      </c>
      <c r="AG339" s="49">
        <f t="shared" si="82"/>
        <v>0</v>
      </c>
      <c r="AH339" s="55">
        <f t="shared" si="83"/>
        <v>0</v>
      </c>
    </row>
    <row r="340" spans="1:34" x14ac:dyDescent="0.2">
      <c r="A340" s="48" t="s">
        <v>531</v>
      </c>
      <c r="B340" s="48">
        <v>2</v>
      </c>
      <c r="C340" s="48" t="s">
        <v>532</v>
      </c>
      <c r="D340" s="48" t="s">
        <v>527</v>
      </c>
      <c r="E340" s="48" t="s">
        <v>293</v>
      </c>
      <c r="F340" s="48" t="s">
        <v>274</v>
      </c>
      <c r="G340" s="48" t="s">
        <v>275</v>
      </c>
      <c r="H340" s="48" t="s">
        <v>66</v>
      </c>
      <c r="I340" s="48" t="s">
        <v>173</v>
      </c>
      <c r="J340" s="49">
        <v>1</v>
      </c>
      <c r="K340" s="50">
        <v>60</v>
      </c>
      <c r="L340" s="50">
        <v>59.65</v>
      </c>
      <c r="M340" s="48" t="s">
        <v>276</v>
      </c>
      <c r="N340" s="51">
        <v>0.92</v>
      </c>
      <c r="O340" s="51">
        <v>0.91739999999999999</v>
      </c>
      <c r="P340" s="52">
        <v>39</v>
      </c>
      <c r="Q340" s="52">
        <v>39</v>
      </c>
      <c r="R340" s="53" t="str">
        <f>INDEX(SKU_Master!$D$5:$D$34,MATCH($I340,SKU_Master!$A$5:$A$34,0))</f>
        <v>Accessory</v>
      </c>
      <c r="S340" s="54">
        <f t="shared" si="70"/>
        <v>5.833333333333357E-3</v>
      </c>
      <c r="T340" s="55">
        <f t="shared" si="71"/>
        <v>65.217391304347828</v>
      </c>
      <c r="U340" s="55">
        <f t="shared" si="72"/>
        <v>64.836956521739125</v>
      </c>
      <c r="V340" s="55">
        <f t="shared" si="73"/>
        <v>-0.38043478260870245</v>
      </c>
      <c r="W340" s="55">
        <f t="shared" si="74"/>
        <v>65.020710704163946</v>
      </c>
      <c r="X340" s="55">
        <f t="shared" si="75"/>
        <v>0.18375418242482056</v>
      </c>
      <c r="Y340" s="55">
        <f t="shared" si="76"/>
        <v>39</v>
      </c>
      <c r="Z340" s="55">
        <f t="shared" si="77"/>
        <v>39</v>
      </c>
      <c r="AA340" s="55">
        <f t="shared" si="78"/>
        <v>0</v>
      </c>
      <c r="AB340" s="55">
        <f t="shared" si="79"/>
        <v>26.020710704163946</v>
      </c>
      <c r="AC340" s="54">
        <f t="shared" si="80"/>
        <v>0.40019111483654657</v>
      </c>
      <c r="AD340" s="56">
        <f>INDEX(Assumptions!$B$14:$B$16,MATCH($R340,Assumptions!$A$14:$A$16,0))</f>
        <v>0.32</v>
      </c>
      <c r="AE340" s="56">
        <f>INDEX(Assumptions!$C$14:$C$16,MATCH($R340,Assumptions!$A$14:$A$16,0))</f>
        <v>0.22</v>
      </c>
      <c r="AF340" s="49">
        <f t="shared" si="81"/>
        <v>0</v>
      </c>
      <c r="AG340" s="49">
        <f t="shared" si="82"/>
        <v>0</v>
      </c>
      <c r="AH340" s="55">
        <f t="shared" si="83"/>
        <v>0</v>
      </c>
    </row>
    <row r="341" spans="1:34" x14ac:dyDescent="0.2">
      <c r="A341" s="48" t="s">
        <v>533</v>
      </c>
      <c r="B341" s="48">
        <v>1</v>
      </c>
      <c r="C341" s="48" t="s">
        <v>534</v>
      </c>
      <c r="D341" s="48" t="s">
        <v>527</v>
      </c>
      <c r="E341" s="48" t="s">
        <v>325</v>
      </c>
      <c r="F341" s="48" t="s">
        <v>274</v>
      </c>
      <c r="G341" s="48" t="s">
        <v>298</v>
      </c>
      <c r="H341" s="48" t="s">
        <v>62</v>
      </c>
      <c r="I341" s="48" t="s">
        <v>108</v>
      </c>
      <c r="J341" s="49">
        <v>2</v>
      </c>
      <c r="K341" s="50">
        <v>1345</v>
      </c>
      <c r="L341" s="50">
        <v>1329.33</v>
      </c>
      <c r="M341" s="48" t="s">
        <v>276</v>
      </c>
      <c r="N341" s="51">
        <v>1</v>
      </c>
      <c r="O341" s="51">
        <v>1</v>
      </c>
      <c r="P341" s="52">
        <v>1145</v>
      </c>
      <c r="Q341" s="52">
        <v>1145</v>
      </c>
      <c r="R341" s="53" t="str">
        <f>INDEX(SKU_Master!$D$5:$D$34,MATCH($I341,SKU_Master!$A$5:$A$34,0))</f>
        <v>Laptop</v>
      </c>
      <c r="S341" s="54">
        <f t="shared" si="70"/>
        <v>1.1650557620817903E-2</v>
      </c>
      <c r="T341" s="55">
        <f t="shared" si="71"/>
        <v>2690</v>
      </c>
      <c r="U341" s="55">
        <f t="shared" si="72"/>
        <v>2658.66</v>
      </c>
      <c r="V341" s="55">
        <f t="shared" si="73"/>
        <v>-31.340000000000146</v>
      </c>
      <c r="W341" s="55">
        <f t="shared" si="74"/>
        <v>2658.66</v>
      </c>
      <c r="X341" s="55">
        <f t="shared" si="75"/>
        <v>0</v>
      </c>
      <c r="Y341" s="55">
        <f t="shared" si="76"/>
        <v>2290</v>
      </c>
      <c r="Z341" s="55">
        <f t="shared" si="77"/>
        <v>2290</v>
      </c>
      <c r="AA341" s="55">
        <f t="shared" si="78"/>
        <v>0</v>
      </c>
      <c r="AB341" s="55">
        <f t="shared" si="79"/>
        <v>368.65999999999985</v>
      </c>
      <c r="AC341" s="54">
        <f t="shared" si="80"/>
        <v>0.13866383817411773</v>
      </c>
      <c r="AD341" s="56">
        <f>INDEX(Assumptions!$B$14:$B$16,MATCH($R341,Assumptions!$A$14:$A$16,0))</f>
        <v>0.12</v>
      </c>
      <c r="AE341" s="56">
        <f>INDEX(Assumptions!$C$14:$C$16,MATCH($R341,Assumptions!$A$14:$A$16,0))</f>
        <v>0.08</v>
      </c>
      <c r="AF341" s="49">
        <f t="shared" si="81"/>
        <v>0</v>
      </c>
      <c r="AG341" s="49">
        <f t="shared" si="82"/>
        <v>0</v>
      </c>
      <c r="AH341" s="55">
        <f t="shared" si="83"/>
        <v>0</v>
      </c>
    </row>
    <row r="342" spans="1:34" x14ac:dyDescent="0.2">
      <c r="A342" s="48" t="s">
        <v>533</v>
      </c>
      <c r="B342" s="48">
        <v>2</v>
      </c>
      <c r="C342" s="48" t="s">
        <v>534</v>
      </c>
      <c r="D342" s="48" t="s">
        <v>527</v>
      </c>
      <c r="E342" s="48" t="s">
        <v>325</v>
      </c>
      <c r="F342" s="48" t="s">
        <v>274</v>
      </c>
      <c r="G342" s="48" t="s">
        <v>298</v>
      </c>
      <c r="H342" s="48" t="s">
        <v>62</v>
      </c>
      <c r="I342" s="48" t="s">
        <v>138</v>
      </c>
      <c r="J342" s="49">
        <v>2</v>
      </c>
      <c r="K342" s="50">
        <v>455</v>
      </c>
      <c r="L342" s="50">
        <v>446.69</v>
      </c>
      <c r="M342" s="48" t="s">
        <v>276</v>
      </c>
      <c r="N342" s="51">
        <v>1</v>
      </c>
      <c r="O342" s="51">
        <v>1</v>
      </c>
      <c r="P342" s="52">
        <v>358.2</v>
      </c>
      <c r="Q342" s="52">
        <v>358.2</v>
      </c>
      <c r="R342" s="53" t="str">
        <f>INDEX(SKU_Master!$D$5:$D$34,MATCH($I342,SKU_Master!$A$5:$A$34,0))</f>
        <v>Monitor</v>
      </c>
      <c r="S342" s="54">
        <f t="shared" si="70"/>
        <v>1.826373626373623E-2</v>
      </c>
      <c r="T342" s="55">
        <f t="shared" si="71"/>
        <v>910</v>
      </c>
      <c r="U342" s="55">
        <f t="shared" si="72"/>
        <v>893.38</v>
      </c>
      <c r="V342" s="55">
        <f t="shared" si="73"/>
        <v>-16.620000000000005</v>
      </c>
      <c r="W342" s="55">
        <f t="shared" si="74"/>
        <v>893.38</v>
      </c>
      <c r="X342" s="55">
        <f t="shared" si="75"/>
        <v>0</v>
      </c>
      <c r="Y342" s="55">
        <f t="shared" si="76"/>
        <v>716.4</v>
      </c>
      <c r="Z342" s="55">
        <f t="shared" si="77"/>
        <v>716.4</v>
      </c>
      <c r="AA342" s="55">
        <f t="shared" si="78"/>
        <v>0</v>
      </c>
      <c r="AB342" s="55">
        <f t="shared" si="79"/>
        <v>176.98000000000002</v>
      </c>
      <c r="AC342" s="54">
        <f t="shared" si="80"/>
        <v>0.19810159170789587</v>
      </c>
      <c r="AD342" s="56">
        <f>INDEX(Assumptions!$B$14:$B$16,MATCH($R342,Assumptions!$A$14:$A$16,0))</f>
        <v>0.18</v>
      </c>
      <c r="AE342" s="56">
        <f>INDEX(Assumptions!$C$14:$C$16,MATCH($R342,Assumptions!$A$14:$A$16,0))</f>
        <v>0.12</v>
      </c>
      <c r="AF342" s="49">
        <f t="shared" si="81"/>
        <v>0</v>
      </c>
      <c r="AG342" s="49">
        <f t="shared" si="82"/>
        <v>0</v>
      </c>
      <c r="AH342" s="55">
        <f t="shared" si="83"/>
        <v>0</v>
      </c>
    </row>
    <row r="343" spans="1:34" x14ac:dyDescent="0.2">
      <c r="A343" s="48" t="s">
        <v>533</v>
      </c>
      <c r="B343" s="48">
        <v>3</v>
      </c>
      <c r="C343" s="48" t="s">
        <v>534</v>
      </c>
      <c r="D343" s="48" t="s">
        <v>527</v>
      </c>
      <c r="E343" s="48" t="s">
        <v>325</v>
      </c>
      <c r="F343" s="48" t="s">
        <v>274</v>
      </c>
      <c r="G343" s="48" t="s">
        <v>298</v>
      </c>
      <c r="H343" s="48" t="s">
        <v>62</v>
      </c>
      <c r="I343" s="48" t="s">
        <v>157</v>
      </c>
      <c r="J343" s="49">
        <v>1</v>
      </c>
      <c r="K343" s="50">
        <v>135</v>
      </c>
      <c r="L343" s="50">
        <v>133.16999999999999</v>
      </c>
      <c r="M343" s="48" t="s">
        <v>276</v>
      </c>
      <c r="N343" s="51">
        <v>1</v>
      </c>
      <c r="O343" s="51">
        <v>1</v>
      </c>
      <c r="P343" s="52">
        <v>86</v>
      </c>
      <c r="Q343" s="52">
        <v>86</v>
      </c>
      <c r="R343" s="53" t="str">
        <f>INDEX(SKU_Master!$D$5:$D$34,MATCH($I343,SKU_Master!$A$5:$A$34,0))</f>
        <v>Accessory</v>
      </c>
      <c r="S343" s="54">
        <f t="shared" si="70"/>
        <v>1.3555555555555654E-2</v>
      </c>
      <c r="T343" s="55">
        <f t="shared" si="71"/>
        <v>135</v>
      </c>
      <c r="U343" s="55">
        <f t="shared" si="72"/>
        <v>133.16999999999999</v>
      </c>
      <c r="V343" s="55">
        <f t="shared" si="73"/>
        <v>-1.8300000000000125</v>
      </c>
      <c r="W343" s="55">
        <f t="shared" si="74"/>
        <v>133.16999999999999</v>
      </c>
      <c r="X343" s="55">
        <f t="shared" si="75"/>
        <v>0</v>
      </c>
      <c r="Y343" s="55">
        <f t="shared" si="76"/>
        <v>86</v>
      </c>
      <c r="Z343" s="55">
        <f t="shared" si="77"/>
        <v>86</v>
      </c>
      <c r="AA343" s="55">
        <f t="shared" si="78"/>
        <v>0</v>
      </c>
      <c r="AB343" s="55">
        <f t="shared" si="79"/>
        <v>47.169999999999987</v>
      </c>
      <c r="AC343" s="54">
        <f t="shared" si="80"/>
        <v>0.35420890590973936</v>
      </c>
      <c r="AD343" s="56">
        <f>INDEX(Assumptions!$B$14:$B$16,MATCH($R343,Assumptions!$A$14:$A$16,0))</f>
        <v>0.32</v>
      </c>
      <c r="AE343" s="56">
        <f>INDEX(Assumptions!$C$14:$C$16,MATCH($R343,Assumptions!$A$14:$A$16,0))</f>
        <v>0.22</v>
      </c>
      <c r="AF343" s="49">
        <f t="shared" si="81"/>
        <v>0</v>
      </c>
      <c r="AG343" s="49">
        <f t="shared" si="82"/>
        <v>0</v>
      </c>
      <c r="AH343" s="55">
        <f t="shared" si="83"/>
        <v>0</v>
      </c>
    </row>
    <row r="344" spans="1:34" x14ac:dyDescent="0.2">
      <c r="A344" s="48" t="s">
        <v>535</v>
      </c>
      <c r="B344" s="48">
        <v>1</v>
      </c>
      <c r="C344" s="48" t="s">
        <v>530</v>
      </c>
      <c r="D344" s="48" t="s">
        <v>527</v>
      </c>
      <c r="E344" s="48" t="s">
        <v>317</v>
      </c>
      <c r="F344" s="48" t="s">
        <v>280</v>
      </c>
      <c r="G344" s="48" t="s">
        <v>306</v>
      </c>
      <c r="H344" s="48" t="s">
        <v>62</v>
      </c>
      <c r="I344" s="48" t="s">
        <v>113</v>
      </c>
      <c r="J344" s="49">
        <v>16</v>
      </c>
      <c r="K344" s="50">
        <v>1740</v>
      </c>
      <c r="L344" s="50">
        <v>1666.7</v>
      </c>
      <c r="M344" s="48" t="s">
        <v>276</v>
      </c>
      <c r="N344" s="51">
        <v>1</v>
      </c>
      <c r="O344" s="51">
        <v>1</v>
      </c>
      <c r="P344" s="52">
        <v>1484.8</v>
      </c>
      <c r="Q344" s="52">
        <v>1484.8</v>
      </c>
      <c r="R344" s="53" t="str">
        <f>INDEX(SKU_Master!$D$5:$D$34,MATCH($I344,SKU_Master!$A$5:$A$34,0))</f>
        <v>Laptop</v>
      </c>
      <c r="S344" s="54">
        <f t="shared" si="70"/>
        <v>4.2126436781609211E-2</v>
      </c>
      <c r="T344" s="55">
        <f t="shared" si="71"/>
        <v>27840</v>
      </c>
      <c r="U344" s="55">
        <f t="shared" si="72"/>
        <v>26667.200000000001</v>
      </c>
      <c r="V344" s="55">
        <f t="shared" si="73"/>
        <v>-1172.7999999999993</v>
      </c>
      <c r="W344" s="55">
        <f t="shared" si="74"/>
        <v>26667.200000000001</v>
      </c>
      <c r="X344" s="55">
        <f t="shared" si="75"/>
        <v>0</v>
      </c>
      <c r="Y344" s="55">
        <f t="shared" si="76"/>
        <v>23756.799999999999</v>
      </c>
      <c r="Z344" s="55">
        <f t="shared" si="77"/>
        <v>23756.799999999999</v>
      </c>
      <c r="AA344" s="55">
        <f t="shared" si="78"/>
        <v>0</v>
      </c>
      <c r="AB344" s="55">
        <f t="shared" si="79"/>
        <v>2910.4000000000015</v>
      </c>
      <c r="AC344" s="54">
        <f t="shared" si="80"/>
        <v>0.10913781724365518</v>
      </c>
      <c r="AD344" s="56">
        <f>INDEX(Assumptions!$B$14:$B$16,MATCH($R344,Assumptions!$A$14:$A$16,0))</f>
        <v>0.12</v>
      </c>
      <c r="AE344" s="56">
        <f>INDEX(Assumptions!$C$14:$C$16,MATCH($R344,Assumptions!$A$14:$A$16,0))</f>
        <v>0.08</v>
      </c>
      <c r="AF344" s="49">
        <f t="shared" si="81"/>
        <v>0</v>
      </c>
      <c r="AG344" s="49">
        <f t="shared" si="82"/>
        <v>0</v>
      </c>
      <c r="AH344" s="55">
        <f t="shared" si="83"/>
        <v>289.6639999999984</v>
      </c>
    </row>
    <row r="345" spans="1:34" x14ac:dyDescent="0.2">
      <c r="A345" s="48" t="s">
        <v>535</v>
      </c>
      <c r="B345" s="48">
        <v>2</v>
      </c>
      <c r="C345" s="48" t="s">
        <v>530</v>
      </c>
      <c r="D345" s="48" t="s">
        <v>527</v>
      </c>
      <c r="E345" s="48" t="s">
        <v>317</v>
      </c>
      <c r="F345" s="48" t="s">
        <v>280</v>
      </c>
      <c r="G345" s="48" t="s">
        <v>306</v>
      </c>
      <c r="H345" s="48" t="s">
        <v>62</v>
      </c>
      <c r="I345" s="48" t="s">
        <v>146</v>
      </c>
      <c r="J345" s="49">
        <v>10</v>
      </c>
      <c r="K345" s="50">
        <v>235</v>
      </c>
      <c r="L345" s="50">
        <v>227.4</v>
      </c>
      <c r="M345" s="48" t="s">
        <v>276</v>
      </c>
      <c r="N345" s="51">
        <v>1</v>
      </c>
      <c r="O345" s="51">
        <v>1</v>
      </c>
      <c r="P345" s="52">
        <v>181.8</v>
      </c>
      <c r="Q345" s="52">
        <v>181.8</v>
      </c>
      <c r="R345" s="53" t="str">
        <f>INDEX(SKU_Master!$D$5:$D$34,MATCH($I345,SKU_Master!$A$5:$A$34,0))</f>
        <v>Monitor</v>
      </c>
      <c r="S345" s="54">
        <f t="shared" si="70"/>
        <v>3.2340425531914851E-2</v>
      </c>
      <c r="T345" s="55">
        <f t="shared" si="71"/>
        <v>2350</v>
      </c>
      <c r="U345" s="55">
        <f t="shared" si="72"/>
        <v>2274</v>
      </c>
      <c r="V345" s="55">
        <f t="shared" si="73"/>
        <v>-76</v>
      </c>
      <c r="W345" s="55">
        <f t="shared" si="74"/>
        <v>2274</v>
      </c>
      <c r="X345" s="55">
        <f t="shared" si="75"/>
        <v>0</v>
      </c>
      <c r="Y345" s="55">
        <f t="shared" si="76"/>
        <v>1818</v>
      </c>
      <c r="Z345" s="55">
        <f t="shared" si="77"/>
        <v>1818</v>
      </c>
      <c r="AA345" s="55">
        <f t="shared" si="78"/>
        <v>0</v>
      </c>
      <c r="AB345" s="55">
        <f t="shared" si="79"/>
        <v>456</v>
      </c>
      <c r="AC345" s="54">
        <f t="shared" si="80"/>
        <v>0.20052770448548812</v>
      </c>
      <c r="AD345" s="56">
        <f>INDEX(Assumptions!$B$14:$B$16,MATCH($R345,Assumptions!$A$14:$A$16,0))</f>
        <v>0.18</v>
      </c>
      <c r="AE345" s="56">
        <f>INDEX(Assumptions!$C$14:$C$16,MATCH($R345,Assumptions!$A$14:$A$16,0))</f>
        <v>0.12</v>
      </c>
      <c r="AF345" s="49">
        <f t="shared" si="81"/>
        <v>0</v>
      </c>
      <c r="AG345" s="49">
        <f t="shared" si="82"/>
        <v>0</v>
      </c>
      <c r="AH345" s="55">
        <f t="shared" si="83"/>
        <v>0</v>
      </c>
    </row>
    <row r="346" spans="1:34" x14ac:dyDescent="0.2">
      <c r="A346" s="48" t="s">
        <v>536</v>
      </c>
      <c r="B346" s="48">
        <v>1</v>
      </c>
      <c r="C346" s="48" t="s">
        <v>537</v>
      </c>
      <c r="D346" s="48" t="s">
        <v>527</v>
      </c>
      <c r="E346" s="48" t="s">
        <v>336</v>
      </c>
      <c r="F346" s="48" t="s">
        <v>274</v>
      </c>
      <c r="G346" s="48" t="s">
        <v>288</v>
      </c>
      <c r="H346" s="48" t="s">
        <v>62</v>
      </c>
      <c r="I346" s="48" t="s">
        <v>103</v>
      </c>
      <c r="J346" s="49">
        <v>5</v>
      </c>
      <c r="K346" s="50">
        <v>1135</v>
      </c>
      <c r="L346" s="50">
        <v>1115.1300000000001</v>
      </c>
      <c r="M346" s="48" t="s">
        <v>276</v>
      </c>
      <c r="N346" s="51">
        <v>1</v>
      </c>
      <c r="O346" s="51">
        <v>1</v>
      </c>
      <c r="P346" s="52">
        <v>968.6</v>
      </c>
      <c r="Q346" s="52">
        <v>968.6</v>
      </c>
      <c r="R346" s="53" t="str">
        <f>INDEX(SKU_Master!$D$5:$D$34,MATCH($I346,SKU_Master!$A$5:$A$34,0))</f>
        <v>Laptop</v>
      </c>
      <c r="S346" s="54">
        <f t="shared" si="70"/>
        <v>1.7506607929515305E-2</v>
      </c>
      <c r="T346" s="55">
        <f t="shared" si="71"/>
        <v>5675</v>
      </c>
      <c r="U346" s="55">
        <f t="shared" si="72"/>
        <v>5575.6500000000005</v>
      </c>
      <c r="V346" s="55">
        <f t="shared" si="73"/>
        <v>-99.349999999999454</v>
      </c>
      <c r="W346" s="55">
        <f t="shared" si="74"/>
        <v>5575.6500000000005</v>
      </c>
      <c r="X346" s="55">
        <f t="shared" si="75"/>
        <v>0</v>
      </c>
      <c r="Y346" s="55">
        <f t="shared" si="76"/>
        <v>4843</v>
      </c>
      <c r="Z346" s="55">
        <f t="shared" si="77"/>
        <v>4843</v>
      </c>
      <c r="AA346" s="55">
        <f t="shared" si="78"/>
        <v>0</v>
      </c>
      <c r="AB346" s="55">
        <f t="shared" si="79"/>
        <v>732.65000000000055</v>
      </c>
      <c r="AC346" s="54">
        <f t="shared" si="80"/>
        <v>0.13140171997883662</v>
      </c>
      <c r="AD346" s="56">
        <f>INDEX(Assumptions!$B$14:$B$16,MATCH($R346,Assumptions!$A$14:$A$16,0))</f>
        <v>0.12</v>
      </c>
      <c r="AE346" s="56">
        <f>INDEX(Assumptions!$C$14:$C$16,MATCH($R346,Assumptions!$A$14:$A$16,0))</f>
        <v>0.08</v>
      </c>
      <c r="AF346" s="49">
        <f t="shared" si="81"/>
        <v>0</v>
      </c>
      <c r="AG346" s="49">
        <f t="shared" si="82"/>
        <v>0</v>
      </c>
      <c r="AH346" s="55">
        <f t="shared" si="83"/>
        <v>0</v>
      </c>
    </row>
    <row r="347" spans="1:34" x14ac:dyDescent="0.2">
      <c r="A347" s="48" t="s">
        <v>536</v>
      </c>
      <c r="B347" s="48">
        <v>2</v>
      </c>
      <c r="C347" s="48" t="s">
        <v>537</v>
      </c>
      <c r="D347" s="48" t="s">
        <v>527</v>
      </c>
      <c r="E347" s="48" t="s">
        <v>336</v>
      </c>
      <c r="F347" s="48" t="s">
        <v>274</v>
      </c>
      <c r="G347" s="48" t="s">
        <v>288</v>
      </c>
      <c r="H347" s="48" t="s">
        <v>62</v>
      </c>
      <c r="I347" s="48" t="s">
        <v>157</v>
      </c>
      <c r="J347" s="49">
        <v>5</v>
      </c>
      <c r="K347" s="50">
        <v>135</v>
      </c>
      <c r="L347" s="50">
        <v>133.97</v>
      </c>
      <c r="M347" s="48" t="s">
        <v>276</v>
      </c>
      <c r="N347" s="51">
        <v>1</v>
      </c>
      <c r="O347" s="51">
        <v>1</v>
      </c>
      <c r="P347" s="52">
        <v>86</v>
      </c>
      <c r="Q347" s="52">
        <v>86</v>
      </c>
      <c r="R347" s="53" t="str">
        <f>INDEX(SKU_Master!$D$5:$D$34,MATCH($I347,SKU_Master!$A$5:$A$34,0))</f>
        <v>Accessory</v>
      </c>
      <c r="S347" s="54">
        <f t="shared" si="70"/>
        <v>7.6296296296296529E-3</v>
      </c>
      <c r="T347" s="55">
        <f t="shared" si="71"/>
        <v>675</v>
      </c>
      <c r="U347" s="55">
        <f t="shared" si="72"/>
        <v>669.85</v>
      </c>
      <c r="V347" s="55">
        <f t="shared" si="73"/>
        <v>-5.1499999999999773</v>
      </c>
      <c r="W347" s="55">
        <f t="shared" si="74"/>
        <v>669.85</v>
      </c>
      <c r="X347" s="55">
        <f t="shared" si="75"/>
        <v>0</v>
      </c>
      <c r="Y347" s="55">
        <f t="shared" si="76"/>
        <v>430</v>
      </c>
      <c r="Z347" s="55">
        <f t="shared" si="77"/>
        <v>430</v>
      </c>
      <c r="AA347" s="55">
        <f t="shared" si="78"/>
        <v>0</v>
      </c>
      <c r="AB347" s="55">
        <f t="shared" si="79"/>
        <v>239.85000000000002</v>
      </c>
      <c r="AC347" s="54">
        <f t="shared" si="80"/>
        <v>0.35806523848622829</v>
      </c>
      <c r="AD347" s="56">
        <f>INDEX(Assumptions!$B$14:$B$16,MATCH($R347,Assumptions!$A$14:$A$16,0))</f>
        <v>0.32</v>
      </c>
      <c r="AE347" s="56">
        <f>INDEX(Assumptions!$C$14:$C$16,MATCH($R347,Assumptions!$A$14:$A$16,0))</f>
        <v>0.22</v>
      </c>
      <c r="AF347" s="49">
        <f t="shared" si="81"/>
        <v>0</v>
      </c>
      <c r="AG347" s="49">
        <f t="shared" si="82"/>
        <v>0</v>
      </c>
      <c r="AH347" s="55">
        <f t="shared" si="83"/>
        <v>0</v>
      </c>
    </row>
    <row r="348" spans="1:34" x14ac:dyDescent="0.2">
      <c r="A348" s="48" t="s">
        <v>538</v>
      </c>
      <c r="B348" s="48">
        <v>1</v>
      </c>
      <c r="C348" s="48" t="s">
        <v>539</v>
      </c>
      <c r="D348" s="48" t="s">
        <v>527</v>
      </c>
      <c r="E348" s="48" t="s">
        <v>273</v>
      </c>
      <c r="F348" s="48" t="s">
        <v>274</v>
      </c>
      <c r="G348" s="48" t="s">
        <v>275</v>
      </c>
      <c r="H348" s="48" t="s">
        <v>66</v>
      </c>
      <c r="I348" s="48" t="s">
        <v>103</v>
      </c>
      <c r="J348" s="49">
        <v>3</v>
      </c>
      <c r="K348" s="50">
        <v>1090</v>
      </c>
      <c r="L348" s="50">
        <v>1076.78</v>
      </c>
      <c r="M348" s="48" t="s">
        <v>276</v>
      </c>
      <c r="N348" s="51">
        <v>0.92</v>
      </c>
      <c r="O348" s="51">
        <v>0.91739999999999999</v>
      </c>
      <c r="P348" s="52">
        <v>988.6</v>
      </c>
      <c r="Q348" s="52">
        <v>988.6</v>
      </c>
      <c r="R348" s="53" t="str">
        <f>INDEX(SKU_Master!$D$5:$D$34,MATCH($I348,SKU_Master!$A$5:$A$34,0))</f>
        <v>Laptop</v>
      </c>
      <c r="S348" s="54">
        <f t="shared" si="70"/>
        <v>1.2128440366972471E-2</v>
      </c>
      <c r="T348" s="55">
        <f t="shared" si="71"/>
        <v>3554.3478260869565</v>
      </c>
      <c r="U348" s="55">
        <f t="shared" si="72"/>
        <v>3511.2391304347825</v>
      </c>
      <c r="V348" s="55">
        <f t="shared" si="73"/>
        <v>-43.108695652173992</v>
      </c>
      <c r="W348" s="55">
        <f t="shared" si="74"/>
        <v>3521.190320470896</v>
      </c>
      <c r="X348" s="55">
        <f t="shared" si="75"/>
        <v>9.9511900361135304</v>
      </c>
      <c r="Y348" s="55">
        <f t="shared" si="76"/>
        <v>2965.8</v>
      </c>
      <c r="Z348" s="55">
        <f t="shared" si="77"/>
        <v>2965.8</v>
      </c>
      <c r="AA348" s="55">
        <f t="shared" si="78"/>
        <v>0</v>
      </c>
      <c r="AB348" s="55">
        <f t="shared" si="79"/>
        <v>555.39032047089586</v>
      </c>
      <c r="AC348" s="54">
        <f t="shared" si="80"/>
        <v>0.15772800386337038</v>
      </c>
      <c r="AD348" s="56">
        <f>INDEX(Assumptions!$B$14:$B$16,MATCH($R348,Assumptions!$A$14:$A$16,0))</f>
        <v>0.12</v>
      </c>
      <c r="AE348" s="56">
        <f>INDEX(Assumptions!$C$14:$C$16,MATCH($R348,Assumptions!$A$14:$A$16,0))</f>
        <v>0.08</v>
      </c>
      <c r="AF348" s="49">
        <f t="shared" si="81"/>
        <v>0</v>
      </c>
      <c r="AG348" s="49">
        <f t="shared" si="82"/>
        <v>0</v>
      </c>
      <c r="AH348" s="55">
        <f t="shared" si="83"/>
        <v>0</v>
      </c>
    </row>
    <row r="349" spans="1:34" x14ac:dyDescent="0.2">
      <c r="A349" s="48" t="s">
        <v>538</v>
      </c>
      <c r="B349" s="48">
        <v>2</v>
      </c>
      <c r="C349" s="48" t="s">
        <v>539</v>
      </c>
      <c r="D349" s="48" t="s">
        <v>527</v>
      </c>
      <c r="E349" s="48" t="s">
        <v>273</v>
      </c>
      <c r="F349" s="48" t="s">
        <v>274</v>
      </c>
      <c r="G349" s="48" t="s">
        <v>275</v>
      </c>
      <c r="H349" s="48" t="s">
        <v>66</v>
      </c>
      <c r="I349" s="48" t="s">
        <v>166</v>
      </c>
      <c r="J349" s="49">
        <v>3</v>
      </c>
      <c r="K349" s="50">
        <v>255</v>
      </c>
      <c r="L349" s="50">
        <v>254.88</v>
      </c>
      <c r="M349" s="48" t="s">
        <v>276</v>
      </c>
      <c r="N349" s="51">
        <v>0.92</v>
      </c>
      <c r="O349" s="51">
        <v>0.91739999999999999</v>
      </c>
      <c r="P349" s="52">
        <v>174.35</v>
      </c>
      <c r="Q349" s="52">
        <v>174.35</v>
      </c>
      <c r="R349" s="53" t="str">
        <f>INDEX(SKU_Master!$D$5:$D$34,MATCH($I349,SKU_Master!$A$5:$A$34,0))</f>
        <v>Accessory</v>
      </c>
      <c r="S349" s="54">
        <f t="shared" si="70"/>
        <v>4.7058823529411153E-4</v>
      </c>
      <c r="T349" s="55">
        <f t="shared" si="71"/>
        <v>831.52173913043475</v>
      </c>
      <c r="U349" s="55">
        <f t="shared" si="72"/>
        <v>831.13043478260863</v>
      </c>
      <c r="V349" s="55">
        <f t="shared" si="73"/>
        <v>-0.39130434782612156</v>
      </c>
      <c r="W349" s="55">
        <f t="shared" si="74"/>
        <v>833.4859385219097</v>
      </c>
      <c r="X349" s="55">
        <f t="shared" si="75"/>
        <v>2.3555037393010707</v>
      </c>
      <c r="Y349" s="55">
        <f t="shared" si="76"/>
        <v>523.04999999999995</v>
      </c>
      <c r="Z349" s="55">
        <f t="shared" si="77"/>
        <v>523.04999999999995</v>
      </c>
      <c r="AA349" s="55">
        <f t="shared" si="78"/>
        <v>0</v>
      </c>
      <c r="AB349" s="55">
        <f t="shared" si="79"/>
        <v>310.43593852190975</v>
      </c>
      <c r="AC349" s="54">
        <f t="shared" si="80"/>
        <v>0.37245491996233526</v>
      </c>
      <c r="AD349" s="56">
        <f>INDEX(Assumptions!$B$14:$B$16,MATCH($R349,Assumptions!$A$14:$A$16,0))</f>
        <v>0.32</v>
      </c>
      <c r="AE349" s="56">
        <f>INDEX(Assumptions!$C$14:$C$16,MATCH($R349,Assumptions!$A$14:$A$16,0))</f>
        <v>0.22</v>
      </c>
      <c r="AF349" s="49">
        <f t="shared" si="81"/>
        <v>0</v>
      </c>
      <c r="AG349" s="49">
        <f t="shared" si="82"/>
        <v>0</v>
      </c>
      <c r="AH349" s="55">
        <f t="shared" si="83"/>
        <v>0</v>
      </c>
    </row>
    <row r="350" spans="1:34" x14ac:dyDescent="0.2">
      <c r="A350" s="48" t="s">
        <v>540</v>
      </c>
      <c r="B350" s="48">
        <v>1</v>
      </c>
      <c r="C350" s="48" t="s">
        <v>541</v>
      </c>
      <c r="D350" s="48" t="s">
        <v>527</v>
      </c>
      <c r="E350" s="48" t="s">
        <v>393</v>
      </c>
      <c r="F350" s="48" t="s">
        <v>274</v>
      </c>
      <c r="G350" s="48" t="s">
        <v>275</v>
      </c>
      <c r="H350" s="48" t="s">
        <v>66</v>
      </c>
      <c r="I350" s="48" t="s">
        <v>108</v>
      </c>
      <c r="J350" s="49">
        <v>3</v>
      </c>
      <c r="K350" s="50">
        <v>1280</v>
      </c>
      <c r="L350" s="50">
        <v>1278.5899999999999</v>
      </c>
      <c r="M350" s="48" t="s">
        <v>276</v>
      </c>
      <c r="N350" s="51">
        <v>0.92</v>
      </c>
      <c r="O350" s="51">
        <v>0.91739999999999999</v>
      </c>
      <c r="P350" s="52">
        <v>1165</v>
      </c>
      <c r="Q350" s="52">
        <v>1165</v>
      </c>
      <c r="R350" s="53" t="str">
        <f>INDEX(SKU_Master!$D$5:$D$34,MATCH($I350,SKU_Master!$A$5:$A$34,0))</f>
        <v>Laptop</v>
      </c>
      <c r="S350" s="54">
        <f t="shared" si="70"/>
        <v>1.1015625000000417E-3</v>
      </c>
      <c r="T350" s="55">
        <f t="shared" si="71"/>
        <v>4173.913043478261</v>
      </c>
      <c r="U350" s="55">
        <f t="shared" si="72"/>
        <v>4169.315217391304</v>
      </c>
      <c r="V350" s="55">
        <f t="shared" si="73"/>
        <v>-4.5978260869569567</v>
      </c>
      <c r="W350" s="55">
        <f t="shared" si="74"/>
        <v>4181.1314584695874</v>
      </c>
      <c r="X350" s="55">
        <f t="shared" si="75"/>
        <v>11.816241078283383</v>
      </c>
      <c r="Y350" s="55">
        <f t="shared" si="76"/>
        <v>3495</v>
      </c>
      <c r="Z350" s="55">
        <f t="shared" si="77"/>
        <v>3495</v>
      </c>
      <c r="AA350" s="55">
        <f t="shared" si="78"/>
        <v>0</v>
      </c>
      <c r="AB350" s="55">
        <f t="shared" si="79"/>
        <v>686.13145846958741</v>
      </c>
      <c r="AC350" s="54">
        <f t="shared" si="80"/>
        <v>0.16410186220758793</v>
      </c>
      <c r="AD350" s="56">
        <f>INDEX(Assumptions!$B$14:$B$16,MATCH($R350,Assumptions!$A$14:$A$16,0))</f>
        <v>0.12</v>
      </c>
      <c r="AE350" s="56">
        <f>INDEX(Assumptions!$C$14:$C$16,MATCH($R350,Assumptions!$A$14:$A$16,0))</f>
        <v>0.08</v>
      </c>
      <c r="AF350" s="49">
        <f t="shared" si="81"/>
        <v>0</v>
      </c>
      <c r="AG350" s="49">
        <f t="shared" si="82"/>
        <v>0</v>
      </c>
      <c r="AH350" s="55">
        <f t="shared" si="83"/>
        <v>0</v>
      </c>
    </row>
    <row r="351" spans="1:34" x14ac:dyDescent="0.2">
      <c r="A351" s="48" t="s">
        <v>540</v>
      </c>
      <c r="B351" s="48">
        <v>2</v>
      </c>
      <c r="C351" s="48" t="s">
        <v>541</v>
      </c>
      <c r="D351" s="48" t="s">
        <v>527</v>
      </c>
      <c r="E351" s="48" t="s">
        <v>393</v>
      </c>
      <c r="F351" s="48" t="s">
        <v>274</v>
      </c>
      <c r="G351" s="48" t="s">
        <v>275</v>
      </c>
      <c r="H351" s="48" t="s">
        <v>66</v>
      </c>
      <c r="I351" s="48" t="s">
        <v>157</v>
      </c>
      <c r="J351" s="49">
        <v>3</v>
      </c>
      <c r="K351" s="50">
        <v>135</v>
      </c>
      <c r="L351" s="50">
        <v>134.91999999999999</v>
      </c>
      <c r="M351" s="48" t="s">
        <v>276</v>
      </c>
      <c r="N351" s="51">
        <v>0.92</v>
      </c>
      <c r="O351" s="51">
        <v>0.91739999999999999</v>
      </c>
      <c r="P351" s="52">
        <v>91</v>
      </c>
      <c r="Q351" s="52">
        <v>91</v>
      </c>
      <c r="R351" s="53" t="str">
        <f>INDEX(SKU_Master!$D$5:$D$34,MATCH($I351,SKU_Master!$A$5:$A$34,0))</f>
        <v>Accessory</v>
      </c>
      <c r="S351" s="54">
        <f t="shared" si="70"/>
        <v>5.9259259259270003E-4</v>
      </c>
      <c r="T351" s="55">
        <f t="shared" si="71"/>
        <v>440.21739130434781</v>
      </c>
      <c r="U351" s="55">
        <f t="shared" si="72"/>
        <v>439.95652173913038</v>
      </c>
      <c r="V351" s="55">
        <f t="shared" si="73"/>
        <v>-0.26086956521743332</v>
      </c>
      <c r="W351" s="55">
        <f t="shared" si="74"/>
        <v>441.20340091563111</v>
      </c>
      <c r="X351" s="55">
        <f t="shared" si="75"/>
        <v>1.2468791765007268</v>
      </c>
      <c r="Y351" s="55">
        <f t="shared" si="76"/>
        <v>273</v>
      </c>
      <c r="Z351" s="55">
        <f t="shared" si="77"/>
        <v>273</v>
      </c>
      <c r="AA351" s="55">
        <f t="shared" si="78"/>
        <v>0</v>
      </c>
      <c r="AB351" s="55">
        <f t="shared" si="79"/>
        <v>168.20340091563111</v>
      </c>
      <c r="AC351" s="54">
        <f t="shared" si="80"/>
        <v>0.38123777053068481</v>
      </c>
      <c r="AD351" s="56">
        <f>INDEX(Assumptions!$B$14:$B$16,MATCH($R351,Assumptions!$A$14:$A$16,0))</f>
        <v>0.32</v>
      </c>
      <c r="AE351" s="56">
        <f>INDEX(Assumptions!$C$14:$C$16,MATCH($R351,Assumptions!$A$14:$A$16,0))</f>
        <v>0.22</v>
      </c>
      <c r="AF351" s="49">
        <f t="shared" si="81"/>
        <v>0</v>
      </c>
      <c r="AG351" s="49">
        <f t="shared" si="82"/>
        <v>0</v>
      </c>
      <c r="AH351" s="55">
        <f t="shared" si="83"/>
        <v>0</v>
      </c>
    </row>
    <row r="352" spans="1:34" x14ac:dyDescent="0.2">
      <c r="A352" s="48" t="s">
        <v>542</v>
      </c>
      <c r="B352" s="48">
        <v>1</v>
      </c>
      <c r="C352" s="48" t="s">
        <v>526</v>
      </c>
      <c r="D352" s="48" t="s">
        <v>527</v>
      </c>
      <c r="E352" s="48" t="s">
        <v>437</v>
      </c>
      <c r="F352" s="48" t="s">
        <v>274</v>
      </c>
      <c r="G352" s="48" t="s">
        <v>302</v>
      </c>
      <c r="H352" s="48" t="s">
        <v>62</v>
      </c>
      <c r="I352" s="48" t="s">
        <v>98</v>
      </c>
      <c r="J352" s="49">
        <v>4</v>
      </c>
      <c r="K352" s="50">
        <v>2085</v>
      </c>
      <c r="L352" s="50">
        <v>2048.86</v>
      </c>
      <c r="M352" s="48" t="s">
        <v>276</v>
      </c>
      <c r="N352" s="51">
        <v>1</v>
      </c>
      <c r="O352" s="51">
        <v>1</v>
      </c>
      <c r="P352" s="52">
        <v>1780.2</v>
      </c>
      <c r="Q352" s="52">
        <v>1780.2</v>
      </c>
      <c r="R352" s="53" t="str">
        <f>INDEX(SKU_Master!$D$5:$D$34,MATCH($I352,SKU_Master!$A$5:$A$34,0))</f>
        <v>Laptop</v>
      </c>
      <c r="S352" s="54">
        <f t="shared" si="70"/>
        <v>1.7333333333333312E-2</v>
      </c>
      <c r="T352" s="55">
        <f t="shared" si="71"/>
        <v>8340</v>
      </c>
      <c r="U352" s="55">
        <f t="shared" si="72"/>
        <v>8195.44</v>
      </c>
      <c r="V352" s="55">
        <f t="shared" si="73"/>
        <v>-144.55999999999949</v>
      </c>
      <c r="W352" s="55">
        <f t="shared" si="74"/>
        <v>8195.44</v>
      </c>
      <c r="X352" s="55">
        <f t="shared" si="75"/>
        <v>0</v>
      </c>
      <c r="Y352" s="55">
        <f t="shared" si="76"/>
        <v>7120.8</v>
      </c>
      <c r="Z352" s="55">
        <f t="shared" si="77"/>
        <v>7120.8</v>
      </c>
      <c r="AA352" s="55">
        <f t="shared" si="78"/>
        <v>0</v>
      </c>
      <c r="AB352" s="55">
        <f t="shared" si="79"/>
        <v>1074.6400000000003</v>
      </c>
      <c r="AC352" s="54">
        <f t="shared" si="80"/>
        <v>0.13112657770662714</v>
      </c>
      <c r="AD352" s="56">
        <f>INDEX(Assumptions!$B$14:$B$16,MATCH($R352,Assumptions!$A$14:$A$16,0))</f>
        <v>0.12</v>
      </c>
      <c r="AE352" s="56">
        <f>INDEX(Assumptions!$C$14:$C$16,MATCH($R352,Assumptions!$A$14:$A$16,0))</f>
        <v>0.08</v>
      </c>
      <c r="AF352" s="49">
        <f t="shared" si="81"/>
        <v>0</v>
      </c>
      <c r="AG352" s="49">
        <f t="shared" si="82"/>
        <v>0</v>
      </c>
      <c r="AH352" s="55">
        <f t="shared" si="83"/>
        <v>0</v>
      </c>
    </row>
    <row r="353" spans="1:34" x14ac:dyDescent="0.2">
      <c r="A353" s="48" t="s">
        <v>542</v>
      </c>
      <c r="B353" s="48">
        <v>2</v>
      </c>
      <c r="C353" s="48" t="s">
        <v>526</v>
      </c>
      <c r="D353" s="48" t="s">
        <v>527</v>
      </c>
      <c r="E353" s="48" t="s">
        <v>437</v>
      </c>
      <c r="F353" s="48" t="s">
        <v>274</v>
      </c>
      <c r="G353" s="48" t="s">
        <v>302</v>
      </c>
      <c r="H353" s="48" t="s">
        <v>62</v>
      </c>
      <c r="I353" s="48" t="s">
        <v>173</v>
      </c>
      <c r="J353" s="49">
        <v>2</v>
      </c>
      <c r="K353" s="50">
        <v>55</v>
      </c>
      <c r="L353" s="50">
        <v>54.42</v>
      </c>
      <c r="M353" s="48" t="s">
        <v>276</v>
      </c>
      <c r="N353" s="51">
        <v>1</v>
      </c>
      <c r="O353" s="51">
        <v>1</v>
      </c>
      <c r="P353" s="52">
        <v>34</v>
      </c>
      <c r="Q353" s="52">
        <v>34</v>
      </c>
      <c r="R353" s="53" t="str">
        <f>INDEX(SKU_Master!$D$5:$D$34,MATCH($I353,SKU_Master!$A$5:$A$34,0))</f>
        <v>Accessory</v>
      </c>
      <c r="S353" s="54">
        <f t="shared" si="70"/>
        <v>1.0545454545454525E-2</v>
      </c>
      <c r="T353" s="55">
        <f t="shared" si="71"/>
        <v>110</v>
      </c>
      <c r="U353" s="55">
        <f t="shared" si="72"/>
        <v>108.84</v>
      </c>
      <c r="V353" s="55">
        <f t="shared" si="73"/>
        <v>-1.1599999999999966</v>
      </c>
      <c r="W353" s="55">
        <f t="shared" si="74"/>
        <v>108.84</v>
      </c>
      <c r="X353" s="55">
        <f t="shared" si="75"/>
        <v>0</v>
      </c>
      <c r="Y353" s="55">
        <f t="shared" si="76"/>
        <v>68</v>
      </c>
      <c r="Z353" s="55">
        <f t="shared" si="77"/>
        <v>68</v>
      </c>
      <c r="AA353" s="55">
        <f t="shared" si="78"/>
        <v>0</v>
      </c>
      <c r="AB353" s="55">
        <f t="shared" si="79"/>
        <v>40.840000000000003</v>
      </c>
      <c r="AC353" s="54">
        <f t="shared" si="80"/>
        <v>0.3752296949650864</v>
      </c>
      <c r="AD353" s="56">
        <f>INDEX(Assumptions!$B$14:$B$16,MATCH($R353,Assumptions!$A$14:$A$16,0))</f>
        <v>0.32</v>
      </c>
      <c r="AE353" s="56">
        <f>INDEX(Assumptions!$C$14:$C$16,MATCH($R353,Assumptions!$A$14:$A$16,0))</f>
        <v>0.22</v>
      </c>
      <c r="AF353" s="49">
        <f t="shared" si="81"/>
        <v>0</v>
      </c>
      <c r="AG353" s="49">
        <f t="shared" si="82"/>
        <v>0</v>
      </c>
      <c r="AH353" s="55">
        <f t="shared" si="83"/>
        <v>0</v>
      </c>
    </row>
    <row r="354" spans="1:34" x14ac:dyDescent="0.2">
      <c r="A354" s="48" t="s">
        <v>543</v>
      </c>
      <c r="B354" s="48">
        <v>1</v>
      </c>
      <c r="C354" s="48" t="s">
        <v>544</v>
      </c>
      <c r="D354" s="48" t="s">
        <v>527</v>
      </c>
      <c r="E354" s="48" t="s">
        <v>296</v>
      </c>
      <c r="F354" s="48" t="s">
        <v>297</v>
      </c>
      <c r="G354" s="48" t="s">
        <v>298</v>
      </c>
      <c r="H354" s="48" t="s">
        <v>66</v>
      </c>
      <c r="I354" s="48" t="s">
        <v>129</v>
      </c>
      <c r="J354" s="49">
        <v>30</v>
      </c>
      <c r="K354" s="50">
        <v>1075</v>
      </c>
      <c r="L354" s="50">
        <v>1034.42</v>
      </c>
      <c r="M354" s="48" t="s">
        <v>276</v>
      </c>
      <c r="N354" s="51">
        <v>0.92</v>
      </c>
      <c r="O354" s="51">
        <v>0.91739999999999999</v>
      </c>
      <c r="P354" s="52">
        <v>978</v>
      </c>
      <c r="Q354" s="52">
        <v>978</v>
      </c>
      <c r="R354" s="53" t="str">
        <f>INDEX(SKU_Master!$D$5:$D$34,MATCH($I354,SKU_Master!$A$5:$A$34,0))</f>
        <v>Laptop</v>
      </c>
      <c r="S354" s="54">
        <f t="shared" si="70"/>
        <v>3.7748837209302222E-2</v>
      </c>
      <c r="T354" s="55">
        <f t="shared" si="71"/>
        <v>35054.347826086952</v>
      </c>
      <c r="U354" s="55">
        <f t="shared" si="72"/>
        <v>33731.086956521744</v>
      </c>
      <c r="V354" s="55">
        <f t="shared" si="73"/>
        <v>-1323.2608695652088</v>
      </c>
      <c r="W354" s="55">
        <f t="shared" si="74"/>
        <v>33826.684107259651</v>
      </c>
      <c r="X354" s="55">
        <f t="shared" si="75"/>
        <v>95.597150737907214</v>
      </c>
      <c r="Y354" s="55">
        <f t="shared" si="76"/>
        <v>29340</v>
      </c>
      <c r="Z354" s="55">
        <f t="shared" si="77"/>
        <v>29340</v>
      </c>
      <c r="AA354" s="55">
        <f t="shared" si="78"/>
        <v>0</v>
      </c>
      <c r="AB354" s="55">
        <f t="shared" si="79"/>
        <v>4486.6841072596508</v>
      </c>
      <c r="AC354" s="54">
        <f t="shared" si="80"/>
        <v>0.13263742000348031</v>
      </c>
      <c r="AD354" s="56">
        <f>INDEX(Assumptions!$B$14:$B$16,MATCH($R354,Assumptions!$A$14:$A$16,0))</f>
        <v>0.12</v>
      </c>
      <c r="AE354" s="56">
        <f>INDEX(Assumptions!$C$14:$C$16,MATCH($R354,Assumptions!$A$14:$A$16,0))</f>
        <v>0.08</v>
      </c>
      <c r="AF354" s="49">
        <f t="shared" si="81"/>
        <v>0</v>
      </c>
      <c r="AG354" s="49">
        <f t="shared" si="82"/>
        <v>0</v>
      </c>
      <c r="AH354" s="55">
        <f t="shared" si="83"/>
        <v>0</v>
      </c>
    </row>
    <row r="355" spans="1:34" x14ac:dyDescent="0.2">
      <c r="A355" s="48" t="s">
        <v>543</v>
      </c>
      <c r="B355" s="48">
        <v>2</v>
      </c>
      <c r="C355" s="48" t="s">
        <v>544</v>
      </c>
      <c r="D355" s="48" t="s">
        <v>527</v>
      </c>
      <c r="E355" s="48" t="s">
        <v>296</v>
      </c>
      <c r="F355" s="48" t="s">
        <v>297</v>
      </c>
      <c r="G355" s="48" t="s">
        <v>298</v>
      </c>
      <c r="H355" s="48" t="s">
        <v>66</v>
      </c>
      <c r="I355" s="48" t="s">
        <v>141</v>
      </c>
      <c r="J355" s="49">
        <v>29</v>
      </c>
      <c r="K355" s="50">
        <v>450</v>
      </c>
      <c r="L355" s="50">
        <v>435.02</v>
      </c>
      <c r="M355" s="48" t="s">
        <v>276</v>
      </c>
      <c r="N355" s="51">
        <v>0.92</v>
      </c>
      <c r="O355" s="51">
        <v>0.91739999999999999</v>
      </c>
      <c r="P355" s="52">
        <v>376.7</v>
      </c>
      <c r="Q355" s="52">
        <v>376.7</v>
      </c>
      <c r="R355" s="53" t="str">
        <f>INDEX(SKU_Master!$D$5:$D$34,MATCH($I355,SKU_Master!$A$5:$A$34,0))</f>
        <v>Monitor</v>
      </c>
      <c r="S355" s="54">
        <f t="shared" si="70"/>
        <v>3.3288888888888923E-2</v>
      </c>
      <c r="T355" s="55">
        <f t="shared" si="71"/>
        <v>14184.782608695652</v>
      </c>
      <c r="U355" s="55">
        <f t="shared" si="72"/>
        <v>13712.586956521738</v>
      </c>
      <c r="V355" s="55">
        <f t="shared" si="73"/>
        <v>-472.19565217391391</v>
      </c>
      <c r="W355" s="55">
        <f t="shared" si="74"/>
        <v>13751.449749291476</v>
      </c>
      <c r="X355" s="55">
        <f t="shared" si="75"/>
        <v>38.862792769738007</v>
      </c>
      <c r="Y355" s="55">
        <f t="shared" si="76"/>
        <v>10924.3</v>
      </c>
      <c r="Z355" s="55">
        <f t="shared" si="77"/>
        <v>10924.3</v>
      </c>
      <c r="AA355" s="55">
        <f t="shared" si="78"/>
        <v>0</v>
      </c>
      <c r="AB355" s="55">
        <f t="shared" si="79"/>
        <v>2827.1497492914768</v>
      </c>
      <c r="AC355" s="54">
        <f t="shared" si="80"/>
        <v>0.20558921428899826</v>
      </c>
      <c r="AD355" s="56">
        <f>INDEX(Assumptions!$B$14:$B$16,MATCH($R355,Assumptions!$A$14:$A$16,0))</f>
        <v>0.18</v>
      </c>
      <c r="AE355" s="56">
        <f>INDEX(Assumptions!$C$14:$C$16,MATCH($R355,Assumptions!$A$14:$A$16,0))</f>
        <v>0.12</v>
      </c>
      <c r="AF355" s="49">
        <f t="shared" si="81"/>
        <v>0</v>
      </c>
      <c r="AG355" s="49">
        <f t="shared" si="82"/>
        <v>0</v>
      </c>
      <c r="AH355" s="55">
        <f t="shared" si="83"/>
        <v>0</v>
      </c>
    </row>
    <row r="356" spans="1:34" x14ac:dyDescent="0.2">
      <c r="A356" s="48" t="s">
        <v>543</v>
      </c>
      <c r="B356" s="48">
        <v>3</v>
      </c>
      <c r="C356" s="48" t="s">
        <v>544</v>
      </c>
      <c r="D356" s="48" t="s">
        <v>527</v>
      </c>
      <c r="E356" s="48" t="s">
        <v>296</v>
      </c>
      <c r="F356" s="48" t="s">
        <v>297</v>
      </c>
      <c r="G356" s="48" t="s">
        <v>298</v>
      </c>
      <c r="H356" s="48" t="s">
        <v>66</v>
      </c>
      <c r="I356" s="48" t="s">
        <v>161</v>
      </c>
      <c r="J356" s="49">
        <v>22</v>
      </c>
      <c r="K356" s="50">
        <v>120</v>
      </c>
      <c r="L356" s="50">
        <v>115.68</v>
      </c>
      <c r="M356" s="48" t="s">
        <v>276</v>
      </c>
      <c r="N356" s="51">
        <v>0.92</v>
      </c>
      <c r="O356" s="51">
        <v>0.91739999999999999</v>
      </c>
      <c r="P356" s="52">
        <v>81</v>
      </c>
      <c r="Q356" s="52">
        <v>81</v>
      </c>
      <c r="R356" s="53" t="str">
        <f>INDEX(SKU_Master!$D$5:$D$34,MATCH($I356,SKU_Master!$A$5:$A$34,0))</f>
        <v>Accessory</v>
      </c>
      <c r="S356" s="54">
        <f t="shared" si="70"/>
        <v>3.5999999999999921E-2</v>
      </c>
      <c r="T356" s="55">
        <f t="shared" si="71"/>
        <v>2869.565217391304</v>
      </c>
      <c r="U356" s="55">
        <f t="shared" si="72"/>
        <v>2766.2608695652175</v>
      </c>
      <c r="V356" s="55">
        <f t="shared" si="73"/>
        <v>-103.30434782608654</v>
      </c>
      <c r="W356" s="55">
        <f t="shared" si="74"/>
        <v>2774.1007194244603</v>
      </c>
      <c r="X356" s="55">
        <f t="shared" si="75"/>
        <v>7.8398498592428041</v>
      </c>
      <c r="Y356" s="55">
        <f t="shared" si="76"/>
        <v>1782</v>
      </c>
      <c r="Z356" s="55">
        <f t="shared" si="77"/>
        <v>1782</v>
      </c>
      <c r="AA356" s="55">
        <f t="shared" si="78"/>
        <v>0</v>
      </c>
      <c r="AB356" s="55">
        <f t="shared" si="79"/>
        <v>992.10071942446029</v>
      </c>
      <c r="AC356" s="54">
        <f t="shared" si="80"/>
        <v>0.35762966804979252</v>
      </c>
      <c r="AD356" s="56">
        <f>INDEX(Assumptions!$B$14:$B$16,MATCH($R356,Assumptions!$A$14:$A$16,0))</f>
        <v>0.32</v>
      </c>
      <c r="AE356" s="56">
        <f>INDEX(Assumptions!$C$14:$C$16,MATCH($R356,Assumptions!$A$14:$A$16,0))</f>
        <v>0.22</v>
      </c>
      <c r="AF356" s="49">
        <f t="shared" si="81"/>
        <v>0</v>
      </c>
      <c r="AG356" s="49">
        <f t="shared" si="82"/>
        <v>0</v>
      </c>
      <c r="AH356" s="55">
        <f t="shared" si="83"/>
        <v>0</v>
      </c>
    </row>
    <row r="357" spans="1:34" x14ac:dyDescent="0.2">
      <c r="A357" s="48" t="s">
        <v>545</v>
      </c>
      <c r="B357" s="48">
        <v>1</v>
      </c>
      <c r="C357" s="48" t="s">
        <v>546</v>
      </c>
      <c r="D357" s="48" t="s">
        <v>527</v>
      </c>
      <c r="E357" s="48" t="s">
        <v>284</v>
      </c>
      <c r="F357" s="48" t="s">
        <v>274</v>
      </c>
      <c r="G357" s="48" t="s">
        <v>275</v>
      </c>
      <c r="H357" s="48" t="s">
        <v>64</v>
      </c>
      <c r="I357" s="48" t="s">
        <v>110</v>
      </c>
      <c r="J357" s="49">
        <v>2</v>
      </c>
      <c r="K357" s="50">
        <v>960</v>
      </c>
      <c r="L357" s="50">
        <v>957.29</v>
      </c>
      <c r="M357" s="48" t="s">
        <v>276</v>
      </c>
      <c r="N357" s="51">
        <v>0.79</v>
      </c>
      <c r="O357" s="51">
        <v>0.78759999999999997</v>
      </c>
      <c r="P357" s="52">
        <v>1016.65</v>
      </c>
      <c r="Q357" s="52">
        <v>1016.65</v>
      </c>
      <c r="R357" s="53" t="str">
        <f>INDEX(SKU_Master!$D$5:$D$34,MATCH($I357,SKU_Master!$A$5:$A$34,0))</f>
        <v>Laptop</v>
      </c>
      <c r="S357" s="54">
        <f t="shared" si="70"/>
        <v>2.822916666666675E-3</v>
      </c>
      <c r="T357" s="55">
        <f t="shared" si="71"/>
        <v>2430.3797468354428</v>
      </c>
      <c r="U357" s="55">
        <f t="shared" si="72"/>
        <v>2423.5189873417721</v>
      </c>
      <c r="V357" s="55">
        <f t="shared" si="73"/>
        <v>-6.8607594936706846</v>
      </c>
      <c r="W357" s="55">
        <f t="shared" si="74"/>
        <v>2430.9040121889284</v>
      </c>
      <c r="X357" s="55">
        <f t="shared" si="75"/>
        <v>7.3850248471562736</v>
      </c>
      <c r="Y357" s="55">
        <f t="shared" si="76"/>
        <v>2033.3</v>
      </c>
      <c r="Z357" s="55">
        <f t="shared" si="77"/>
        <v>2033.3</v>
      </c>
      <c r="AA357" s="55">
        <f t="shared" si="78"/>
        <v>0</v>
      </c>
      <c r="AB357" s="55">
        <f t="shared" si="79"/>
        <v>397.60401218892844</v>
      </c>
      <c r="AC357" s="54">
        <f t="shared" si="80"/>
        <v>0.16356220163168947</v>
      </c>
      <c r="AD357" s="56">
        <f>INDEX(Assumptions!$B$14:$B$16,MATCH($R357,Assumptions!$A$14:$A$16,0))</f>
        <v>0.12</v>
      </c>
      <c r="AE357" s="56">
        <f>INDEX(Assumptions!$C$14:$C$16,MATCH($R357,Assumptions!$A$14:$A$16,0))</f>
        <v>0.08</v>
      </c>
      <c r="AF357" s="49">
        <f t="shared" si="81"/>
        <v>0</v>
      </c>
      <c r="AG357" s="49">
        <f t="shared" si="82"/>
        <v>0</v>
      </c>
      <c r="AH357" s="55">
        <f t="shared" si="83"/>
        <v>0</v>
      </c>
    </row>
    <row r="358" spans="1:34" x14ac:dyDescent="0.2">
      <c r="A358" s="48" t="s">
        <v>547</v>
      </c>
      <c r="B358" s="48">
        <v>1</v>
      </c>
      <c r="C358" s="48" t="s">
        <v>548</v>
      </c>
      <c r="D358" s="48" t="s">
        <v>527</v>
      </c>
      <c r="E358" s="48" t="s">
        <v>422</v>
      </c>
      <c r="F358" s="48" t="s">
        <v>280</v>
      </c>
      <c r="G358" s="48" t="s">
        <v>281</v>
      </c>
      <c r="H358" s="48" t="s">
        <v>68</v>
      </c>
      <c r="I358" s="48" t="s">
        <v>103</v>
      </c>
      <c r="J358" s="49">
        <v>29</v>
      </c>
      <c r="K358" s="50">
        <v>1605</v>
      </c>
      <c r="L358" s="50">
        <v>1579.45</v>
      </c>
      <c r="M358" s="48" t="s">
        <v>276</v>
      </c>
      <c r="N358" s="51">
        <v>1.37</v>
      </c>
      <c r="O358" s="51">
        <v>1.3767</v>
      </c>
      <c r="P358" s="52">
        <v>980.6</v>
      </c>
      <c r="Q358" s="52">
        <v>980.6</v>
      </c>
      <c r="R358" s="53" t="str">
        <f>INDEX(SKU_Master!$D$5:$D$34,MATCH($I358,SKU_Master!$A$5:$A$34,0))</f>
        <v>Laptop</v>
      </c>
      <c r="S358" s="54">
        <f t="shared" si="70"/>
        <v>1.5919003115264729E-2</v>
      </c>
      <c r="T358" s="55">
        <f t="shared" si="71"/>
        <v>33974.452554744523</v>
      </c>
      <c r="U358" s="55">
        <f t="shared" si="72"/>
        <v>33433.613138686131</v>
      </c>
      <c r="V358" s="55">
        <f t="shared" si="73"/>
        <v>-540.83941605839209</v>
      </c>
      <c r="W358" s="55">
        <f t="shared" si="74"/>
        <v>33270.901430958089</v>
      </c>
      <c r="X358" s="55">
        <f t="shared" si="75"/>
        <v>-162.7117077280418</v>
      </c>
      <c r="Y358" s="55">
        <f t="shared" si="76"/>
        <v>28437.4</v>
      </c>
      <c r="Z358" s="55">
        <f t="shared" si="77"/>
        <v>28437.4</v>
      </c>
      <c r="AA358" s="55">
        <f t="shared" si="78"/>
        <v>0</v>
      </c>
      <c r="AB358" s="55">
        <f t="shared" si="79"/>
        <v>4833.5014309580874</v>
      </c>
      <c r="AC358" s="54">
        <f t="shared" si="80"/>
        <v>0.14527714077685266</v>
      </c>
      <c r="AD358" s="56">
        <f>INDEX(Assumptions!$B$14:$B$16,MATCH($R358,Assumptions!$A$14:$A$16,0))</f>
        <v>0.12</v>
      </c>
      <c r="AE358" s="56">
        <f>INDEX(Assumptions!$C$14:$C$16,MATCH($R358,Assumptions!$A$14:$A$16,0))</f>
        <v>0.08</v>
      </c>
      <c r="AF358" s="49">
        <f t="shared" si="81"/>
        <v>0</v>
      </c>
      <c r="AG358" s="49">
        <f t="shared" si="82"/>
        <v>0</v>
      </c>
      <c r="AH358" s="55">
        <f t="shared" si="83"/>
        <v>0</v>
      </c>
    </row>
    <row r="359" spans="1:34" x14ac:dyDescent="0.2">
      <c r="A359" s="48" t="s">
        <v>549</v>
      </c>
      <c r="B359" s="48">
        <v>1</v>
      </c>
      <c r="C359" s="48" t="s">
        <v>546</v>
      </c>
      <c r="D359" s="48" t="s">
        <v>527</v>
      </c>
      <c r="E359" s="48" t="s">
        <v>333</v>
      </c>
      <c r="F359" s="48" t="s">
        <v>297</v>
      </c>
      <c r="G359" s="48" t="s">
        <v>302</v>
      </c>
      <c r="H359" s="48" t="s">
        <v>70</v>
      </c>
      <c r="I359" s="48" t="s">
        <v>132</v>
      </c>
      <c r="J359" s="49">
        <v>39</v>
      </c>
      <c r="K359" s="50">
        <v>102085</v>
      </c>
      <c r="L359" s="50">
        <v>95279.09</v>
      </c>
      <c r="M359" s="48" t="s">
        <v>276</v>
      </c>
      <c r="N359" s="51">
        <v>83.5</v>
      </c>
      <c r="O359" s="51">
        <v>83.595299999999995</v>
      </c>
      <c r="P359" s="52">
        <v>1024.03</v>
      </c>
      <c r="Q359" s="52">
        <v>1044.03</v>
      </c>
      <c r="R359" s="53" t="str">
        <f>INDEX(SKU_Master!$D$5:$D$34,MATCH($I359,SKU_Master!$A$5:$A$34,0))</f>
        <v>Laptop</v>
      </c>
      <c r="S359" s="54">
        <f t="shared" si="70"/>
        <v>6.6669050301219612E-2</v>
      </c>
      <c r="T359" s="55">
        <f t="shared" si="71"/>
        <v>47680.419161676647</v>
      </c>
      <c r="U359" s="55">
        <f t="shared" si="72"/>
        <v>44501.610898203588</v>
      </c>
      <c r="V359" s="55">
        <f t="shared" si="73"/>
        <v>-3178.8082634730599</v>
      </c>
      <c r="W359" s="55">
        <f t="shared" si="74"/>
        <v>44450.878338853981</v>
      </c>
      <c r="X359" s="55">
        <f t="shared" si="75"/>
        <v>-50.732559349606163</v>
      </c>
      <c r="Y359" s="55">
        <f t="shared" si="76"/>
        <v>39937.17</v>
      </c>
      <c r="Z359" s="55">
        <f t="shared" si="77"/>
        <v>40717.17</v>
      </c>
      <c r="AA359" s="55">
        <f t="shared" si="78"/>
        <v>-780</v>
      </c>
      <c r="AB359" s="55">
        <f t="shared" si="79"/>
        <v>3733.7083388539832</v>
      </c>
      <c r="AC359" s="54">
        <f t="shared" si="80"/>
        <v>8.3996278102572236E-2</v>
      </c>
      <c r="AD359" s="56">
        <f>INDEX(Assumptions!$B$14:$B$16,MATCH($R359,Assumptions!$A$14:$A$16,0))</f>
        <v>0.12</v>
      </c>
      <c r="AE359" s="56">
        <f>INDEX(Assumptions!$C$14:$C$16,MATCH($R359,Assumptions!$A$14:$A$16,0))</f>
        <v>0.08</v>
      </c>
      <c r="AF359" s="49">
        <f t="shared" si="81"/>
        <v>0</v>
      </c>
      <c r="AG359" s="49">
        <f t="shared" si="82"/>
        <v>0</v>
      </c>
      <c r="AH359" s="55">
        <f t="shared" si="83"/>
        <v>1600.3970618084941</v>
      </c>
    </row>
    <row r="360" spans="1:34" x14ac:dyDescent="0.2">
      <c r="A360" s="48" t="s">
        <v>549</v>
      </c>
      <c r="B360" s="48">
        <v>2</v>
      </c>
      <c r="C360" s="48" t="s">
        <v>546</v>
      </c>
      <c r="D360" s="48" t="s">
        <v>527</v>
      </c>
      <c r="E360" s="48" t="s">
        <v>333</v>
      </c>
      <c r="F360" s="48" t="s">
        <v>297</v>
      </c>
      <c r="G360" s="48" t="s">
        <v>302</v>
      </c>
      <c r="H360" s="48" t="s">
        <v>70</v>
      </c>
      <c r="I360" s="48" t="s">
        <v>141</v>
      </c>
      <c r="J360" s="49">
        <v>39</v>
      </c>
      <c r="K360" s="50">
        <v>46735</v>
      </c>
      <c r="L360" s="50">
        <v>45063.16</v>
      </c>
      <c r="M360" s="48" t="s">
        <v>276</v>
      </c>
      <c r="N360" s="51">
        <v>83.5</v>
      </c>
      <c r="O360" s="51">
        <v>83.595299999999995</v>
      </c>
      <c r="P360" s="52">
        <v>432.64</v>
      </c>
      <c r="Q360" s="52">
        <v>452.64</v>
      </c>
      <c r="R360" s="53" t="str">
        <f>INDEX(SKU_Master!$D$5:$D$34,MATCH($I360,SKU_Master!$A$5:$A$34,0))</f>
        <v>Monitor</v>
      </c>
      <c r="S360" s="54">
        <f t="shared" si="70"/>
        <v>3.577276131379048E-2</v>
      </c>
      <c r="T360" s="55">
        <f t="shared" si="71"/>
        <v>21828.323353293414</v>
      </c>
      <c r="U360" s="55">
        <f t="shared" si="72"/>
        <v>21047.463952095812</v>
      </c>
      <c r="V360" s="55">
        <f t="shared" si="73"/>
        <v>-780.85940119760198</v>
      </c>
      <c r="W360" s="55">
        <f t="shared" si="74"/>
        <v>21023.469501275795</v>
      </c>
      <c r="X360" s="55">
        <f t="shared" si="75"/>
        <v>-23.994450820016937</v>
      </c>
      <c r="Y360" s="55">
        <f t="shared" si="76"/>
        <v>16872.96</v>
      </c>
      <c r="Z360" s="55">
        <f t="shared" si="77"/>
        <v>17652.96</v>
      </c>
      <c r="AA360" s="55">
        <f t="shared" si="78"/>
        <v>-780</v>
      </c>
      <c r="AB360" s="55">
        <f t="shared" si="79"/>
        <v>3370.5095012757956</v>
      </c>
      <c r="AC360" s="54">
        <f t="shared" si="80"/>
        <v>0.16032127813495572</v>
      </c>
      <c r="AD360" s="56">
        <f>INDEX(Assumptions!$B$14:$B$16,MATCH($R360,Assumptions!$A$14:$A$16,0))</f>
        <v>0.18</v>
      </c>
      <c r="AE360" s="56">
        <f>INDEX(Assumptions!$C$14:$C$16,MATCH($R360,Assumptions!$A$14:$A$16,0))</f>
        <v>0.12</v>
      </c>
      <c r="AF360" s="49">
        <f t="shared" si="81"/>
        <v>0</v>
      </c>
      <c r="AG360" s="49">
        <f t="shared" si="82"/>
        <v>0</v>
      </c>
      <c r="AH360" s="55">
        <f t="shared" si="83"/>
        <v>413.71500895384725</v>
      </c>
    </row>
    <row r="361" spans="1:34" x14ac:dyDescent="0.2">
      <c r="A361" s="48" t="s">
        <v>549</v>
      </c>
      <c r="B361" s="48">
        <v>3</v>
      </c>
      <c r="C361" s="48" t="s">
        <v>546</v>
      </c>
      <c r="D361" s="48" t="s">
        <v>527</v>
      </c>
      <c r="E361" s="48" t="s">
        <v>333</v>
      </c>
      <c r="F361" s="48" t="s">
        <v>297</v>
      </c>
      <c r="G361" s="48" t="s">
        <v>302</v>
      </c>
      <c r="H361" s="48" t="s">
        <v>70</v>
      </c>
      <c r="I361" s="48" t="s">
        <v>164</v>
      </c>
      <c r="J361" s="49">
        <v>31</v>
      </c>
      <c r="K361" s="50">
        <v>18765</v>
      </c>
      <c r="L361" s="50">
        <v>17485.21</v>
      </c>
      <c r="M361" s="48" t="s">
        <v>276</v>
      </c>
      <c r="N361" s="51">
        <v>83.5</v>
      </c>
      <c r="O361" s="51">
        <v>83.595299999999995</v>
      </c>
      <c r="P361" s="52">
        <v>142.65</v>
      </c>
      <c r="Q361" s="52">
        <v>147.65</v>
      </c>
      <c r="R361" s="53" t="str">
        <f>INDEX(SKU_Master!$D$5:$D$34,MATCH($I361,SKU_Master!$A$5:$A$34,0))</f>
        <v>Accessory</v>
      </c>
      <c r="S361" s="54">
        <f t="shared" si="70"/>
        <v>6.8200905941913192E-2</v>
      </c>
      <c r="T361" s="55">
        <f t="shared" si="71"/>
        <v>6966.6467065868264</v>
      </c>
      <c r="U361" s="55">
        <f t="shared" si="72"/>
        <v>6491.5150898203592</v>
      </c>
      <c r="V361" s="55">
        <f t="shared" si="73"/>
        <v>-475.13161676646723</v>
      </c>
      <c r="W361" s="55">
        <f t="shared" si="74"/>
        <v>6484.114657163741</v>
      </c>
      <c r="X361" s="55">
        <f t="shared" si="75"/>
        <v>-7.4004326566182499</v>
      </c>
      <c r="Y361" s="55">
        <f t="shared" si="76"/>
        <v>4422.1500000000005</v>
      </c>
      <c r="Z361" s="55">
        <f t="shared" si="77"/>
        <v>4577.1500000000005</v>
      </c>
      <c r="AA361" s="55">
        <f t="shared" si="78"/>
        <v>-155</v>
      </c>
      <c r="AB361" s="55">
        <f t="shared" si="79"/>
        <v>1906.9646571637404</v>
      </c>
      <c r="AC361" s="54">
        <f t="shared" si="80"/>
        <v>0.29409792361658799</v>
      </c>
      <c r="AD361" s="56">
        <f>INDEX(Assumptions!$B$14:$B$16,MATCH($R361,Assumptions!$A$14:$A$16,0))</f>
        <v>0.32</v>
      </c>
      <c r="AE361" s="56">
        <f>INDEX(Assumptions!$C$14:$C$16,MATCH($R361,Assumptions!$A$14:$A$16,0))</f>
        <v>0.22</v>
      </c>
      <c r="AF361" s="49">
        <f t="shared" si="81"/>
        <v>0</v>
      </c>
      <c r="AG361" s="49">
        <f t="shared" si="82"/>
        <v>0</v>
      </c>
      <c r="AH361" s="55">
        <f t="shared" si="83"/>
        <v>167.95203312865669</v>
      </c>
    </row>
    <row r="362" spans="1:34" x14ac:dyDescent="0.2">
      <c r="A362" s="48" t="s">
        <v>550</v>
      </c>
      <c r="B362" s="48">
        <v>1</v>
      </c>
      <c r="C362" s="48" t="s">
        <v>551</v>
      </c>
      <c r="D362" s="48" t="s">
        <v>527</v>
      </c>
      <c r="E362" s="48" t="s">
        <v>368</v>
      </c>
      <c r="F362" s="48" t="s">
        <v>274</v>
      </c>
      <c r="G362" s="48" t="s">
        <v>288</v>
      </c>
      <c r="H362" s="48" t="s">
        <v>68</v>
      </c>
      <c r="I362" s="48" t="s">
        <v>98</v>
      </c>
      <c r="J362" s="49">
        <v>5</v>
      </c>
      <c r="K362" s="50">
        <v>2935</v>
      </c>
      <c r="L362" s="50">
        <v>2925.99</v>
      </c>
      <c r="M362" s="48" t="s">
        <v>276</v>
      </c>
      <c r="N362" s="51">
        <v>1.37</v>
      </c>
      <c r="O362" s="51">
        <v>1.3767</v>
      </c>
      <c r="P362" s="52">
        <v>1792.2</v>
      </c>
      <c r="Q362" s="52">
        <v>1792.2</v>
      </c>
      <c r="R362" s="53" t="str">
        <f>INDEX(SKU_Master!$D$5:$D$34,MATCH($I362,SKU_Master!$A$5:$A$34,0))</f>
        <v>Laptop</v>
      </c>
      <c r="S362" s="54">
        <f t="shared" si="70"/>
        <v>3.069846678023902E-3</v>
      </c>
      <c r="T362" s="55">
        <f t="shared" si="71"/>
        <v>10711.678832116788</v>
      </c>
      <c r="U362" s="55">
        <f t="shared" si="72"/>
        <v>10678.795620437955</v>
      </c>
      <c r="V362" s="55">
        <f t="shared" si="73"/>
        <v>-32.883211678832595</v>
      </c>
      <c r="W362" s="55">
        <f t="shared" si="74"/>
        <v>10626.82501634343</v>
      </c>
      <c r="X362" s="55">
        <f t="shared" si="75"/>
        <v>-51.970604094525697</v>
      </c>
      <c r="Y362" s="55">
        <f t="shared" si="76"/>
        <v>8961</v>
      </c>
      <c r="Z362" s="55">
        <f t="shared" si="77"/>
        <v>8961</v>
      </c>
      <c r="AA362" s="55">
        <f t="shared" si="78"/>
        <v>0</v>
      </c>
      <c r="AB362" s="55">
        <f t="shared" si="79"/>
        <v>1665.8250163434295</v>
      </c>
      <c r="AC362" s="54">
        <f t="shared" si="80"/>
        <v>0.15675660545661466</v>
      </c>
      <c r="AD362" s="56">
        <f>INDEX(Assumptions!$B$14:$B$16,MATCH($R362,Assumptions!$A$14:$A$16,0))</f>
        <v>0.12</v>
      </c>
      <c r="AE362" s="56">
        <f>INDEX(Assumptions!$C$14:$C$16,MATCH($R362,Assumptions!$A$14:$A$16,0))</f>
        <v>0.08</v>
      </c>
      <c r="AF362" s="49">
        <f t="shared" si="81"/>
        <v>0</v>
      </c>
      <c r="AG362" s="49">
        <f t="shared" si="82"/>
        <v>0</v>
      </c>
      <c r="AH362" s="55">
        <f t="shared" si="83"/>
        <v>0</v>
      </c>
    </row>
    <row r="363" spans="1:34" x14ac:dyDescent="0.2">
      <c r="A363" s="48" t="s">
        <v>550</v>
      </c>
      <c r="B363" s="48">
        <v>2</v>
      </c>
      <c r="C363" s="48" t="s">
        <v>551</v>
      </c>
      <c r="D363" s="48" t="s">
        <v>527</v>
      </c>
      <c r="E363" s="48" t="s">
        <v>368</v>
      </c>
      <c r="F363" s="48" t="s">
        <v>274</v>
      </c>
      <c r="G363" s="48" t="s">
        <v>288</v>
      </c>
      <c r="H363" s="48" t="s">
        <v>68</v>
      </c>
      <c r="I363" s="48" t="s">
        <v>135</v>
      </c>
      <c r="J363" s="49">
        <v>5</v>
      </c>
      <c r="K363" s="50">
        <v>360</v>
      </c>
      <c r="L363" s="50">
        <v>357.62</v>
      </c>
      <c r="M363" s="48" t="s">
        <v>276</v>
      </c>
      <c r="N363" s="51">
        <v>1.37</v>
      </c>
      <c r="O363" s="51">
        <v>1.3767</v>
      </c>
      <c r="P363" s="52">
        <v>201.7</v>
      </c>
      <c r="Q363" s="52">
        <v>201.7</v>
      </c>
      <c r="R363" s="53" t="str">
        <f>INDEX(SKU_Master!$D$5:$D$34,MATCH($I363,SKU_Master!$A$5:$A$34,0))</f>
        <v>Monitor</v>
      </c>
      <c r="S363" s="54">
        <f t="shared" si="70"/>
        <v>6.6111111111111232E-3</v>
      </c>
      <c r="T363" s="55">
        <f t="shared" si="71"/>
        <v>1313.868613138686</v>
      </c>
      <c r="U363" s="55">
        <f t="shared" si="72"/>
        <v>1305.1824817518248</v>
      </c>
      <c r="V363" s="55">
        <f t="shared" si="73"/>
        <v>-8.6861313868612342</v>
      </c>
      <c r="W363" s="55">
        <f t="shared" si="74"/>
        <v>1298.8305367908765</v>
      </c>
      <c r="X363" s="55">
        <f t="shared" si="75"/>
        <v>-6.3519449609482308</v>
      </c>
      <c r="Y363" s="55">
        <f t="shared" si="76"/>
        <v>1008.5</v>
      </c>
      <c r="Z363" s="55">
        <f t="shared" si="77"/>
        <v>1008.5</v>
      </c>
      <c r="AA363" s="55">
        <f t="shared" si="78"/>
        <v>0</v>
      </c>
      <c r="AB363" s="55">
        <f t="shared" si="79"/>
        <v>290.33053679087652</v>
      </c>
      <c r="AC363" s="54">
        <f t="shared" si="80"/>
        <v>0.22353226888876448</v>
      </c>
      <c r="AD363" s="56">
        <f>INDEX(Assumptions!$B$14:$B$16,MATCH($R363,Assumptions!$A$14:$A$16,0))</f>
        <v>0.18</v>
      </c>
      <c r="AE363" s="56">
        <f>INDEX(Assumptions!$C$14:$C$16,MATCH($R363,Assumptions!$A$14:$A$16,0))</f>
        <v>0.12</v>
      </c>
      <c r="AF363" s="49">
        <f t="shared" si="81"/>
        <v>0</v>
      </c>
      <c r="AG363" s="49">
        <f t="shared" si="82"/>
        <v>0</v>
      </c>
      <c r="AH363" s="55">
        <f t="shared" si="83"/>
        <v>0</v>
      </c>
    </row>
    <row r="364" spans="1:34" x14ac:dyDescent="0.2">
      <c r="A364" s="48" t="s">
        <v>552</v>
      </c>
      <c r="B364" s="48">
        <v>1</v>
      </c>
      <c r="C364" s="48" t="s">
        <v>553</v>
      </c>
      <c r="D364" s="48" t="s">
        <v>527</v>
      </c>
      <c r="E364" s="48" t="s">
        <v>336</v>
      </c>
      <c r="F364" s="48" t="s">
        <v>274</v>
      </c>
      <c r="G364" s="48" t="s">
        <v>288</v>
      </c>
      <c r="H364" s="48" t="s">
        <v>62</v>
      </c>
      <c r="I364" s="48" t="s">
        <v>101</v>
      </c>
      <c r="J364" s="49">
        <v>9</v>
      </c>
      <c r="K364" s="50">
        <v>3440</v>
      </c>
      <c r="L364" s="50">
        <v>3425.1</v>
      </c>
      <c r="M364" s="48" t="s">
        <v>276</v>
      </c>
      <c r="N364" s="51">
        <v>1</v>
      </c>
      <c r="O364" s="51">
        <v>1</v>
      </c>
      <c r="P364" s="52">
        <v>2938.5</v>
      </c>
      <c r="Q364" s="52">
        <v>2938.5</v>
      </c>
      <c r="R364" s="53" t="str">
        <f>INDEX(SKU_Master!$D$5:$D$34,MATCH($I364,SKU_Master!$A$5:$A$34,0))</f>
        <v>Laptop</v>
      </c>
      <c r="S364" s="54">
        <f t="shared" si="70"/>
        <v>4.331395348837197E-3</v>
      </c>
      <c r="T364" s="55">
        <f t="shared" si="71"/>
        <v>30960</v>
      </c>
      <c r="U364" s="55">
        <f t="shared" si="72"/>
        <v>30825.899999999998</v>
      </c>
      <c r="V364" s="55">
        <f t="shared" si="73"/>
        <v>-134.10000000000218</v>
      </c>
      <c r="W364" s="55">
        <f t="shared" si="74"/>
        <v>30825.899999999998</v>
      </c>
      <c r="X364" s="55">
        <f t="shared" si="75"/>
        <v>0</v>
      </c>
      <c r="Y364" s="55">
        <f t="shared" si="76"/>
        <v>26446.5</v>
      </c>
      <c r="Z364" s="55">
        <f t="shared" si="77"/>
        <v>26446.5</v>
      </c>
      <c r="AA364" s="55">
        <f t="shared" si="78"/>
        <v>0</v>
      </c>
      <c r="AB364" s="55">
        <f t="shared" si="79"/>
        <v>4379.3999999999978</v>
      </c>
      <c r="AC364" s="54">
        <f t="shared" si="80"/>
        <v>0.14206884470526401</v>
      </c>
      <c r="AD364" s="56">
        <f>INDEX(Assumptions!$B$14:$B$16,MATCH($R364,Assumptions!$A$14:$A$16,0))</f>
        <v>0.12</v>
      </c>
      <c r="AE364" s="56">
        <f>INDEX(Assumptions!$C$14:$C$16,MATCH($R364,Assumptions!$A$14:$A$16,0))</f>
        <v>0.08</v>
      </c>
      <c r="AF364" s="49">
        <f t="shared" si="81"/>
        <v>0</v>
      </c>
      <c r="AG364" s="49">
        <f t="shared" si="82"/>
        <v>0</v>
      </c>
      <c r="AH364" s="55">
        <f t="shared" si="83"/>
        <v>0</v>
      </c>
    </row>
    <row r="365" spans="1:34" x14ac:dyDescent="0.2">
      <c r="A365" s="48" t="s">
        <v>552</v>
      </c>
      <c r="B365" s="48">
        <v>2</v>
      </c>
      <c r="C365" s="48" t="s">
        <v>553</v>
      </c>
      <c r="D365" s="48" t="s">
        <v>527</v>
      </c>
      <c r="E365" s="48" t="s">
        <v>336</v>
      </c>
      <c r="F365" s="48" t="s">
        <v>274</v>
      </c>
      <c r="G365" s="48" t="s">
        <v>288</v>
      </c>
      <c r="H365" s="48" t="s">
        <v>62</v>
      </c>
      <c r="I365" s="48" t="s">
        <v>166</v>
      </c>
      <c r="J365" s="49">
        <v>10</v>
      </c>
      <c r="K365" s="50">
        <v>265</v>
      </c>
      <c r="L365" s="50">
        <v>263.44</v>
      </c>
      <c r="M365" s="48" t="s">
        <v>276</v>
      </c>
      <c r="N365" s="51">
        <v>1</v>
      </c>
      <c r="O365" s="51">
        <v>1</v>
      </c>
      <c r="P365" s="52">
        <v>169.35</v>
      </c>
      <c r="Q365" s="52">
        <v>169.35</v>
      </c>
      <c r="R365" s="53" t="str">
        <f>INDEX(SKU_Master!$D$5:$D$34,MATCH($I365,SKU_Master!$A$5:$A$34,0))</f>
        <v>Accessory</v>
      </c>
      <c r="S365" s="54">
        <f t="shared" si="70"/>
        <v>5.8867924528301918E-3</v>
      </c>
      <c r="T365" s="55">
        <f t="shared" si="71"/>
        <v>2650</v>
      </c>
      <c r="U365" s="55">
        <f t="shared" si="72"/>
        <v>2634.4</v>
      </c>
      <c r="V365" s="55">
        <f t="shared" si="73"/>
        <v>-15.599999999999909</v>
      </c>
      <c r="W365" s="55">
        <f t="shared" si="74"/>
        <v>2634.4</v>
      </c>
      <c r="X365" s="55">
        <f t="shared" si="75"/>
        <v>0</v>
      </c>
      <c r="Y365" s="55">
        <f t="shared" si="76"/>
        <v>1693.5</v>
      </c>
      <c r="Z365" s="55">
        <f t="shared" si="77"/>
        <v>1693.5</v>
      </c>
      <c r="AA365" s="55">
        <f t="shared" si="78"/>
        <v>0</v>
      </c>
      <c r="AB365" s="55">
        <f t="shared" si="79"/>
        <v>940.90000000000009</v>
      </c>
      <c r="AC365" s="54">
        <f t="shared" si="80"/>
        <v>0.3571591254175524</v>
      </c>
      <c r="AD365" s="56">
        <f>INDEX(Assumptions!$B$14:$B$16,MATCH($R365,Assumptions!$A$14:$A$16,0))</f>
        <v>0.32</v>
      </c>
      <c r="AE365" s="56">
        <f>INDEX(Assumptions!$C$14:$C$16,MATCH($R365,Assumptions!$A$14:$A$16,0))</f>
        <v>0.22</v>
      </c>
      <c r="AF365" s="49">
        <f t="shared" si="81"/>
        <v>0</v>
      </c>
      <c r="AG365" s="49">
        <f t="shared" si="82"/>
        <v>0</v>
      </c>
      <c r="AH365" s="55">
        <f t="shared" si="83"/>
        <v>0</v>
      </c>
    </row>
    <row r="366" spans="1:34" x14ac:dyDescent="0.2">
      <c r="A366" s="48" t="s">
        <v>554</v>
      </c>
      <c r="B366" s="48">
        <v>1</v>
      </c>
      <c r="C366" s="48" t="s">
        <v>539</v>
      </c>
      <c r="D366" s="48" t="s">
        <v>527</v>
      </c>
      <c r="E366" s="48" t="s">
        <v>393</v>
      </c>
      <c r="F366" s="48" t="s">
        <v>274</v>
      </c>
      <c r="G366" s="48" t="s">
        <v>275</v>
      </c>
      <c r="H366" s="48" t="s">
        <v>66</v>
      </c>
      <c r="I366" s="48" t="s">
        <v>110</v>
      </c>
      <c r="J366" s="49">
        <v>6</v>
      </c>
      <c r="K366" s="50">
        <v>1115</v>
      </c>
      <c r="L366" s="50">
        <v>1101.3900000000001</v>
      </c>
      <c r="M366" s="48" t="s">
        <v>276</v>
      </c>
      <c r="N366" s="51">
        <v>0.92</v>
      </c>
      <c r="O366" s="51">
        <v>0.91739999999999999</v>
      </c>
      <c r="P366" s="52">
        <v>1012.65</v>
      </c>
      <c r="Q366" s="52">
        <v>1012.65</v>
      </c>
      <c r="R366" s="53" t="str">
        <f>INDEX(SKU_Master!$D$5:$D$34,MATCH($I366,SKU_Master!$A$5:$A$34,0))</f>
        <v>Laptop</v>
      </c>
      <c r="S366" s="54">
        <f t="shared" si="70"/>
        <v>1.220627802690577E-2</v>
      </c>
      <c r="T366" s="55">
        <f t="shared" si="71"/>
        <v>7271.7391304347821</v>
      </c>
      <c r="U366" s="55">
        <f t="shared" si="72"/>
        <v>7182.978260869565</v>
      </c>
      <c r="V366" s="55">
        <f t="shared" si="73"/>
        <v>-88.760869565217035</v>
      </c>
      <c r="W366" s="55">
        <f t="shared" si="74"/>
        <v>7203.3355134074563</v>
      </c>
      <c r="X366" s="55">
        <f t="shared" si="75"/>
        <v>20.357252537891327</v>
      </c>
      <c r="Y366" s="55">
        <f t="shared" si="76"/>
        <v>6075.9</v>
      </c>
      <c r="Z366" s="55">
        <f t="shared" si="77"/>
        <v>6075.9</v>
      </c>
      <c r="AA366" s="55">
        <f t="shared" si="78"/>
        <v>0</v>
      </c>
      <c r="AB366" s="55">
        <f t="shared" si="79"/>
        <v>1127.4355134074567</v>
      </c>
      <c r="AC366" s="54">
        <f t="shared" si="80"/>
        <v>0.15651575736115284</v>
      </c>
      <c r="AD366" s="56">
        <f>INDEX(Assumptions!$B$14:$B$16,MATCH($R366,Assumptions!$A$14:$A$16,0))</f>
        <v>0.12</v>
      </c>
      <c r="AE366" s="56">
        <f>INDEX(Assumptions!$C$14:$C$16,MATCH($R366,Assumptions!$A$14:$A$16,0))</f>
        <v>0.08</v>
      </c>
      <c r="AF366" s="49">
        <f t="shared" si="81"/>
        <v>0</v>
      </c>
      <c r="AG366" s="49">
        <f t="shared" si="82"/>
        <v>0</v>
      </c>
      <c r="AH366" s="55">
        <f t="shared" si="83"/>
        <v>0</v>
      </c>
    </row>
    <row r="367" spans="1:34" x14ac:dyDescent="0.2">
      <c r="A367" s="48" t="s">
        <v>554</v>
      </c>
      <c r="B367" s="48">
        <v>2</v>
      </c>
      <c r="C367" s="48" t="s">
        <v>539</v>
      </c>
      <c r="D367" s="48" t="s">
        <v>527</v>
      </c>
      <c r="E367" s="48" t="s">
        <v>393</v>
      </c>
      <c r="F367" s="48" t="s">
        <v>274</v>
      </c>
      <c r="G367" s="48" t="s">
        <v>275</v>
      </c>
      <c r="H367" s="48" t="s">
        <v>66</v>
      </c>
      <c r="I367" s="48" t="s">
        <v>141</v>
      </c>
      <c r="J367" s="49">
        <v>3</v>
      </c>
      <c r="K367" s="50">
        <v>450</v>
      </c>
      <c r="L367" s="50">
        <v>443.76</v>
      </c>
      <c r="M367" s="48" t="s">
        <v>276</v>
      </c>
      <c r="N367" s="51">
        <v>0.92</v>
      </c>
      <c r="O367" s="51">
        <v>0.91739999999999999</v>
      </c>
      <c r="P367" s="52">
        <v>376.7</v>
      </c>
      <c r="Q367" s="52">
        <v>376.7</v>
      </c>
      <c r="R367" s="53" t="str">
        <f>INDEX(SKU_Master!$D$5:$D$34,MATCH($I367,SKU_Master!$A$5:$A$34,0))</f>
        <v>Monitor</v>
      </c>
      <c r="S367" s="54">
        <f t="shared" si="70"/>
        <v>1.3866666666666694E-2</v>
      </c>
      <c r="T367" s="55">
        <f t="shared" si="71"/>
        <v>1467.391304347826</v>
      </c>
      <c r="U367" s="55">
        <f t="shared" si="72"/>
        <v>1447.0434782608695</v>
      </c>
      <c r="V367" s="55">
        <f t="shared" si="73"/>
        <v>-20.347826086956502</v>
      </c>
      <c r="W367" s="55">
        <f t="shared" si="74"/>
        <v>1451.144538914323</v>
      </c>
      <c r="X367" s="55">
        <f t="shared" si="75"/>
        <v>4.1010606534534872</v>
      </c>
      <c r="Y367" s="55">
        <f t="shared" si="76"/>
        <v>1130.0999999999999</v>
      </c>
      <c r="Z367" s="55">
        <f t="shared" si="77"/>
        <v>1130.0999999999999</v>
      </c>
      <c r="AA367" s="55">
        <f t="shared" si="78"/>
        <v>0</v>
      </c>
      <c r="AB367" s="55">
        <f t="shared" si="79"/>
        <v>321.04453891432308</v>
      </c>
      <c r="AC367" s="54">
        <f t="shared" si="80"/>
        <v>0.22123539751216875</v>
      </c>
      <c r="AD367" s="56">
        <f>INDEX(Assumptions!$B$14:$B$16,MATCH($R367,Assumptions!$A$14:$A$16,0))</f>
        <v>0.18</v>
      </c>
      <c r="AE367" s="56">
        <f>INDEX(Assumptions!$C$14:$C$16,MATCH($R367,Assumptions!$A$14:$A$16,0))</f>
        <v>0.12</v>
      </c>
      <c r="AF367" s="49">
        <f t="shared" si="81"/>
        <v>0</v>
      </c>
      <c r="AG367" s="49">
        <f t="shared" si="82"/>
        <v>0</v>
      </c>
      <c r="AH367" s="55">
        <f t="shared" si="83"/>
        <v>0</v>
      </c>
    </row>
    <row r="368" spans="1:34" x14ac:dyDescent="0.2">
      <c r="A368" s="48" t="s">
        <v>554</v>
      </c>
      <c r="B368" s="48">
        <v>3</v>
      </c>
      <c r="C368" s="48" t="s">
        <v>539</v>
      </c>
      <c r="D368" s="48" t="s">
        <v>527</v>
      </c>
      <c r="E368" s="48" t="s">
        <v>393</v>
      </c>
      <c r="F368" s="48" t="s">
        <v>274</v>
      </c>
      <c r="G368" s="48" t="s">
        <v>275</v>
      </c>
      <c r="H368" s="48" t="s">
        <v>66</v>
      </c>
      <c r="I368" s="48" t="s">
        <v>166</v>
      </c>
      <c r="J368" s="49">
        <v>5</v>
      </c>
      <c r="K368" s="50">
        <v>255</v>
      </c>
      <c r="L368" s="50">
        <v>254.62</v>
      </c>
      <c r="M368" s="48" t="s">
        <v>276</v>
      </c>
      <c r="N368" s="51">
        <v>0.92</v>
      </c>
      <c r="O368" s="51">
        <v>0.91739999999999999</v>
      </c>
      <c r="P368" s="52">
        <v>174.35</v>
      </c>
      <c r="Q368" s="52">
        <v>174.35</v>
      </c>
      <c r="R368" s="53" t="str">
        <f>INDEX(SKU_Master!$D$5:$D$34,MATCH($I368,SKU_Master!$A$5:$A$34,0))</f>
        <v>Accessory</v>
      </c>
      <c r="S368" s="54">
        <f t="shared" si="70"/>
        <v>1.4901960784313717E-3</v>
      </c>
      <c r="T368" s="55">
        <f t="shared" si="71"/>
        <v>1385.8695652173913</v>
      </c>
      <c r="U368" s="55">
        <f t="shared" si="72"/>
        <v>1383.8043478260868</v>
      </c>
      <c r="V368" s="55">
        <f t="shared" si="73"/>
        <v>-2.0652173913044862</v>
      </c>
      <c r="W368" s="55">
        <f t="shared" si="74"/>
        <v>1387.7261826902113</v>
      </c>
      <c r="X368" s="55">
        <f t="shared" si="75"/>
        <v>3.9218348641245484</v>
      </c>
      <c r="Y368" s="55">
        <f t="shared" si="76"/>
        <v>871.75</v>
      </c>
      <c r="Z368" s="55">
        <f t="shared" si="77"/>
        <v>871.75</v>
      </c>
      <c r="AA368" s="55">
        <f t="shared" si="78"/>
        <v>0</v>
      </c>
      <c r="AB368" s="55">
        <f t="shared" si="79"/>
        <v>515.97618269021132</v>
      </c>
      <c r="AC368" s="54">
        <f t="shared" si="80"/>
        <v>0.37181411515199114</v>
      </c>
      <c r="AD368" s="56">
        <f>INDEX(Assumptions!$B$14:$B$16,MATCH($R368,Assumptions!$A$14:$A$16,0))</f>
        <v>0.32</v>
      </c>
      <c r="AE368" s="56">
        <f>INDEX(Assumptions!$C$14:$C$16,MATCH($R368,Assumptions!$A$14:$A$16,0))</f>
        <v>0.22</v>
      </c>
      <c r="AF368" s="49">
        <f t="shared" si="81"/>
        <v>0</v>
      </c>
      <c r="AG368" s="49">
        <f t="shared" si="82"/>
        <v>0</v>
      </c>
      <c r="AH368" s="55">
        <f t="shared" si="83"/>
        <v>0</v>
      </c>
    </row>
    <row r="369" spans="1:34" x14ac:dyDescent="0.2">
      <c r="A369" s="48" t="s">
        <v>555</v>
      </c>
      <c r="B369" s="48">
        <v>1</v>
      </c>
      <c r="C369" s="48" t="s">
        <v>534</v>
      </c>
      <c r="D369" s="48" t="s">
        <v>527</v>
      </c>
      <c r="E369" s="48" t="s">
        <v>393</v>
      </c>
      <c r="F369" s="48" t="s">
        <v>274</v>
      </c>
      <c r="G369" s="48" t="s">
        <v>275</v>
      </c>
      <c r="H369" s="48" t="s">
        <v>66</v>
      </c>
      <c r="I369" s="48" t="s">
        <v>106</v>
      </c>
      <c r="J369" s="49">
        <v>9</v>
      </c>
      <c r="K369" s="50">
        <v>1450</v>
      </c>
      <c r="L369" s="50">
        <v>1428.46</v>
      </c>
      <c r="M369" s="48" t="s">
        <v>276</v>
      </c>
      <c r="N369" s="51">
        <v>0.92</v>
      </c>
      <c r="O369" s="51">
        <v>0.91739999999999999</v>
      </c>
      <c r="P369" s="52">
        <v>1318.4</v>
      </c>
      <c r="Q369" s="52">
        <v>1318.4</v>
      </c>
      <c r="R369" s="53" t="str">
        <f>INDEX(SKU_Master!$D$5:$D$34,MATCH($I369,SKU_Master!$A$5:$A$34,0))</f>
        <v>Laptop</v>
      </c>
      <c r="S369" s="54">
        <f t="shared" si="70"/>
        <v>1.4855172413793083E-2</v>
      </c>
      <c r="T369" s="55">
        <f t="shared" si="71"/>
        <v>14184.782608695652</v>
      </c>
      <c r="U369" s="55">
        <f t="shared" si="72"/>
        <v>13974.065217391302</v>
      </c>
      <c r="V369" s="55">
        <f t="shared" si="73"/>
        <v>-210.7173913043498</v>
      </c>
      <c r="W369" s="55">
        <f t="shared" si="74"/>
        <v>14013.669064748201</v>
      </c>
      <c r="X369" s="55">
        <f t="shared" si="75"/>
        <v>39.603847356898768</v>
      </c>
      <c r="Y369" s="55">
        <f t="shared" si="76"/>
        <v>11865.6</v>
      </c>
      <c r="Z369" s="55">
        <f t="shared" si="77"/>
        <v>11865.6</v>
      </c>
      <c r="AA369" s="55">
        <f t="shared" si="78"/>
        <v>0</v>
      </c>
      <c r="AB369" s="55">
        <f t="shared" si="79"/>
        <v>2148.0690647482006</v>
      </c>
      <c r="AC369" s="54">
        <f t="shared" si="80"/>
        <v>0.15328384413984286</v>
      </c>
      <c r="AD369" s="56">
        <f>INDEX(Assumptions!$B$14:$B$16,MATCH($R369,Assumptions!$A$14:$A$16,0))</f>
        <v>0.12</v>
      </c>
      <c r="AE369" s="56">
        <f>INDEX(Assumptions!$C$14:$C$16,MATCH($R369,Assumptions!$A$14:$A$16,0))</f>
        <v>0.08</v>
      </c>
      <c r="AF369" s="49">
        <f t="shared" si="81"/>
        <v>0</v>
      </c>
      <c r="AG369" s="49">
        <f t="shared" si="82"/>
        <v>0</v>
      </c>
      <c r="AH369" s="55">
        <f t="shared" si="83"/>
        <v>0</v>
      </c>
    </row>
    <row r="370" spans="1:34" x14ac:dyDescent="0.2">
      <c r="A370" s="48" t="s">
        <v>555</v>
      </c>
      <c r="B370" s="48">
        <v>2</v>
      </c>
      <c r="C370" s="48" t="s">
        <v>534</v>
      </c>
      <c r="D370" s="48" t="s">
        <v>527</v>
      </c>
      <c r="E370" s="48" t="s">
        <v>393</v>
      </c>
      <c r="F370" s="48" t="s">
        <v>274</v>
      </c>
      <c r="G370" s="48" t="s">
        <v>275</v>
      </c>
      <c r="H370" s="48" t="s">
        <v>66</v>
      </c>
      <c r="I370" s="48" t="s">
        <v>135</v>
      </c>
      <c r="J370" s="49">
        <v>9</v>
      </c>
      <c r="K370" s="50">
        <v>255</v>
      </c>
      <c r="L370" s="50">
        <v>252.22</v>
      </c>
      <c r="M370" s="48" t="s">
        <v>276</v>
      </c>
      <c r="N370" s="51">
        <v>0.92</v>
      </c>
      <c r="O370" s="51">
        <v>0.91739999999999999</v>
      </c>
      <c r="P370" s="52">
        <v>211.7</v>
      </c>
      <c r="Q370" s="52">
        <v>211.7</v>
      </c>
      <c r="R370" s="53" t="str">
        <f>INDEX(SKU_Master!$D$5:$D$34,MATCH($I370,SKU_Master!$A$5:$A$34,0))</f>
        <v>Monitor</v>
      </c>
      <c r="S370" s="54">
        <f t="shared" si="70"/>
        <v>1.0901960784313713E-2</v>
      </c>
      <c r="T370" s="55">
        <f t="shared" si="71"/>
        <v>2494.565217391304</v>
      </c>
      <c r="U370" s="55">
        <f t="shared" si="72"/>
        <v>2467.369565217391</v>
      </c>
      <c r="V370" s="55">
        <f t="shared" si="73"/>
        <v>-27.195652173913004</v>
      </c>
      <c r="W370" s="55">
        <f t="shared" si="74"/>
        <v>2474.3623283191628</v>
      </c>
      <c r="X370" s="55">
        <f t="shared" si="75"/>
        <v>6.9927631017717431</v>
      </c>
      <c r="Y370" s="55">
        <f t="shared" si="76"/>
        <v>1905.3</v>
      </c>
      <c r="Z370" s="55">
        <f t="shared" si="77"/>
        <v>1905.3</v>
      </c>
      <c r="AA370" s="55">
        <f t="shared" si="78"/>
        <v>0</v>
      </c>
      <c r="AB370" s="55">
        <f t="shared" si="79"/>
        <v>569.06232831916282</v>
      </c>
      <c r="AC370" s="54">
        <f t="shared" si="80"/>
        <v>0.22998342716675918</v>
      </c>
      <c r="AD370" s="56">
        <f>INDEX(Assumptions!$B$14:$B$16,MATCH($R370,Assumptions!$A$14:$A$16,0))</f>
        <v>0.18</v>
      </c>
      <c r="AE370" s="56">
        <f>INDEX(Assumptions!$C$14:$C$16,MATCH($R370,Assumptions!$A$14:$A$16,0))</f>
        <v>0.12</v>
      </c>
      <c r="AF370" s="49">
        <f t="shared" si="81"/>
        <v>0</v>
      </c>
      <c r="AG370" s="49">
        <f t="shared" si="82"/>
        <v>0</v>
      </c>
      <c r="AH370" s="55">
        <f t="shared" si="83"/>
        <v>0</v>
      </c>
    </row>
    <row r="371" spans="1:34" x14ac:dyDescent="0.2">
      <c r="A371" s="48" t="s">
        <v>555</v>
      </c>
      <c r="B371" s="48">
        <v>3</v>
      </c>
      <c r="C371" s="48" t="s">
        <v>534</v>
      </c>
      <c r="D371" s="48" t="s">
        <v>527</v>
      </c>
      <c r="E371" s="48" t="s">
        <v>393</v>
      </c>
      <c r="F371" s="48" t="s">
        <v>274</v>
      </c>
      <c r="G371" s="48" t="s">
        <v>275</v>
      </c>
      <c r="H371" s="48" t="s">
        <v>66</v>
      </c>
      <c r="I371" s="48" t="s">
        <v>166</v>
      </c>
      <c r="J371" s="49">
        <v>7</v>
      </c>
      <c r="K371" s="50">
        <v>255</v>
      </c>
      <c r="L371" s="50">
        <v>252.45</v>
      </c>
      <c r="M371" s="48" t="s">
        <v>276</v>
      </c>
      <c r="N371" s="51">
        <v>0.92</v>
      </c>
      <c r="O371" s="51">
        <v>0.91739999999999999</v>
      </c>
      <c r="P371" s="52">
        <v>174.35</v>
      </c>
      <c r="Q371" s="52">
        <v>174.35</v>
      </c>
      <c r="R371" s="53" t="str">
        <f>INDEX(SKU_Master!$D$5:$D$34,MATCH($I371,SKU_Master!$A$5:$A$34,0))</f>
        <v>Accessory</v>
      </c>
      <c r="S371" s="54">
        <f t="shared" si="70"/>
        <v>1.0000000000000009E-2</v>
      </c>
      <c r="T371" s="55">
        <f t="shared" si="71"/>
        <v>1940.2173913043478</v>
      </c>
      <c r="U371" s="55">
        <f t="shared" si="72"/>
        <v>1920.815217391304</v>
      </c>
      <c r="V371" s="55">
        <f t="shared" si="73"/>
        <v>-19.402173913043725</v>
      </c>
      <c r="W371" s="55">
        <f t="shared" si="74"/>
        <v>1926.2589928057553</v>
      </c>
      <c r="X371" s="55">
        <f t="shared" si="75"/>
        <v>5.4437754144512382</v>
      </c>
      <c r="Y371" s="55">
        <f t="shared" si="76"/>
        <v>1220.45</v>
      </c>
      <c r="Z371" s="55">
        <f t="shared" si="77"/>
        <v>1220.45</v>
      </c>
      <c r="AA371" s="55">
        <f t="shared" si="78"/>
        <v>0</v>
      </c>
      <c r="AB371" s="55">
        <f t="shared" si="79"/>
        <v>705.80899280575522</v>
      </c>
      <c r="AC371" s="54">
        <f t="shared" si="80"/>
        <v>0.36641437908496727</v>
      </c>
      <c r="AD371" s="56">
        <f>INDEX(Assumptions!$B$14:$B$16,MATCH($R371,Assumptions!$A$14:$A$16,0))</f>
        <v>0.32</v>
      </c>
      <c r="AE371" s="56">
        <f>INDEX(Assumptions!$C$14:$C$16,MATCH($R371,Assumptions!$A$14:$A$16,0))</f>
        <v>0.22</v>
      </c>
      <c r="AF371" s="49">
        <f t="shared" si="81"/>
        <v>0</v>
      </c>
      <c r="AG371" s="49">
        <f t="shared" si="82"/>
        <v>0</v>
      </c>
      <c r="AH371" s="55">
        <f t="shared" si="83"/>
        <v>0</v>
      </c>
    </row>
    <row r="372" spans="1:34" x14ac:dyDescent="0.2">
      <c r="A372" s="48" t="s">
        <v>556</v>
      </c>
      <c r="B372" s="48">
        <v>1</v>
      </c>
      <c r="C372" s="48" t="s">
        <v>557</v>
      </c>
      <c r="D372" s="48" t="s">
        <v>527</v>
      </c>
      <c r="E372" s="48" t="s">
        <v>558</v>
      </c>
      <c r="F372" s="48" t="s">
        <v>280</v>
      </c>
      <c r="G372" s="48" t="s">
        <v>288</v>
      </c>
      <c r="H372" s="48" t="s">
        <v>62</v>
      </c>
      <c r="I372" s="48" t="s">
        <v>108</v>
      </c>
      <c r="J372" s="49">
        <v>20</v>
      </c>
      <c r="K372" s="50">
        <v>1345</v>
      </c>
      <c r="L372" s="50">
        <v>1303.21</v>
      </c>
      <c r="M372" s="48" t="s">
        <v>276</v>
      </c>
      <c r="N372" s="51">
        <v>1</v>
      </c>
      <c r="O372" s="51">
        <v>1</v>
      </c>
      <c r="P372" s="52">
        <v>1145</v>
      </c>
      <c r="Q372" s="52">
        <v>1145</v>
      </c>
      <c r="R372" s="53" t="str">
        <f>INDEX(SKU_Master!$D$5:$D$34,MATCH($I372,SKU_Master!$A$5:$A$34,0))</f>
        <v>Laptop</v>
      </c>
      <c r="S372" s="54">
        <f t="shared" si="70"/>
        <v>3.1070631970260165E-2</v>
      </c>
      <c r="T372" s="55">
        <f t="shared" si="71"/>
        <v>26900</v>
      </c>
      <c r="U372" s="55">
        <f t="shared" si="72"/>
        <v>26064.2</v>
      </c>
      <c r="V372" s="55">
        <f t="shared" si="73"/>
        <v>-835.79999999999927</v>
      </c>
      <c r="W372" s="55">
        <f t="shared" si="74"/>
        <v>26064.2</v>
      </c>
      <c r="X372" s="55">
        <f t="shared" si="75"/>
        <v>0</v>
      </c>
      <c r="Y372" s="55">
        <f t="shared" si="76"/>
        <v>22900</v>
      </c>
      <c r="Z372" s="55">
        <f t="shared" si="77"/>
        <v>22900</v>
      </c>
      <c r="AA372" s="55">
        <f t="shared" si="78"/>
        <v>0</v>
      </c>
      <c r="AB372" s="55">
        <f t="shared" si="79"/>
        <v>3164.2000000000007</v>
      </c>
      <c r="AC372" s="54">
        <f t="shared" si="80"/>
        <v>0.1214002348048281</v>
      </c>
      <c r="AD372" s="56">
        <f>INDEX(Assumptions!$B$14:$B$16,MATCH($R372,Assumptions!$A$14:$A$16,0))</f>
        <v>0.12</v>
      </c>
      <c r="AE372" s="56">
        <f>INDEX(Assumptions!$C$14:$C$16,MATCH($R372,Assumptions!$A$14:$A$16,0))</f>
        <v>0.08</v>
      </c>
      <c r="AF372" s="49">
        <f t="shared" si="81"/>
        <v>0</v>
      </c>
      <c r="AG372" s="49">
        <f t="shared" si="82"/>
        <v>0</v>
      </c>
      <c r="AH372" s="55">
        <f t="shared" si="83"/>
        <v>0</v>
      </c>
    </row>
    <row r="373" spans="1:34" x14ac:dyDescent="0.2">
      <c r="A373" s="48" t="s">
        <v>556</v>
      </c>
      <c r="B373" s="48">
        <v>2</v>
      </c>
      <c r="C373" s="48" t="s">
        <v>557</v>
      </c>
      <c r="D373" s="48" t="s">
        <v>527</v>
      </c>
      <c r="E373" s="48" t="s">
        <v>558</v>
      </c>
      <c r="F373" s="48" t="s">
        <v>280</v>
      </c>
      <c r="G373" s="48" t="s">
        <v>288</v>
      </c>
      <c r="H373" s="48" t="s">
        <v>62</v>
      </c>
      <c r="I373" s="48" t="s">
        <v>166</v>
      </c>
      <c r="J373" s="49">
        <v>9</v>
      </c>
      <c r="K373" s="50">
        <v>265</v>
      </c>
      <c r="L373" s="50">
        <v>257.57</v>
      </c>
      <c r="M373" s="48" t="s">
        <v>276</v>
      </c>
      <c r="N373" s="51">
        <v>1</v>
      </c>
      <c r="O373" s="51">
        <v>1</v>
      </c>
      <c r="P373" s="52">
        <v>169.35</v>
      </c>
      <c r="Q373" s="52">
        <v>169.35</v>
      </c>
      <c r="R373" s="53" t="str">
        <f>INDEX(SKU_Master!$D$5:$D$34,MATCH($I373,SKU_Master!$A$5:$A$34,0))</f>
        <v>Accessory</v>
      </c>
      <c r="S373" s="54">
        <f t="shared" si="70"/>
        <v>2.8037735849056666E-2</v>
      </c>
      <c r="T373" s="55">
        <f t="shared" si="71"/>
        <v>2385</v>
      </c>
      <c r="U373" s="55">
        <f t="shared" si="72"/>
        <v>2318.13</v>
      </c>
      <c r="V373" s="55">
        <f t="shared" si="73"/>
        <v>-66.869999999999891</v>
      </c>
      <c r="W373" s="55">
        <f t="shared" si="74"/>
        <v>2318.13</v>
      </c>
      <c r="X373" s="55">
        <f t="shared" si="75"/>
        <v>0</v>
      </c>
      <c r="Y373" s="55">
        <f t="shared" si="76"/>
        <v>1524.1499999999999</v>
      </c>
      <c r="Z373" s="55">
        <f t="shared" si="77"/>
        <v>1524.1499999999999</v>
      </c>
      <c r="AA373" s="55">
        <f t="shared" si="78"/>
        <v>0</v>
      </c>
      <c r="AB373" s="55">
        <f t="shared" si="79"/>
        <v>793.98000000000025</v>
      </c>
      <c r="AC373" s="54">
        <f t="shared" si="80"/>
        <v>0.34250883255037473</v>
      </c>
      <c r="AD373" s="56">
        <f>INDEX(Assumptions!$B$14:$B$16,MATCH($R373,Assumptions!$A$14:$A$16,0))</f>
        <v>0.32</v>
      </c>
      <c r="AE373" s="56">
        <f>INDEX(Assumptions!$C$14:$C$16,MATCH($R373,Assumptions!$A$14:$A$16,0))</f>
        <v>0.22</v>
      </c>
      <c r="AF373" s="49">
        <f t="shared" si="81"/>
        <v>0</v>
      </c>
      <c r="AG373" s="49">
        <f t="shared" si="82"/>
        <v>0</v>
      </c>
      <c r="AH373" s="55">
        <f t="shared" si="83"/>
        <v>0</v>
      </c>
    </row>
    <row r="374" spans="1:34" x14ac:dyDescent="0.2">
      <c r="A374" s="48" t="s">
        <v>559</v>
      </c>
      <c r="B374" s="48">
        <v>1</v>
      </c>
      <c r="C374" s="48" t="s">
        <v>541</v>
      </c>
      <c r="D374" s="48" t="s">
        <v>527</v>
      </c>
      <c r="E374" s="48" t="s">
        <v>287</v>
      </c>
      <c r="F374" s="48" t="s">
        <v>274</v>
      </c>
      <c r="G374" s="48" t="s">
        <v>288</v>
      </c>
      <c r="H374" s="48" t="s">
        <v>62</v>
      </c>
      <c r="I374" s="48" t="s">
        <v>132</v>
      </c>
      <c r="J374" s="49">
        <v>6</v>
      </c>
      <c r="K374" s="50">
        <v>1045</v>
      </c>
      <c r="L374" s="50">
        <v>1035.58</v>
      </c>
      <c r="M374" s="48" t="s">
        <v>276</v>
      </c>
      <c r="N374" s="51">
        <v>1</v>
      </c>
      <c r="O374" s="51">
        <v>1</v>
      </c>
      <c r="P374" s="52">
        <v>891</v>
      </c>
      <c r="Q374" s="52">
        <v>891</v>
      </c>
      <c r="R374" s="53" t="str">
        <f>INDEX(SKU_Master!$D$5:$D$34,MATCH($I374,SKU_Master!$A$5:$A$34,0))</f>
        <v>Laptop</v>
      </c>
      <c r="S374" s="54">
        <f t="shared" si="70"/>
        <v>9.014354066985697E-3</v>
      </c>
      <c r="T374" s="55">
        <f t="shared" si="71"/>
        <v>6270</v>
      </c>
      <c r="U374" s="55">
        <f t="shared" si="72"/>
        <v>6213.48</v>
      </c>
      <c r="V374" s="55">
        <f t="shared" si="73"/>
        <v>-56.520000000000437</v>
      </c>
      <c r="W374" s="55">
        <f t="shared" si="74"/>
        <v>6213.48</v>
      </c>
      <c r="X374" s="55">
        <f t="shared" si="75"/>
        <v>0</v>
      </c>
      <c r="Y374" s="55">
        <f t="shared" si="76"/>
        <v>5346</v>
      </c>
      <c r="Z374" s="55">
        <f t="shared" si="77"/>
        <v>5346</v>
      </c>
      <c r="AA374" s="55">
        <f t="shared" si="78"/>
        <v>0</v>
      </c>
      <c r="AB374" s="55">
        <f t="shared" si="79"/>
        <v>867.47999999999956</v>
      </c>
      <c r="AC374" s="54">
        <f t="shared" si="80"/>
        <v>0.139612584252303</v>
      </c>
      <c r="AD374" s="56">
        <f>INDEX(Assumptions!$B$14:$B$16,MATCH($R374,Assumptions!$A$14:$A$16,0))</f>
        <v>0.12</v>
      </c>
      <c r="AE374" s="56">
        <f>INDEX(Assumptions!$C$14:$C$16,MATCH($R374,Assumptions!$A$14:$A$16,0))</f>
        <v>0.08</v>
      </c>
      <c r="AF374" s="49">
        <f t="shared" si="81"/>
        <v>0</v>
      </c>
      <c r="AG374" s="49">
        <f t="shared" si="82"/>
        <v>0</v>
      </c>
      <c r="AH374" s="55">
        <f t="shared" si="83"/>
        <v>0</v>
      </c>
    </row>
    <row r="375" spans="1:34" x14ac:dyDescent="0.2">
      <c r="A375" s="48" t="s">
        <v>559</v>
      </c>
      <c r="B375" s="48">
        <v>2</v>
      </c>
      <c r="C375" s="48" t="s">
        <v>541</v>
      </c>
      <c r="D375" s="48" t="s">
        <v>527</v>
      </c>
      <c r="E375" s="48" t="s">
        <v>287</v>
      </c>
      <c r="F375" s="48" t="s">
        <v>274</v>
      </c>
      <c r="G375" s="48" t="s">
        <v>288</v>
      </c>
      <c r="H375" s="48" t="s">
        <v>62</v>
      </c>
      <c r="I375" s="48" t="s">
        <v>151</v>
      </c>
      <c r="J375" s="49">
        <v>3</v>
      </c>
      <c r="K375" s="50">
        <v>335</v>
      </c>
      <c r="L375" s="50">
        <v>334.36</v>
      </c>
      <c r="M375" s="48" t="s">
        <v>276</v>
      </c>
      <c r="N375" s="51">
        <v>1</v>
      </c>
      <c r="O375" s="51">
        <v>1</v>
      </c>
      <c r="P375" s="52">
        <v>216.7</v>
      </c>
      <c r="Q375" s="52">
        <v>216.7</v>
      </c>
      <c r="R375" s="53" t="str">
        <f>INDEX(SKU_Master!$D$5:$D$34,MATCH($I375,SKU_Master!$A$5:$A$34,0))</f>
        <v>Accessory</v>
      </c>
      <c r="S375" s="54">
        <f t="shared" si="70"/>
        <v>1.9104477611939785E-3</v>
      </c>
      <c r="T375" s="55">
        <f t="shared" si="71"/>
        <v>1005</v>
      </c>
      <c r="U375" s="55">
        <f t="shared" si="72"/>
        <v>1003.08</v>
      </c>
      <c r="V375" s="55">
        <f t="shared" si="73"/>
        <v>-1.9199999999999591</v>
      </c>
      <c r="W375" s="55">
        <f t="shared" si="74"/>
        <v>1003.08</v>
      </c>
      <c r="X375" s="55">
        <f t="shared" si="75"/>
        <v>0</v>
      </c>
      <c r="Y375" s="55">
        <f t="shared" si="76"/>
        <v>650.09999999999991</v>
      </c>
      <c r="Z375" s="55">
        <f t="shared" si="77"/>
        <v>650.09999999999991</v>
      </c>
      <c r="AA375" s="55">
        <f t="shared" si="78"/>
        <v>0</v>
      </c>
      <c r="AB375" s="55">
        <f t="shared" si="79"/>
        <v>352.98000000000013</v>
      </c>
      <c r="AC375" s="54">
        <f t="shared" si="80"/>
        <v>0.3518961598277307</v>
      </c>
      <c r="AD375" s="56">
        <f>INDEX(Assumptions!$B$14:$B$16,MATCH($R375,Assumptions!$A$14:$A$16,0))</f>
        <v>0.32</v>
      </c>
      <c r="AE375" s="56">
        <f>INDEX(Assumptions!$C$14:$C$16,MATCH($R375,Assumptions!$A$14:$A$16,0))</f>
        <v>0.22</v>
      </c>
      <c r="AF375" s="49">
        <f t="shared" si="81"/>
        <v>0</v>
      </c>
      <c r="AG375" s="49">
        <f t="shared" si="82"/>
        <v>0</v>
      </c>
      <c r="AH375" s="55">
        <f t="shared" si="83"/>
        <v>0</v>
      </c>
    </row>
    <row r="376" spans="1:34" x14ac:dyDescent="0.2">
      <c r="A376" s="48" t="s">
        <v>560</v>
      </c>
      <c r="B376" s="48">
        <v>1</v>
      </c>
      <c r="C376" s="48" t="s">
        <v>561</v>
      </c>
      <c r="D376" s="48" t="s">
        <v>527</v>
      </c>
      <c r="E376" s="48" t="s">
        <v>360</v>
      </c>
      <c r="F376" s="48" t="s">
        <v>280</v>
      </c>
      <c r="G376" s="48" t="s">
        <v>275</v>
      </c>
      <c r="H376" s="48" t="s">
        <v>68</v>
      </c>
      <c r="I376" s="48" t="s">
        <v>113</v>
      </c>
      <c r="J376" s="49">
        <v>5</v>
      </c>
      <c r="K376" s="50">
        <v>2450</v>
      </c>
      <c r="L376" s="50">
        <v>2422.7399999999998</v>
      </c>
      <c r="M376" s="48" t="s">
        <v>276</v>
      </c>
      <c r="N376" s="51">
        <v>1.37</v>
      </c>
      <c r="O376" s="51">
        <v>1.3767</v>
      </c>
      <c r="P376" s="52">
        <v>1496.8</v>
      </c>
      <c r="Q376" s="52">
        <v>1496.8</v>
      </c>
      <c r="R376" s="53" t="str">
        <f>INDEX(SKU_Master!$D$5:$D$34,MATCH($I376,SKU_Master!$A$5:$A$34,0))</f>
        <v>Laptop</v>
      </c>
      <c r="S376" s="54">
        <f t="shared" si="70"/>
        <v>1.1126530612245E-2</v>
      </c>
      <c r="T376" s="55">
        <f t="shared" si="71"/>
        <v>8941.6058394160573</v>
      </c>
      <c r="U376" s="55">
        <f t="shared" si="72"/>
        <v>8842.1167883211656</v>
      </c>
      <c r="V376" s="55">
        <f t="shared" si="73"/>
        <v>-99.489051094891693</v>
      </c>
      <c r="W376" s="55">
        <f t="shared" si="74"/>
        <v>8799.0847679232938</v>
      </c>
      <c r="X376" s="55">
        <f t="shared" si="75"/>
        <v>-43.032020397871747</v>
      </c>
      <c r="Y376" s="55">
        <f t="shared" si="76"/>
        <v>7484</v>
      </c>
      <c r="Z376" s="55">
        <f t="shared" si="77"/>
        <v>7484</v>
      </c>
      <c r="AA376" s="55">
        <f t="shared" si="78"/>
        <v>0</v>
      </c>
      <c r="AB376" s="55">
        <f t="shared" si="79"/>
        <v>1315.0847679232938</v>
      </c>
      <c r="AC376" s="54">
        <f t="shared" si="80"/>
        <v>0.14945699497263421</v>
      </c>
      <c r="AD376" s="56">
        <f>INDEX(Assumptions!$B$14:$B$16,MATCH($R376,Assumptions!$A$14:$A$16,0))</f>
        <v>0.12</v>
      </c>
      <c r="AE376" s="56">
        <f>INDEX(Assumptions!$C$14:$C$16,MATCH($R376,Assumptions!$A$14:$A$16,0))</f>
        <v>0.08</v>
      </c>
      <c r="AF376" s="49">
        <f t="shared" si="81"/>
        <v>0</v>
      </c>
      <c r="AG376" s="49">
        <f t="shared" si="82"/>
        <v>0</v>
      </c>
      <c r="AH376" s="55">
        <f t="shared" si="83"/>
        <v>0</v>
      </c>
    </row>
    <row r="377" spans="1:34" x14ac:dyDescent="0.2">
      <c r="A377" s="48" t="s">
        <v>560</v>
      </c>
      <c r="B377" s="48">
        <v>2</v>
      </c>
      <c r="C377" s="48" t="s">
        <v>561</v>
      </c>
      <c r="D377" s="48" t="s">
        <v>527</v>
      </c>
      <c r="E377" s="48" t="s">
        <v>360</v>
      </c>
      <c r="F377" s="48" t="s">
        <v>280</v>
      </c>
      <c r="G377" s="48" t="s">
        <v>275</v>
      </c>
      <c r="H377" s="48" t="s">
        <v>68</v>
      </c>
      <c r="I377" s="48" t="s">
        <v>138</v>
      </c>
      <c r="J377" s="49">
        <v>2</v>
      </c>
      <c r="K377" s="50">
        <v>665</v>
      </c>
      <c r="L377" s="50">
        <v>636.45000000000005</v>
      </c>
      <c r="M377" s="48" t="s">
        <v>276</v>
      </c>
      <c r="N377" s="51">
        <v>1.37</v>
      </c>
      <c r="O377" s="51">
        <v>1.3767</v>
      </c>
      <c r="P377" s="52">
        <v>373.2</v>
      </c>
      <c r="Q377" s="52">
        <v>373.2</v>
      </c>
      <c r="R377" s="53" t="str">
        <f>INDEX(SKU_Master!$D$5:$D$34,MATCH($I377,SKU_Master!$A$5:$A$34,0))</f>
        <v>Monitor</v>
      </c>
      <c r="S377" s="54">
        <f t="shared" si="70"/>
        <v>4.29323308270676E-2</v>
      </c>
      <c r="T377" s="55">
        <f t="shared" si="71"/>
        <v>970.80291970802909</v>
      </c>
      <c r="U377" s="55">
        <f t="shared" si="72"/>
        <v>929.12408759124082</v>
      </c>
      <c r="V377" s="55">
        <f t="shared" si="73"/>
        <v>-41.678832116788271</v>
      </c>
      <c r="W377" s="55">
        <f t="shared" si="74"/>
        <v>924.60230987143177</v>
      </c>
      <c r="X377" s="55">
        <f t="shared" si="75"/>
        <v>-4.5217777198090516</v>
      </c>
      <c r="Y377" s="55">
        <f t="shared" si="76"/>
        <v>746.4</v>
      </c>
      <c r="Z377" s="55">
        <f t="shared" si="77"/>
        <v>746.4</v>
      </c>
      <c r="AA377" s="55">
        <f t="shared" si="78"/>
        <v>0</v>
      </c>
      <c r="AB377" s="55">
        <f t="shared" si="79"/>
        <v>178.20230987143179</v>
      </c>
      <c r="AC377" s="54">
        <f t="shared" si="80"/>
        <v>0.19273400895592752</v>
      </c>
      <c r="AD377" s="56">
        <f>INDEX(Assumptions!$B$14:$B$16,MATCH($R377,Assumptions!$A$14:$A$16,0))</f>
        <v>0.18</v>
      </c>
      <c r="AE377" s="56">
        <f>INDEX(Assumptions!$C$14:$C$16,MATCH($R377,Assumptions!$A$14:$A$16,0))</f>
        <v>0.12</v>
      </c>
      <c r="AF377" s="49">
        <f t="shared" si="81"/>
        <v>0</v>
      </c>
      <c r="AG377" s="49">
        <f t="shared" si="82"/>
        <v>0</v>
      </c>
      <c r="AH377" s="55">
        <f t="shared" si="83"/>
        <v>0</v>
      </c>
    </row>
    <row r="378" spans="1:34" x14ac:dyDescent="0.2">
      <c r="A378" s="48" t="s">
        <v>562</v>
      </c>
      <c r="B378" s="48">
        <v>1</v>
      </c>
      <c r="C378" s="48" t="s">
        <v>551</v>
      </c>
      <c r="D378" s="48" t="s">
        <v>527</v>
      </c>
      <c r="E378" s="48" t="s">
        <v>336</v>
      </c>
      <c r="F378" s="48" t="s">
        <v>274</v>
      </c>
      <c r="G378" s="48" t="s">
        <v>288</v>
      </c>
      <c r="H378" s="48" t="s">
        <v>62</v>
      </c>
      <c r="I378" s="48" t="s">
        <v>103</v>
      </c>
      <c r="J378" s="49">
        <v>5</v>
      </c>
      <c r="K378" s="50">
        <v>1135</v>
      </c>
      <c r="L378" s="50">
        <v>1117.76</v>
      </c>
      <c r="M378" s="48" t="s">
        <v>276</v>
      </c>
      <c r="N378" s="51">
        <v>1</v>
      </c>
      <c r="O378" s="51">
        <v>1</v>
      </c>
      <c r="P378" s="52">
        <v>968.6</v>
      </c>
      <c r="Q378" s="52">
        <v>968.6</v>
      </c>
      <c r="R378" s="53" t="str">
        <f>INDEX(SKU_Master!$D$5:$D$34,MATCH($I378,SKU_Master!$A$5:$A$34,0))</f>
        <v>Laptop</v>
      </c>
      <c r="S378" s="54">
        <f t="shared" si="70"/>
        <v>1.5189427312775283E-2</v>
      </c>
      <c r="T378" s="55">
        <f t="shared" si="71"/>
        <v>5675</v>
      </c>
      <c r="U378" s="55">
        <f t="shared" si="72"/>
        <v>5588.8</v>
      </c>
      <c r="V378" s="55">
        <f t="shared" si="73"/>
        <v>-86.199999999999818</v>
      </c>
      <c r="W378" s="55">
        <f t="shared" si="74"/>
        <v>5588.8</v>
      </c>
      <c r="X378" s="55">
        <f t="shared" si="75"/>
        <v>0</v>
      </c>
      <c r="Y378" s="55">
        <f t="shared" si="76"/>
        <v>4843</v>
      </c>
      <c r="Z378" s="55">
        <f t="shared" si="77"/>
        <v>4843</v>
      </c>
      <c r="AA378" s="55">
        <f t="shared" si="78"/>
        <v>0</v>
      </c>
      <c r="AB378" s="55">
        <f t="shared" si="79"/>
        <v>745.80000000000018</v>
      </c>
      <c r="AC378" s="54">
        <f t="shared" si="80"/>
        <v>0.133445462353278</v>
      </c>
      <c r="AD378" s="56">
        <f>INDEX(Assumptions!$B$14:$B$16,MATCH($R378,Assumptions!$A$14:$A$16,0))</f>
        <v>0.12</v>
      </c>
      <c r="AE378" s="56">
        <f>INDEX(Assumptions!$C$14:$C$16,MATCH($R378,Assumptions!$A$14:$A$16,0))</f>
        <v>0.08</v>
      </c>
      <c r="AF378" s="49">
        <f t="shared" si="81"/>
        <v>0</v>
      </c>
      <c r="AG378" s="49">
        <f t="shared" si="82"/>
        <v>0</v>
      </c>
      <c r="AH378" s="55">
        <f t="shared" si="83"/>
        <v>0</v>
      </c>
    </row>
    <row r="379" spans="1:34" x14ac:dyDescent="0.2">
      <c r="A379" s="48" t="s">
        <v>562</v>
      </c>
      <c r="B379" s="48">
        <v>2</v>
      </c>
      <c r="C379" s="48" t="s">
        <v>551</v>
      </c>
      <c r="D379" s="48" t="s">
        <v>527</v>
      </c>
      <c r="E379" s="48" t="s">
        <v>336</v>
      </c>
      <c r="F379" s="48" t="s">
        <v>274</v>
      </c>
      <c r="G379" s="48" t="s">
        <v>288</v>
      </c>
      <c r="H379" s="48" t="s">
        <v>62</v>
      </c>
      <c r="I379" s="48" t="s">
        <v>157</v>
      </c>
      <c r="J379" s="49">
        <v>5</v>
      </c>
      <c r="K379" s="50">
        <v>135</v>
      </c>
      <c r="L379" s="50">
        <v>133.65</v>
      </c>
      <c r="M379" s="48" t="s">
        <v>276</v>
      </c>
      <c r="N379" s="51">
        <v>1</v>
      </c>
      <c r="O379" s="51">
        <v>1</v>
      </c>
      <c r="P379" s="52">
        <v>86</v>
      </c>
      <c r="Q379" s="52">
        <v>86</v>
      </c>
      <c r="R379" s="53" t="str">
        <f>INDEX(SKU_Master!$D$5:$D$34,MATCH($I379,SKU_Master!$A$5:$A$34,0))</f>
        <v>Accessory</v>
      </c>
      <c r="S379" s="54">
        <f t="shared" si="70"/>
        <v>1.0000000000000009E-2</v>
      </c>
      <c r="T379" s="55">
        <f t="shared" si="71"/>
        <v>675</v>
      </c>
      <c r="U379" s="55">
        <f t="shared" si="72"/>
        <v>668.25</v>
      </c>
      <c r="V379" s="55">
        <f t="shared" si="73"/>
        <v>-6.75</v>
      </c>
      <c r="W379" s="55">
        <f t="shared" si="74"/>
        <v>668.25</v>
      </c>
      <c r="X379" s="55">
        <f t="shared" si="75"/>
        <v>0</v>
      </c>
      <c r="Y379" s="55">
        <f t="shared" si="76"/>
        <v>430</v>
      </c>
      <c r="Z379" s="55">
        <f t="shared" si="77"/>
        <v>430</v>
      </c>
      <c r="AA379" s="55">
        <f t="shared" si="78"/>
        <v>0</v>
      </c>
      <c r="AB379" s="55">
        <f t="shared" si="79"/>
        <v>238.25</v>
      </c>
      <c r="AC379" s="54">
        <f t="shared" si="80"/>
        <v>0.35652824541713429</v>
      </c>
      <c r="AD379" s="56">
        <f>INDEX(Assumptions!$B$14:$B$16,MATCH($R379,Assumptions!$A$14:$A$16,0))</f>
        <v>0.32</v>
      </c>
      <c r="AE379" s="56">
        <f>INDEX(Assumptions!$C$14:$C$16,MATCH($R379,Assumptions!$A$14:$A$16,0))</f>
        <v>0.22</v>
      </c>
      <c r="AF379" s="49">
        <f t="shared" si="81"/>
        <v>0</v>
      </c>
      <c r="AG379" s="49">
        <f t="shared" si="82"/>
        <v>0</v>
      </c>
      <c r="AH379" s="55">
        <f t="shared" si="83"/>
        <v>0</v>
      </c>
    </row>
    <row r="380" spans="1:34" x14ac:dyDescent="0.2">
      <c r="A380" s="48" t="s">
        <v>563</v>
      </c>
      <c r="B380" s="48">
        <v>1</v>
      </c>
      <c r="C380" s="48" t="s">
        <v>564</v>
      </c>
      <c r="D380" s="48" t="s">
        <v>527</v>
      </c>
      <c r="E380" s="48" t="s">
        <v>343</v>
      </c>
      <c r="F380" s="48" t="s">
        <v>280</v>
      </c>
      <c r="G380" s="48" t="s">
        <v>281</v>
      </c>
      <c r="H380" s="48" t="s">
        <v>62</v>
      </c>
      <c r="I380" s="48" t="s">
        <v>98</v>
      </c>
      <c r="J380" s="49">
        <v>23</v>
      </c>
      <c r="K380" s="50">
        <v>2085</v>
      </c>
      <c r="L380" s="50">
        <v>2043.21</v>
      </c>
      <c r="M380" s="48" t="s">
        <v>276</v>
      </c>
      <c r="N380" s="51">
        <v>1</v>
      </c>
      <c r="O380" s="51">
        <v>1</v>
      </c>
      <c r="P380" s="52">
        <v>1780.2</v>
      </c>
      <c r="Q380" s="52">
        <v>1780.2</v>
      </c>
      <c r="R380" s="53" t="str">
        <f>INDEX(SKU_Master!$D$5:$D$34,MATCH($I380,SKU_Master!$A$5:$A$34,0))</f>
        <v>Laptop</v>
      </c>
      <c r="S380" s="54">
        <f t="shared" si="70"/>
        <v>2.0043165467625856E-2</v>
      </c>
      <c r="T380" s="55">
        <f t="shared" si="71"/>
        <v>47955</v>
      </c>
      <c r="U380" s="55">
        <f t="shared" si="72"/>
        <v>46993.83</v>
      </c>
      <c r="V380" s="55">
        <f t="shared" si="73"/>
        <v>-961.16999999999825</v>
      </c>
      <c r="W380" s="55">
        <f t="shared" si="74"/>
        <v>46993.83</v>
      </c>
      <c r="X380" s="55">
        <f t="shared" si="75"/>
        <v>0</v>
      </c>
      <c r="Y380" s="55">
        <f t="shared" si="76"/>
        <v>40944.6</v>
      </c>
      <c r="Z380" s="55">
        <f t="shared" si="77"/>
        <v>40944.6</v>
      </c>
      <c r="AA380" s="55">
        <f t="shared" si="78"/>
        <v>0</v>
      </c>
      <c r="AB380" s="55">
        <f t="shared" si="79"/>
        <v>6049.2300000000032</v>
      </c>
      <c r="AC380" s="54">
        <f t="shared" si="80"/>
        <v>0.12872391971456684</v>
      </c>
      <c r="AD380" s="56">
        <f>INDEX(Assumptions!$B$14:$B$16,MATCH($R380,Assumptions!$A$14:$A$16,0))</f>
        <v>0.12</v>
      </c>
      <c r="AE380" s="56">
        <f>INDEX(Assumptions!$C$14:$C$16,MATCH($R380,Assumptions!$A$14:$A$16,0))</f>
        <v>0.08</v>
      </c>
      <c r="AF380" s="49">
        <f t="shared" si="81"/>
        <v>0</v>
      </c>
      <c r="AG380" s="49">
        <f t="shared" si="82"/>
        <v>0</v>
      </c>
      <c r="AH380" s="55">
        <f t="shared" si="83"/>
        <v>0</v>
      </c>
    </row>
    <row r="381" spans="1:34" x14ac:dyDescent="0.2">
      <c r="A381" s="48" t="s">
        <v>565</v>
      </c>
      <c r="B381" s="48">
        <v>1</v>
      </c>
      <c r="C381" s="48" t="s">
        <v>566</v>
      </c>
      <c r="D381" s="48" t="s">
        <v>527</v>
      </c>
      <c r="E381" s="48" t="s">
        <v>422</v>
      </c>
      <c r="F381" s="48" t="s">
        <v>280</v>
      </c>
      <c r="G381" s="48" t="s">
        <v>281</v>
      </c>
      <c r="H381" s="48" t="s">
        <v>68</v>
      </c>
      <c r="I381" s="48" t="s">
        <v>132</v>
      </c>
      <c r="J381" s="49">
        <v>23</v>
      </c>
      <c r="K381" s="50">
        <v>1480</v>
      </c>
      <c r="L381" s="50">
        <v>1437.91</v>
      </c>
      <c r="M381" s="48" t="s">
        <v>276</v>
      </c>
      <c r="N381" s="51">
        <v>1.37</v>
      </c>
      <c r="O381" s="51">
        <v>1.3767</v>
      </c>
      <c r="P381" s="52">
        <v>903</v>
      </c>
      <c r="Q381" s="52">
        <v>903</v>
      </c>
      <c r="R381" s="53" t="str">
        <f>INDEX(SKU_Master!$D$5:$D$34,MATCH($I381,SKU_Master!$A$5:$A$34,0))</f>
        <v>Laptop</v>
      </c>
      <c r="S381" s="54">
        <f t="shared" si="70"/>
        <v>2.8439189189189085E-2</v>
      </c>
      <c r="T381" s="55">
        <f t="shared" si="71"/>
        <v>24846.715328467151</v>
      </c>
      <c r="U381" s="55">
        <f t="shared" si="72"/>
        <v>24140.094890510947</v>
      </c>
      <c r="V381" s="55">
        <f t="shared" si="73"/>
        <v>-706.62043795620411</v>
      </c>
      <c r="W381" s="55">
        <f t="shared" si="74"/>
        <v>24022.612043291931</v>
      </c>
      <c r="X381" s="55">
        <f t="shared" si="75"/>
        <v>-117.48284721901655</v>
      </c>
      <c r="Y381" s="55">
        <f t="shared" si="76"/>
        <v>20769</v>
      </c>
      <c r="Z381" s="55">
        <f t="shared" si="77"/>
        <v>20769</v>
      </c>
      <c r="AA381" s="55">
        <f t="shared" si="78"/>
        <v>0</v>
      </c>
      <c r="AB381" s="55">
        <f t="shared" si="79"/>
        <v>3253.6120432919306</v>
      </c>
      <c r="AC381" s="54">
        <f t="shared" si="80"/>
        <v>0.13543956158591292</v>
      </c>
      <c r="AD381" s="56">
        <f>INDEX(Assumptions!$B$14:$B$16,MATCH($R381,Assumptions!$A$14:$A$16,0))</f>
        <v>0.12</v>
      </c>
      <c r="AE381" s="56">
        <f>INDEX(Assumptions!$C$14:$C$16,MATCH($R381,Assumptions!$A$14:$A$16,0))</f>
        <v>0.08</v>
      </c>
      <c r="AF381" s="49">
        <f t="shared" si="81"/>
        <v>0</v>
      </c>
      <c r="AG381" s="49">
        <f t="shared" si="82"/>
        <v>0</v>
      </c>
      <c r="AH381" s="55">
        <f t="shared" si="83"/>
        <v>0</v>
      </c>
    </row>
    <row r="382" spans="1:34" x14ac:dyDescent="0.2">
      <c r="A382" s="48" t="s">
        <v>565</v>
      </c>
      <c r="B382" s="48">
        <v>2</v>
      </c>
      <c r="C382" s="48" t="s">
        <v>566</v>
      </c>
      <c r="D382" s="48" t="s">
        <v>527</v>
      </c>
      <c r="E382" s="48" t="s">
        <v>422</v>
      </c>
      <c r="F382" s="48" t="s">
        <v>280</v>
      </c>
      <c r="G382" s="48" t="s">
        <v>281</v>
      </c>
      <c r="H382" s="48" t="s">
        <v>68</v>
      </c>
      <c r="I382" s="48" t="s">
        <v>141</v>
      </c>
      <c r="J382" s="49">
        <v>25</v>
      </c>
      <c r="K382" s="50">
        <v>650</v>
      </c>
      <c r="L382" s="50">
        <v>622.28</v>
      </c>
      <c r="M382" s="48" t="s">
        <v>276</v>
      </c>
      <c r="N382" s="51">
        <v>1.37</v>
      </c>
      <c r="O382" s="51">
        <v>1.3767</v>
      </c>
      <c r="P382" s="52">
        <v>366.7</v>
      </c>
      <c r="Q382" s="52">
        <v>366.7</v>
      </c>
      <c r="R382" s="53" t="str">
        <f>INDEX(SKU_Master!$D$5:$D$34,MATCH($I382,SKU_Master!$A$5:$A$34,0))</f>
        <v>Monitor</v>
      </c>
      <c r="S382" s="54">
        <f t="shared" si="70"/>
        <v>4.2646153846153889E-2</v>
      </c>
      <c r="T382" s="55">
        <f t="shared" si="71"/>
        <v>11861.313868613137</v>
      </c>
      <c r="U382" s="55">
        <f t="shared" si="72"/>
        <v>11355.474452554743</v>
      </c>
      <c r="V382" s="55">
        <f t="shared" si="73"/>
        <v>-505.83941605839391</v>
      </c>
      <c r="W382" s="55">
        <f t="shared" si="74"/>
        <v>11300.210648652575</v>
      </c>
      <c r="X382" s="55">
        <f t="shared" si="75"/>
        <v>-55.263803902167638</v>
      </c>
      <c r="Y382" s="55">
        <f t="shared" si="76"/>
        <v>9167.5</v>
      </c>
      <c r="Z382" s="55">
        <f t="shared" si="77"/>
        <v>9167.5</v>
      </c>
      <c r="AA382" s="55">
        <f t="shared" si="78"/>
        <v>0</v>
      </c>
      <c r="AB382" s="55">
        <f t="shared" si="79"/>
        <v>2132.7106486525754</v>
      </c>
      <c r="AC382" s="54">
        <f t="shared" si="80"/>
        <v>0.18873193739152797</v>
      </c>
      <c r="AD382" s="56">
        <f>INDEX(Assumptions!$B$14:$B$16,MATCH($R382,Assumptions!$A$14:$A$16,0))</f>
        <v>0.18</v>
      </c>
      <c r="AE382" s="56">
        <f>INDEX(Assumptions!$C$14:$C$16,MATCH($R382,Assumptions!$A$14:$A$16,0))</f>
        <v>0.12</v>
      </c>
      <c r="AF382" s="49">
        <f t="shared" si="81"/>
        <v>0</v>
      </c>
      <c r="AG382" s="49">
        <f t="shared" si="82"/>
        <v>0</v>
      </c>
      <c r="AH382" s="55">
        <f t="shared" si="83"/>
        <v>0</v>
      </c>
    </row>
    <row r="383" spans="1:34" x14ac:dyDescent="0.2">
      <c r="A383" s="48" t="s">
        <v>565</v>
      </c>
      <c r="B383" s="48">
        <v>3</v>
      </c>
      <c r="C383" s="48" t="s">
        <v>566</v>
      </c>
      <c r="D383" s="48" t="s">
        <v>527</v>
      </c>
      <c r="E383" s="48" t="s">
        <v>422</v>
      </c>
      <c r="F383" s="48" t="s">
        <v>280</v>
      </c>
      <c r="G383" s="48" t="s">
        <v>281</v>
      </c>
      <c r="H383" s="48" t="s">
        <v>68</v>
      </c>
      <c r="I383" s="48" t="s">
        <v>151</v>
      </c>
      <c r="J383" s="49">
        <v>18</v>
      </c>
      <c r="K383" s="50">
        <v>475</v>
      </c>
      <c r="L383" s="50">
        <v>456.4</v>
      </c>
      <c r="M383" s="48" t="s">
        <v>276</v>
      </c>
      <c r="N383" s="51">
        <v>1.37</v>
      </c>
      <c r="O383" s="51">
        <v>1.3767</v>
      </c>
      <c r="P383" s="52">
        <v>219.7</v>
      </c>
      <c r="Q383" s="52">
        <v>219.7</v>
      </c>
      <c r="R383" s="53" t="str">
        <f>INDEX(SKU_Master!$D$5:$D$34,MATCH($I383,SKU_Master!$A$5:$A$34,0))</f>
        <v>Accessory</v>
      </c>
      <c r="S383" s="54">
        <f t="shared" si="70"/>
        <v>3.9157894736842169E-2</v>
      </c>
      <c r="T383" s="55">
        <f t="shared" si="71"/>
        <v>6240.8759124087583</v>
      </c>
      <c r="U383" s="55">
        <f t="shared" si="72"/>
        <v>5996.4963503649624</v>
      </c>
      <c r="V383" s="55">
        <f t="shared" si="73"/>
        <v>-244.37956204379589</v>
      </c>
      <c r="W383" s="55">
        <f t="shared" si="74"/>
        <v>5967.3131401176715</v>
      </c>
      <c r="X383" s="55">
        <f t="shared" si="75"/>
        <v>-29.183210247290845</v>
      </c>
      <c r="Y383" s="55">
        <f t="shared" si="76"/>
        <v>3954.6</v>
      </c>
      <c r="Z383" s="55">
        <f t="shared" si="77"/>
        <v>3954.6</v>
      </c>
      <c r="AA383" s="55">
        <f t="shared" si="78"/>
        <v>0</v>
      </c>
      <c r="AB383" s="55">
        <f t="shared" si="79"/>
        <v>2012.7131401176716</v>
      </c>
      <c r="AC383" s="54">
        <f t="shared" si="80"/>
        <v>0.3372896801051708</v>
      </c>
      <c r="AD383" s="56">
        <f>INDEX(Assumptions!$B$14:$B$16,MATCH($R383,Assumptions!$A$14:$A$16,0))</f>
        <v>0.32</v>
      </c>
      <c r="AE383" s="56">
        <f>INDEX(Assumptions!$C$14:$C$16,MATCH($R383,Assumptions!$A$14:$A$16,0))</f>
        <v>0.22</v>
      </c>
      <c r="AF383" s="49">
        <f t="shared" si="81"/>
        <v>0</v>
      </c>
      <c r="AG383" s="49">
        <f t="shared" si="82"/>
        <v>0</v>
      </c>
      <c r="AH383" s="55">
        <f t="shared" si="83"/>
        <v>0</v>
      </c>
    </row>
    <row r="384" spans="1:34" x14ac:dyDescent="0.2">
      <c r="A384" s="48" t="s">
        <v>567</v>
      </c>
      <c r="B384" s="48">
        <v>1</v>
      </c>
      <c r="C384" s="48" t="s">
        <v>546</v>
      </c>
      <c r="D384" s="48" t="s">
        <v>527</v>
      </c>
      <c r="E384" s="48" t="s">
        <v>427</v>
      </c>
      <c r="F384" s="48" t="s">
        <v>297</v>
      </c>
      <c r="G384" s="48" t="s">
        <v>302</v>
      </c>
      <c r="H384" s="48" t="s">
        <v>66</v>
      </c>
      <c r="I384" s="48" t="s">
        <v>132</v>
      </c>
      <c r="J384" s="49">
        <v>34</v>
      </c>
      <c r="K384" s="50">
        <v>1005</v>
      </c>
      <c r="L384" s="50">
        <v>962.13</v>
      </c>
      <c r="M384" s="48" t="s">
        <v>276</v>
      </c>
      <c r="N384" s="51">
        <v>0.92</v>
      </c>
      <c r="O384" s="51">
        <v>0.91739999999999999</v>
      </c>
      <c r="P384" s="52">
        <v>911</v>
      </c>
      <c r="Q384" s="52">
        <v>911</v>
      </c>
      <c r="R384" s="53" t="str">
        <f>INDEX(SKU_Master!$D$5:$D$34,MATCH($I384,SKU_Master!$A$5:$A$34,0))</f>
        <v>Laptop</v>
      </c>
      <c r="S384" s="54">
        <f t="shared" si="70"/>
        <v>4.2656716417910467E-2</v>
      </c>
      <c r="T384" s="55">
        <f t="shared" si="71"/>
        <v>37141.304347826088</v>
      </c>
      <c r="U384" s="55">
        <f t="shared" si="72"/>
        <v>35556.97826086956</v>
      </c>
      <c r="V384" s="55">
        <f t="shared" si="73"/>
        <v>-1584.3260869565274</v>
      </c>
      <c r="W384" s="55">
        <f t="shared" si="74"/>
        <v>35657.75016350556</v>
      </c>
      <c r="X384" s="55">
        <f t="shared" si="75"/>
        <v>100.77190263599914</v>
      </c>
      <c r="Y384" s="55">
        <f t="shared" si="76"/>
        <v>30974</v>
      </c>
      <c r="Z384" s="55">
        <f t="shared" si="77"/>
        <v>30974</v>
      </c>
      <c r="AA384" s="55">
        <f t="shared" si="78"/>
        <v>0</v>
      </c>
      <c r="AB384" s="55">
        <f t="shared" si="79"/>
        <v>4683.7501635055596</v>
      </c>
      <c r="AC384" s="54">
        <f t="shared" si="80"/>
        <v>0.13135293567397338</v>
      </c>
      <c r="AD384" s="56">
        <f>INDEX(Assumptions!$B$14:$B$16,MATCH($R384,Assumptions!$A$14:$A$16,0))</f>
        <v>0.12</v>
      </c>
      <c r="AE384" s="56">
        <f>INDEX(Assumptions!$C$14:$C$16,MATCH($R384,Assumptions!$A$14:$A$16,0))</f>
        <v>0.08</v>
      </c>
      <c r="AF384" s="49">
        <f t="shared" si="81"/>
        <v>0</v>
      </c>
      <c r="AG384" s="49">
        <f t="shared" si="82"/>
        <v>0</v>
      </c>
      <c r="AH384" s="55">
        <f t="shared" si="83"/>
        <v>0</v>
      </c>
    </row>
    <row r="385" spans="1:34" x14ac:dyDescent="0.2">
      <c r="A385" s="48" t="s">
        <v>567</v>
      </c>
      <c r="B385" s="48">
        <v>2</v>
      </c>
      <c r="C385" s="48" t="s">
        <v>546</v>
      </c>
      <c r="D385" s="48" t="s">
        <v>527</v>
      </c>
      <c r="E385" s="48" t="s">
        <v>427</v>
      </c>
      <c r="F385" s="48" t="s">
        <v>297</v>
      </c>
      <c r="G385" s="48" t="s">
        <v>302</v>
      </c>
      <c r="H385" s="48" t="s">
        <v>66</v>
      </c>
      <c r="I385" s="48" t="s">
        <v>135</v>
      </c>
      <c r="J385" s="49">
        <v>22</v>
      </c>
      <c r="K385" s="50">
        <v>255</v>
      </c>
      <c r="L385" s="50">
        <v>237.44</v>
      </c>
      <c r="M385" s="48" t="s">
        <v>276</v>
      </c>
      <c r="N385" s="51">
        <v>0.92</v>
      </c>
      <c r="O385" s="51">
        <v>0.91739999999999999</v>
      </c>
      <c r="P385" s="52">
        <v>211.7</v>
      </c>
      <c r="Q385" s="52">
        <v>211.7</v>
      </c>
      <c r="R385" s="53" t="str">
        <f>INDEX(SKU_Master!$D$5:$D$34,MATCH($I385,SKU_Master!$A$5:$A$34,0))</f>
        <v>Monitor</v>
      </c>
      <c r="S385" s="54">
        <f t="shared" si="70"/>
        <v>6.8862745098039246E-2</v>
      </c>
      <c r="T385" s="55">
        <f t="shared" si="71"/>
        <v>6097.8260869565211</v>
      </c>
      <c r="U385" s="55">
        <f t="shared" si="72"/>
        <v>5677.913043478261</v>
      </c>
      <c r="V385" s="55">
        <f t="shared" si="73"/>
        <v>-419.91304347826008</v>
      </c>
      <c r="W385" s="55">
        <f t="shared" si="74"/>
        <v>5694.0047961630698</v>
      </c>
      <c r="X385" s="55">
        <f t="shared" si="75"/>
        <v>16.091752684808853</v>
      </c>
      <c r="Y385" s="55">
        <f t="shared" si="76"/>
        <v>4657.3999999999996</v>
      </c>
      <c r="Z385" s="55">
        <f t="shared" si="77"/>
        <v>4657.3999999999996</v>
      </c>
      <c r="AA385" s="55">
        <f t="shared" si="78"/>
        <v>0</v>
      </c>
      <c r="AB385" s="55">
        <f t="shared" si="79"/>
        <v>1036.6047961630702</v>
      </c>
      <c r="AC385" s="54">
        <f t="shared" si="80"/>
        <v>0.18205197102425888</v>
      </c>
      <c r="AD385" s="56">
        <f>INDEX(Assumptions!$B$14:$B$16,MATCH($R385,Assumptions!$A$14:$A$16,0))</f>
        <v>0.18</v>
      </c>
      <c r="AE385" s="56">
        <f>INDEX(Assumptions!$C$14:$C$16,MATCH($R385,Assumptions!$A$14:$A$16,0))</f>
        <v>0.12</v>
      </c>
      <c r="AF385" s="49">
        <f t="shared" si="81"/>
        <v>0</v>
      </c>
      <c r="AG385" s="49">
        <f t="shared" si="82"/>
        <v>0</v>
      </c>
      <c r="AH385" s="55">
        <f t="shared" si="83"/>
        <v>0</v>
      </c>
    </row>
    <row r="386" spans="1:34" x14ac:dyDescent="0.2">
      <c r="A386" s="48" t="s">
        <v>568</v>
      </c>
      <c r="B386" s="48">
        <v>1</v>
      </c>
      <c r="C386" s="48" t="s">
        <v>569</v>
      </c>
      <c r="D386" s="48" t="s">
        <v>527</v>
      </c>
      <c r="E386" s="48" t="s">
        <v>314</v>
      </c>
      <c r="F386" s="48" t="s">
        <v>274</v>
      </c>
      <c r="G386" s="48" t="s">
        <v>298</v>
      </c>
      <c r="H386" s="48" t="s">
        <v>68</v>
      </c>
      <c r="I386" s="48" t="s">
        <v>103</v>
      </c>
      <c r="J386" s="49">
        <v>8</v>
      </c>
      <c r="K386" s="50">
        <v>1605</v>
      </c>
      <c r="L386" s="50">
        <v>1600.92</v>
      </c>
      <c r="M386" s="48" t="s">
        <v>276</v>
      </c>
      <c r="N386" s="51">
        <v>1.37</v>
      </c>
      <c r="O386" s="51">
        <v>1.3767</v>
      </c>
      <c r="P386" s="52">
        <v>980.6</v>
      </c>
      <c r="Q386" s="52">
        <v>980.6</v>
      </c>
      <c r="R386" s="53" t="str">
        <f>INDEX(SKU_Master!$D$5:$D$34,MATCH($I386,SKU_Master!$A$5:$A$34,0))</f>
        <v>Laptop</v>
      </c>
      <c r="S386" s="54">
        <f t="shared" si="70"/>
        <v>2.542056074766319E-3</v>
      </c>
      <c r="T386" s="55">
        <f t="shared" si="71"/>
        <v>9372.2627737226267</v>
      </c>
      <c r="U386" s="55">
        <f t="shared" si="72"/>
        <v>9348.4379562043796</v>
      </c>
      <c r="V386" s="55">
        <f t="shared" si="73"/>
        <v>-23.824817518247073</v>
      </c>
      <c r="W386" s="55">
        <f t="shared" si="74"/>
        <v>9302.9418173894101</v>
      </c>
      <c r="X386" s="55">
        <f t="shared" si="75"/>
        <v>-45.496138814969527</v>
      </c>
      <c r="Y386" s="55">
        <f t="shared" si="76"/>
        <v>7844.8</v>
      </c>
      <c r="Z386" s="55">
        <f t="shared" si="77"/>
        <v>7844.8</v>
      </c>
      <c r="AA386" s="55">
        <f t="shared" si="78"/>
        <v>0</v>
      </c>
      <c r="AB386" s="55">
        <f t="shared" si="79"/>
        <v>1458.1418173894099</v>
      </c>
      <c r="AC386" s="54">
        <f t="shared" si="80"/>
        <v>0.15673986207930443</v>
      </c>
      <c r="AD386" s="56">
        <f>INDEX(Assumptions!$B$14:$B$16,MATCH($R386,Assumptions!$A$14:$A$16,0))</f>
        <v>0.12</v>
      </c>
      <c r="AE386" s="56">
        <f>INDEX(Assumptions!$C$14:$C$16,MATCH($R386,Assumptions!$A$14:$A$16,0))</f>
        <v>0.08</v>
      </c>
      <c r="AF386" s="49">
        <f t="shared" si="81"/>
        <v>0</v>
      </c>
      <c r="AG386" s="49">
        <f t="shared" si="82"/>
        <v>0</v>
      </c>
      <c r="AH386" s="55">
        <f t="shared" si="83"/>
        <v>0</v>
      </c>
    </row>
    <row r="387" spans="1:34" x14ac:dyDescent="0.2">
      <c r="A387" s="48" t="s">
        <v>568</v>
      </c>
      <c r="B387" s="48">
        <v>2</v>
      </c>
      <c r="C387" s="48" t="s">
        <v>569</v>
      </c>
      <c r="D387" s="48" t="s">
        <v>527</v>
      </c>
      <c r="E387" s="48" t="s">
        <v>314</v>
      </c>
      <c r="F387" s="48" t="s">
        <v>274</v>
      </c>
      <c r="G387" s="48" t="s">
        <v>298</v>
      </c>
      <c r="H387" s="48" t="s">
        <v>68</v>
      </c>
      <c r="I387" s="48" t="s">
        <v>135</v>
      </c>
      <c r="J387" s="49">
        <v>8</v>
      </c>
      <c r="K387" s="50">
        <v>360</v>
      </c>
      <c r="L387" s="50">
        <v>356.79</v>
      </c>
      <c r="M387" s="48" t="s">
        <v>276</v>
      </c>
      <c r="N387" s="51">
        <v>1.37</v>
      </c>
      <c r="O387" s="51">
        <v>1.3767</v>
      </c>
      <c r="P387" s="52">
        <v>201.7</v>
      </c>
      <c r="Q387" s="52">
        <v>201.7</v>
      </c>
      <c r="R387" s="53" t="str">
        <f>INDEX(SKU_Master!$D$5:$D$34,MATCH($I387,SKU_Master!$A$5:$A$34,0))</f>
        <v>Monitor</v>
      </c>
      <c r="S387" s="54">
        <f t="shared" si="70"/>
        <v>8.9166666666665728E-3</v>
      </c>
      <c r="T387" s="55">
        <f t="shared" si="71"/>
        <v>2102.1897810218975</v>
      </c>
      <c r="U387" s="55">
        <f t="shared" si="72"/>
        <v>2083.4452554744526</v>
      </c>
      <c r="V387" s="55">
        <f t="shared" si="73"/>
        <v>-18.744525547444937</v>
      </c>
      <c r="W387" s="55">
        <f t="shared" si="74"/>
        <v>2073.3057310960994</v>
      </c>
      <c r="X387" s="55">
        <f t="shared" si="75"/>
        <v>-10.139524378353144</v>
      </c>
      <c r="Y387" s="55">
        <f t="shared" si="76"/>
        <v>1613.6</v>
      </c>
      <c r="Z387" s="55">
        <f t="shared" si="77"/>
        <v>1613.6</v>
      </c>
      <c r="AA387" s="55">
        <f t="shared" si="78"/>
        <v>0</v>
      </c>
      <c r="AB387" s="55">
        <f t="shared" si="79"/>
        <v>459.7057310960995</v>
      </c>
      <c r="AC387" s="54">
        <f t="shared" si="80"/>
        <v>0.2217259732615825</v>
      </c>
      <c r="AD387" s="56">
        <f>INDEX(Assumptions!$B$14:$B$16,MATCH($R387,Assumptions!$A$14:$A$16,0))</f>
        <v>0.18</v>
      </c>
      <c r="AE387" s="56">
        <f>INDEX(Assumptions!$C$14:$C$16,MATCH($R387,Assumptions!$A$14:$A$16,0))</f>
        <v>0.12</v>
      </c>
      <c r="AF387" s="49">
        <f t="shared" si="81"/>
        <v>0</v>
      </c>
      <c r="AG387" s="49">
        <f t="shared" si="82"/>
        <v>0</v>
      </c>
      <c r="AH387" s="55">
        <f t="shared" si="83"/>
        <v>0</v>
      </c>
    </row>
    <row r="388" spans="1:34" x14ac:dyDescent="0.2">
      <c r="A388" s="48" t="s">
        <v>570</v>
      </c>
      <c r="B388" s="48">
        <v>1</v>
      </c>
      <c r="C388" s="48" t="s">
        <v>571</v>
      </c>
      <c r="D388" s="48" t="s">
        <v>527</v>
      </c>
      <c r="E388" s="48" t="s">
        <v>422</v>
      </c>
      <c r="F388" s="48" t="s">
        <v>280</v>
      </c>
      <c r="G388" s="48" t="s">
        <v>281</v>
      </c>
      <c r="H388" s="48" t="s">
        <v>68</v>
      </c>
      <c r="I388" s="48" t="s">
        <v>93</v>
      </c>
      <c r="J388" s="49">
        <v>10</v>
      </c>
      <c r="K388" s="50">
        <v>1960</v>
      </c>
      <c r="L388" s="50">
        <v>1918.7</v>
      </c>
      <c r="M388" s="48" t="s">
        <v>276</v>
      </c>
      <c r="N388" s="51">
        <v>1.37</v>
      </c>
      <c r="O388" s="51">
        <v>1.3767</v>
      </c>
      <c r="P388" s="52">
        <v>1198.2</v>
      </c>
      <c r="Q388" s="52">
        <v>1198.2</v>
      </c>
      <c r="R388" s="53" t="str">
        <f>INDEX(SKU_Master!$D$5:$D$34,MATCH($I388,SKU_Master!$A$5:$A$34,0))</f>
        <v>Laptop</v>
      </c>
      <c r="S388" s="54">
        <f t="shared" si="70"/>
        <v>2.1071428571428519E-2</v>
      </c>
      <c r="T388" s="55">
        <f t="shared" si="71"/>
        <v>14306.569343065692</v>
      </c>
      <c r="U388" s="55">
        <f t="shared" si="72"/>
        <v>14005.109489051094</v>
      </c>
      <c r="V388" s="55">
        <f t="shared" si="73"/>
        <v>-301.45985401459802</v>
      </c>
      <c r="W388" s="55">
        <f t="shared" si="74"/>
        <v>13936.950679160311</v>
      </c>
      <c r="X388" s="55">
        <f t="shared" si="75"/>
        <v>-68.158809890783232</v>
      </c>
      <c r="Y388" s="55">
        <f t="shared" si="76"/>
        <v>11982</v>
      </c>
      <c r="Z388" s="55">
        <f t="shared" si="77"/>
        <v>11982</v>
      </c>
      <c r="AA388" s="55">
        <f t="shared" si="78"/>
        <v>0</v>
      </c>
      <c r="AB388" s="55">
        <f t="shared" si="79"/>
        <v>1954.9506791603108</v>
      </c>
      <c r="AC388" s="54">
        <f t="shared" si="80"/>
        <v>0.14027104810548807</v>
      </c>
      <c r="AD388" s="56">
        <f>INDEX(Assumptions!$B$14:$B$16,MATCH($R388,Assumptions!$A$14:$A$16,0))</f>
        <v>0.12</v>
      </c>
      <c r="AE388" s="56">
        <f>INDEX(Assumptions!$C$14:$C$16,MATCH($R388,Assumptions!$A$14:$A$16,0))</f>
        <v>0.08</v>
      </c>
      <c r="AF388" s="49">
        <f t="shared" si="81"/>
        <v>0</v>
      </c>
      <c r="AG388" s="49">
        <f t="shared" si="82"/>
        <v>0</v>
      </c>
      <c r="AH388" s="55">
        <f t="shared" si="83"/>
        <v>0</v>
      </c>
    </row>
    <row r="389" spans="1:34" x14ac:dyDescent="0.2">
      <c r="A389" s="48" t="s">
        <v>570</v>
      </c>
      <c r="B389" s="48">
        <v>2</v>
      </c>
      <c r="C389" s="48" t="s">
        <v>571</v>
      </c>
      <c r="D389" s="48" t="s">
        <v>527</v>
      </c>
      <c r="E389" s="48" t="s">
        <v>422</v>
      </c>
      <c r="F389" s="48" t="s">
        <v>280</v>
      </c>
      <c r="G389" s="48" t="s">
        <v>281</v>
      </c>
      <c r="H389" s="48" t="s">
        <v>68</v>
      </c>
      <c r="I389" s="48" t="s">
        <v>151</v>
      </c>
      <c r="J389" s="49">
        <v>9</v>
      </c>
      <c r="K389" s="50">
        <v>475</v>
      </c>
      <c r="L389" s="50">
        <v>465.68</v>
      </c>
      <c r="M389" s="48" t="s">
        <v>276</v>
      </c>
      <c r="N389" s="51">
        <v>1.37</v>
      </c>
      <c r="O389" s="51">
        <v>1.3767</v>
      </c>
      <c r="P389" s="52">
        <v>219.7</v>
      </c>
      <c r="Q389" s="52">
        <v>219.7</v>
      </c>
      <c r="R389" s="53" t="str">
        <f>INDEX(SKU_Master!$D$5:$D$34,MATCH($I389,SKU_Master!$A$5:$A$34,0))</f>
        <v>Accessory</v>
      </c>
      <c r="S389" s="54">
        <f t="shared" ref="S389:S452" si="84">IF(K389=0,0,1-L389/K389)</f>
        <v>1.9621052631578983E-2</v>
      </c>
      <c r="T389" s="55">
        <f t="shared" ref="T389:T452" si="85">J389*K389/N389</f>
        <v>3120.4379562043791</v>
      </c>
      <c r="U389" s="55">
        <f t="shared" ref="U389:U452" si="86">J389*L389/N389</f>
        <v>3059.2116788321164</v>
      </c>
      <c r="V389" s="55">
        <f t="shared" ref="V389:V452" si="87">U389-T389</f>
        <v>-61.226277372262757</v>
      </c>
      <c r="W389" s="55">
        <f t="shared" ref="W389:W452" si="88">J389*L389/O389</f>
        <v>3044.3233820004357</v>
      </c>
      <c r="X389" s="55">
        <f t="shared" ref="X389:X452" si="89">W389-U389</f>
        <v>-14.888296831680691</v>
      </c>
      <c r="Y389" s="55">
        <f t="shared" ref="Y389:Y452" si="90">J389*P389</f>
        <v>1977.3</v>
      </c>
      <c r="Z389" s="55">
        <f t="shared" ref="Z389:Z452" si="91">J389*Q389</f>
        <v>1977.3</v>
      </c>
      <c r="AA389" s="55">
        <f t="shared" ref="AA389:AA452" si="92">Y389-Z389</f>
        <v>0</v>
      </c>
      <c r="AB389" s="55">
        <f t="shared" ref="AB389:AB452" si="93">W389-Z389</f>
        <v>1067.0233820004357</v>
      </c>
      <c r="AC389" s="54">
        <f t="shared" ref="AC389:AC452" si="94">IF(W389=0,0,AB389/W389)</f>
        <v>0.35049607026284141</v>
      </c>
      <c r="AD389" s="56">
        <f>INDEX(Assumptions!$B$14:$B$16,MATCH($R389,Assumptions!$A$14:$A$16,0))</f>
        <v>0.32</v>
      </c>
      <c r="AE389" s="56">
        <f>INDEX(Assumptions!$C$14:$C$16,MATCH($R389,Assumptions!$A$14:$A$16,0))</f>
        <v>0.22</v>
      </c>
      <c r="AF389" s="49">
        <f t="shared" ref="AF389:AF452" si="95">IF(AC389&lt;AE389,1,0)</f>
        <v>0</v>
      </c>
      <c r="AG389" s="49">
        <f t="shared" ref="AG389:AG452" si="96">IF(AND(AF389=1,M389="N"),1,0)</f>
        <v>0</v>
      </c>
      <c r="AH389" s="55">
        <f t="shared" ref="AH389:AH452" si="97">MAX(0,W389*AD389-AB389)</f>
        <v>0</v>
      </c>
    </row>
    <row r="390" spans="1:34" x14ac:dyDescent="0.2">
      <c r="A390" s="48" t="s">
        <v>572</v>
      </c>
      <c r="B390" s="48">
        <v>1</v>
      </c>
      <c r="C390" s="48" t="s">
        <v>557</v>
      </c>
      <c r="D390" s="48" t="s">
        <v>527</v>
      </c>
      <c r="E390" s="48" t="s">
        <v>339</v>
      </c>
      <c r="F390" s="48" t="s">
        <v>280</v>
      </c>
      <c r="G390" s="48" t="s">
        <v>302</v>
      </c>
      <c r="H390" s="48" t="s">
        <v>62</v>
      </c>
      <c r="I390" s="48" t="s">
        <v>118</v>
      </c>
      <c r="J390" s="49">
        <v>25</v>
      </c>
      <c r="K390" s="50">
        <v>1365</v>
      </c>
      <c r="L390" s="50">
        <v>1343.93</v>
      </c>
      <c r="M390" s="48" t="s">
        <v>276</v>
      </c>
      <c r="N390" s="51">
        <v>1</v>
      </c>
      <c r="O390" s="51">
        <v>1</v>
      </c>
      <c r="P390" s="52">
        <v>1162.5999999999999</v>
      </c>
      <c r="Q390" s="52">
        <v>1162.5999999999999</v>
      </c>
      <c r="R390" s="53" t="str">
        <f>INDEX(SKU_Master!$D$5:$D$34,MATCH($I390,SKU_Master!$A$5:$A$34,0))</f>
        <v>Laptop</v>
      </c>
      <c r="S390" s="54">
        <f t="shared" si="84"/>
        <v>1.543589743589735E-2</v>
      </c>
      <c r="T390" s="55">
        <f t="shared" si="85"/>
        <v>34125</v>
      </c>
      <c r="U390" s="55">
        <f t="shared" si="86"/>
        <v>33598.25</v>
      </c>
      <c r="V390" s="55">
        <f t="shared" si="87"/>
        <v>-526.75</v>
      </c>
      <c r="W390" s="55">
        <f t="shared" si="88"/>
        <v>33598.25</v>
      </c>
      <c r="X390" s="55">
        <f t="shared" si="89"/>
        <v>0</v>
      </c>
      <c r="Y390" s="55">
        <f t="shared" si="90"/>
        <v>29064.999999999996</v>
      </c>
      <c r="Z390" s="55">
        <f t="shared" si="91"/>
        <v>29064.999999999996</v>
      </c>
      <c r="AA390" s="55">
        <f t="shared" si="92"/>
        <v>0</v>
      </c>
      <c r="AB390" s="55">
        <f t="shared" si="93"/>
        <v>4533.2500000000036</v>
      </c>
      <c r="AC390" s="54">
        <f t="shared" si="94"/>
        <v>0.13492518211514004</v>
      </c>
      <c r="AD390" s="56">
        <f>INDEX(Assumptions!$B$14:$B$16,MATCH($R390,Assumptions!$A$14:$A$16,0))</f>
        <v>0.12</v>
      </c>
      <c r="AE390" s="56">
        <f>INDEX(Assumptions!$C$14:$C$16,MATCH($R390,Assumptions!$A$14:$A$16,0))</f>
        <v>0.08</v>
      </c>
      <c r="AF390" s="49">
        <f t="shared" si="95"/>
        <v>0</v>
      </c>
      <c r="AG390" s="49">
        <f t="shared" si="96"/>
        <v>0</v>
      </c>
      <c r="AH390" s="55">
        <f t="shared" si="97"/>
        <v>0</v>
      </c>
    </row>
    <row r="391" spans="1:34" x14ac:dyDescent="0.2">
      <c r="A391" s="48" t="s">
        <v>572</v>
      </c>
      <c r="B391" s="48">
        <v>2</v>
      </c>
      <c r="C391" s="48" t="s">
        <v>557</v>
      </c>
      <c r="D391" s="48" t="s">
        <v>527</v>
      </c>
      <c r="E391" s="48" t="s">
        <v>339</v>
      </c>
      <c r="F391" s="48" t="s">
        <v>280</v>
      </c>
      <c r="G391" s="48" t="s">
        <v>302</v>
      </c>
      <c r="H391" s="48" t="s">
        <v>62</v>
      </c>
      <c r="I391" s="48" t="s">
        <v>138</v>
      </c>
      <c r="J391" s="49">
        <v>18</v>
      </c>
      <c r="K391" s="50">
        <v>455</v>
      </c>
      <c r="L391" s="50">
        <v>449.31</v>
      </c>
      <c r="M391" s="48" t="s">
        <v>276</v>
      </c>
      <c r="N391" s="51">
        <v>1</v>
      </c>
      <c r="O391" s="51">
        <v>1</v>
      </c>
      <c r="P391" s="52">
        <v>358.2</v>
      </c>
      <c r="Q391" s="52">
        <v>358.2</v>
      </c>
      <c r="R391" s="53" t="str">
        <f>INDEX(SKU_Master!$D$5:$D$34,MATCH($I391,SKU_Master!$A$5:$A$34,0))</f>
        <v>Monitor</v>
      </c>
      <c r="S391" s="54">
        <f t="shared" si="84"/>
        <v>1.2505494505494541E-2</v>
      </c>
      <c r="T391" s="55">
        <f t="shared" si="85"/>
        <v>8190</v>
      </c>
      <c r="U391" s="55">
        <f t="shared" si="86"/>
        <v>8087.58</v>
      </c>
      <c r="V391" s="55">
        <f t="shared" si="87"/>
        <v>-102.42000000000007</v>
      </c>
      <c r="W391" s="55">
        <f t="shared" si="88"/>
        <v>8087.58</v>
      </c>
      <c r="X391" s="55">
        <f t="shared" si="89"/>
        <v>0</v>
      </c>
      <c r="Y391" s="55">
        <f t="shared" si="90"/>
        <v>6447.5999999999995</v>
      </c>
      <c r="Z391" s="55">
        <f t="shared" si="91"/>
        <v>6447.5999999999995</v>
      </c>
      <c r="AA391" s="55">
        <f t="shared" si="92"/>
        <v>0</v>
      </c>
      <c r="AB391" s="55">
        <f t="shared" si="93"/>
        <v>1639.9800000000005</v>
      </c>
      <c r="AC391" s="54">
        <f t="shared" si="94"/>
        <v>0.20277759230820597</v>
      </c>
      <c r="AD391" s="56">
        <f>INDEX(Assumptions!$B$14:$B$16,MATCH($R391,Assumptions!$A$14:$A$16,0))</f>
        <v>0.18</v>
      </c>
      <c r="AE391" s="56">
        <f>INDEX(Assumptions!$C$14:$C$16,MATCH($R391,Assumptions!$A$14:$A$16,0))</f>
        <v>0.12</v>
      </c>
      <c r="AF391" s="49">
        <f t="shared" si="95"/>
        <v>0</v>
      </c>
      <c r="AG391" s="49">
        <f t="shared" si="96"/>
        <v>0</v>
      </c>
      <c r="AH391" s="55">
        <f t="shared" si="97"/>
        <v>0</v>
      </c>
    </row>
    <row r="392" spans="1:34" x14ac:dyDescent="0.2">
      <c r="A392" s="48" t="s">
        <v>572</v>
      </c>
      <c r="B392" s="48">
        <v>3</v>
      </c>
      <c r="C392" s="48" t="s">
        <v>557</v>
      </c>
      <c r="D392" s="48" t="s">
        <v>527</v>
      </c>
      <c r="E392" s="48" t="s">
        <v>339</v>
      </c>
      <c r="F392" s="48" t="s">
        <v>280</v>
      </c>
      <c r="G392" s="48" t="s">
        <v>302</v>
      </c>
      <c r="H392" s="48" t="s">
        <v>62</v>
      </c>
      <c r="I392" s="48" t="s">
        <v>173</v>
      </c>
      <c r="J392" s="49">
        <v>10</v>
      </c>
      <c r="K392" s="50">
        <v>55</v>
      </c>
      <c r="L392" s="50">
        <v>54.11</v>
      </c>
      <c r="M392" s="48" t="s">
        <v>276</v>
      </c>
      <c r="N392" s="51">
        <v>1</v>
      </c>
      <c r="O392" s="51">
        <v>1</v>
      </c>
      <c r="P392" s="52">
        <v>34</v>
      </c>
      <c r="Q392" s="52">
        <v>34</v>
      </c>
      <c r="R392" s="53" t="str">
        <f>INDEX(SKU_Master!$D$5:$D$34,MATCH($I392,SKU_Master!$A$5:$A$34,0))</f>
        <v>Accessory</v>
      </c>
      <c r="S392" s="54">
        <f t="shared" si="84"/>
        <v>1.6181818181818186E-2</v>
      </c>
      <c r="T392" s="55">
        <f t="shared" si="85"/>
        <v>550</v>
      </c>
      <c r="U392" s="55">
        <f t="shared" si="86"/>
        <v>541.1</v>
      </c>
      <c r="V392" s="55">
        <f t="shared" si="87"/>
        <v>-8.8999999999999773</v>
      </c>
      <c r="W392" s="55">
        <f t="shared" si="88"/>
        <v>541.1</v>
      </c>
      <c r="X392" s="55">
        <f t="shared" si="89"/>
        <v>0</v>
      </c>
      <c r="Y392" s="55">
        <f t="shared" si="90"/>
        <v>340</v>
      </c>
      <c r="Z392" s="55">
        <f t="shared" si="91"/>
        <v>340</v>
      </c>
      <c r="AA392" s="55">
        <f t="shared" si="92"/>
        <v>0</v>
      </c>
      <c r="AB392" s="55">
        <f t="shared" si="93"/>
        <v>201.10000000000002</v>
      </c>
      <c r="AC392" s="54">
        <f t="shared" si="94"/>
        <v>0.37165034189613755</v>
      </c>
      <c r="AD392" s="56">
        <f>INDEX(Assumptions!$B$14:$B$16,MATCH($R392,Assumptions!$A$14:$A$16,0))</f>
        <v>0.32</v>
      </c>
      <c r="AE392" s="56">
        <f>INDEX(Assumptions!$C$14:$C$16,MATCH($R392,Assumptions!$A$14:$A$16,0))</f>
        <v>0.22</v>
      </c>
      <c r="AF392" s="49">
        <f t="shared" si="95"/>
        <v>0</v>
      </c>
      <c r="AG392" s="49">
        <f t="shared" si="96"/>
        <v>0</v>
      </c>
      <c r="AH392" s="55">
        <f t="shared" si="97"/>
        <v>0</v>
      </c>
    </row>
    <row r="393" spans="1:34" x14ac:dyDescent="0.2">
      <c r="A393" s="48" t="s">
        <v>573</v>
      </c>
      <c r="B393" s="48">
        <v>1</v>
      </c>
      <c r="C393" s="48" t="s">
        <v>574</v>
      </c>
      <c r="D393" s="48" t="s">
        <v>527</v>
      </c>
      <c r="E393" s="48" t="s">
        <v>349</v>
      </c>
      <c r="F393" s="48" t="s">
        <v>274</v>
      </c>
      <c r="G393" s="48" t="s">
        <v>275</v>
      </c>
      <c r="H393" s="48" t="s">
        <v>66</v>
      </c>
      <c r="I393" s="48" t="s">
        <v>110</v>
      </c>
      <c r="J393" s="49">
        <v>6</v>
      </c>
      <c r="K393" s="50">
        <v>1115</v>
      </c>
      <c r="L393" s="50">
        <v>1098.8399999999999</v>
      </c>
      <c r="M393" s="48" t="s">
        <v>276</v>
      </c>
      <c r="N393" s="51">
        <v>0.92</v>
      </c>
      <c r="O393" s="51">
        <v>0.91739999999999999</v>
      </c>
      <c r="P393" s="52">
        <v>1012.65</v>
      </c>
      <c r="Q393" s="52">
        <v>1012.65</v>
      </c>
      <c r="R393" s="53" t="str">
        <f>INDEX(SKU_Master!$D$5:$D$34,MATCH($I393,SKU_Master!$A$5:$A$34,0))</f>
        <v>Laptop</v>
      </c>
      <c r="S393" s="54">
        <f t="shared" si="84"/>
        <v>1.4493273542600993E-2</v>
      </c>
      <c r="T393" s="55">
        <f t="shared" si="85"/>
        <v>7271.7391304347821</v>
      </c>
      <c r="U393" s="55">
        <f t="shared" si="86"/>
        <v>7166.3478260869551</v>
      </c>
      <c r="V393" s="55">
        <f t="shared" si="87"/>
        <v>-105.39130434782692</v>
      </c>
      <c r="W393" s="55">
        <f t="shared" si="88"/>
        <v>7186.6579463701755</v>
      </c>
      <c r="X393" s="55">
        <f t="shared" si="89"/>
        <v>20.310120283220385</v>
      </c>
      <c r="Y393" s="55">
        <f t="shared" si="90"/>
        <v>6075.9</v>
      </c>
      <c r="Z393" s="55">
        <f t="shared" si="91"/>
        <v>6075.9</v>
      </c>
      <c r="AA393" s="55">
        <f t="shared" si="92"/>
        <v>0</v>
      </c>
      <c r="AB393" s="55">
        <f t="shared" si="93"/>
        <v>1110.7579463701759</v>
      </c>
      <c r="AC393" s="54">
        <f t="shared" si="94"/>
        <v>0.15455834334388985</v>
      </c>
      <c r="AD393" s="56">
        <f>INDEX(Assumptions!$B$14:$B$16,MATCH($R393,Assumptions!$A$14:$A$16,0))</f>
        <v>0.12</v>
      </c>
      <c r="AE393" s="56">
        <f>INDEX(Assumptions!$C$14:$C$16,MATCH($R393,Assumptions!$A$14:$A$16,0))</f>
        <v>0.08</v>
      </c>
      <c r="AF393" s="49">
        <f t="shared" si="95"/>
        <v>0</v>
      </c>
      <c r="AG393" s="49">
        <f t="shared" si="96"/>
        <v>0</v>
      </c>
      <c r="AH393" s="55">
        <f t="shared" si="97"/>
        <v>0</v>
      </c>
    </row>
    <row r="394" spans="1:34" x14ac:dyDescent="0.2">
      <c r="A394" s="48" t="s">
        <v>573</v>
      </c>
      <c r="B394" s="48">
        <v>2</v>
      </c>
      <c r="C394" s="48" t="s">
        <v>574</v>
      </c>
      <c r="D394" s="48" t="s">
        <v>527</v>
      </c>
      <c r="E394" s="48" t="s">
        <v>349</v>
      </c>
      <c r="F394" s="48" t="s">
        <v>274</v>
      </c>
      <c r="G394" s="48" t="s">
        <v>275</v>
      </c>
      <c r="H394" s="48" t="s">
        <v>66</v>
      </c>
      <c r="I394" s="48" t="s">
        <v>141</v>
      </c>
      <c r="J394" s="49">
        <v>6</v>
      </c>
      <c r="K394" s="50">
        <v>450</v>
      </c>
      <c r="L394" s="50">
        <v>445.55</v>
      </c>
      <c r="M394" s="48" t="s">
        <v>276</v>
      </c>
      <c r="N394" s="51">
        <v>0.92</v>
      </c>
      <c r="O394" s="51">
        <v>0.91739999999999999</v>
      </c>
      <c r="P394" s="52">
        <v>376.7</v>
      </c>
      <c r="Q394" s="52">
        <v>376.7</v>
      </c>
      <c r="R394" s="53" t="str">
        <f>INDEX(SKU_Master!$D$5:$D$34,MATCH($I394,SKU_Master!$A$5:$A$34,0))</f>
        <v>Monitor</v>
      </c>
      <c r="S394" s="54">
        <f t="shared" si="84"/>
        <v>9.888888888888836E-3</v>
      </c>
      <c r="T394" s="55">
        <f t="shared" si="85"/>
        <v>2934.782608695652</v>
      </c>
      <c r="U394" s="55">
        <f t="shared" si="86"/>
        <v>2905.7608695652175</v>
      </c>
      <c r="V394" s="55">
        <f t="shared" si="87"/>
        <v>-29.021739130434526</v>
      </c>
      <c r="W394" s="55">
        <f t="shared" si="88"/>
        <v>2913.9960758665798</v>
      </c>
      <c r="X394" s="55">
        <f t="shared" si="89"/>
        <v>8.2352063013622683</v>
      </c>
      <c r="Y394" s="55">
        <f t="shared" si="90"/>
        <v>2260.1999999999998</v>
      </c>
      <c r="Z394" s="55">
        <f t="shared" si="91"/>
        <v>2260.1999999999998</v>
      </c>
      <c r="AA394" s="55">
        <f t="shared" si="92"/>
        <v>0</v>
      </c>
      <c r="AB394" s="55">
        <f t="shared" si="93"/>
        <v>653.79607586657994</v>
      </c>
      <c r="AC394" s="54">
        <f t="shared" si="94"/>
        <v>0.22436408932779725</v>
      </c>
      <c r="AD394" s="56">
        <f>INDEX(Assumptions!$B$14:$B$16,MATCH($R394,Assumptions!$A$14:$A$16,0))</f>
        <v>0.18</v>
      </c>
      <c r="AE394" s="56">
        <f>INDEX(Assumptions!$C$14:$C$16,MATCH($R394,Assumptions!$A$14:$A$16,0))</f>
        <v>0.12</v>
      </c>
      <c r="AF394" s="49">
        <f t="shared" si="95"/>
        <v>0</v>
      </c>
      <c r="AG394" s="49">
        <f t="shared" si="96"/>
        <v>0</v>
      </c>
      <c r="AH394" s="55">
        <f t="shared" si="97"/>
        <v>0</v>
      </c>
    </row>
    <row r="395" spans="1:34" x14ac:dyDescent="0.2">
      <c r="A395" s="48" t="s">
        <v>573</v>
      </c>
      <c r="B395" s="48">
        <v>3</v>
      </c>
      <c r="C395" s="48" t="s">
        <v>574</v>
      </c>
      <c r="D395" s="48" t="s">
        <v>527</v>
      </c>
      <c r="E395" s="48" t="s">
        <v>349</v>
      </c>
      <c r="F395" s="48" t="s">
        <v>274</v>
      </c>
      <c r="G395" s="48" t="s">
        <v>275</v>
      </c>
      <c r="H395" s="48" t="s">
        <v>66</v>
      </c>
      <c r="I395" s="48" t="s">
        <v>157</v>
      </c>
      <c r="J395" s="49">
        <v>4</v>
      </c>
      <c r="K395" s="50">
        <v>135</v>
      </c>
      <c r="L395" s="50">
        <v>134.03</v>
      </c>
      <c r="M395" s="48" t="s">
        <v>276</v>
      </c>
      <c r="N395" s="51">
        <v>0.92</v>
      </c>
      <c r="O395" s="51">
        <v>0.91739999999999999</v>
      </c>
      <c r="P395" s="52">
        <v>91</v>
      </c>
      <c r="Q395" s="52">
        <v>91</v>
      </c>
      <c r="R395" s="53" t="str">
        <f>INDEX(SKU_Master!$D$5:$D$34,MATCH($I395,SKU_Master!$A$5:$A$34,0))</f>
        <v>Accessory</v>
      </c>
      <c r="S395" s="54">
        <f t="shared" si="84"/>
        <v>7.1851851851851833E-3</v>
      </c>
      <c r="T395" s="55">
        <f t="shared" si="85"/>
        <v>586.95652173913038</v>
      </c>
      <c r="U395" s="55">
        <f t="shared" si="86"/>
        <v>582.73913043478262</v>
      </c>
      <c r="V395" s="55">
        <f t="shared" si="87"/>
        <v>-4.2173913043477569</v>
      </c>
      <c r="W395" s="55">
        <f t="shared" si="88"/>
        <v>584.39066928275565</v>
      </c>
      <c r="X395" s="55">
        <f t="shared" si="89"/>
        <v>1.6515388479730291</v>
      </c>
      <c r="Y395" s="55">
        <f t="shared" si="90"/>
        <v>364</v>
      </c>
      <c r="Z395" s="55">
        <f t="shared" si="91"/>
        <v>364</v>
      </c>
      <c r="AA395" s="55">
        <f t="shared" si="92"/>
        <v>0</v>
      </c>
      <c r="AB395" s="55">
        <f t="shared" si="93"/>
        <v>220.39066928275565</v>
      </c>
      <c r="AC395" s="54">
        <f t="shared" si="94"/>
        <v>0.37712900096993213</v>
      </c>
      <c r="AD395" s="56">
        <f>INDEX(Assumptions!$B$14:$B$16,MATCH($R395,Assumptions!$A$14:$A$16,0))</f>
        <v>0.32</v>
      </c>
      <c r="AE395" s="56">
        <f>INDEX(Assumptions!$C$14:$C$16,MATCH($R395,Assumptions!$A$14:$A$16,0))</f>
        <v>0.22</v>
      </c>
      <c r="AF395" s="49">
        <f t="shared" si="95"/>
        <v>0</v>
      </c>
      <c r="AG395" s="49">
        <f t="shared" si="96"/>
        <v>0</v>
      </c>
      <c r="AH395" s="55">
        <f t="shared" si="97"/>
        <v>0</v>
      </c>
    </row>
    <row r="396" spans="1:34" x14ac:dyDescent="0.2">
      <c r="A396" s="48" t="s">
        <v>575</v>
      </c>
      <c r="B396" s="48">
        <v>1</v>
      </c>
      <c r="C396" s="48" t="s">
        <v>546</v>
      </c>
      <c r="D396" s="48" t="s">
        <v>527</v>
      </c>
      <c r="E396" s="48" t="s">
        <v>296</v>
      </c>
      <c r="F396" s="48" t="s">
        <v>297</v>
      </c>
      <c r="G396" s="48" t="s">
        <v>298</v>
      </c>
      <c r="H396" s="48" t="s">
        <v>66</v>
      </c>
      <c r="I396" s="48" t="s">
        <v>93</v>
      </c>
      <c r="J396" s="49">
        <v>46</v>
      </c>
      <c r="K396" s="50">
        <v>1325</v>
      </c>
      <c r="L396" s="50">
        <v>1283.95</v>
      </c>
      <c r="M396" s="48" t="s">
        <v>276</v>
      </c>
      <c r="N396" s="51">
        <v>0.92</v>
      </c>
      <c r="O396" s="51">
        <v>0.91739999999999999</v>
      </c>
      <c r="P396" s="52">
        <v>1206.2</v>
      </c>
      <c r="Q396" s="52">
        <v>1206.2</v>
      </c>
      <c r="R396" s="53" t="str">
        <f>INDEX(SKU_Master!$D$5:$D$34,MATCH($I396,SKU_Master!$A$5:$A$34,0))</f>
        <v>Laptop</v>
      </c>
      <c r="S396" s="54">
        <f t="shared" si="84"/>
        <v>3.0981132075471707E-2</v>
      </c>
      <c r="T396" s="55">
        <f t="shared" si="85"/>
        <v>66250</v>
      </c>
      <c r="U396" s="55">
        <f t="shared" si="86"/>
        <v>64197.5</v>
      </c>
      <c r="V396" s="55">
        <f t="shared" si="87"/>
        <v>-2052.5</v>
      </c>
      <c r="W396" s="55">
        <f t="shared" si="88"/>
        <v>64379.441901024642</v>
      </c>
      <c r="X396" s="55">
        <f t="shared" si="89"/>
        <v>181.94190102464199</v>
      </c>
      <c r="Y396" s="55">
        <f t="shared" si="90"/>
        <v>55485.200000000004</v>
      </c>
      <c r="Z396" s="55">
        <f t="shared" si="91"/>
        <v>55485.200000000004</v>
      </c>
      <c r="AA396" s="55">
        <f t="shared" si="92"/>
        <v>0</v>
      </c>
      <c r="AB396" s="55">
        <f t="shared" si="93"/>
        <v>8894.2419010246376</v>
      </c>
      <c r="AC396" s="54">
        <f t="shared" si="94"/>
        <v>0.13815344834300403</v>
      </c>
      <c r="AD396" s="56">
        <f>INDEX(Assumptions!$B$14:$B$16,MATCH($R396,Assumptions!$A$14:$A$16,0))</f>
        <v>0.12</v>
      </c>
      <c r="AE396" s="56">
        <f>INDEX(Assumptions!$C$14:$C$16,MATCH($R396,Assumptions!$A$14:$A$16,0))</f>
        <v>0.08</v>
      </c>
      <c r="AF396" s="49">
        <f t="shared" si="95"/>
        <v>0</v>
      </c>
      <c r="AG396" s="49">
        <f t="shared" si="96"/>
        <v>0</v>
      </c>
      <c r="AH396" s="55">
        <f t="shared" si="97"/>
        <v>0</v>
      </c>
    </row>
    <row r="397" spans="1:34" x14ac:dyDescent="0.2">
      <c r="A397" s="48" t="s">
        <v>575</v>
      </c>
      <c r="B397" s="48">
        <v>2</v>
      </c>
      <c r="C397" s="48" t="s">
        <v>546</v>
      </c>
      <c r="D397" s="48" t="s">
        <v>527</v>
      </c>
      <c r="E397" s="48" t="s">
        <v>296</v>
      </c>
      <c r="F397" s="48" t="s">
        <v>297</v>
      </c>
      <c r="G397" s="48" t="s">
        <v>298</v>
      </c>
      <c r="H397" s="48" t="s">
        <v>66</v>
      </c>
      <c r="I397" s="48" t="s">
        <v>141</v>
      </c>
      <c r="J397" s="49">
        <v>40</v>
      </c>
      <c r="K397" s="50">
        <v>450</v>
      </c>
      <c r="L397" s="50">
        <v>432.26</v>
      </c>
      <c r="M397" s="48" t="s">
        <v>276</v>
      </c>
      <c r="N397" s="51">
        <v>0.92</v>
      </c>
      <c r="O397" s="51">
        <v>0.91739999999999999</v>
      </c>
      <c r="P397" s="52">
        <v>376.7</v>
      </c>
      <c r="Q397" s="52">
        <v>376.7</v>
      </c>
      <c r="R397" s="53" t="str">
        <f>INDEX(SKU_Master!$D$5:$D$34,MATCH($I397,SKU_Master!$A$5:$A$34,0))</f>
        <v>Monitor</v>
      </c>
      <c r="S397" s="54">
        <f t="shared" si="84"/>
        <v>3.9422222222222247E-2</v>
      </c>
      <c r="T397" s="55">
        <f t="shared" si="85"/>
        <v>19565.217391304348</v>
      </c>
      <c r="U397" s="55">
        <f t="shared" si="86"/>
        <v>18793.91304347826</v>
      </c>
      <c r="V397" s="55">
        <f t="shared" si="87"/>
        <v>-771.30434782608791</v>
      </c>
      <c r="W397" s="55">
        <f t="shared" si="88"/>
        <v>18847.176804011338</v>
      </c>
      <c r="X397" s="55">
        <f t="shared" si="89"/>
        <v>53.263760533078312</v>
      </c>
      <c r="Y397" s="55">
        <f t="shared" si="90"/>
        <v>15068</v>
      </c>
      <c r="Z397" s="55">
        <f t="shared" si="91"/>
        <v>15068</v>
      </c>
      <c r="AA397" s="55">
        <f t="shared" si="92"/>
        <v>0</v>
      </c>
      <c r="AB397" s="55">
        <f t="shared" si="93"/>
        <v>3779.1768040113384</v>
      </c>
      <c r="AC397" s="54">
        <f t="shared" si="94"/>
        <v>0.20051686484985898</v>
      </c>
      <c r="AD397" s="56">
        <f>INDEX(Assumptions!$B$14:$B$16,MATCH($R397,Assumptions!$A$14:$A$16,0))</f>
        <v>0.18</v>
      </c>
      <c r="AE397" s="56">
        <f>INDEX(Assumptions!$C$14:$C$16,MATCH($R397,Assumptions!$A$14:$A$16,0))</f>
        <v>0.12</v>
      </c>
      <c r="AF397" s="49">
        <f t="shared" si="95"/>
        <v>0</v>
      </c>
      <c r="AG397" s="49">
        <f t="shared" si="96"/>
        <v>0</v>
      </c>
      <c r="AH397" s="55">
        <f t="shared" si="97"/>
        <v>0</v>
      </c>
    </row>
    <row r="398" spans="1:34" x14ac:dyDescent="0.2">
      <c r="A398" s="48" t="s">
        <v>575</v>
      </c>
      <c r="B398" s="48">
        <v>3</v>
      </c>
      <c r="C398" s="48" t="s">
        <v>546</v>
      </c>
      <c r="D398" s="48" t="s">
        <v>527</v>
      </c>
      <c r="E398" s="48" t="s">
        <v>296</v>
      </c>
      <c r="F398" s="48" t="s">
        <v>297</v>
      </c>
      <c r="G398" s="48" t="s">
        <v>298</v>
      </c>
      <c r="H398" s="48" t="s">
        <v>66</v>
      </c>
      <c r="I398" s="48" t="s">
        <v>170</v>
      </c>
      <c r="J398" s="49">
        <v>44</v>
      </c>
      <c r="K398" s="50">
        <v>190</v>
      </c>
      <c r="L398" s="50">
        <v>185.71</v>
      </c>
      <c r="M398" s="48" t="s">
        <v>276</v>
      </c>
      <c r="N398" s="51">
        <v>0.92</v>
      </c>
      <c r="O398" s="51">
        <v>0.91739999999999999</v>
      </c>
      <c r="P398" s="52">
        <v>131</v>
      </c>
      <c r="Q398" s="52">
        <v>131</v>
      </c>
      <c r="R398" s="53" t="str">
        <f>INDEX(SKU_Master!$D$5:$D$34,MATCH($I398,SKU_Master!$A$5:$A$34,0))</f>
        <v>Accessory</v>
      </c>
      <c r="S398" s="54">
        <f t="shared" si="84"/>
        <v>2.2578947368421032E-2</v>
      </c>
      <c r="T398" s="55">
        <f t="shared" si="85"/>
        <v>9086.95652173913</v>
      </c>
      <c r="U398" s="55">
        <f t="shared" si="86"/>
        <v>8881.782608695652</v>
      </c>
      <c r="V398" s="55">
        <f t="shared" si="87"/>
        <v>-205.17391304347802</v>
      </c>
      <c r="W398" s="55">
        <f t="shared" si="88"/>
        <v>8906.9544364508401</v>
      </c>
      <c r="X398" s="55">
        <f t="shared" si="89"/>
        <v>25.171827755188133</v>
      </c>
      <c r="Y398" s="55">
        <f t="shared" si="90"/>
        <v>5764</v>
      </c>
      <c r="Z398" s="55">
        <f t="shared" si="91"/>
        <v>5764</v>
      </c>
      <c r="AA398" s="55">
        <f t="shared" si="92"/>
        <v>0</v>
      </c>
      <c r="AB398" s="55">
        <f t="shared" si="93"/>
        <v>3142.9544364508401</v>
      </c>
      <c r="AC398" s="54">
        <f t="shared" si="94"/>
        <v>0.35286521996661468</v>
      </c>
      <c r="AD398" s="56">
        <f>INDEX(Assumptions!$B$14:$B$16,MATCH($R398,Assumptions!$A$14:$A$16,0))</f>
        <v>0.32</v>
      </c>
      <c r="AE398" s="56">
        <f>INDEX(Assumptions!$C$14:$C$16,MATCH($R398,Assumptions!$A$14:$A$16,0))</f>
        <v>0.22</v>
      </c>
      <c r="AF398" s="49">
        <f t="shared" si="95"/>
        <v>0</v>
      </c>
      <c r="AG398" s="49">
        <f t="shared" si="96"/>
        <v>0</v>
      </c>
      <c r="AH398" s="55">
        <f t="shared" si="97"/>
        <v>0</v>
      </c>
    </row>
    <row r="399" spans="1:34" x14ac:dyDescent="0.2">
      <c r="A399" s="48" t="s">
        <v>576</v>
      </c>
      <c r="B399" s="48">
        <v>1</v>
      </c>
      <c r="C399" s="48" t="s">
        <v>577</v>
      </c>
      <c r="D399" s="48" t="s">
        <v>527</v>
      </c>
      <c r="E399" s="48" t="s">
        <v>311</v>
      </c>
      <c r="F399" s="48" t="s">
        <v>297</v>
      </c>
      <c r="G399" s="48" t="s">
        <v>302</v>
      </c>
      <c r="H399" s="48" t="s">
        <v>62</v>
      </c>
      <c r="I399" s="48" t="s">
        <v>93</v>
      </c>
      <c r="J399" s="49">
        <v>45</v>
      </c>
      <c r="K399" s="50">
        <v>1390</v>
      </c>
      <c r="L399" s="50">
        <v>1309.3699999999999</v>
      </c>
      <c r="M399" s="48" t="s">
        <v>276</v>
      </c>
      <c r="N399" s="51">
        <v>1</v>
      </c>
      <c r="O399" s="51">
        <v>1</v>
      </c>
      <c r="P399" s="52">
        <v>1186.2</v>
      </c>
      <c r="Q399" s="52">
        <v>1186.2</v>
      </c>
      <c r="R399" s="53" t="str">
        <f>INDEX(SKU_Master!$D$5:$D$34,MATCH($I399,SKU_Master!$A$5:$A$34,0))</f>
        <v>Laptop</v>
      </c>
      <c r="S399" s="54">
        <f t="shared" si="84"/>
        <v>5.8007194244604432E-2</v>
      </c>
      <c r="T399" s="55">
        <f t="shared" si="85"/>
        <v>62550</v>
      </c>
      <c r="U399" s="55">
        <f t="shared" si="86"/>
        <v>58921.649999999994</v>
      </c>
      <c r="V399" s="55">
        <f t="shared" si="87"/>
        <v>-3628.3500000000058</v>
      </c>
      <c r="W399" s="55">
        <f t="shared" si="88"/>
        <v>58921.649999999994</v>
      </c>
      <c r="X399" s="55">
        <f t="shared" si="89"/>
        <v>0</v>
      </c>
      <c r="Y399" s="55">
        <f t="shared" si="90"/>
        <v>53379</v>
      </c>
      <c r="Z399" s="55">
        <f t="shared" si="91"/>
        <v>53379</v>
      </c>
      <c r="AA399" s="55">
        <f t="shared" si="92"/>
        <v>0</v>
      </c>
      <c r="AB399" s="55">
        <f t="shared" si="93"/>
        <v>5542.6499999999942</v>
      </c>
      <c r="AC399" s="54">
        <f t="shared" si="94"/>
        <v>9.4068139639673948E-2</v>
      </c>
      <c r="AD399" s="56">
        <f>INDEX(Assumptions!$B$14:$B$16,MATCH($R399,Assumptions!$A$14:$A$16,0))</f>
        <v>0.12</v>
      </c>
      <c r="AE399" s="56">
        <f>INDEX(Assumptions!$C$14:$C$16,MATCH($R399,Assumptions!$A$14:$A$16,0))</f>
        <v>0.08</v>
      </c>
      <c r="AF399" s="49">
        <f t="shared" si="95"/>
        <v>0</v>
      </c>
      <c r="AG399" s="49">
        <f t="shared" si="96"/>
        <v>0</v>
      </c>
      <c r="AH399" s="55">
        <f t="shared" si="97"/>
        <v>1527.9480000000049</v>
      </c>
    </row>
    <row r="400" spans="1:34" x14ac:dyDescent="0.2">
      <c r="A400" s="48" t="s">
        <v>576</v>
      </c>
      <c r="B400" s="48">
        <v>2</v>
      </c>
      <c r="C400" s="48" t="s">
        <v>577</v>
      </c>
      <c r="D400" s="48" t="s">
        <v>527</v>
      </c>
      <c r="E400" s="48" t="s">
        <v>311</v>
      </c>
      <c r="F400" s="48" t="s">
        <v>297</v>
      </c>
      <c r="G400" s="48" t="s">
        <v>302</v>
      </c>
      <c r="H400" s="48" t="s">
        <v>62</v>
      </c>
      <c r="I400" s="48" t="s">
        <v>151</v>
      </c>
      <c r="J400" s="49">
        <v>47</v>
      </c>
      <c r="K400" s="50">
        <v>335</v>
      </c>
      <c r="L400" s="50">
        <v>304.51</v>
      </c>
      <c r="M400" s="48" t="s">
        <v>276</v>
      </c>
      <c r="N400" s="51">
        <v>1</v>
      </c>
      <c r="O400" s="51">
        <v>1</v>
      </c>
      <c r="P400" s="52">
        <v>216.7</v>
      </c>
      <c r="Q400" s="52">
        <v>216.7</v>
      </c>
      <c r="R400" s="53" t="str">
        <f>INDEX(SKU_Master!$D$5:$D$34,MATCH($I400,SKU_Master!$A$5:$A$34,0))</f>
        <v>Accessory</v>
      </c>
      <c r="S400" s="54">
        <f t="shared" si="84"/>
        <v>9.1014925373134381E-2</v>
      </c>
      <c r="T400" s="55">
        <f t="shared" si="85"/>
        <v>15745</v>
      </c>
      <c r="U400" s="55">
        <f t="shared" si="86"/>
        <v>14311.97</v>
      </c>
      <c r="V400" s="55">
        <f t="shared" si="87"/>
        <v>-1433.0300000000007</v>
      </c>
      <c r="W400" s="55">
        <f t="shared" si="88"/>
        <v>14311.97</v>
      </c>
      <c r="X400" s="55">
        <f t="shared" si="89"/>
        <v>0</v>
      </c>
      <c r="Y400" s="55">
        <f t="shared" si="90"/>
        <v>10184.9</v>
      </c>
      <c r="Z400" s="55">
        <f t="shared" si="91"/>
        <v>10184.9</v>
      </c>
      <c r="AA400" s="55">
        <f t="shared" si="92"/>
        <v>0</v>
      </c>
      <c r="AB400" s="55">
        <f t="shared" si="93"/>
        <v>4127.07</v>
      </c>
      <c r="AC400" s="54">
        <f t="shared" si="94"/>
        <v>0.28836491412433091</v>
      </c>
      <c r="AD400" s="56">
        <f>INDEX(Assumptions!$B$14:$B$16,MATCH($R400,Assumptions!$A$14:$A$16,0))</f>
        <v>0.32</v>
      </c>
      <c r="AE400" s="56">
        <f>INDEX(Assumptions!$C$14:$C$16,MATCH($R400,Assumptions!$A$14:$A$16,0))</f>
        <v>0.22</v>
      </c>
      <c r="AF400" s="49">
        <f t="shared" si="95"/>
        <v>0</v>
      </c>
      <c r="AG400" s="49">
        <f t="shared" si="96"/>
        <v>0</v>
      </c>
      <c r="AH400" s="55">
        <f t="shared" si="97"/>
        <v>452.76040000000012</v>
      </c>
    </row>
    <row r="401" spans="1:34" x14ac:dyDescent="0.2">
      <c r="A401" s="48" t="s">
        <v>578</v>
      </c>
      <c r="B401" s="48">
        <v>1</v>
      </c>
      <c r="C401" s="48" t="s">
        <v>579</v>
      </c>
      <c r="D401" s="48" t="s">
        <v>527</v>
      </c>
      <c r="E401" s="48" t="s">
        <v>355</v>
      </c>
      <c r="F401" s="48" t="s">
        <v>280</v>
      </c>
      <c r="G401" s="48" t="s">
        <v>302</v>
      </c>
      <c r="H401" s="48" t="s">
        <v>62</v>
      </c>
      <c r="I401" s="48" t="s">
        <v>113</v>
      </c>
      <c r="J401" s="49">
        <v>17</v>
      </c>
      <c r="K401" s="50">
        <v>1740</v>
      </c>
      <c r="L401" s="50">
        <v>1663.51</v>
      </c>
      <c r="M401" s="48" t="s">
        <v>276</v>
      </c>
      <c r="N401" s="51">
        <v>1</v>
      </c>
      <c r="O401" s="51">
        <v>1</v>
      </c>
      <c r="P401" s="52">
        <v>1484.8</v>
      </c>
      <c r="Q401" s="52">
        <v>1484.8</v>
      </c>
      <c r="R401" s="53" t="str">
        <f>INDEX(SKU_Master!$D$5:$D$34,MATCH($I401,SKU_Master!$A$5:$A$34,0))</f>
        <v>Laptop</v>
      </c>
      <c r="S401" s="54">
        <f t="shared" si="84"/>
        <v>4.3959770114942565E-2</v>
      </c>
      <c r="T401" s="55">
        <f t="shared" si="85"/>
        <v>29580</v>
      </c>
      <c r="U401" s="55">
        <f t="shared" si="86"/>
        <v>28279.67</v>
      </c>
      <c r="V401" s="55">
        <f t="shared" si="87"/>
        <v>-1300.3300000000017</v>
      </c>
      <c r="W401" s="55">
        <f t="shared" si="88"/>
        <v>28279.67</v>
      </c>
      <c r="X401" s="55">
        <f t="shared" si="89"/>
        <v>0</v>
      </c>
      <c r="Y401" s="55">
        <f t="shared" si="90"/>
        <v>25241.599999999999</v>
      </c>
      <c r="Z401" s="55">
        <f t="shared" si="91"/>
        <v>25241.599999999999</v>
      </c>
      <c r="AA401" s="55">
        <f t="shared" si="92"/>
        <v>0</v>
      </c>
      <c r="AB401" s="55">
        <f t="shared" si="93"/>
        <v>3038.0699999999997</v>
      </c>
      <c r="AC401" s="54">
        <f t="shared" si="94"/>
        <v>0.10742947141886733</v>
      </c>
      <c r="AD401" s="56">
        <f>INDEX(Assumptions!$B$14:$B$16,MATCH($R401,Assumptions!$A$14:$A$16,0))</f>
        <v>0.12</v>
      </c>
      <c r="AE401" s="56">
        <f>INDEX(Assumptions!$C$14:$C$16,MATCH($R401,Assumptions!$A$14:$A$16,0))</f>
        <v>0.08</v>
      </c>
      <c r="AF401" s="49">
        <f t="shared" si="95"/>
        <v>0</v>
      </c>
      <c r="AG401" s="49">
        <f t="shared" si="96"/>
        <v>0</v>
      </c>
      <c r="AH401" s="55">
        <f t="shared" si="97"/>
        <v>355.49040000000014</v>
      </c>
    </row>
    <row r="402" spans="1:34" x14ac:dyDescent="0.2">
      <c r="A402" s="48" t="s">
        <v>580</v>
      </c>
      <c r="B402" s="48">
        <v>1</v>
      </c>
      <c r="C402" s="48" t="s">
        <v>566</v>
      </c>
      <c r="D402" s="48" t="s">
        <v>527</v>
      </c>
      <c r="E402" s="48" t="s">
        <v>349</v>
      </c>
      <c r="F402" s="48" t="s">
        <v>274</v>
      </c>
      <c r="G402" s="48" t="s">
        <v>275</v>
      </c>
      <c r="H402" s="48" t="s">
        <v>66</v>
      </c>
      <c r="I402" s="48" t="s">
        <v>118</v>
      </c>
      <c r="J402" s="49">
        <v>9</v>
      </c>
      <c r="K402" s="50">
        <v>1300</v>
      </c>
      <c r="L402" s="50">
        <v>1284.04</v>
      </c>
      <c r="M402" s="48" t="s">
        <v>276</v>
      </c>
      <c r="N402" s="51">
        <v>0.92</v>
      </c>
      <c r="O402" s="51">
        <v>0.91739999999999999</v>
      </c>
      <c r="P402" s="52">
        <v>1182.5999999999999</v>
      </c>
      <c r="Q402" s="52">
        <v>1182.5999999999999</v>
      </c>
      <c r="R402" s="53" t="str">
        <f>INDEX(SKU_Master!$D$5:$D$34,MATCH($I402,SKU_Master!$A$5:$A$34,0))</f>
        <v>Laptop</v>
      </c>
      <c r="S402" s="54">
        <f t="shared" si="84"/>
        <v>1.2276923076923074E-2</v>
      </c>
      <c r="T402" s="55">
        <f t="shared" si="85"/>
        <v>12717.391304347826</v>
      </c>
      <c r="U402" s="55">
        <f t="shared" si="86"/>
        <v>12561.260869565218</v>
      </c>
      <c r="V402" s="55">
        <f t="shared" si="87"/>
        <v>-156.13043478260806</v>
      </c>
      <c r="W402" s="55">
        <f t="shared" si="88"/>
        <v>12596.860693263572</v>
      </c>
      <c r="X402" s="55">
        <f t="shared" si="89"/>
        <v>35.599823698354157</v>
      </c>
      <c r="Y402" s="55">
        <f t="shared" si="90"/>
        <v>10643.4</v>
      </c>
      <c r="Z402" s="55">
        <f t="shared" si="91"/>
        <v>10643.4</v>
      </c>
      <c r="AA402" s="55">
        <f t="shared" si="92"/>
        <v>0</v>
      </c>
      <c r="AB402" s="55">
        <f t="shared" si="93"/>
        <v>1953.4606932635725</v>
      </c>
      <c r="AC402" s="54">
        <f t="shared" si="94"/>
        <v>0.15507520014952816</v>
      </c>
      <c r="AD402" s="56">
        <f>INDEX(Assumptions!$B$14:$B$16,MATCH($R402,Assumptions!$A$14:$A$16,0))</f>
        <v>0.12</v>
      </c>
      <c r="AE402" s="56">
        <f>INDEX(Assumptions!$C$14:$C$16,MATCH($R402,Assumptions!$A$14:$A$16,0))</f>
        <v>0.08</v>
      </c>
      <c r="AF402" s="49">
        <f t="shared" si="95"/>
        <v>0</v>
      </c>
      <c r="AG402" s="49">
        <f t="shared" si="96"/>
        <v>0</v>
      </c>
      <c r="AH402" s="55">
        <f t="shared" si="97"/>
        <v>0</v>
      </c>
    </row>
    <row r="403" spans="1:34" x14ac:dyDescent="0.2">
      <c r="A403" s="48" t="s">
        <v>580</v>
      </c>
      <c r="B403" s="48">
        <v>2</v>
      </c>
      <c r="C403" s="48" t="s">
        <v>566</v>
      </c>
      <c r="D403" s="48" t="s">
        <v>527</v>
      </c>
      <c r="E403" s="48" t="s">
        <v>349</v>
      </c>
      <c r="F403" s="48" t="s">
        <v>274</v>
      </c>
      <c r="G403" s="48" t="s">
        <v>275</v>
      </c>
      <c r="H403" s="48" t="s">
        <v>66</v>
      </c>
      <c r="I403" s="48" t="s">
        <v>164</v>
      </c>
      <c r="J403" s="49">
        <v>6</v>
      </c>
      <c r="K403" s="50">
        <v>185</v>
      </c>
      <c r="L403" s="50">
        <v>182.88</v>
      </c>
      <c r="M403" s="48" t="s">
        <v>276</v>
      </c>
      <c r="N403" s="51">
        <v>0.92</v>
      </c>
      <c r="O403" s="51">
        <v>0.91739999999999999</v>
      </c>
      <c r="P403" s="52">
        <v>126</v>
      </c>
      <c r="Q403" s="52">
        <v>126</v>
      </c>
      <c r="R403" s="53" t="str">
        <f>INDEX(SKU_Master!$D$5:$D$34,MATCH($I403,SKU_Master!$A$5:$A$34,0))</f>
        <v>Accessory</v>
      </c>
      <c r="S403" s="54">
        <f t="shared" si="84"/>
        <v>1.1459459459459476E-2</v>
      </c>
      <c r="T403" s="55">
        <f t="shared" si="85"/>
        <v>1206.5217391304348</v>
      </c>
      <c r="U403" s="55">
        <f t="shared" si="86"/>
        <v>1192.695652173913</v>
      </c>
      <c r="V403" s="55">
        <f t="shared" si="87"/>
        <v>-13.826086956521749</v>
      </c>
      <c r="W403" s="55">
        <f t="shared" si="88"/>
        <v>1196.0758665794638</v>
      </c>
      <c r="X403" s="55">
        <f t="shared" si="89"/>
        <v>3.3802144055507597</v>
      </c>
      <c r="Y403" s="55">
        <f t="shared" si="90"/>
        <v>756</v>
      </c>
      <c r="Z403" s="55">
        <f t="shared" si="91"/>
        <v>756</v>
      </c>
      <c r="AA403" s="55">
        <f t="shared" si="92"/>
        <v>0</v>
      </c>
      <c r="AB403" s="55">
        <f t="shared" si="93"/>
        <v>440.07586657946376</v>
      </c>
      <c r="AC403" s="54">
        <f t="shared" si="94"/>
        <v>0.36793307086614174</v>
      </c>
      <c r="AD403" s="56">
        <f>INDEX(Assumptions!$B$14:$B$16,MATCH($R403,Assumptions!$A$14:$A$16,0))</f>
        <v>0.32</v>
      </c>
      <c r="AE403" s="56">
        <f>INDEX(Assumptions!$C$14:$C$16,MATCH($R403,Assumptions!$A$14:$A$16,0))</f>
        <v>0.22</v>
      </c>
      <c r="AF403" s="49">
        <f t="shared" si="95"/>
        <v>0</v>
      </c>
      <c r="AG403" s="49">
        <f t="shared" si="96"/>
        <v>0</v>
      </c>
      <c r="AH403" s="55">
        <f t="shared" si="97"/>
        <v>0</v>
      </c>
    </row>
    <row r="404" spans="1:34" x14ac:dyDescent="0.2">
      <c r="A404" s="48" t="s">
        <v>581</v>
      </c>
      <c r="B404" s="48">
        <v>1</v>
      </c>
      <c r="C404" s="48" t="s">
        <v>564</v>
      </c>
      <c r="D404" s="48" t="s">
        <v>527</v>
      </c>
      <c r="E404" s="48" t="s">
        <v>366</v>
      </c>
      <c r="F404" s="48" t="s">
        <v>297</v>
      </c>
      <c r="G404" s="48" t="s">
        <v>302</v>
      </c>
      <c r="H404" s="48" t="s">
        <v>66</v>
      </c>
      <c r="I404" s="48" t="s">
        <v>118</v>
      </c>
      <c r="J404" s="49">
        <v>60</v>
      </c>
      <c r="K404" s="50">
        <v>1300</v>
      </c>
      <c r="L404" s="50">
        <v>1220.47</v>
      </c>
      <c r="M404" s="48" t="s">
        <v>276</v>
      </c>
      <c r="N404" s="51">
        <v>0.92</v>
      </c>
      <c r="O404" s="51">
        <v>0.91739999999999999</v>
      </c>
      <c r="P404" s="52">
        <v>1182.5999999999999</v>
      </c>
      <c r="Q404" s="52">
        <v>1182.5999999999999</v>
      </c>
      <c r="R404" s="53" t="str">
        <f>INDEX(SKU_Master!$D$5:$D$34,MATCH($I404,SKU_Master!$A$5:$A$34,0))</f>
        <v>Laptop</v>
      </c>
      <c r="S404" s="54">
        <f t="shared" si="84"/>
        <v>6.1176923076923018E-2</v>
      </c>
      <c r="T404" s="55">
        <f t="shared" si="85"/>
        <v>84782.608695652176</v>
      </c>
      <c r="U404" s="55">
        <f t="shared" si="86"/>
        <v>79595.869565217392</v>
      </c>
      <c r="V404" s="55">
        <f t="shared" si="87"/>
        <v>-5186.7391304347839</v>
      </c>
      <c r="W404" s="55">
        <f t="shared" si="88"/>
        <v>79821.45192936559</v>
      </c>
      <c r="X404" s="55">
        <f t="shared" si="89"/>
        <v>225.58236414819839</v>
      </c>
      <c r="Y404" s="55">
        <f t="shared" si="90"/>
        <v>70956</v>
      </c>
      <c r="Z404" s="55">
        <f t="shared" si="91"/>
        <v>70956</v>
      </c>
      <c r="AA404" s="55">
        <f t="shared" si="92"/>
        <v>0</v>
      </c>
      <c r="AB404" s="55">
        <f t="shared" si="93"/>
        <v>8865.4519293655903</v>
      </c>
      <c r="AC404" s="54">
        <f t="shared" si="94"/>
        <v>0.1110660319385154</v>
      </c>
      <c r="AD404" s="56">
        <f>INDEX(Assumptions!$B$14:$B$16,MATCH($R404,Assumptions!$A$14:$A$16,0))</f>
        <v>0.12</v>
      </c>
      <c r="AE404" s="56">
        <f>INDEX(Assumptions!$C$14:$C$16,MATCH($R404,Assumptions!$A$14:$A$16,0))</f>
        <v>0.08</v>
      </c>
      <c r="AF404" s="49">
        <f t="shared" si="95"/>
        <v>0</v>
      </c>
      <c r="AG404" s="49">
        <f t="shared" si="96"/>
        <v>0</v>
      </c>
      <c r="AH404" s="55">
        <f t="shared" si="97"/>
        <v>713.12230215828095</v>
      </c>
    </row>
    <row r="405" spans="1:34" x14ac:dyDescent="0.2">
      <c r="A405" s="48" t="s">
        <v>581</v>
      </c>
      <c r="B405" s="48">
        <v>2</v>
      </c>
      <c r="C405" s="48" t="s">
        <v>564</v>
      </c>
      <c r="D405" s="48" t="s">
        <v>527</v>
      </c>
      <c r="E405" s="48" t="s">
        <v>366</v>
      </c>
      <c r="F405" s="48" t="s">
        <v>297</v>
      </c>
      <c r="G405" s="48" t="s">
        <v>302</v>
      </c>
      <c r="H405" s="48" t="s">
        <v>66</v>
      </c>
      <c r="I405" s="48" t="s">
        <v>177</v>
      </c>
      <c r="J405" s="49">
        <v>59</v>
      </c>
      <c r="K405" s="50">
        <v>75</v>
      </c>
      <c r="L405" s="50">
        <v>70.81</v>
      </c>
      <c r="M405" s="48" t="s">
        <v>276</v>
      </c>
      <c r="N405" s="51">
        <v>0.92</v>
      </c>
      <c r="O405" s="51">
        <v>0.91739999999999999</v>
      </c>
      <c r="P405" s="52">
        <v>49</v>
      </c>
      <c r="Q405" s="52">
        <v>49</v>
      </c>
      <c r="R405" s="53" t="str">
        <f>INDEX(SKU_Master!$D$5:$D$34,MATCH($I405,SKU_Master!$A$5:$A$34,0))</f>
        <v>Accessory</v>
      </c>
      <c r="S405" s="54">
        <f t="shared" si="84"/>
        <v>5.586666666666662E-2</v>
      </c>
      <c r="T405" s="55">
        <f t="shared" si="85"/>
        <v>4809.782608695652</v>
      </c>
      <c r="U405" s="55">
        <f t="shared" si="86"/>
        <v>4541.0760869565211</v>
      </c>
      <c r="V405" s="55">
        <f t="shared" si="87"/>
        <v>-268.70652173913095</v>
      </c>
      <c r="W405" s="55">
        <f t="shared" si="88"/>
        <v>4553.9459341617612</v>
      </c>
      <c r="X405" s="55">
        <f t="shared" si="89"/>
        <v>12.869847205240148</v>
      </c>
      <c r="Y405" s="55">
        <f t="shared" si="90"/>
        <v>2891</v>
      </c>
      <c r="Z405" s="55">
        <f t="shared" si="91"/>
        <v>2891</v>
      </c>
      <c r="AA405" s="55">
        <f t="shared" si="92"/>
        <v>0</v>
      </c>
      <c r="AB405" s="55">
        <f t="shared" si="93"/>
        <v>1662.9459341617612</v>
      </c>
      <c r="AC405" s="54">
        <f t="shared" si="94"/>
        <v>0.36516593701454592</v>
      </c>
      <c r="AD405" s="56">
        <f>INDEX(Assumptions!$B$14:$B$16,MATCH($R405,Assumptions!$A$14:$A$16,0))</f>
        <v>0.32</v>
      </c>
      <c r="AE405" s="56">
        <f>INDEX(Assumptions!$C$14:$C$16,MATCH($R405,Assumptions!$A$14:$A$16,0))</f>
        <v>0.22</v>
      </c>
      <c r="AF405" s="49">
        <f t="shared" si="95"/>
        <v>0</v>
      </c>
      <c r="AG405" s="49">
        <f t="shared" si="96"/>
        <v>0</v>
      </c>
      <c r="AH405" s="55">
        <f t="shared" si="97"/>
        <v>0</v>
      </c>
    </row>
    <row r="406" spans="1:34" x14ac:dyDescent="0.2">
      <c r="A406" s="48" t="s">
        <v>582</v>
      </c>
      <c r="B406" s="48">
        <v>1</v>
      </c>
      <c r="C406" s="48" t="s">
        <v>583</v>
      </c>
      <c r="D406" s="48" t="s">
        <v>527</v>
      </c>
      <c r="E406" s="48" t="s">
        <v>296</v>
      </c>
      <c r="F406" s="48" t="s">
        <v>297</v>
      </c>
      <c r="G406" s="48" t="s">
        <v>298</v>
      </c>
      <c r="H406" s="48" t="s">
        <v>66</v>
      </c>
      <c r="I406" s="48" t="s">
        <v>98</v>
      </c>
      <c r="J406" s="49">
        <v>45</v>
      </c>
      <c r="K406" s="50">
        <v>1980</v>
      </c>
      <c r="L406" s="50">
        <v>1897.85</v>
      </c>
      <c r="M406" s="48" t="s">
        <v>276</v>
      </c>
      <c r="N406" s="51">
        <v>0.92</v>
      </c>
      <c r="O406" s="51">
        <v>0.91739999999999999</v>
      </c>
      <c r="P406" s="52">
        <v>1800.2</v>
      </c>
      <c r="Q406" s="52">
        <v>1800.2</v>
      </c>
      <c r="R406" s="53" t="str">
        <f>INDEX(SKU_Master!$D$5:$D$34,MATCH($I406,SKU_Master!$A$5:$A$34,0))</f>
        <v>Laptop</v>
      </c>
      <c r="S406" s="54">
        <f t="shared" si="84"/>
        <v>4.1489898989899077E-2</v>
      </c>
      <c r="T406" s="55">
        <f t="shared" si="85"/>
        <v>96847.826086956513</v>
      </c>
      <c r="U406" s="55">
        <f t="shared" si="86"/>
        <v>92829.619565217392</v>
      </c>
      <c r="V406" s="55">
        <f t="shared" si="87"/>
        <v>-4018.2065217391209</v>
      </c>
      <c r="W406" s="55">
        <f t="shared" si="88"/>
        <v>93092.707652060169</v>
      </c>
      <c r="X406" s="55">
        <f t="shared" si="89"/>
        <v>263.08808684277756</v>
      </c>
      <c r="Y406" s="55">
        <f t="shared" si="90"/>
        <v>81009</v>
      </c>
      <c r="Z406" s="55">
        <f t="shared" si="91"/>
        <v>81009</v>
      </c>
      <c r="AA406" s="55">
        <f t="shared" si="92"/>
        <v>0</v>
      </c>
      <c r="AB406" s="55">
        <f t="shared" si="93"/>
        <v>12083.707652060169</v>
      </c>
      <c r="AC406" s="54">
        <f t="shared" si="94"/>
        <v>0.12980294543825907</v>
      </c>
      <c r="AD406" s="56">
        <f>INDEX(Assumptions!$B$14:$B$16,MATCH($R406,Assumptions!$A$14:$A$16,0))</f>
        <v>0.12</v>
      </c>
      <c r="AE406" s="56">
        <f>INDEX(Assumptions!$C$14:$C$16,MATCH($R406,Assumptions!$A$14:$A$16,0))</f>
        <v>0.08</v>
      </c>
      <c r="AF406" s="49">
        <f t="shared" si="95"/>
        <v>0</v>
      </c>
      <c r="AG406" s="49">
        <f t="shared" si="96"/>
        <v>0</v>
      </c>
      <c r="AH406" s="55">
        <f t="shared" si="97"/>
        <v>0</v>
      </c>
    </row>
    <row r="407" spans="1:34" x14ac:dyDescent="0.2">
      <c r="A407" s="48" t="s">
        <v>584</v>
      </c>
      <c r="B407" s="48">
        <v>1</v>
      </c>
      <c r="C407" s="48" t="s">
        <v>585</v>
      </c>
      <c r="D407" s="48" t="s">
        <v>527</v>
      </c>
      <c r="E407" s="48" t="s">
        <v>287</v>
      </c>
      <c r="F407" s="48" t="s">
        <v>274</v>
      </c>
      <c r="G407" s="48" t="s">
        <v>288</v>
      </c>
      <c r="H407" s="48" t="s">
        <v>62</v>
      </c>
      <c r="I407" s="48" t="s">
        <v>123</v>
      </c>
      <c r="J407" s="49">
        <v>6</v>
      </c>
      <c r="K407" s="50">
        <v>1465</v>
      </c>
      <c r="L407" s="50">
        <v>1457.44</v>
      </c>
      <c r="M407" s="48" t="s">
        <v>276</v>
      </c>
      <c r="N407" s="51">
        <v>1</v>
      </c>
      <c r="O407" s="51">
        <v>1</v>
      </c>
      <c r="P407" s="52">
        <v>1249.25</v>
      </c>
      <c r="Q407" s="52">
        <v>1249.25</v>
      </c>
      <c r="R407" s="53" t="str">
        <f>INDEX(SKU_Master!$D$5:$D$34,MATCH($I407,SKU_Master!$A$5:$A$34,0))</f>
        <v>Laptop</v>
      </c>
      <c r="S407" s="54">
        <f t="shared" si="84"/>
        <v>5.1604095563139163E-3</v>
      </c>
      <c r="T407" s="55">
        <f t="shared" si="85"/>
        <v>8790</v>
      </c>
      <c r="U407" s="55">
        <f t="shared" si="86"/>
        <v>8744.64</v>
      </c>
      <c r="V407" s="55">
        <f t="shared" si="87"/>
        <v>-45.360000000000582</v>
      </c>
      <c r="W407" s="55">
        <f t="shared" si="88"/>
        <v>8744.64</v>
      </c>
      <c r="X407" s="55">
        <f t="shared" si="89"/>
        <v>0</v>
      </c>
      <c r="Y407" s="55">
        <f t="shared" si="90"/>
        <v>7495.5</v>
      </c>
      <c r="Z407" s="55">
        <f t="shared" si="91"/>
        <v>7495.5</v>
      </c>
      <c r="AA407" s="55">
        <f t="shared" si="92"/>
        <v>0</v>
      </c>
      <c r="AB407" s="55">
        <f t="shared" si="93"/>
        <v>1249.1399999999994</v>
      </c>
      <c r="AC407" s="54">
        <f t="shared" si="94"/>
        <v>0.14284636074212312</v>
      </c>
      <c r="AD407" s="56">
        <f>INDEX(Assumptions!$B$14:$B$16,MATCH($R407,Assumptions!$A$14:$A$16,0))</f>
        <v>0.12</v>
      </c>
      <c r="AE407" s="56">
        <f>INDEX(Assumptions!$C$14:$C$16,MATCH($R407,Assumptions!$A$14:$A$16,0))</f>
        <v>0.08</v>
      </c>
      <c r="AF407" s="49">
        <f t="shared" si="95"/>
        <v>0</v>
      </c>
      <c r="AG407" s="49">
        <f t="shared" si="96"/>
        <v>0</v>
      </c>
      <c r="AH407" s="55">
        <f t="shared" si="97"/>
        <v>0</v>
      </c>
    </row>
    <row r="408" spans="1:34" x14ac:dyDescent="0.2">
      <c r="A408" s="48" t="s">
        <v>584</v>
      </c>
      <c r="B408" s="48">
        <v>2</v>
      </c>
      <c r="C408" s="48" t="s">
        <v>585</v>
      </c>
      <c r="D408" s="48" t="s">
        <v>527</v>
      </c>
      <c r="E408" s="48" t="s">
        <v>287</v>
      </c>
      <c r="F408" s="48" t="s">
        <v>274</v>
      </c>
      <c r="G408" s="48" t="s">
        <v>288</v>
      </c>
      <c r="H408" s="48" t="s">
        <v>62</v>
      </c>
      <c r="I408" s="48" t="s">
        <v>166</v>
      </c>
      <c r="J408" s="49">
        <v>7</v>
      </c>
      <c r="K408" s="50">
        <v>265</v>
      </c>
      <c r="L408" s="50">
        <v>264.2</v>
      </c>
      <c r="M408" s="48" t="s">
        <v>276</v>
      </c>
      <c r="N408" s="51">
        <v>1</v>
      </c>
      <c r="O408" s="51">
        <v>1</v>
      </c>
      <c r="P408" s="52">
        <v>169.35</v>
      </c>
      <c r="Q408" s="52">
        <v>169.35</v>
      </c>
      <c r="R408" s="53" t="str">
        <f>INDEX(SKU_Master!$D$5:$D$34,MATCH($I408,SKU_Master!$A$5:$A$34,0))</f>
        <v>Accessory</v>
      </c>
      <c r="S408" s="54">
        <f t="shared" si="84"/>
        <v>3.0188679245283234E-3</v>
      </c>
      <c r="T408" s="55">
        <f t="shared" si="85"/>
        <v>1855</v>
      </c>
      <c r="U408" s="55">
        <f t="shared" si="86"/>
        <v>1849.3999999999999</v>
      </c>
      <c r="V408" s="55">
        <f t="shared" si="87"/>
        <v>-5.6000000000001364</v>
      </c>
      <c r="W408" s="55">
        <f t="shared" si="88"/>
        <v>1849.3999999999999</v>
      </c>
      <c r="X408" s="55">
        <f t="shared" si="89"/>
        <v>0</v>
      </c>
      <c r="Y408" s="55">
        <f t="shared" si="90"/>
        <v>1185.45</v>
      </c>
      <c r="Z408" s="55">
        <f t="shared" si="91"/>
        <v>1185.45</v>
      </c>
      <c r="AA408" s="55">
        <f t="shared" si="92"/>
        <v>0</v>
      </c>
      <c r="AB408" s="55">
        <f t="shared" si="93"/>
        <v>663.94999999999982</v>
      </c>
      <c r="AC408" s="54">
        <f t="shared" si="94"/>
        <v>0.35900832702498098</v>
      </c>
      <c r="AD408" s="56">
        <f>INDEX(Assumptions!$B$14:$B$16,MATCH($R408,Assumptions!$A$14:$A$16,0))</f>
        <v>0.32</v>
      </c>
      <c r="AE408" s="56">
        <f>INDEX(Assumptions!$C$14:$C$16,MATCH($R408,Assumptions!$A$14:$A$16,0))</f>
        <v>0.22</v>
      </c>
      <c r="AF408" s="49">
        <f t="shared" si="95"/>
        <v>0</v>
      </c>
      <c r="AG408" s="49">
        <f t="shared" si="96"/>
        <v>0</v>
      </c>
      <c r="AH408" s="55">
        <f t="shared" si="97"/>
        <v>0</v>
      </c>
    </row>
    <row r="409" spans="1:34" x14ac:dyDescent="0.2">
      <c r="A409" s="48" t="s">
        <v>586</v>
      </c>
      <c r="B409" s="48">
        <v>1</v>
      </c>
      <c r="C409" s="48" t="s">
        <v>534</v>
      </c>
      <c r="D409" s="48" t="s">
        <v>527</v>
      </c>
      <c r="E409" s="48" t="s">
        <v>273</v>
      </c>
      <c r="F409" s="48" t="s">
        <v>274</v>
      </c>
      <c r="G409" s="48" t="s">
        <v>275</v>
      </c>
      <c r="H409" s="48" t="s">
        <v>66</v>
      </c>
      <c r="I409" s="48" t="s">
        <v>93</v>
      </c>
      <c r="J409" s="49">
        <v>2</v>
      </c>
      <c r="K409" s="50">
        <v>1325</v>
      </c>
      <c r="L409" s="50">
        <v>1312.4</v>
      </c>
      <c r="M409" s="48" t="s">
        <v>276</v>
      </c>
      <c r="N409" s="51">
        <v>0.92</v>
      </c>
      <c r="O409" s="51">
        <v>0.91739999999999999</v>
      </c>
      <c r="P409" s="52">
        <v>1206.2</v>
      </c>
      <c r="Q409" s="52">
        <v>1206.2</v>
      </c>
      <c r="R409" s="53" t="str">
        <f>INDEX(SKU_Master!$D$5:$D$34,MATCH($I409,SKU_Master!$A$5:$A$34,0))</f>
        <v>Laptop</v>
      </c>
      <c r="S409" s="54">
        <f t="shared" si="84"/>
        <v>9.5094339622641133E-3</v>
      </c>
      <c r="T409" s="55">
        <f t="shared" si="85"/>
        <v>2880.4347826086955</v>
      </c>
      <c r="U409" s="55">
        <f t="shared" si="86"/>
        <v>2853.0434782608695</v>
      </c>
      <c r="V409" s="55">
        <f t="shared" si="87"/>
        <v>-27.391304347826008</v>
      </c>
      <c r="W409" s="55">
        <f t="shared" si="88"/>
        <v>2861.1292783954655</v>
      </c>
      <c r="X409" s="55">
        <f t="shared" si="89"/>
        <v>8.0858001345959565</v>
      </c>
      <c r="Y409" s="55">
        <f t="shared" si="90"/>
        <v>2412.4</v>
      </c>
      <c r="Z409" s="55">
        <f t="shared" si="91"/>
        <v>2412.4</v>
      </c>
      <c r="AA409" s="55">
        <f t="shared" si="92"/>
        <v>0</v>
      </c>
      <c r="AB409" s="55">
        <f t="shared" si="93"/>
        <v>448.72927839546537</v>
      </c>
      <c r="AC409" s="54">
        <f t="shared" si="94"/>
        <v>0.15683642182261504</v>
      </c>
      <c r="AD409" s="56">
        <f>INDEX(Assumptions!$B$14:$B$16,MATCH($R409,Assumptions!$A$14:$A$16,0))</f>
        <v>0.12</v>
      </c>
      <c r="AE409" s="56">
        <f>INDEX(Assumptions!$C$14:$C$16,MATCH($R409,Assumptions!$A$14:$A$16,0))</f>
        <v>0.08</v>
      </c>
      <c r="AF409" s="49">
        <f t="shared" si="95"/>
        <v>0</v>
      </c>
      <c r="AG409" s="49">
        <f t="shared" si="96"/>
        <v>0</v>
      </c>
      <c r="AH409" s="55">
        <f t="shared" si="97"/>
        <v>0</v>
      </c>
    </row>
    <row r="410" spans="1:34" x14ac:dyDescent="0.2">
      <c r="A410" s="48" t="s">
        <v>586</v>
      </c>
      <c r="B410" s="48">
        <v>2</v>
      </c>
      <c r="C410" s="48" t="s">
        <v>534</v>
      </c>
      <c r="D410" s="48" t="s">
        <v>527</v>
      </c>
      <c r="E410" s="48" t="s">
        <v>273</v>
      </c>
      <c r="F410" s="48" t="s">
        <v>274</v>
      </c>
      <c r="G410" s="48" t="s">
        <v>275</v>
      </c>
      <c r="H410" s="48" t="s">
        <v>66</v>
      </c>
      <c r="I410" s="48" t="s">
        <v>166</v>
      </c>
      <c r="J410" s="49">
        <v>1</v>
      </c>
      <c r="K410" s="50">
        <v>255</v>
      </c>
      <c r="L410" s="50">
        <v>253.29</v>
      </c>
      <c r="M410" s="48" t="s">
        <v>276</v>
      </c>
      <c r="N410" s="51">
        <v>0.92</v>
      </c>
      <c r="O410" s="51">
        <v>0.91739999999999999</v>
      </c>
      <c r="P410" s="52">
        <v>174.35</v>
      </c>
      <c r="Q410" s="52">
        <v>174.35</v>
      </c>
      <c r="R410" s="53" t="str">
        <f>INDEX(SKU_Master!$D$5:$D$34,MATCH($I410,SKU_Master!$A$5:$A$34,0))</f>
        <v>Accessory</v>
      </c>
      <c r="S410" s="54">
        <f t="shared" si="84"/>
        <v>6.7058823529412281E-3</v>
      </c>
      <c r="T410" s="55">
        <f t="shared" si="85"/>
        <v>277.17391304347825</v>
      </c>
      <c r="U410" s="55">
        <f t="shared" si="86"/>
        <v>275.31521739130432</v>
      </c>
      <c r="V410" s="55">
        <f t="shared" si="87"/>
        <v>-1.8586956521739353</v>
      </c>
      <c r="W410" s="55">
        <f t="shared" si="88"/>
        <v>276.09548724656639</v>
      </c>
      <c r="X410" s="55">
        <f t="shared" si="89"/>
        <v>0.78026985526207682</v>
      </c>
      <c r="Y410" s="55">
        <f t="shared" si="90"/>
        <v>174.35</v>
      </c>
      <c r="Z410" s="55">
        <f t="shared" si="91"/>
        <v>174.35</v>
      </c>
      <c r="AA410" s="55">
        <f t="shared" si="92"/>
        <v>0</v>
      </c>
      <c r="AB410" s="55">
        <f t="shared" si="93"/>
        <v>101.7454872465664</v>
      </c>
      <c r="AC410" s="54">
        <f t="shared" si="94"/>
        <v>0.36851557503257143</v>
      </c>
      <c r="AD410" s="56">
        <f>INDEX(Assumptions!$B$14:$B$16,MATCH($R410,Assumptions!$A$14:$A$16,0))</f>
        <v>0.32</v>
      </c>
      <c r="AE410" s="56">
        <f>INDEX(Assumptions!$C$14:$C$16,MATCH($R410,Assumptions!$A$14:$A$16,0))</f>
        <v>0.22</v>
      </c>
      <c r="AF410" s="49">
        <f t="shared" si="95"/>
        <v>0</v>
      </c>
      <c r="AG410" s="49">
        <f t="shared" si="96"/>
        <v>0</v>
      </c>
      <c r="AH410" s="55">
        <f t="shared" si="97"/>
        <v>0</v>
      </c>
    </row>
    <row r="411" spans="1:34" x14ac:dyDescent="0.2">
      <c r="A411" s="48" t="s">
        <v>587</v>
      </c>
      <c r="B411" s="48">
        <v>1</v>
      </c>
      <c r="C411" s="48" t="s">
        <v>577</v>
      </c>
      <c r="D411" s="48" t="s">
        <v>527</v>
      </c>
      <c r="E411" s="48" t="s">
        <v>588</v>
      </c>
      <c r="F411" s="48" t="s">
        <v>274</v>
      </c>
      <c r="G411" s="48" t="s">
        <v>281</v>
      </c>
      <c r="H411" s="48" t="s">
        <v>62</v>
      </c>
      <c r="I411" s="48" t="s">
        <v>123</v>
      </c>
      <c r="J411" s="49">
        <v>2</v>
      </c>
      <c r="K411" s="50">
        <v>1465</v>
      </c>
      <c r="L411" s="50">
        <v>1445.93</v>
      </c>
      <c r="M411" s="48" t="s">
        <v>276</v>
      </c>
      <c r="N411" s="51">
        <v>1</v>
      </c>
      <c r="O411" s="51">
        <v>1</v>
      </c>
      <c r="P411" s="52">
        <v>1249.25</v>
      </c>
      <c r="Q411" s="52">
        <v>1249.25</v>
      </c>
      <c r="R411" s="53" t="str">
        <f>INDEX(SKU_Master!$D$5:$D$34,MATCH($I411,SKU_Master!$A$5:$A$34,0))</f>
        <v>Laptop</v>
      </c>
      <c r="S411" s="54">
        <f t="shared" si="84"/>
        <v>1.3017064846416293E-2</v>
      </c>
      <c r="T411" s="55">
        <f t="shared" si="85"/>
        <v>2930</v>
      </c>
      <c r="U411" s="55">
        <f t="shared" si="86"/>
        <v>2891.86</v>
      </c>
      <c r="V411" s="55">
        <f t="shared" si="87"/>
        <v>-38.139999999999873</v>
      </c>
      <c r="W411" s="55">
        <f t="shared" si="88"/>
        <v>2891.86</v>
      </c>
      <c r="X411" s="55">
        <f t="shared" si="89"/>
        <v>0</v>
      </c>
      <c r="Y411" s="55">
        <f t="shared" si="90"/>
        <v>2498.5</v>
      </c>
      <c r="Z411" s="55">
        <f t="shared" si="91"/>
        <v>2498.5</v>
      </c>
      <c r="AA411" s="55">
        <f t="shared" si="92"/>
        <v>0</v>
      </c>
      <c r="AB411" s="55">
        <f t="shared" si="93"/>
        <v>393.36000000000013</v>
      </c>
      <c r="AC411" s="54">
        <f t="shared" si="94"/>
        <v>0.13602318231173022</v>
      </c>
      <c r="AD411" s="56">
        <f>INDEX(Assumptions!$B$14:$B$16,MATCH($R411,Assumptions!$A$14:$A$16,0))</f>
        <v>0.12</v>
      </c>
      <c r="AE411" s="56">
        <f>INDEX(Assumptions!$C$14:$C$16,MATCH($R411,Assumptions!$A$14:$A$16,0))</f>
        <v>0.08</v>
      </c>
      <c r="AF411" s="49">
        <f t="shared" si="95"/>
        <v>0</v>
      </c>
      <c r="AG411" s="49">
        <f t="shared" si="96"/>
        <v>0</v>
      </c>
      <c r="AH411" s="55">
        <f t="shared" si="97"/>
        <v>0</v>
      </c>
    </row>
    <row r="412" spans="1:34" x14ac:dyDescent="0.2">
      <c r="A412" s="48" t="s">
        <v>587</v>
      </c>
      <c r="B412" s="48">
        <v>2</v>
      </c>
      <c r="C412" s="48" t="s">
        <v>577</v>
      </c>
      <c r="D412" s="48" t="s">
        <v>527</v>
      </c>
      <c r="E412" s="48" t="s">
        <v>588</v>
      </c>
      <c r="F412" s="48" t="s">
        <v>274</v>
      </c>
      <c r="G412" s="48" t="s">
        <v>281</v>
      </c>
      <c r="H412" s="48" t="s">
        <v>62</v>
      </c>
      <c r="I412" s="48" t="s">
        <v>135</v>
      </c>
      <c r="J412" s="49">
        <v>2</v>
      </c>
      <c r="K412" s="50">
        <v>240</v>
      </c>
      <c r="L412" s="50">
        <v>237.65</v>
      </c>
      <c r="M412" s="48" t="s">
        <v>276</v>
      </c>
      <c r="N412" s="51">
        <v>1</v>
      </c>
      <c r="O412" s="51">
        <v>1</v>
      </c>
      <c r="P412" s="52">
        <v>186.7</v>
      </c>
      <c r="Q412" s="52">
        <v>186.7</v>
      </c>
      <c r="R412" s="53" t="str">
        <f>INDEX(SKU_Master!$D$5:$D$34,MATCH($I412,SKU_Master!$A$5:$A$34,0))</f>
        <v>Monitor</v>
      </c>
      <c r="S412" s="54">
        <f t="shared" si="84"/>
        <v>9.791666666666643E-3</v>
      </c>
      <c r="T412" s="55">
        <f t="shared" si="85"/>
        <v>480</v>
      </c>
      <c r="U412" s="55">
        <f t="shared" si="86"/>
        <v>475.3</v>
      </c>
      <c r="V412" s="55">
        <f t="shared" si="87"/>
        <v>-4.6999999999999886</v>
      </c>
      <c r="W412" s="55">
        <f t="shared" si="88"/>
        <v>475.3</v>
      </c>
      <c r="X412" s="55">
        <f t="shared" si="89"/>
        <v>0</v>
      </c>
      <c r="Y412" s="55">
        <f t="shared" si="90"/>
        <v>373.4</v>
      </c>
      <c r="Z412" s="55">
        <f t="shared" si="91"/>
        <v>373.4</v>
      </c>
      <c r="AA412" s="55">
        <f t="shared" si="92"/>
        <v>0</v>
      </c>
      <c r="AB412" s="55">
        <f t="shared" si="93"/>
        <v>101.90000000000003</v>
      </c>
      <c r="AC412" s="54">
        <f t="shared" si="94"/>
        <v>0.21439091100357677</v>
      </c>
      <c r="AD412" s="56">
        <f>INDEX(Assumptions!$B$14:$B$16,MATCH($R412,Assumptions!$A$14:$A$16,0))</f>
        <v>0.18</v>
      </c>
      <c r="AE412" s="56">
        <f>INDEX(Assumptions!$C$14:$C$16,MATCH($R412,Assumptions!$A$14:$A$16,0))</f>
        <v>0.12</v>
      </c>
      <c r="AF412" s="49">
        <f t="shared" si="95"/>
        <v>0</v>
      </c>
      <c r="AG412" s="49">
        <f t="shared" si="96"/>
        <v>0</v>
      </c>
      <c r="AH412" s="55">
        <f t="shared" si="97"/>
        <v>0</v>
      </c>
    </row>
    <row r="413" spans="1:34" x14ac:dyDescent="0.2">
      <c r="A413" s="48" t="s">
        <v>589</v>
      </c>
      <c r="B413" s="48">
        <v>1</v>
      </c>
      <c r="C413" s="48" t="s">
        <v>548</v>
      </c>
      <c r="D413" s="48" t="s">
        <v>527</v>
      </c>
      <c r="E413" s="48" t="s">
        <v>417</v>
      </c>
      <c r="F413" s="48" t="s">
        <v>280</v>
      </c>
      <c r="G413" s="48" t="s">
        <v>298</v>
      </c>
      <c r="H413" s="48" t="s">
        <v>62</v>
      </c>
      <c r="I413" s="48" t="s">
        <v>93</v>
      </c>
      <c r="J413" s="49">
        <v>8</v>
      </c>
      <c r="K413" s="50">
        <v>1390</v>
      </c>
      <c r="L413" s="50">
        <v>1362.16</v>
      </c>
      <c r="M413" s="48" t="s">
        <v>276</v>
      </c>
      <c r="N413" s="51">
        <v>1</v>
      </c>
      <c r="O413" s="51">
        <v>1</v>
      </c>
      <c r="P413" s="52">
        <v>1186.2</v>
      </c>
      <c r="Q413" s="52">
        <v>1186.2</v>
      </c>
      <c r="R413" s="53" t="str">
        <f>INDEX(SKU_Master!$D$5:$D$34,MATCH($I413,SKU_Master!$A$5:$A$34,0))</f>
        <v>Laptop</v>
      </c>
      <c r="S413" s="54">
        <f t="shared" si="84"/>
        <v>2.0028776978417207E-2</v>
      </c>
      <c r="T413" s="55">
        <f t="shared" si="85"/>
        <v>11120</v>
      </c>
      <c r="U413" s="55">
        <f t="shared" si="86"/>
        <v>10897.28</v>
      </c>
      <c r="V413" s="55">
        <f t="shared" si="87"/>
        <v>-222.71999999999935</v>
      </c>
      <c r="W413" s="55">
        <f t="shared" si="88"/>
        <v>10897.28</v>
      </c>
      <c r="X413" s="55">
        <f t="shared" si="89"/>
        <v>0</v>
      </c>
      <c r="Y413" s="55">
        <f t="shared" si="90"/>
        <v>9489.6</v>
      </c>
      <c r="Z413" s="55">
        <f t="shared" si="91"/>
        <v>9489.6</v>
      </c>
      <c r="AA413" s="55">
        <f t="shared" si="92"/>
        <v>0</v>
      </c>
      <c r="AB413" s="55">
        <f t="shared" si="93"/>
        <v>1407.6800000000003</v>
      </c>
      <c r="AC413" s="54">
        <f t="shared" si="94"/>
        <v>0.12917718917014157</v>
      </c>
      <c r="AD413" s="56">
        <f>INDEX(Assumptions!$B$14:$B$16,MATCH($R413,Assumptions!$A$14:$A$16,0))</f>
        <v>0.12</v>
      </c>
      <c r="AE413" s="56">
        <f>INDEX(Assumptions!$C$14:$C$16,MATCH($R413,Assumptions!$A$14:$A$16,0))</f>
        <v>0.08</v>
      </c>
      <c r="AF413" s="49">
        <f t="shared" si="95"/>
        <v>0</v>
      </c>
      <c r="AG413" s="49">
        <f t="shared" si="96"/>
        <v>0</v>
      </c>
      <c r="AH413" s="55">
        <f t="shared" si="97"/>
        <v>0</v>
      </c>
    </row>
    <row r="414" spans="1:34" x14ac:dyDescent="0.2">
      <c r="A414" s="48" t="s">
        <v>589</v>
      </c>
      <c r="B414" s="48">
        <v>2</v>
      </c>
      <c r="C414" s="48" t="s">
        <v>548</v>
      </c>
      <c r="D414" s="48" t="s">
        <v>527</v>
      </c>
      <c r="E414" s="48" t="s">
        <v>417</v>
      </c>
      <c r="F414" s="48" t="s">
        <v>280</v>
      </c>
      <c r="G414" s="48" t="s">
        <v>298</v>
      </c>
      <c r="H414" s="48" t="s">
        <v>62</v>
      </c>
      <c r="I414" s="48" t="s">
        <v>135</v>
      </c>
      <c r="J414" s="49">
        <v>6</v>
      </c>
      <c r="K414" s="50">
        <v>240</v>
      </c>
      <c r="L414" s="50">
        <v>234.12</v>
      </c>
      <c r="M414" s="48" t="s">
        <v>276</v>
      </c>
      <c r="N414" s="51">
        <v>1</v>
      </c>
      <c r="O414" s="51">
        <v>1</v>
      </c>
      <c r="P414" s="52">
        <v>186.7</v>
      </c>
      <c r="Q414" s="52">
        <v>186.7</v>
      </c>
      <c r="R414" s="53" t="str">
        <f>INDEX(SKU_Master!$D$5:$D$34,MATCH($I414,SKU_Master!$A$5:$A$34,0))</f>
        <v>Monitor</v>
      </c>
      <c r="S414" s="54">
        <f t="shared" si="84"/>
        <v>2.4499999999999966E-2</v>
      </c>
      <c r="T414" s="55">
        <f t="shared" si="85"/>
        <v>1440</v>
      </c>
      <c r="U414" s="55">
        <f t="shared" si="86"/>
        <v>1404.72</v>
      </c>
      <c r="V414" s="55">
        <f t="shared" si="87"/>
        <v>-35.279999999999973</v>
      </c>
      <c r="W414" s="55">
        <f t="shared" si="88"/>
        <v>1404.72</v>
      </c>
      <c r="X414" s="55">
        <f t="shared" si="89"/>
        <v>0</v>
      </c>
      <c r="Y414" s="55">
        <f t="shared" si="90"/>
        <v>1120.1999999999998</v>
      </c>
      <c r="Z414" s="55">
        <f t="shared" si="91"/>
        <v>1120.1999999999998</v>
      </c>
      <c r="AA414" s="55">
        <f t="shared" si="92"/>
        <v>0</v>
      </c>
      <c r="AB414" s="55">
        <f t="shared" si="93"/>
        <v>284.52000000000021</v>
      </c>
      <c r="AC414" s="54">
        <f t="shared" si="94"/>
        <v>0.20254570305826086</v>
      </c>
      <c r="AD414" s="56">
        <f>INDEX(Assumptions!$B$14:$B$16,MATCH($R414,Assumptions!$A$14:$A$16,0))</f>
        <v>0.18</v>
      </c>
      <c r="AE414" s="56">
        <f>INDEX(Assumptions!$C$14:$C$16,MATCH($R414,Assumptions!$A$14:$A$16,0))</f>
        <v>0.12</v>
      </c>
      <c r="AF414" s="49">
        <f t="shared" si="95"/>
        <v>0</v>
      </c>
      <c r="AG414" s="49">
        <f t="shared" si="96"/>
        <v>0</v>
      </c>
      <c r="AH414" s="55">
        <f t="shared" si="97"/>
        <v>0</v>
      </c>
    </row>
    <row r="415" spans="1:34" x14ac:dyDescent="0.2">
      <c r="A415" s="48" t="s">
        <v>589</v>
      </c>
      <c r="B415" s="48">
        <v>3</v>
      </c>
      <c r="C415" s="48" t="s">
        <v>548</v>
      </c>
      <c r="D415" s="48" t="s">
        <v>527</v>
      </c>
      <c r="E415" s="48" t="s">
        <v>417</v>
      </c>
      <c r="F415" s="48" t="s">
        <v>280</v>
      </c>
      <c r="G415" s="48" t="s">
        <v>298</v>
      </c>
      <c r="H415" s="48" t="s">
        <v>62</v>
      </c>
      <c r="I415" s="48" t="s">
        <v>161</v>
      </c>
      <c r="J415" s="49">
        <v>4</v>
      </c>
      <c r="K415" s="50">
        <v>120</v>
      </c>
      <c r="L415" s="50">
        <v>118.67</v>
      </c>
      <c r="M415" s="48" t="s">
        <v>276</v>
      </c>
      <c r="N415" s="51">
        <v>1</v>
      </c>
      <c r="O415" s="51">
        <v>1</v>
      </c>
      <c r="P415" s="52">
        <v>76</v>
      </c>
      <c r="Q415" s="52">
        <v>76</v>
      </c>
      <c r="R415" s="53" t="str">
        <f>INDEX(SKU_Master!$D$5:$D$34,MATCH($I415,SKU_Master!$A$5:$A$34,0))</f>
        <v>Accessory</v>
      </c>
      <c r="S415" s="54">
        <f t="shared" si="84"/>
        <v>1.1083333333333334E-2</v>
      </c>
      <c r="T415" s="55">
        <f t="shared" si="85"/>
        <v>480</v>
      </c>
      <c r="U415" s="55">
        <f t="shared" si="86"/>
        <v>474.68</v>
      </c>
      <c r="V415" s="55">
        <f t="shared" si="87"/>
        <v>-5.3199999999999932</v>
      </c>
      <c r="W415" s="55">
        <f t="shared" si="88"/>
        <v>474.68</v>
      </c>
      <c r="X415" s="55">
        <f t="shared" si="89"/>
        <v>0</v>
      </c>
      <c r="Y415" s="55">
        <f t="shared" si="90"/>
        <v>304</v>
      </c>
      <c r="Z415" s="55">
        <f t="shared" si="91"/>
        <v>304</v>
      </c>
      <c r="AA415" s="55">
        <f t="shared" si="92"/>
        <v>0</v>
      </c>
      <c r="AB415" s="55">
        <f t="shared" si="93"/>
        <v>170.68</v>
      </c>
      <c r="AC415" s="54">
        <f t="shared" si="94"/>
        <v>0.35956855144518413</v>
      </c>
      <c r="AD415" s="56">
        <f>INDEX(Assumptions!$B$14:$B$16,MATCH($R415,Assumptions!$A$14:$A$16,0))</f>
        <v>0.32</v>
      </c>
      <c r="AE415" s="56">
        <f>INDEX(Assumptions!$C$14:$C$16,MATCH($R415,Assumptions!$A$14:$A$16,0))</f>
        <v>0.22</v>
      </c>
      <c r="AF415" s="49">
        <f t="shared" si="95"/>
        <v>0</v>
      </c>
      <c r="AG415" s="49">
        <f t="shared" si="96"/>
        <v>0</v>
      </c>
      <c r="AH415" s="55">
        <f t="shared" si="97"/>
        <v>0</v>
      </c>
    </row>
    <row r="416" spans="1:34" x14ac:dyDescent="0.2">
      <c r="A416" s="48" t="s">
        <v>590</v>
      </c>
      <c r="B416" s="48">
        <v>1</v>
      </c>
      <c r="C416" s="48" t="s">
        <v>569</v>
      </c>
      <c r="D416" s="48" t="s">
        <v>527</v>
      </c>
      <c r="E416" s="48" t="s">
        <v>339</v>
      </c>
      <c r="F416" s="48" t="s">
        <v>280</v>
      </c>
      <c r="G416" s="48" t="s">
        <v>302</v>
      </c>
      <c r="H416" s="48" t="s">
        <v>62</v>
      </c>
      <c r="I416" s="48" t="s">
        <v>93</v>
      </c>
      <c r="J416" s="49">
        <v>23</v>
      </c>
      <c r="K416" s="50">
        <v>1390</v>
      </c>
      <c r="L416" s="50">
        <v>1319.79</v>
      </c>
      <c r="M416" s="48" t="s">
        <v>276</v>
      </c>
      <c r="N416" s="51">
        <v>1</v>
      </c>
      <c r="O416" s="51">
        <v>1</v>
      </c>
      <c r="P416" s="52">
        <v>1186.2</v>
      </c>
      <c r="Q416" s="52">
        <v>1186.2</v>
      </c>
      <c r="R416" s="53" t="str">
        <f>INDEX(SKU_Master!$D$5:$D$34,MATCH($I416,SKU_Master!$A$5:$A$34,0))</f>
        <v>Laptop</v>
      </c>
      <c r="S416" s="54">
        <f t="shared" si="84"/>
        <v>5.0510791366906505E-2</v>
      </c>
      <c r="T416" s="55">
        <f t="shared" si="85"/>
        <v>31970</v>
      </c>
      <c r="U416" s="55">
        <f t="shared" si="86"/>
        <v>30355.17</v>
      </c>
      <c r="V416" s="55">
        <f t="shared" si="87"/>
        <v>-1614.8300000000017</v>
      </c>
      <c r="W416" s="55">
        <f t="shared" si="88"/>
        <v>30355.17</v>
      </c>
      <c r="X416" s="55">
        <f t="shared" si="89"/>
        <v>0</v>
      </c>
      <c r="Y416" s="55">
        <f t="shared" si="90"/>
        <v>27282.600000000002</v>
      </c>
      <c r="Z416" s="55">
        <f t="shared" si="91"/>
        <v>27282.600000000002</v>
      </c>
      <c r="AA416" s="55">
        <f t="shared" si="92"/>
        <v>0</v>
      </c>
      <c r="AB416" s="55">
        <f t="shared" si="93"/>
        <v>3072.5699999999961</v>
      </c>
      <c r="AC416" s="54">
        <f t="shared" si="94"/>
        <v>0.10122064873957208</v>
      </c>
      <c r="AD416" s="56">
        <f>INDEX(Assumptions!$B$14:$B$16,MATCH($R416,Assumptions!$A$14:$A$16,0))</f>
        <v>0.12</v>
      </c>
      <c r="AE416" s="56">
        <f>INDEX(Assumptions!$C$14:$C$16,MATCH($R416,Assumptions!$A$14:$A$16,0))</f>
        <v>0.08</v>
      </c>
      <c r="AF416" s="49">
        <f t="shared" si="95"/>
        <v>0</v>
      </c>
      <c r="AG416" s="49">
        <f t="shared" si="96"/>
        <v>0</v>
      </c>
      <c r="AH416" s="55">
        <f t="shared" si="97"/>
        <v>570.05040000000372</v>
      </c>
    </row>
    <row r="417" spans="1:34" x14ac:dyDescent="0.2">
      <c r="A417" s="48" t="s">
        <v>590</v>
      </c>
      <c r="B417" s="48">
        <v>2</v>
      </c>
      <c r="C417" s="48" t="s">
        <v>569</v>
      </c>
      <c r="D417" s="48" t="s">
        <v>527</v>
      </c>
      <c r="E417" s="48" t="s">
        <v>339</v>
      </c>
      <c r="F417" s="48" t="s">
        <v>280</v>
      </c>
      <c r="G417" s="48" t="s">
        <v>302</v>
      </c>
      <c r="H417" s="48" t="s">
        <v>62</v>
      </c>
      <c r="I417" s="48" t="s">
        <v>144</v>
      </c>
      <c r="J417" s="49">
        <v>16</v>
      </c>
      <c r="K417" s="50">
        <v>370</v>
      </c>
      <c r="L417" s="50">
        <v>351.79</v>
      </c>
      <c r="M417" s="48" t="s">
        <v>276</v>
      </c>
      <c r="N417" s="51">
        <v>1</v>
      </c>
      <c r="O417" s="51">
        <v>1</v>
      </c>
      <c r="P417" s="52">
        <v>289.60000000000002</v>
      </c>
      <c r="Q417" s="52">
        <v>289.60000000000002</v>
      </c>
      <c r="R417" s="53" t="str">
        <f>INDEX(SKU_Master!$D$5:$D$34,MATCH($I417,SKU_Master!$A$5:$A$34,0))</f>
        <v>Monitor</v>
      </c>
      <c r="S417" s="54">
        <f t="shared" si="84"/>
        <v>4.9216216216216191E-2</v>
      </c>
      <c r="T417" s="55">
        <f t="shared" si="85"/>
        <v>5920</v>
      </c>
      <c r="U417" s="55">
        <f t="shared" si="86"/>
        <v>5628.64</v>
      </c>
      <c r="V417" s="55">
        <f t="shared" si="87"/>
        <v>-291.35999999999967</v>
      </c>
      <c r="W417" s="55">
        <f t="shared" si="88"/>
        <v>5628.64</v>
      </c>
      <c r="X417" s="55">
        <f t="shared" si="89"/>
        <v>0</v>
      </c>
      <c r="Y417" s="55">
        <f t="shared" si="90"/>
        <v>4633.6000000000004</v>
      </c>
      <c r="Z417" s="55">
        <f t="shared" si="91"/>
        <v>4633.6000000000004</v>
      </c>
      <c r="AA417" s="55">
        <f t="shared" si="92"/>
        <v>0</v>
      </c>
      <c r="AB417" s="55">
        <f t="shared" si="93"/>
        <v>995.04</v>
      </c>
      <c r="AC417" s="54">
        <f t="shared" si="94"/>
        <v>0.17678160266067822</v>
      </c>
      <c r="AD417" s="56">
        <f>INDEX(Assumptions!$B$14:$B$16,MATCH($R417,Assumptions!$A$14:$A$16,0))</f>
        <v>0.18</v>
      </c>
      <c r="AE417" s="56">
        <f>INDEX(Assumptions!$C$14:$C$16,MATCH($R417,Assumptions!$A$14:$A$16,0))</f>
        <v>0.12</v>
      </c>
      <c r="AF417" s="49">
        <f t="shared" si="95"/>
        <v>0</v>
      </c>
      <c r="AG417" s="49">
        <f t="shared" si="96"/>
        <v>0</v>
      </c>
      <c r="AH417" s="55">
        <f t="shared" si="97"/>
        <v>18.115200000000073</v>
      </c>
    </row>
    <row r="418" spans="1:34" x14ac:dyDescent="0.2">
      <c r="A418" s="48" t="s">
        <v>590</v>
      </c>
      <c r="B418" s="48">
        <v>3</v>
      </c>
      <c r="C418" s="48" t="s">
        <v>569</v>
      </c>
      <c r="D418" s="48" t="s">
        <v>527</v>
      </c>
      <c r="E418" s="48" t="s">
        <v>339</v>
      </c>
      <c r="F418" s="48" t="s">
        <v>280</v>
      </c>
      <c r="G418" s="48" t="s">
        <v>302</v>
      </c>
      <c r="H418" s="48" t="s">
        <v>62</v>
      </c>
      <c r="I418" s="48" t="s">
        <v>161</v>
      </c>
      <c r="J418" s="49">
        <v>15</v>
      </c>
      <c r="K418" s="50">
        <v>120</v>
      </c>
      <c r="L418" s="50">
        <v>111.81</v>
      </c>
      <c r="M418" s="48" t="s">
        <v>276</v>
      </c>
      <c r="N418" s="51">
        <v>1</v>
      </c>
      <c r="O418" s="51">
        <v>1</v>
      </c>
      <c r="P418" s="52">
        <v>76</v>
      </c>
      <c r="Q418" s="52">
        <v>76</v>
      </c>
      <c r="R418" s="53" t="str">
        <f>INDEX(SKU_Master!$D$5:$D$34,MATCH($I418,SKU_Master!$A$5:$A$34,0))</f>
        <v>Accessory</v>
      </c>
      <c r="S418" s="54">
        <f t="shared" si="84"/>
        <v>6.8250000000000033E-2</v>
      </c>
      <c r="T418" s="55">
        <f t="shared" si="85"/>
        <v>1800</v>
      </c>
      <c r="U418" s="55">
        <f t="shared" si="86"/>
        <v>1677.15</v>
      </c>
      <c r="V418" s="55">
        <f t="shared" si="87"/>
        <v>-122.84999999999991</v>
      </c>
      <c r="W418" s="55">
        <f t="shared" si="88"/>
        <v>1677.15</v>
      </c>
      <c r="X418" s="55">
        <f t="shared" si="89"/>
        <v>0</v>
      </c>
      <c r="Y418" s="55">
        <f t="shared" si="90"/>
        <v>1140</v>
      </c>
      <c r="Z418" s="55">
        <f t="shared" si="91"/>
        <v>1140</v>
      </c>
      <c r="AA418" s="55">
        <f t="shared" si="92"/>
        <v>0</v>
      </c>
      <c r="AB418" s="55">
        <f t="shared" si="93"/>
        <v>537.15000000000009</v>
      </c>
      <c r="AC418" s="54">
        <f t="shared" si="94"/>
        <v>0.32027546731061624</v>
      </c>
      <c r="AD418" s="56">
        <f>INDEX(Assumptions!$B$14:$B$16,MATCH($R418,Assumptions!$A$14:$A$16,0))</f>
        <v>0.32</v>
      </c>
      <c r="AE418" s="56">
        <f>INDEX(Assumptions!$C$14:$C$16,MATCH($R418,Assumptions!$A$14:$A$16,0))</f>
        <v>0.22</v>
      </c>
      <c r="AF418" s="49">
        <f t="shared" si="95"/>
        <v>0</v>
      </c>
      <c r="AG418" s="49">
        <f t="shared" si="96"/>
        <v>0</v>
      </c>
      <c r="AH418" s="55">
        <f t="shared" si="97"/>
        <v>0</v>
      </c>
    </row>
    <row r="419" spans="1:34" x14ac:dyDescent="0.2">
      <c r="A419" s="48" t="s">
        <v>591</v>
      </c>
      <c r="B419" s="48">
        <v>1</v>
      </c>
      <c r="C419" s="48" t="s">
        <v>592</v>
      </c>
      <c r="D419" s="48" t="s">
        <v>527</v>
      </c>
      <c r="E419" s="48" t="s">
        <v>346</v>
      </c>
      <c r="F419" s="48" t="s">
        <v>297</v>
      </c>
      <c r="G419" s="48" t="s">
        <v>302</v>
      </c>
      <c r="H419" s="48" t="s">
        <v>62</v>
      </c>
      <c r="I419" s="48" t="s">
        <v>113</v>
      </c>
      <c r="J419" s="49">
        <v>76</v>
      </c>
      <c r="K419" s="50">
        <v>1740</v>
      </c>
      <c r="L419" s="50">
        <v>1692.81</v>
      </c>
      <c r="M419" s="48" t="s">
        <v>276</v>
      </c>
      <c r="N419" s="51">
        <v>1</v>
      </c>
      <c r="O419" s="51">
        <v>1</v>
      </c>
      <c r="P419" s="52">
        <v>1484.8</v>
      </c>
      <c r="Q419" s="52">
        <v>1484.8</v>
      </c>
      <c r="R419" s="53" t="str">
        <f>INDEX(SKU_Master!$D$5:$D$34,MATCH($I419,SKU_Master!$A$5:$A$34,0))</f>
        <v>Laptop</v>
      </c>
      <c r="S419" s="54">
        <f t="shared" si="84"/>
        <v>2.7120689655172447E-2</v>
      </c>
      <c r="T419" s="55">
        <f t="shared" si="85"/>
        <v>132240</v>
      </c>
      <c r="U419" s="55">
        <f t="shared" si="86"/>
        <v>128653.56</v>
      </c>
      <c r="V419" s="55">
        <f t="shared" si="87"/>
        <v>-3586.4400000000023</v>
      </c>
      <c r="W419" s="55">
        <f t="shared" si="88"/>
        <v>128653.56</v>
      </c>
      <c r="X419" s="55">
        <f t="shared" si="89"/>
        <v>0</v>
      </c>
      <c r="Y419" s="55">
        <f t="shared" si="90"/>
        <v>112844.8</v>
      </c>
      <c r="Z419" s="55">
        <f t="shared" si="91"/>
        <v>112844.8</v>
      </c>
      <c r="AA419" s="55">
        <f t="shared" si="92"/>
        <v>0</v>
      </c>
      <c r="AB419" s="55">
        <f t="shared" si="93"/>
        <v>15808.759999999995</v>
      </c>
      <c r="AC419" s="54">
        <f t="shared" si="94"/>
        <v>0.12287852741890698</v>
      </c>
      <c r="AD419" s="56">
        <f>INDEX(Assumptions!$B$14:$B$16,MATCH($R419,Assumptions!$A$14:$A$16,0))</f>
        <v>0.12</v>
      </c>
      <c r="AE419" s="56">
        <f>INDEX(Assumptions!$C$14:$C$16,MATCH($R419,Assumptions!$A$14:$A$16,0))</f>
        <v>0.08</v>
      </c>
      <c r="AF419" s="49">
        <f t="shared" si="95"/>
        <v>0</v>
      </c>
      <c r="AG419" s="49">
        <f t="shared" si="96"/>
        <v>0</v>
      </c>
      <c r="AH419" s="55">
        <f t="shared" si="97"/>
        <v>0</v>
      </c>
    </row>
    <row r="420" spans="1:34" x14ac:dyDescent="0.2">
      <c r="A420" s="48" t="s">
        <v>591</v>
      </c>
      <c r="B420" s="48">
        <v>2</v>
      </c>
      <c r="C420" s="48" t="s">
        <v>592</v>
      </c>
      <c r="D420" s="48" t="s">
        <v>527</v>
      </c>
      <c r="E420" s="48" t="s">
        <v>346</v>
      </c>
      <c r="F420" s="48" t="s">
        <v>297</v>
      </c>
      <c r="G420" s="48" t="s">
        <v>302</v>
      </c>
      <c r="H420" s="48" t="s">
        <v>62</v>
      </c>
      <c r="I420" s="48" t="s">
        <v>141</v>
      </c>
      <c r="J420" s="49">
        <v>86</v>
      </c>
      <c r="K420" s="50">
        <v>450</v>
      </c>
      <c r="L420" s="50">
        <v>414.96</v>
      </c>
      <c r="M420" s="48" t="s">
        <v>276</v>
      </c>
      <c r="N420" s="51">
        <v>1</v>
      </c>
      <c r="O420" s="51">
        <v>1</v>
      </c>
      <c r="P420" s="52">
        <v>351.7</v>
      </c>
      <c r="Q420" s="52">
        <v>351.7</v>
      </c>
      <c r="R420" s="53" t="str">
        <f>INDEX(SKU_Master!$D$5:$D$34,MATCH($I420,SKU_Master!$A$5:$A$34,0))</f>
        <v>Monitor</v>
      </c>
      <c r="S420" s="54">
        <f t="shared" si="84"/>
        <v>7.7866666666666751E-2</v>
      </c>
      <c r="T420" s="55">
        <f t="shared" si="85"/>
        <v>38700</v>
      </c>
      <c r="U420" s="55">
        <f t="shared" si="86"/>
        <v>35686.559999999998</v>
      </c>
      <c r="V420" s="55">
        <f t="shared" si="87"/>
        <v>-3013.4400000000023</v>
      </c>
      <c r="W420" s="55">
        <f t="shared" si="88"/>
        <v>35686.559999999998</v>
      </c>
      <c r="X420" s="55">
        <f t="shared" si="89"/>
        <v>0</v>
      </c>
      <c r="Y420" s="55">
        <f t="shared" si="90"/>
        <v>30246.2</v>
      </c>
      <c r="Z420" s="55">
        <f t="shared" si="91"/>
        <v>30246.2</v>
      </c>
      <c r="AA420" s="55">
        <f t="shared" si="92"/>
        <v>0</v>
      </c>
      <c r="AB420" s="55">
        <f t="shared" si="93"/>
        <v>5440.3599999999969</v>
      </c>
      <c r="AC420" s="54">
        <f t="shared" si="94"/>
        <v>0.15244842876421816</v>
      </c>
      <c r="AD420" s="56">
        <f>INDEX(Assumptions!$B$14:$B$16,MATCH($R420,Assumptions!$A$14:$A$16,0))</f>
        <v>0.18</v>
      </c>
      <c r="AE420" s="56">
        <f>INDEX(Assumptions!$C$14:$C$16,MATCH($R420,Assumptions!$A$14:$A$16,0))</f>
        <v>0.12</v>
      </c>
      <c r="AF420" s="49">
        <f t="shared" si="95"/>
        <v>0</v>
      </c>
      <c r="AG420" s="49">
        <f t="shared" si="96"/>
        <v>0</v>
      </c>
      <c r="AH420" s="55">
        <f t="shared" si="97"/>
        <v>983.22080000000278</v>
      </c>
    </row>
    <row r="421" spans="1:34" x14ac:dyDescent="0.2">
      <c r="A421" s="48" t="s">
        <v>591</v>
      </c>
      <c r="B421" s="48">
        <v>3</v>
      </c>
      <c r="C421" s="48" t="s">
        <v>592</v>
      </c>
      <c r="D421" s="48" t="s">
        <v>527</v>
      </c>
      <c r="E421" s="48" t="s">
        <v>346</v>
      </c>
      <c r="F421" s="48" t="s">
        <v>297</v>
      </c>
      <c r="G421" s="48" t="s">
        <v>302</v>
      </c>
      <c r="H421" s="48" t="s">
        <v>62</v>
      </c>
      <c r="I421" s="48" t="s">
        <v>161</v>
      </c>
      <c r="J421" s="49">
        <v>39</v>
      </c>
      <c r="K421" s="50">
        <v>120</v>
      </c>
      <c r="L421" s="50">
        <v>116.59</v>
      </c>
      <c r="M421" s="48" t="s">
        <v>276</v>
      </c>
      <c r="N421" s="51">
        <v>1</v>
      </c>
      <c r="O421" s="51">
        <v>1</v>
      </c>
      <c r="P421" s="52">
        <v>76</v>
      </c>
      <c r="Q421" s="52">
        <v>76</v>
      </c>
      <c r="R421" s="53" t="str">
        <f>INDEX(SKU_Master!$D$5:$D$34,MATCH($I421,SKU_Master!$A$5:$A$34,0))</f>
        <v>Accessory</v>
      </c>
      <c r="S421" s="54">
        <f t="shared" si="84"/>
        <v>2.8416666666666646E-2</v>
      </c>
      <c r="T421" s="55">
        <f t="shared" si="85"/>
        <v>4680</v>
      </c>
      <c r="U421" s="55">
        <f t="shared" si="86"/>
        <v>4547.01</v>
      </c>
      <c r="V421" s="55">
        <f t="shared" si="87"/>
        <v>-132.98999999999978</v>
      </c>
      <c r="W421" s="55">
        <f t="shared" si="88"/>
        <v>4547.01</v>
      </c>
      <c r="X421" s="55">
        <f t="shared" si="89"/>
        <v>0</v>
      </c>
      <c r="Y421" s="55">
        <f t="shared" si="90"/>
        <v>2964</v>
      </c>
      <c r="Z421" s="55">
        <f t="shared" si="91"/>
        <v>2964</v>
      </c>
      <c r="AA421" s="55">
        <f t="shared" si="92"/>
        <v>0</v>
      </c>
      <c r="AB421" s="55">
        <f t="shared" si="93"/>
        <v>1583.0100000000002</v>
      </c>
      <c r="AC421" s="54">
        <f t="shared" si="94"/>
        <v>0.34814306544300544</v>
      </c>
      <c r="AD421" s="56">
        <f>INDEX(Assumptions!$B$14:$B$16,MATCH($R421,Assumptions!$A$14:$A$16,0))</f>
        <v>0.32</v>
      </c>
      <c r="AE421" s="56">
        <f>INDEX(Assumptions!$C$14:$C$16,MATCH($R421,Assumptions!$A$14:$A$16,0))</f>
        <v>0.22</v>
      </c>
      <c r="AF421" s="49">
        <f t="shared" si="95"/>
        <v>0</v>
      </c>
      <c r="AG421" s="49">
        <f t="shared" si="96"/>
        <v>0</v>
      </c>
      <c r="AH421" s="55">
        <f t="shared" si="97"/>
        <v>0</v>
      </c>
    </row>
    <row r="422" spans="1:34" x14ac:dyDescent="0.2">
      <c r="A422" s="48" t="s">
        <v>593</v>
      </c>
      <c r="B422" s="48">
        <v>1</v>
      </c>
      <c r="C422" s="48" t="s">
        <v>579</v>
      </c>
      <c r="D422" s="48" t="s">
        <v>527</v>
      </c>
      <c r="E422" s="48" t="s">
        <v>395</v>
      </c>
      <c r="F422" s="48" t="s">
        <v>280</v>
      </c>
      <c r="G422" s="48" t="s">
        <v>281</v>
      </c>
      <c r="H422" s="48" t="s">
        <v>66</v>
      </c>
      <c r="I422" s="48" t="s">
        <v>106</v>
      </c>
      <c r="J422" s="49">
        <v>17</v>
      </c>
      <c r="K422" s="50">
        <v>1450</v>
      </c>
      <c r="L422" s="50">
        <v>1385.86</v>
      </c>
      <c r="M422" s="48" t="s">
        <v>276</v>
      </c>
      <c r="N422" s="51">
        <v>0.92</v>
      </c>
      <c r="O422" s="51">
        <v>0.91739999999999999</v>
      </c>
      <c r="P422" s="52">
        <v>1318.4</v>
      </c>
      <c r="Q422" s="52">
        <v>1318.4</v>
      </c>
      <c r="R422" s="53" t="str">
        <f>INDEX(SKU_Master!$D$5:$D$34,MATCH($I422,SKU_Master!$A$5:$A$34,0))</f>
        <v>Laptop</v>
      </c>
      <c r="S422" s="54">
        <f t="shared" si="84"/>
        <v>4.4234482758620741E-2</v>
      </c>
      <c r="T422" s="55">
        <f t="shared" si="85"/>
        <v>26793.478260869564</v>
      </c>
      <c r="U422" s="55">
        <f t="shared" si="86"/>
        <v>25608.282608695648</v>
      </c>
      <c r="V422" s="55">
        <f t="shared" si="87"/>
        <v>-1185.1956521739157</v>
      </c>
      <c r="W422" s="55">
        <f t="shared" si="88"/>
        <v>25680.858949204274</v>
      </c>
      <c r="X422" s="55">
        <f t="shared" si="89"/>
        <v>72.576340508625435</v>
      </c>
      <c r="Y422" s="55">
        <f t="shared" si="90"/>
        <v>22412.800000000003</v>
      </c>
      <c r="Z422" s="55">
        <f t="shared" si="91"/>
        <v>22412.800000000003</v>
      </c>
      <c r="AA422" s="55">
        <f t="shared" si="92"/>
        <v>0</v>
      </c>
      <c r="AB422" s="55">
        <f t="shared" si="93"/>
        <v>3268.0589492042709</v>
      </c>
      <c r="AC422" s="54">
        <f t="shared" si="94"/>
        <v>0.12725660600637861</v>
      </c>
      <c r="AD422" s="56">
        <f>INDEX(Assumptions!$B$14:$B$16,MATCH($R422,Assumptions!$A$14:$A$16,0))</f>
        <v>0.12</v>
      </c>
      <c r="AE422" s="56">
        <f>INDEX(Assumptions!$C$14:$C$16,MATCH($R422,Assumptions!$A$14:$A$16,0))</f>
        <v>0.08</v>
      </c>
      <c r="AF422" s="49">
        <f t="shared" si="95"/>
        <v>0</v>
      </c>
      <c r="AG422" s="49">
        <f t="shared" si="96"/>
        <v>0</v>
      </c>
      <c r="AH422" s="55">
        <f t="shared" si="97"/>
        <v>0</v>
      </c>
    </row>
    <row r="423" spans="1:34" x14ac:dyDescent="0.2">
      <c r="A423" s="48" t="s">
        <v>593</v>
      </c>
      <c r="B423" s="48">
        <v>2</v>
      </c>
      <c r="C423" s="48" t="s">
        <v>579</v>
      </c>
      <c r="D423" s="48" t="s">
        <v>527</v>
      </c>
      <c r="E423" s="48" t="s">
        <v>395</v>
      </c>
      <c r="F423" s="48" t="s">
        <v>280</v>
      </c>
      <c r="G423" s="48" t="s">
        <v>281</v>
      </c>
      <c r="H423" s="48" t="s">
        <v>66</v>
      </c>
      <c r="I423" s="48" t="s">
        <v>138</v>
      </c>
      <c r="J423" s="49">
        <v>8</v>
      </c>
      <c r="K423" s="50">
        <v>460</v>
      </c>
      <c r="L423" s="50">
        <v>454.57</v>
      </c>
      <c r="M423" s="48" t="s">
        <v>276</v>
      </c>
      <c r="N423" s="51">
        <v>0.92</v>
      </c>
      <c r="O423" s="51">
        <v>0.91739999999999999</v>
      </c>
      <c r="P423" s="52">
        <v>383.2</v>
      </c>
      <c r="Q423" s="52">
        <v>383.2</v>
      </c>
      <c r="R423" s="53" t="str">
        <f>INDEX(SKU_Master!$D$5:$D$34,MATCH($I423,SKU_Master!$A$5:$A$34,0))</f>
        <v>Monitor</v>
      </c>
      <c r="S423" s="54">
        <f t="shared" si="84"/>
        <v>1.1804347826086969E-2</v>
      </c>
      <c r="T423" s="55">
        <f t="shared" si="85"/>
        <v>4000</v>
      </c>
      <c r="U423" s="55">
        <f t="shared" si="86"/>
        <v>3952.782608695652</v>
      </c>
      <c r="V423" s="55">
        <f t="shared" si="87"/>
        <v>-47.217391304347984</v>
      </c>
      <c r="W423" s="55">
        <f t="shared" si="88"/>
        <v>3963.9851754959668</v>
      </c>
      <c r="X423" s="55">
        <f t="shared" si="89"/>
        <v>11.202566800314798</v>
      </c>
      <c r="Y423" s="55">
        <f t="shared" si="90"/>
        <v>3065.6</v>
      </c>
      <c r="Z423" s="55">
        <f t="shared" si="91"/>
        <v>3065.6</v>
      </c>
      <c r="AA423" s="55">
        <f t="shared" si="92"/>
        <v>0</v>
      </c>
      <c r="AB423" s="55">
        <f t="shared" si="93"/>
        <v>898.38517549596691</v>
      </c>
      <c r="AC423" s="54">
        <f t="shared" si="94"/>
        <v>0.22663686560925711</v>
      </c>
      <c r="AD423" s="56">
        <f>INDEX(Assumptions!$B$14:$B$16,MATCH($R423,Assumptions!$A$14:$A$16,0))</f>
        <v>0.18</v>
      </c>
      <c r="AE423" s="56">
        <f>INDEX(Assumptions!$C$14:$C$16,MATCH($R423,Assumptions!$A$14:$A$16,0))</f>
        <v>0.12</v>
      </c>
      <c r="AF423" s="49">
        <f t="shared" si="95"/>
        <v>0</v>
      </c>
      <c r="AG423" s="49">
        <f t="shared" si="96"/>
        <v>0</v>
      </c>
      <c r="AH423" s="55">
        <f t="shared" si="97"/>
        <v>0</v>
      </c>
    </row>
    <row r="424" spans="1:34" x14ac:dyDescent="0.2">
      <c r="A424" s="48" t="s">
        <v>594</v>
      </c>
      <c r="B424" s="48">
        <v>1</v>
      </c>
      <c r="C424" s="48" t="s">
        <v>583</v>
      </c>
      <c r="D424" s="48" t="s">
        <v>527</v>
      </c>
      <c r="E424" s="48" t="s">
        <v>284</v>
      </c>
      <c r="F424" s="48" t="s">
        <v>274</v>
      </c>
      <c r="G424" s="48" t="s">
        <v>275</v>
      </c>
      <c r="H424" s="48" t="s">
        <v>64</v>
      </c>
      <c r="I424" s="48" t="s">
        <v>93</v>
      </c>
      <c r="J424" s="49">
        <v>9</v>
      </c>
      <c r="K424" s="50">
        <v>1145</v>
      </c>
      <c r="L424" s="50">
        <v>1135.3</v>
      </c>
      <c r="M424" s="48" t="s">
        <v>276</v>
      </c>
      <c r="N424" s="51">
        <v>0.79</v>
      </c>
      <c r="O424" s="51">
        <v>0.78759999999999997</v>
      </c>
      <c r="P424" s="52">
        <v>1210.2</v>
      </c>
      <c r="Q424" s="52">
        <v>1210.2</v>
      </c>
      <c r="R424" s="53" t="str">
        <f>INDEX(SKU_Master!$D$5:$D$34,MATCH($I424,SKU_Master!$A$5:$A$34,0))</f>
        <v>Laptop</v>
      </c>
      <c r="S424" s="54">
        <f t="shared" si="84"/>
        <v>8.4716157205240172E-3</v>
      </c>
      <c r="T424" s="55">
        <f t="shared" si="85"/>
        <v>13044.303797468354</v>
      </c>
      <c r="U424" s="55">
        <f t="shared" si="86"/>
        <v>12933.797468354429</v>
      </c>
      <c r="V424" s="55">
        <f t="shared" si="87"/>
        <v>-110.50632911392495</v>
      </c>
      <c r="W424" s="55">
        <f t="shared" si="88"/>
        <v>12973.209751142711</v>
      </c>
      <c r="X424" s="55">
        <f t="shared" si="89"/>
        <v>39.412282788282027</v>
      </c>
      <c r="Y424" s="55">
        <f t="shared" si="90"/>
        <v>10891.800000000001</v>
      </c>
      <c r="Z424" s="55">
        <f t="shared" si="91"/>
        <v>10891.800000000001</v>
      </c>
      <c r="AA424" s="55">
        <f t="shared" si="92"/>
        <v>0</v>
      </c>
      <c r="AB424" s="55">
        <f t="shared" si="93"/>
        <v>2081.4097511427099</v>
      </c>
      <c r="AC424" s="54">
        <f t="shared" si="94"/>
        <v>0.16043907337267668</v>
      </c>
      <c r="AD424" s="56">
        <f>INDEX(Assumptions!$B$14:$B$16,MATCH($R424,Assumptions!$A$14:$A$16,0))</f>
        <v>0.12</v>
      </c>
      <c r="AE424" s="56">
        <f>INDEX(Assumptions!$C$14:$C$16,MATCH($R424,Assumptions!$A$14:$A$16,0))</f>
        <v>0.08</v>
      </c>
      <c r="AF424" s="49">
        <f t="shared" si="95"/>
        <v>0</v>
      </c>
      <c r="AG424" s="49">
        <f t="shared" si="96"/>
        <v>0</v>
      </c>
      <c r="AH424" s="55">
        <f t="shared" si="97"/>
        <v>0</v>
      </c>
    </row>
    <row r="425" spans="1:34" x14ac:dyDescent="0.2">
      <c r="A425" s="48" t="s">
        <v>594</v>
      </c>
      <c r="B425" s="48">
        <v>2</v>
      </c>
      <c r="C425" s="48" t="s">
        <v>583</v>
      </c>
      <c r="D425" s="48" t="s">
        <v>527</v>
      </c>
      <c r="E425" s="48" t="s">
        <v>284</v>
      </c>
      <c r="F425" s="48" t="s">
        <v>274</v>
      </c>
      <c r="G425" s="48" t="s">
        <v>275</v>
      </c>
      <c r="H425" s="48" t="s">
        <v>64</v>
      </c>
      <c r="I425" s="48" t="s">
        <v>146</v>
      </c>
      <c r="J425" s="49">
        <v>7</v>
      </c>
      <c r="K425" s="50">
        <v>220</v>
      </c>
      <c r="L425" s="50">
        <v>215.73</v>
      </c>
      <c r="M425" s="48" t="s">
        <v>276</v>
      </c>
      <c r="N425" s="51">
        <v>0.79</v>
      </c>
      <c r="O425" s="51">
        <v>0.78759999999999997</v>
      </c>
      <c r="P425" s="52">
        <v>211.8</v>
      </c>
      <c r="Q425" s="52">
        <v>211.8</v>
      </c>
      <c r="R425" s="53" t="str">
        <f>INDEX(SKU_Master!$D$5:$D$34,MATCH($I425,SKU_Master!$A$5:$A$34,0))</f>
        <v>Monitor</v>
      </c>
      <c r="S425" s="54">
        <f t="shared" si="84"/>
        <v>1.9409090909090931E-2</v>
      </c>
      <c r="T425" s="55">
        <f t="shared" si="85"/>
        <v>1949.367088607595</v>
      </c>
      <c r="U425" s="55">
        <f t="shared" si="86"/>
        <v>1911.53164556962</v>
      </c>
      <c r="V425" s="55">
        <f t="shared" si="87"/>
        <v>-37.835443037974983</v>
      </c>
      <c r="W425" s="55">
        <f t="shared" si="88"/>
        <v>1917.3565261554088</v>
      </c>
      <c r="X425" s="55">
        <f t="shared" si="89"/>
        <v>5.8248805857888328</v>
      </c>
      <c r="Y425" s="55">
        <f t="shared" si="90"/>
        <v>1482.6000000000001</v>
      </c>
      <c r="Z425" s="55">
        <f t="shared" si="91"/>
        <v>1482.6000000000001</v>
      </c>
      <c r="AA425" s="55">
        <f t="shared" si="92"/>
        <v>0</v>
      </c>
      <c r="AB425" s="55">
        <f t="shared" si="93"/>
        <v>434.75652615540866</v>
      </c>
      <c r="AC425" s="54">
        <f t="shared" si="94"/>
        <v>0.2267478792935613</v>
      </c>
      <c r="AD425" s="56">
        <f>INDEX(Assumptions!$B$14:$B$16,MATCH($R425,Assumptions!$A$14:$A$16,0))</f>
        <v>0.18</v>
      </c>
      <c r="AE425" s="56">
        <f>INDEX(Assumptions!$C$14:$C$16,MATCH($R425,Assumptions!$A$14:$A$16,0))</f>
        <v>0.12</v>
      </c>
      <c r="AF425" s="49">
        <f t="shared" si="95"/>
        <v>0</v>
      </c>
      <c r="AG425" s="49">
        <f t="shared" si="96"/>
        <v>0</v>
      </c>
      <c r="AH425" s="55">
        <f t="shared" si="97"/>
        <v>0</v>
      </c>
    </row>
    <row r="426" spans="1:34" x14ac:dyDescent="0.2">
      <c r="A426" s="48" t="s">
        <v>594</v>
      </c>
      <c r="B426" s="48">
        <v>3</v>
      </c>
      <c r="C426" s="48" t="s">
        <v>583</v>
      </c>
      <c r="D426" s="48" t="s">
        <v>527</v>
      </c>
      <c r="E426" s="48" t="s">
        <v>284</v>
      </c>
      <c r="F426" s="48" t="s">
        <v>274</v>
      </c>
      <c r="G426" s="48" t="s">
        <v>275</v>
      </c>
      <c r="H426" s="48" t="s">
        <v>64</v>
      </c>
      <c r="I426" s="48" t="s">
        <v>157</v>
      </c>
      <c r="J426" s="49">
        <v>7</v>
      </c>
      <c r="K426" s="50">
        <v>115</v>
      </c>
      <c r="L426" s="50">
        <v>113.02</v>
      </c>
      <c r="M426" s="48" t="s">
        <v>276</v>
      </c>
      <c r="N426" s="51">
        <v>0.79</v>
      </c>
      <c r="O426" s="51">
        <v>0.78759999999999997</v>
      </c>
      <c r="P426" s="52">
        <v>92</v>
      </c>
      <c r="Q426" s="52">
        <v>92</v>
      </c>
      <c r="R426" s="53" t="str">
        <f>INDEX(SKU_Master!$D$5:$D$34,MATCH($I426,SKU_Master!$A$5:$A$34,0))</f>
        <v>Accessory</v>
      </c>
      <c r="S426" s="54">
        <f t="shared" si="84"/>
        <v>1.7217391304347851E-2</v>
      </c>
      <c r="T426" s="55">
        <f t="shared" si="85"/>
        <v>1018.9873417721518</v>
      </c>
      <c r="U426" s="55">
        <f t="shared" si="86"/>
        <v>1001.4430379746835</v>
      </c>
      <c r="V426" s="55">
        <f t="shared" si="87"/>
        <v>-17.544303797468274</v>
      </c>
      <c r="W426" s="55">
        <f t="shared" si="88"/>
        <v>1004.4946673438294</v>
      </c>
      <c r="X426" s="55">
        <f t="shared" si="89"/>
        <v>3.0516293691458714</v>
      </c>
      <c r="Y426" s="55">
        <f t="shared" si="90"/>
        <v>644</v>
      </c>
      <c r="Z426" s="55">
        <f t="shared" si="91"/>
        <v>644</v>
      </c>
      <c r="AA426" s="55">
        <f t="shared" si="92"/>
        <v>0</v>
      </c>
      <c r="AB426" s="55">
        <f t="shared" si="93"/>
        <v>360.49466734382941</v>
      </c>
      <c r="AC426" s="54">
        <f t="shared" si="94"/>
        <v>0.3588816138736507</v>
      </c>
      <c r="AD426" s="56">
        <f>INDEX(Assumptions!$B$14:$B$16,MATCH($R426,Assumptions!$A$14:$A$16,0))</f>
        <v>0.32</v>
      </c>
      <c r="AE426" s="56">
        <f>INDEX(Assumptions!$C$14:$C$16,MATCH($R426,Assumptions!$A$14:$A$16,0))</f>
        <v>0.22</v>
      </c>
      <c r="AF426" s="49">
        <f t="shared" si="95"/>
        <v>0</v>
      </c>
      <c r="AG426" s="49">
        <f t="shared" si="96"/>
        <v>0</v>
      </c>
      <c r="AH426" s="55">
        <f t="shared" si="97"/>
        <v>0</v>
      </c>
    </row>
    <row r="427" spans="1:34" x14ac:dyDescent="0.2">
      <c r="A427" s="48" t="s">
        <v>595</v>
      </c>
      <c r="B427" s="48">
        <v>1</v>
      </c>
      <c r="C427" s="48" t="s">
        <v>534</v>
      </c>
      <c r="D427" s="48" t="s">
        <v>527</v>
      </c>
      <c r="E427" s="48" t="s">
        <v>293</v>
      </c>
      <c r="F427" s="48" t="s">
        <v>274</v>
      </c>
      <c r="G427" s="48" t="s">
        <v>275</v>
      </c>
      <c r="H427" s="48" t="s">
        <v>66</v>
      </c>
      <c r="I427" s="48" t="s">
        <v>108</v>
      </c>
      <c r="J427" s="49">
        <v>8</v>
      </c>
      <c r="K427" s="50">
        <v>1280</v>
      </c>
      <c r="L427" s="50">
        <v>1255</v>
      </c>
      <c r="M427" s="48" t="s">
        <v>276</v>
      </c>
      <c r="N427" s="51">
        <v>0.92</v>
      </c>
      <c r="O427" s="51">
        <v>0.91739999999999999</v>
      </c>
      <c r="P427" s="52">
        <v>1165</v>
      </c>
      <c r="Q427" s="52">
        <v>1165</v>
      </c>
      <c r="R427" s="53" t="str">
        <f>INDEX(SKU_Master!$D$5:$D$34,MATCH($I427,SKU_Master!$A$5:$A$34,0))</f>
        <v>Laptop</v>
      </c>
      <c r="S427" s="54">
        <f t="shared" si="84"/>
        <v>1.953125E-2</v>
      </c>
      <c r="T427" s="55">
        <f t="shared" si="85"/>
        <v>11130.434782608696</v>
      </c>
      <c r="U427" s="55">
        <f t="shared" si="86"/>
        <v>10913.04347826087</v>
      </c>
      <c r="V427" s="55">
        <f t="shared" si="87"/>
        <v>-217.39130434782601</v>
      </c>
      <c r="W427" s="55">
        <f t="shared" si="88"/>
        <v>10943.972095051231</v>
      </c>
      <c r="X427" s="55">
        <f t="shared" si="89"/>
        <v>30.928616790361048</v>
      </c>
      <c r="Y427" s="55">
        <f t="shared" si="90"/>
        <v>9320</v>
      </c>
      <c r="Z427" s="55">
        <f t="shared" si="91"/>
        <v>9320</v>
      </c>
      <c r="AA427" s="55">
        <f t="shared" si="92"/>
        <v>0</v>
      </c>
      <c r="AB427" s="55">
        <f t="shared" si="93"/>
        <v>1623.972095051231</v>
      </c>
      <c r="AC427" s="54">
        <f t="shared" si="94"/>
        <v>0.14838964143426289</v>
      </c>
      <c r="AD427" s="56">
        <f>INDEX(Assumptions!$B$14:$B$16,MATCH($R427,Assumptions!$A$14:$A$16,0))</f>
        <v>0.12</v>
      </c>
      <c r="AE427" s="56">
        <f>INDEX(Assumptions!$C$14:$C$16,MATCH($R427,Assumptions!$A$14:$A$16,0))</f>
        <v>0.08</v>
      </c>
      <c r="AF427" s="49">
        <f t="shared" si="95"/>
        <v>0</v>
      </c>
      <c r="AG427" s="49">
        <f t="shared" si="96"/>
        <v>0</v>
      </c>
      <c r="AH427" s="55">
        <f t="shared" si="97"/>
        <v>0</v>
      </c>
    </row>
    <row r="428" spans="1:34" x14ac:dyDescent="0.2">
      <c r="A428" s="48" t="s">
        <v>595</v>
      </c>
      <c r="B428" s="48">
        <v>2</v>
      </c>
      <c r="C428" s="48" t="s">
        <v>534</v>
      </c>
      <c r="D428" s="48" t="s">
        <v>527</v>
      </c>
      <c r="E428" s="48" t="s">
        <v>293</v>
      </c>
      <c r="F428" s="48" t="s">
        <v>274</v>
      </c>
      <c r="G428" s="48" t="s">
        <v>275</v>
      </c>
      <c r="H428" s="48" t="s">
        <v>66</v>
      </c>
      <c r="I428" s="48" t="s">
        <v>135</v>
      </c>
      <c r="J428" s="49">
        <v>5</v>
      </c>
      <c r="K428" s="50">
        <v>255</v>
      </c>
      <c r="L428" s="50">
        <v>254.84</v>
      </c>
      <c r="M428" s="48" t="s">
        <v>276</v>
      </c>
      <c r="N428" s="51">
        <v>0.92</v>
      </c>
      <c r="O428" s="51">
        <v>0.91739999999999999</v>
      </c>
      <c r="P428" s="52">
        <v>211.7</v>
      </c>
      <c r="Q428" s="52">
        <v>211.7</v>
      </c>
      <c r="R428" s="53" t="str">
        <f>INDEX(SKU_Master!$D$5:$D$34,MATCH($I428,SKU_Master!$A$5:$A$34,0))</f>
        <v>Monitor</v>
      </c>
      <c r="S428" s="54">
        <f t="shared" si="84"/>
        <v>6.2745098039218572E-4</v>
      </c>
      <c r="T428" s="55">
        <f t="shared" si="85"/>
        <v>1385.8695652173913</v>
      </c>
      <c r="U428" s="55">
        <f t="shared" si="86"/>
        <v>1385</v>
      </c>
      <c r="V428" s="55">
        <f t="shared" si="87"/>
        <v>-0.86956521739125492</v>
      </c>
      <c r="W428" s="55">
        <f t="shared" si="88"/>
        <v>1388.9252234575977</v>
      </c>
      <c r="X428" s="55">
        <f t="shared" si="89"/>
        <v>3.9252234575976672</v>
      </c>
      <c r="Y428" s="55">
        <f t="shared" si="90"/>
        <v>1058.5</v>
      </c>
      <c r="Z428" s="55">
        <f t="shared" si="91"/>
        <v>1058.5</v>
      </c>
      <c r="AA428" s="55">
        <f t="shared" si="92"/>
        <v>0</v>
      </c>
      <c r="AB428" s="55">
        <f t="shared" si="93"/>
        <v>330.42522345759767</v>
      </c>
      <c r="AC428" s="54">
        <f t="shared" si="94"/>
        <v>0.23789993721550784</v>
      </c>
      <c r="AD428" s="56">
        <f>INDEX(Assumptions!$B$14:$B$16,MATCH($R428,Assumptions!$A$14:$A$16,0))</f>
        <v>0.18</v>
      </c>
      <c r="AE428" s="56">
        <f>INDEX(Assumptions!$C$14:$C$16,MATCH($R428,Assumptions!$A$14:$A$16,0))</f>
        <v>0.12</v>
      </c>
      <c r="AF428" s="49">
        <f t="shared" si="95"/>
        <v>0</v>
      </c>
      <c r="AG428" s="49">
        <f t="shared" si="96"/>
        <v>0</v>
      </c>
      <c r="AH428" s="55">
        <f t="shared" si="97"/>
        <v>0</v>
      </c>
    </row>
    <row r="429" spans="1:34" x14ac:dyDescent="0.2">
      <c r="A429" s="48" t="s">
        <v>596</v>
      </c>
      <c r="B429" s="48">
        <v>1</v>
      </c>
      <c r="C429" s="48" t="s">
        <v>526</v>
      </c>
      <c r="D429" s="48" t="s">
        <v>527</v>
      </c>
      <c r="E429" s="48" t="s">
        <v>407</v>
      </c>
      <c r="F429" s="48" t="s">
        <v>274</v>
      </c>
      <c r="G429" s="48" t="s">
        <v>302</v>
      </c>
      <c r="H429" s="48" t="s">
        <v>62</v>
      </c>
      <c r="I429" s="48" t="s">
        <v>98</v>
      </c>
      <c r="J429" s="49">
        <v>5</v>
      </c>
      <c r="K429" s="50">
        <v>2085</v>
      </c>
      <c r="L429" s="50">
        <v>1992.94</v>
      </c>
      <c r="M429" s="48" t="s">
        <v>276</v>
      </c>
      <c r="N429" s="51">
        <v>1</v>
      </c>
      <c r="O429" s="51">
        <v>1</v>
      </c>
      <c r="P429" s="52">
        <v>1780.2</v>
      </c>
      <c r="Q429" s="52">
        <v>1780.2</v>
      </c>
      <c r="R429" s="53" t="str">
        <f>INDEX(SKU_Master!$D$5:$D$34,MATCH($I429,SKU_Master!$A$5:$A$34,0))</f>
        <v>Laptop</v>
      </c>
      <c r="S429" s="54">
        <f t="shared" si="84"/>
        <v>4.4153477218225379E-2</v>
      </c>
      <c r="T429" s="55">
        <f t="shared" si="85"/>
        <v>10425</v>
      </c>
      <c r="U429" s="55">
        <f t="shared" si="86"/>
        <v>9964.7000000000007</v>
      </c>
      <c r="V429" s="55">
        <f t="shared" si="87"/>
        <v>-460.29999999999927</v>
      </c>
      <c r="W429" s="55">
        <f t="shared" si="88"/>
        <v>9964.7000000000007</v>
      </c>
      <c r="X429" s="55">
        <f t="shared" si="89"/>
        <v>0</v>
      </c>
      <c r="Y429" s="55">
        <f t="shared" si="90"/>
        <v>8901</v>
      </c>
      <c r="Z429" s="55">
        <f t="shared" si="91"/>
        <v>8901</v>
      </c>
      <c r="AA429" s="55">
        <f t="shared" si="92"/>
        <v>0</v>
      </c>
      <c r="AB429" s="55">
        <f t="shared" si="93"/>
        <v>1063.7000000000007</v>
      </c>
      <c r="AC429" s="54">
        <f t="shared" si="94"/>
        <v>0.10674681626140281</v>
      </c>
      <c r="AD429" s="56">
        <f>INDEX(Assumptions!$B$14:$B$16,MATCH($R429,Assumptions!$A$14:$A$16,0))</f>
        <v>0.12</v>
      </c>
      <c r="AE429" s="56">
        <f>INDEX(Assumptions!$C$14:$C$16,MATCH($R429,Assumptions!$A$14:$A$16,0))</f>
        <v>0.08</v>
      </c>
      <c r="AF429" s="49">
        <f t="shared" si="95"/>
        <v>0</v>
      </c>
      <c r="AG429" s="49">
        <f t="shared" si="96"/>
        <v>0</v>
      </c>
      <c r="AH429" s="55">
        <f t="shared" si="97"/>
        <v>132.0639999999994</v>
      </c>
    </row>
    <row r="430" spans="1:34" x14ac:dyDescent="0.2">
      <c r="A430" s="48" t="s">
        <v>596</v>
      </c>
      <c r="B430" s="48">
        <v>2</v>
      </c>
      <c r="C430" s="48" t="s">
        <v>526</v>
      </c>
      <c r="D430" s="48" t="s">
        <v>527</v>
      </c>
      <c r="E430" s="48" t="s">
        <v>407</v>
      </c>
      <c r="F430" s="48" t="s">
        <v>274</v>
      </c>
      <c r="G430" s="48" t="s">
        <v>302</v>
      </c>
      <c r="H430" s="48" t="s">
        <v>62</v>
      </c>
      <c r="I430" s="48" t="s">
        <v>138</v>
      </c>
      <c r="J430" s="49">
        <v>4</v>
      </c>
      <c r="K430" s="50">
        <v>455</v>
      </c>
      <c r="L430" s="50">
        <v>430.02</v>
      </c>
      <c r="M430" s="48" t="s">
        <v>276</v>
      </c>
      <c r="N430" s="51">
        <v>1</v>
      </c>
      <c r="O430" s="51">
        <v>1</v>
      </c>
      <c r="P430" s="52">
        <v>358.2</v>
      </c>
      <c r="Q430" s="52">
        <v>358.2</v>
      </c>
      <c r="R430" s="53" t="str">
        <f>INDEX(SKU_Master!$D$5:$D$34,MATCH($I430,SKU_Master!$A$5:$A$34,0))</f>
        <v>Monitor</v>
      </c>
      <c r="S430" s="54">
        <f t="shared" si="84"/>
        <v>5.4901098901098955E-2</v>
      </c>
      <c r="T430" s="55">
        <f t="shared" si="85"/>
        <v>1820</v>
      </c>
      <c r="U430" s="55">
        <f t="shared" si="86"/>
        <v>1720.08</v>
      </c>
      <c r="V430" s="55">
        <f t="shared" si="87"/>
        <v>-99.920000000000073</v>
      </c>
      <c r="W430" s="55">
        <f t="shared" si="88"/>
        <v>1720.08</v>
      </c>
      <c r="X430" s="55">
        <f t="shared" si="89"/>
        <v>0</v>
      </c>
      <c r="Y430" s="55">
        <f t="shared" si="90"/>
        <v>1432.8</v>
      </c>
      <c r="Z430" s="55">
        <f t="shared" si="91"/>
        <v>1432.8</v>
      </c>
      <c r="AA430" s="55">
        <f t="shared" si="92"/>
        <v>0</v>
      </c>
      <c r="AB430" s="55">
        <f t="shared" si="93"/>
        <v>287.27999999999997</v>
      </c>
      <c r="AC430" s="54">
        <f t="shared" si="94"/>
        <v>0.16701548765173713</v>
      </c>
      <c r="AD430" s="56">
        <f>INDEX(Assumptions!$B$14:$B$16,MATCH($R430,Assumptions!$A$14:$A$16,0))</f>
        <v>0.18</v>
      </c>
      <c r="AE430" s="56">
        <f>INDEX(Assumptions!$C$14:$C$16,MATCH($R430,Assumptions!$A$14:$A$16,0))</f>
        <v>0.12</v>
      </c>
      <c r="AF430" s="49">
        <f t="shared" si="95"/>
        <v>0</v>
      </c>
      <c r="AG430" s="49">
        <f t="shared" si="96"/>
        <v>0</v>
      </c>
      <c r="AH430" s="55">
        <f t="shared" si="97"/>
        <v>22.334400000000016</v>
      </c>
    </row>
    <row r="431" spans="1:34" x14ac:dyDescent="0.2">
      <c r="A431" s="48" t="s">
        <v>596</v>
      </c>
      <c r="B431" s="48">
        <v>3</v>
      </c>
      <c r="C431" s="48" t="s">
        <v>526</v>
      </c>
      <c r="D431" s="48" t="s">
        <v>527</v>
      </c>
      <c r="E431" s="48" t="s">
        <v>407</v>
      </c>
      <c r="F431" s="48" t="s">
        <v>274</v>
      </c>
      <c r="G431" s="48" t="s">
        <v>302</v>
      </c>
      <c r="H431" s="48" t="s">
        <v>62</v>
      </c>
      <c r="I431" s="48" t="s">
        <v>164</v>
      </c>
      <c r="J431" s="49">
        <v>2</v>
      </c>
      <c r="K431" s="50">
        <v>190</v>
      </c>
      <c r="L431" s="50">
        <v>182.56</v>
      </c>
      <c r="M431" s="48" t="s">
        <v>276</v>
      </c>
      <c r="N431" s="51">
        <v>1</v>
      </c>
      <c r="O431" s="51">
        <v>1</v>
      </c>
      <c r="P431" s="52">
        <v>121</v>
      </c>
      <c r="Q431" s="52">
        <v>121</v>
      </c>
      <c r="R431" s="53" t="str">
        <f>INDEX(SKU_Master!$D$5:$D$34,MATCH($I431,SKU_Master!$A$5:$A$34,0))</f>
        <v>Accessory</v>
      </c>
      <c r="S431" s="54">
        <f t="shared" si="84"/>
        <v>3.9157894736842058E-2</v>
      </c>
      <c r="T431" s="55">
        <f t="shared" si="85"/>
        <v>380</v>
      </c>
      <c r="U431" s="55">
        <f t="shared" si="86"/>
        <v>365.12</v>
      </c>
      <c r="V431" s="55">
        <f t="shared" si="87"/>
        <v>-14.879999999999995</v>
      </c>
      <c r="W431" s="55">
        <f t="shared" si="88"/>
        <v>365.12</v>
      </c>
      <c r="X431" s="55">
        <f t="shared" si="89"/>
        <v>0</v>
      </c>
      <c r="Y431" s="55">
        <f t="shared" si="90"/>
        <v>242</v>
      </c>
      <c r="Z431" s="55">
        <f t="shared" si="91"/>
        <v>242</v>
      </c>
      <c r="AA431" s="55">
        <f t="shared" si="92"/>
        <v>0</v>
      </c>
      <c r="AB431" s="55">
        <f t="shared" si="93"/>
        <v>123.12</v>
      </c>
      <c r="AC431" s="54">
        <f t="shared" si="94"/>
        <v>0.33720420683610869</v>
      </c>
      <c r="AD431" s="56">
        <f>INDEX(Assumptions!$B$14:$B$16,MATCH($R431,Assumptions!$A$14:$A$16,0))</f>
        <v>0.32</v>
      </c>
      <c r="AE431" s="56">
        <f>INDEX(Assumptions!$C$14:$C$16,MATCH($R431,Assumptions!$A$14:$A$16,0))</f>
        <v>0.22</v>
      </c>
      <c r="AF431" s="49">
        <f t="shared" si="95"/>
        <v>0</v>
      </c>
      <c r="AG431" s="49">
        <f t="shared" si="96"/>
        <v>0</v>
      </c>
      <c r="AH431" s="55">
        <f t="shared" si="97"/>
        <v>0</v>
      </c>
    </row>
    <row r="432" spans="1:34" x14ac:dyDescent="0.2">
      <c r="A432" s="48" t="s">
        <v>597</v>
      </c>
      <c r="B432" s="48">
        <v>1</v>
      </c>
      <c r="C432" s="48" t="s">
        <v>598</v>
      </c>
      <c r="D432" s="48" t="s">
        <v>527</v>
      </c>
      <c r="E432" s="48" t="s">
        <v>397</v>
      </c>
      <c r="F432" s="48" t="s">
        <v>280</v>
      </c>
      <c r="G432" s="48" t="s">
        <v>306</v>
      </c>
      <c r="H432" s="48" t="s">
        <v>70</v>
      </c>
      <c r="I432" s="48" t="s">
        <v>93</v>
      </c>
      <c r="J432" s="49">
        <v>21</v>
      </c>
      <c r="K432" s="50">
        <v>134750</v>
      </c>
      <c r="L432" s="50">
        <v>129596.75</v>
      </c>
      <c r="M432" s="48" t="s">
        <v>276</v>
      </c>
      <c r="N432" s="51">
        <v>83.5</v>
      </c>
      <c r="O432" s="51">
        <v>83.595299999999995</v>
      </c>
      <c r="P432" s="52">
        <v>1351.7</v>
      </c>
      <c r="Q432" s="52">
        <v>1371.7</v>
      </c>
      <c r="R432" s="53" t="str">
        <f>INDEX(SKU_Master!$D$5:$D$34,MATCH($I432,SKU_Master!$A$5:$A$34,0))</f>
        <v>Laptop</v>
      </c>
      <c r="S432" s="54">
        <f t="shared" si="84"/>
        <v>3.8243042671614047E-2</v>
      </c>
      <c r="T432" s="55">
        <f t="shared" si="85"/>
        <v>33889.22155688623</v>
      </c>
      <c r="U432" s="55">
        <f t="shared" si="86"/>
        <v>32593.194610778442</v>
      </c>
      <c r="V432" s="55">
        <f t="shared" si="87"/>
        <v>-1296.0269461077878</v>
      </c>
      <c r="W432" s="55">
        <f t="shared" si="88"/>
        <v>32556.037839447912</v>
      </c>
      <c r="X432" s="55">
        <f t="shared" si="89"/>
        <v>-37.156771330530319</v>
      </c>
      <c r="Y432" s="55">
        <f t="shared" si="90"/>
        <v>28385.7</v>
      </c>
      <c r="Z432" s="55">
        <f t="shared" si="91"/>
        <v>28805.7</v>
      </c>
      <c r="AA432" s="55">
        <f t="shared" si="92"/>
        <v>-420</v>
      </c>
      <c r="AB432" s="55">
        <f t="shared" si="93"/>
        <v>3750.3378394479114</v>
      </c>
      <c r="AC432" s="54">
        <f t="shared" si="94"/>
        <v>0.11519638409142204</v>
      </c>
      <c r="AD432" s="56">
        <f>INDEX(Assumptions!$B$14:$B$16,MATCH($R432,Assumptions!$A$14:$A$16,0))</f>
        <v>0.12</v>
      </c>
      <c r="AE432" s="56">
        <f>INDEX(Assumptions!$C$14:$C$16,MATCH($R432,Assumptions!$A$14:$A$16,0))</f>
        <v>0.08</v>
      </c>
      <c r="AF432" s="49">
        <f t="shared" si="95"/>
        <v>0</v>
      </c>
      <c r="AG432" s="49">
        <f t="shared" si="96"/>
        <v>0</v>
      </c>
      <c r="AH432" s="55">
        <f t="shared" si="97"/>
        <v>156.38670128583772</v>
      </c>
    </row>
    <row r="433" spans="1:34" x14ac:dyDescent="0.2">
      <c r="A433" s="48" t="s">
        <v>597</v>
      </c>
      <c r="B433" s="48">
        <v>2</v>
      </c>
      <c r="C433" s="48" t="s">
        <v>598</v>
      </c>
      <c r="D433" s="48" t="s">
        <v>527</v>
      </c>
      <c r="E433" s="48" t="s">
        <v>397</v>
      </c>
      <c r="F433" s="48" t="s">
        <v>280</v>
      </c>
      <c r="G433" s="48" t="s">
        <v>306</v>
      </c>
      <c r="H433" s="48" t="s">
        <v>70</v>
      </c>
      <c r="I433" s="48" t="s">
        <v>146</v>
      </c>
      <c r="J433" s="49">
        <v>18</v>
      </c>
      <c r="K433" s="50">
        <v>26365</v>
      </c>
      <c r="L433" s="50">
        <v>25445.85</v>
      </c>
      <c r="M433" s="48" t="s">
        <v>276</v>
      </c>
      <c r="N433" s="51">
        <v>83.5</v>
      </c>
      <c r="O433" s="51">
        <v>83.595299999999995</v>
      </c>
      <c r="P433" s="52">
        <v>244.05</v>
      </c>
      <c r="Q433" s="52">
        <v>264.05</v>
      </c>
      <c r="R433" s="53" t="str">
        <f>INDEX(SKU_Master!$D$5:$D$34,MATCH($I433,SKU_Master!$A$5:$A$34,0))</f>
        <v>Monitor</v>
      </c>
      <c r="S433" s="54">
        <f t="shared" si="84"/>
        <v>3.4862507111701135E-2</v>
      </c>
      <c r="T433" s="55">
        <f t="shared" si="85"/>
        <v>5683.4730538922158</v>
      </c>
      <c r="U433" s="55">
        <f t="shared" si="86"/>
        <v>5485.3329341317367</v>
      </c>
      <c r="V433" s="55">
        <f t="shared" si="87"/>
        <v>-198.14011976047914</v>
      </c>
      <c r="W433" s="55">
        <f t="shared" si="88"/>
        <v>5479.079565477964</v>
      </c>
      <c r="X433" s="55">
        <f t="shared" si="89"/>
        <v>-6.253368653772668</v>
      </c>
      <c r="Y433" s="55">
        <f t="shared" si="90"/>
        <v>4392.9000000000005</v>
      </c>
      <c r="Z433" s="55">
        <f t="shared" si="91"/>
        <v>4752.9000000000005</v>
      </c>
      <c r="AA433" s="55">
        <f t="shared" si="92"/>
        <v>-360</v>
      </c>
      <c r="AB433" s="55">
        <f t="shared" si="93"/>
        <v>726.17956547796348</v>
      </c>
      <c r="AC433" s="54">
        <f t="shared" si="94"/>
        <v>0.13253678045732406</v>
      </c>
      <c r="AD433" s="56">
        <f>INDEX(Assumptions!$B$14:$B$16,MATCH($R433,Assumptions!$A$14:$A$16,0))</f>
        <v>0.18</v>
      </c>
      <c r="AE433" s="56">
        <f>INDEX(Assumptions!$C$14:$C$16,MATCH($R433,Assumptions!$A$14:$A$16,0))</f>
        <v>0.12</v>
      </c>
      <c r="AF433" s="49">
        <f t="shared" si="95"/>
        <v>0</v>
      </c>
      <c r="AG433" s="49">
        <f t="shared" si="96"/>
        <v>0</v>
      </c>
      <c r="AH433" s="55">
        <f t="shared" si="97"/>
        <v>260.05475630806995</v>
      </c>
    </row>
    <row r="434" spans="1:34" x14ac:dyDescent="0.2">
      <c r="A434" s="48" t="s">
        <v>597</v>
      </c>
      <c r="B434" s="48">
        <v>3</v>
      </c>
      <c r="C434" s="48" t="s">
        <v>598</v>
      </c>
      <c r="D434" s="48" t="s">
        <v>527</v>
      </c>
      <c r="E434" s="48" t="s">
        <v>397</v>
      </c>
      <c r="F434" s="48" t="s">
        <v>280</v>
      </c>
      <c r="G434" s="48" t="s">
        <v>306</v>
      </c>
      <c r="H434" s="48" t="s">
        <v>70</v>
      </c>
      <c r="I434" s="48" t="s">
        <v>166</v>
      </c>
      <c r="J434" s="49">
        <v>25</v>
      </c>
      <c r="K434" s="50">
        <v>25820</v>
      </c>
      <c r="L434" s="50">
        <v>25253.15</v>
      </c>
      <c r="M434" s="48" t="s">
        <v>276</v>
      </c>
      <c r="N434" s="51">
        <v>83.5</v>
      </c>
      <c r="O434" s="51">
        <v>83.595299999999995</v>
      </c>
      <c r="P434" s="52">
        <v>196.32</v>
      </c>
      <c r="Q434" s="52">
        <v>201.32</v>
      </c>
      <c r="R434" s="53" t="str">
        <f>INDEX(SKU_Master!$D$5:$D$34,MATCH($I434,SKU_Master!$A$5:$A$34,0))</f>
        <v>Accessory</v>
      </c>
      <c r="S434" s="54">
        <f t="shared" si="84"/>
        <v>2.1953911696359407E-2</v>
      </c>
      <c r="T434" s="55">
        <f t="shared" si="85"/>
        <v>7730.5389221556889</v>
      </c>
      <c r="U434" s="55">
        <f t="shared" si="86"/>
        <v>7560.8233532934128</v>
      </c>
      <c r="V434" s="55">
        <f t="shared" si="87"/>
        <v>-169.71556886227609</v>
      </c>
      <c r="W434" s="55">
        <f t="shared" si="88"/>
        <v>7552.2038918455946</v>
      </c>
      <c r="X434" s="55">
        <f t="shared" si="89"/>
        <v>-8.6194614478181393</v>
      </c>
      <c r="Y434" s="55">
        <f t="shared" si="90"/>
        <v>4908</v>
      </c>
      <c r="Z434" s="55">
        <f t="shared" si="91"/>
        <v>5033</v>
      </c>
      <c r="AA434" s="55">
        <f t="shared" si="92"/>
        <v>-125</v>
      </c>
      <c r="AB434" s="55">
        <f t="shared" si="93"/>
        <v>2519.2038918455946</v>
      </c>
      <c r="AC434" s="54">
        <f t="shared" si="94"/>
        <v>0.33357201790667701</v>
      </c>
      <c r="AD434" s="56">
        <f>INDEX(Assumptions!$B$14:$B$16,MATCH($R434,Assumptions!$A$14:$A$16,0))</f>
        <v>0.32</v>
      </c>
      <c r="AE434" s="56">
        <f>INDEX(Assumptions!$C$14:$C$16,MATCH($R434,Assumptions!$A$14:$A$16,0))</f>
        <v>0.22</v>
      </c>
      <c r="AF434" s="49">
        <f t="shared" si="95"/>
        <v>0</v>
      </c>
      <c r="AG434" s="49">
        <f t="shared" si="96"/>
        <v>0</v>
      </c>
      <c r="AH434" s="55">
        <f t="shared" si="97"/>
        <v>0</v>
      </c>
    </row>
    <row r="435" spans="1:34" x14ac:dyDescent="0.2">
      <c r="A435" s="48" t="s">
        <v>599</v>
      </c>
      <c r="B435" s="48">
        <v>1</v>
      </c>
      <c r="C435" s="48" t="s">
        <v>530</v>
      </c>
      <c r="D435" s="48" t="s">
        <v>527</v>
      </c>
      <c r="E435" s="48" t="s">
        <v>296</v>
      </c>
      <c r="F435" s="48" t="s">
        <v>297</v>
      </c>
      <c r="G435" s="48" t="s">
        <v>298</v>
      </c>
      <c r="H435" s="48" t="s">
        <v>66</v>
      </c>
      <c r="I435" s="48" t="s">
        <v>98</v>
      </c>
      <c r="J435" s="49">
        <v>25</v>
      </c>
      <c r="K435" s="50">
        <v>1980</v>
      </c>
      <c r="L435" s="50">
        <v>1910.05</v>
      </c>
      <c r="M435" s="48" t="s">
        <v>276</v>
      </c>
      <c r="N435" s="51">
        <v>0.92</v>
      </c>
      <c r="O435" s="51">
        <v>0.91739999999999999</v>
      </c>
      <c r="P435" s="52">
        <v>1800.2</v>
      </c>
      <c r="Q435" s="52">
        <v>1800.2</v>
      </c>
      <c r="R435" s="53" t="str">
        <f>INDEX(SKU_Master!$D$5:$D$34,MATCH($I435,SKU_Master!$A$5:$A$34,0))</f>
        <v>Laptop</v>
      </c>
      <c r="S435" s="54">
        <f t="shared" si="84"/>
        <v>3.532828282828282E-2</v>
      </c>
      <c r="T435" s="55">
        <f t="shared" si="85"/>
        <v>53804.347826086952</v>
      </c>
      <c r="U435" s="55">
        <f t="shared" si="86"/>
        <v>51903.532608695648</v>
      </c>
      <c r="V435" s="55">
        <f t="shared" si="87"/>
        <v>-1900.815217391304</v>
      </c>
      <c r="W435" s="55">
        <f t="shared" si="88"/>
        <v>52050.632221495529</v>
      </c>
      <c r="X435" s="55">
        <f t="shared" si="89"/>
        <v>147.09961279988056</v>
      </c>
      <c r="Y435" s="55">
        <f t="shared" si="90"/>
        <v>45005</v>
      </c>
      <c r="Z435" s="55">
        <f t="shared" si="91"/>
        <v>45005</v>
      </c>
      <c r="AA435" s="55">
        <f t="shared" si="92"/>
        <v>0</v>
      </c>
      <c r="AB435" s="55">
        <f t="shared" si="93"/>
        <v>7045.6322214955289</v>
      </c>
      <c r="AC435" s="54">
        <f t="shared" si="94"/>
        <v>0.13536112667207661</v>
      </c>
      <c r="AD435" s="56">
        <f>INDEX(Assumptions!$B$14:$B$16,MATCH($R435,Assumptions!$A$14:$A$16,0))</f>
        <v>0.12</v>
      </c>
      <c r="AE435" s="56">
        <f>INDEX(Assumptions!$C$14:$C$16,MATCH($R435,Assumptions!$A$14:$A$16,0))</f>
        <v>0.08</v>
      </c>
      <c r="AF435" s="49">
        <f t="shared" si="95"/>
        <v>0</v>
      </c>
      <c r="AG435" s="49">
        <f t="shared" si="96"/>
        <v>0</v>
      </c>
      <c r="AH435" s="55">
        <f t="shared" si="97"/>
        <v>0</v>
      </c>
    </row>
    <row r="436" spans="1:34" x14ac:dyDescent="0.2">
      <c r="A436" s="48" t="s">
        <v>599</v>
      </c>
      <c r="B436" s="48">
        <v>2</v>
      </c>
      <c r="C436" s="48" t="s">
        <v>530</v>
      </c>
      <c r="D436" s="48" t="s">
        <v>527</v>
      </c>
      <c r="E436" s="48" t="s">
        <v>296</v>
      </c>
      <c r="F436" s="48" t="s">
        <v>297</v>
      </c>
      <c r="G436" s="48" t="s">
        <v>298</v>
      </c>
      <c r="H436" s="48" t="s">
        <v>66</v>
      </c>
      <c r="I436" s="48" t="s">
        <v>135</v>
      </c>
      <c r="J436" s="49">
        <v>28</v>
      </c>
      <c r="K436" s="50">
        <v>255</v>
      </c>
      <c r="L436" s="50">
        <v>248.21</v>
      </c>
      <c r="M436" s="48" t="s">
        <v>276</v>
      </c>
      <c r="N436" s="51">
        <v>0.92</v>
      </c>
      <c r="O436" s="51">
        <v>0.91739999999999999</v>
      </c>
      <c r="P436" s="52">
        <v>211.7</v>
      </c>
      <c r="Q436" s="52">
        <v>211.7</v>
      </c>
      <c r="R436" s="53" t="str">
        <f>INDEX(SKU_Master!$D$5:$D$34,MATCH($I436,SKU_Master!$A$5:$A$34,0))</f>
        <v>Monitor</v>
      </c>
      <c r="S436" s="54">
        <f t="shared" si="84"/>
        <v>2.6627450980392098E-2</v>
      </c>
      <c r="T436" s="55">
        <f t="shared" si="85"/>
        <v>7760.869565217391</v>
      </c>
      <c r="U436" s="55">
        <f t="shared" si="86"/>
        <v>7554.217391304348</v>
      </c>
      <c r="V436" s="55">
        <f t="shared" si="87"/>
        <v>-206.65217391304304</v>
      </c>
      <c r="W436" s="55">
        <f t="shared" si="88"/>
        <v>7575.6267713102243</v>
      </c>
      <c r="X436" s="55">
        <f t="shared" si="89"/>
        <v>21.409380005876301</v>
      </c>
      <c r="Y436" s="55">
        <f t="shared" si="90"/>
        <v>5927.5999999999995</v>
      </c>
      <c r="Z436" s="55">
        <f t="shared" si="91"/>
        <v>5927.5999999999995</v>
      </c>
      <c r="AA436" s="55">
        <f t="shared" si="92"/>
        <v>0</v>
      </c>
      <c r="AB436" s="55">
        <f t="shared" si="93"/>
        <v>1648.0267713102248</v>
      </c>
      <c r="AC436" s="54">
        <f t="shared" si="94"/>
        <v>0.21754328995608563</v>
      </c>
      <c r="AD436" s="56">
        <f>INDEX(Assumptions!$B$14:$B$16,MATCH($R436,Assumptions!$A$14:$A$16,0))</f>
        <v>0.18</v>
      </c>
      <c r="AE436" s="56">
        <f>INDEX(Assumptions!$C$14:$C$16,MATCH($R436,Assumptions!$A$14:$A$16,0))</f>
        <v>0.12</v>
      </c>
      <c r="AF436" s="49">
        <f t="shared" si="95"/>
        <v>0</v>
      </c>
      <c r="AG436" s="49">
        <f t="shared" si="96"/>
        <v>0</v>
      </c>
      <c r="AH436" s="55">
        <f t="shared" si="97"/>
        <v>0</v>
      </c>
    </row>
    <row r="437" spans="1:34" x14ac:dyDescent="0.2">
      <c r="A437" s="48" t="s">
        <v>599</v>
      </c>
      <c r="B437" s="48">
        <v>3</v>
      </c>
      <c r="C437" s="48" t="s">
        <v>530</v>
      </c>
      <c r="D437" s="48" t="s">
        <v>527</v>
      </c>
      <c r="E437" s="48" t="s">
        <v>296</v>
      </c>
      <c r="F437" s="48" t="s">
        <v>297</v>
      </c>
      <c r="G437" s="48" t="s">
        <v>298</v>
      </c>
      <c r="H437" s="48" t="s">
        <v>66</v>
      </c>
      <c r="I437" s="48" t="s">
        <v>151</v>
      </c>
      <c r="J437" s="49">
        <v>12</v>
      </c>
      <c r="K437" s="50">
        <v>325</v>
      </c>
      <c r="L437" s="50">
        <v>316.55</v>
      </c>
      <c r="M437" s="48" t="s">
        <v>276</v>
      </c>
      <c r="N437" s="51">
        <v>0.92</v>
      </c>
      <c r="O437" s="51">
        <v>0.91739999999999999</v>
      </c>
      <c r="P437" s="52">
        <v>221.7</v>
      </c>
      <c r="Q437" s="52">
        <v>221.7</v>
      </c>
      <c r="R437" s="53" t="str">
        <f>INDEX(SKU_Master!$D$5:$D$34,MATCH($I437,SKU_Master!$A$5:$A$34,0))</f>
        <v>Accessory</v>
      </c>
      <c r="S437" s="54">
        <f t="shared" si="84"/>
        <v>2.5999999999999912E-2</v>
      </c>
      <c r="T437" s="55">
        <f t="shared" si="85"/>
        <v>4239.1304347826081</v>
      </c>
      <c r="U437" s="55">
        <f t="shared" si="86"/>
        <v>4128.913043478261</v>
      </c>
      <c r="V437" s="55">
        <f t="shared" si="87"/>
        <v>-110.21739130434707</v>
      </c>
      <c r="W437" s="55">
        <f t="shared" si="88"/>
        <v>4140.6147809025515</v>
      </c>
      <c r="X437" s="55">
        <f t="shared" si="89"/>
        <v>11.701737424290513</v>
      </c>
      <c r="Y437" s="55">
        <f t="shared" si="90"/>
        <v>2660.3999999999996</v>
      </c>
      <c r="Z437" s="55">
        <f t="shared" si="91"/>
        <v>2660.3999999999996</v>
      </c>
      <c r="AA437" s="55">
        <f t="shared" si="92"/>
        <v>0</v>
      </c>
      <c r="AB437" s="55">
        <f t="shared" si="93"/>
        <v>1480.2147809025519</v>
      </c>
      <c r="AC437" s="54">
        <f t="shared" si="94"/>
        <v>0.35748671615858496</v>
      </c>
      <c r="AD437" s="56">
        <f>INDEX(Assumptions!$B$14:$B$16,MATCH($R437,Assumptions!$A$14:$A$16,0))</f>
        <v>0.32</v>
      </c>
      <c r="AE437" s="56">
        <f>INDEX(Assumptions!$C$14:$C$16,MATCH($R437,Assumptions!$A$14:$A$16,0))</f>
        <v>0.22</v>
      </c>
      <c r="AF437" s="49">
        <f t="shared" si="95"/>
        <v>0</v>
      </c>
      <c r="AG437" s="49">
        <f t="shared" si="96"/>
        <v>0</v>
      </c>
      <c r="AH437" s="55">
        <f t="shared" si="97"/>
        <v>0</v>
      </c>
    </row>
    <row r="438" spans="1:34" x14ac:dyDescent="0.2">
      <c r="A438" s="48" t="s">
        <v>600</v>
      </c>
      <c r="B438" s="48">
        <v>1</v>
      </c>
      <c r="C438" s="48" t="s">
        <v>548</v>
      </c>
      <c r="D438" s="48" t="s">
        <v>527</v>
      </c>
      <c r="E438" s="48" t="s">
        <v>422</v>
      </c>
      <c r="F438" s="48" t="s">
        <v>280</v>
      </c>
      <c r="G438" s="48" t="s">
        <v>281</v>
      </c>
      <c r="H438" s="48" t="s">
        <v>68</v>
      </c>
      <c r="I438" s="48" t="s">
        <v>103</v>
      </c>
      <c r="J438" s="49">
        <v>11</v>
      </c>
      <c r="K438" s="50">
        <v>1605</v>
      </c>
      <c r="L438" s="50">
        <v>1567.31</v>
      </c>
      <c r="M438" s="48" t="s">
        <v>276</v>
      </c>
      <c r="N438" s="51">
        <v>1.37</v>
      </c>
      <c r="O438" s="51">
        <v>1.3767</v>
      </c>
      <c r="P438" s="52">
        <v>980.6</v>
      </c>
      <c r="Q438" s="52">
        <v>980.6</v>
      </c>
      <c r="R438" s="53" t="str">
        <f>INDEX(SKU_Master!$D$5:$D$34,MATCH($I438,SKU_Master!$A$5:$A$34,0))</f>
        <v>Laptop</v>
      </c>
      <c r="S438" s="54">
        <f t="shared" si="84"/>
        <v>2.3482866043613715E-2</v>
      </c>
      <c r="T438" s="55">
        <f t="shared" si="85"/>
        <v>12886.861313868612</v>
      </c>
      <c r="U438" s="55">
        <f t="shared" si="86"/>
        <v>12584.240875912408</v>
      </c>
      <c r="V438" s="55">
        <f t="shared" si="87"/>
        <v>-302.62043795620411</v>
      </c>
      <c r="W438" s="55">
        <f t="shared" si="88"/>
        <v>12522.997021863877</v>
      </c>
      <c r="X438" s="55">
        <f t="shared" si="89"/>
        <v>-61.24385404853092</v>
      </c>
      <c r="Y438" s="55">
        <f t="shared" si="90"/>
        <v>10786.6</v>
      </c>
      <c r="Z438" s="55">
        <f t="shared" si="91"/>
        <v>10786.6</v>
      </c>
      <c r="AA438" s="55">
        <f t="shared" si="92"/>
        <v>0</v>
      </c>
      <c r="AB438" s="55">
        <f t="shared" si="93"/>
        <v>1736.3970218638769</v>
      </c>
      <c r="AC438" s="54">
        <f t="shared" si="94"/>
        <v>0.1386566665177916</v>
      </c>
      <c r="AD438" s="56">
        <f>INDEX(Assumptions!$B$14:$B$16,MATCH($R438,Assumptions!$A$14:$A$16,0))</f>
        <v>0.12</v>
      </c>
      <c r="AE438" s="56">
        <f>INDEX(Assumptions!$C$14:$C$16,MATCH($R438,Assumptions!$A$14:$A$16,0))</f>
        <v>0.08</v>
      </c>
      <c r="AF438" s="49">
        <f t="shared" si="95"/>
        <v>0</v>
      </c>
      <c r="AG438" s="49">
        <f t="shared" si="96"/>
        <v>0</v>
      </c>
      <c r="AH438" s="55">
        <f t="shared" si="97"/>
        <v>0</v>
      </c>
    </row>
    <row r="439" spans="1:34" x14ac:dyDescent="0.2">
      <c r="A439" s="48" t="s">
        <v>600</v>
      </c>
      <c r="B439" s="48">
        <v>2</v>
      </c>
      <c r="C439" s="48" t="s">
        <v>548</v>
      </c>
      <c r="D439" s="48" t="s">
        <v>527</v>
      </c>
      <c r="E439" s="48" t="s">
        <v>422</v>
      </c>
      <c r="F439" s="48" t="s">
        <v>280</v>
      </c>
      <c r="G439" s="48" t="s">
        <v>281</v>
      </c>
      <c r="H439" s="48" t="s">
        <v>68</v>
      </c>
      <c r="I439" s="48" t="s">
        <v>138</v>
      </c>
      <c r="J439" s="49">
        <v>7</v>
      </c>
      <c r="K439" s="50">
        <v>665</v>
      </c>
      <c r="L439" s="50">
        <v>656.26</v>
      </c>
      <c r="M439" s="48" t="s">
        <v>276</v>
      </c>
      <c r="N439" s="51">
        <v>1.37</v>
      </c>
      <c r="O439" s="51">
        <v>1.3767</v>
      </c>
      <c r="P439" s="52">
        <v>373.2</v>
      </c>
      <c r="Q439" s="52">
        <v>373.2</v>
      </c>
      <c r="R439" s="53" t="str">
        <f>INDEX(SKU_Master!$D$5:$D$34,MATCH($I439,SKU_Master!$A$5:$A$34,0))</f>
        <v>Monitor</v>
      </c>
      <c r="S439" s="54">
        <f t="shared" si="84"/>
        <v>1.3142857142857123E-2</v>
      </c>
      <c r="T439" s="55">
        <f t="shared" si="85"/>
        <v>3397.8102189781021</v>
      </c>
      <c r="U439" s="55">
        <f t="shared" si="86"/>
        <v>3353.1532846715322</v>
      </c>
      <c r="V439" s="55">
        <f t="shared" si="87"/>
        <v>-44.656934306569838</v>
      </c>
      <c r="W439" s="55">
        <f t="shared" si="88"/>
        <v>3336.8344592140625</v>
      </c>
      <c r="X439" s="55">
        <f t="shared" si="89"/>
        <v>-16.318825457469757</v>
      </c>
      <c r="Y439" s="55">
        <f t="shared" si="90"/>
        <v>2612.4</v>
      </c>
      <c r="Z439" s="55">
        <f t="shared" si="91"/>
        <v>2612.4</v>
      </c>
      <c r="AA439" s="55">
        <f t="shared" si="92"/>
        <v>0</v>
      </c>
      <c r="AB439" s="55">
        <f t="shared" si="93"/>
        <v>724.43445921406237</v>
      </c>
      <c r="AC439" s="54">
        <f t="shared" si="94"/>
        <v>0.2171023070124645</v>
      </c>
      <c r="AD439" s="56">
        <f>INDEX(Assumptions!$B$14:$B$16,MATCH($R439,Assumptions!$A$14:$A$16,0))</f>
        <v>0.18</v>
      </c>
      <c r="AE439" s="56">
        <f>INDEX(Assumptions!$C$14:$C$16,MATCH($R439,Assumptions!$A$14:$A$16,0))</f>
        <v>0.12</v>
      </c>
      <c r="AF439" s="49">
        <f t="shared" si="95"/>
        <v>0</v>
      </c>
      <c r="AG439" s="49">
        <f t="shared" si="96"/>
        <v>0</v>
      </c>
      <c r="AH439" s="55">
        <f t="shared" si="97"/>
        <v>0</v>
      </c>
    </row>
    <row r="440" spans="1:34" x14ac:dyDescent="0.2">
      <c r="A440" s="48" t="s">
        <v>600</v>
      </c>
      <c r="B440" s="48">
        <v>3</v>
      </c>
      <c r="C440" s="48" t="s">
        <v>548</v>
      </c>
      <c r="D440" s="48" t="s">
        <v>527</v>
      </c>
      <c r="E440" s="48" t="s">
        <v>422</v>
      </c>
      <c r="F440" s="48" t="s">
        <v>280</v>
      </c>
      <c r="G440" s="48" t="s">
        <v>281</v>
      </c>
      <c r="H440" s="48" t="s">
        <v>68</v>
      </c>
      <c r="I440" s="48" t="s">
        <v>151</v>
      </c>
      <c r="J440" s="49">
        <v>6</v>
      </c>
      <c r="K440" s="50">
        <v>475</v>
      </c>
      <c r="L440" s="50">
        <v>457.67</v>
      </c>
      <c r="M440" s="48" t="s">
        <v>276</v>
      </c>
      <c r="N440" s="51">
        <v>1.37</v>
      </c>
      <c r="O440" s="51">
        <v>1.3767</v>
      </c>
      <c r="P440" s="52">
        <v>219.7</v>
      </c>
      <c r="Q440" s="52">
        <v>219.7</v>
      </c>
      <c r="R440" s="53" t="str">
        <f>INDEX(SKU_Master!$D$5:$D$34,MATCH($I440,SKU_Master!$A$5:$A$34,0))</f>
        <v>Accessory</v>
      </c>
      <c r="S440" s="54">
        <f t="shared" si="84"/>
        <v>3.6484210526315786E-2</v>
      </c>
      <c r="T440" s="55">
        <f t="shared" si="85"/>
        <v>2080.2919708029194</v>
      </c>
      <c r="U440" s="55">
        <f t="shared" si="86"/>
        <v>2004.3941605839414</v>
      </c>
      <c r="V440" s="55">
        <f t="shared" si="87"/>
        <v>-75.897810218978066</v>
      </c>
      <c r="W440" s="55">
        <f t="shared" si="88"/>
        <v>1994.6393549792983</v>
      </c>
      <c r="X440" s="55">
        <f t="shared" si="89"/>
        <v>-9.7548056046430247</v>
      </c>
      <c r="Y440" s="55">
        <f t="shared" si="90"/>
        <v>1318.1999999999998</v>
      </c>
      <c r="Z440" s="55">
        <f t="shared" si="91"/>
        <v>1318.1999999999998</v>
      </c>
      <c r="AA440" s="55">
        <f t="shared" si="92"/>
        <v>0</v>
      </c>
      <c r="AB440" s="55">
        <f t="shared" si="93"/>
        <v>676.43935497929851</v>
      </c>
      <c r="AC440" s="54">
        <f t="shared" si="94"/>
        <v>0.33912865164856781</v>
      </c>
      <c r="AD440" s="56">
        <f>INDEX(Assumptions!$B$14:$B$16,MATCH($R440,Assumptions!$A$14:$A$16,0))</f>
        <v>0.32</v>
      </c>
      <c r="AE440" s="56">
        <f>INDEX(Assumptions!$C$14:$C$16,MATCH($R440,Assumptions!$A$14:$A$16,0))</f>
        <v>0.22</v>
      </c>
      <c r="AF440" s="49">
        <f t="shared" si="95"/>
        <v>0</v>
      </c>
      <c r="AG440" s="49">
        <f t="shared" si="96"/>
        <v>0</v>
      </c>
      <c r="AH440" s="55">
        <f t="shared" si="97"/>
        <v>0</v>
      </c>
    </row>
    <row r="441" spans="1:34" x14ac:dyDescent="0.2">
      <c r="A441" s="48" t="s">
        <v>601</v>
      </c>
      <c r="B441" s="48">
        <v>1</v>
      </c>
      <c r="C441" s="48" t="s">
        <v>561</v>
      </c>
      <c r="D441" s="48" t="s">
        <v>527</v>
      </c>
      <c r="E441" s="48" t="s">
        <v>395</v>
      </c>
      <c r="F441" s="48" t="s">
        <v>280</v>
      </c>
      <c r="G441" s="48" t="s">
        <v>281</v>
      </c>
      <c r="H441" s="48" t="s">
        <v>66</v>
      </c>
      <c r="I441" s="48" t="s">
        <v>108</v>
      </c>
      <c r="J441" s="49">
        <v>29</v>
      </c>
      <c r="K441" s="50">
        <v>1280</v>
      </c>
      <c r="L441" s="50">
        <v>1253.1099999999999</v>
      </c>
      <c r="M441" s="48" t="s">
        <v>276</v>
      </c>
      <c r="N441" s="51">
        <v>0.92</v>
      </c>
      <c r="O441" s="51">
        <v>0.91739999999999999</v>
      </c>
      <c r="P441" s="52">
        <v>1165</v>
      </c>
      <c r="Q441" s="52">
        <v>1165</v>
      </c>
      <c r="R441" s="53" t="str">
        <f>INDEX(SKU_Master!$D$5:$D$34,MATCH($I441,SKU_Master!$A$5:$A$34,0))</f>
        <v>Laptop</v>
      </c>
      <c r="S441" s="54">
        <f t="shared" si="84"/>
        <v>2.1007812500000056E-2</v>
      </c>
      <c r="T441" s="55">
        <f t="shared" si="85"/>
        <v>40347.82608695652</v>
      </c>
      <c r="U441" s="55">
        <f t="shared" si="86"/>
        <v>39500.206521739121</v>
      </c>
      <c r="V441" s="55">
        <f t="shared" si="87"/>
        <v>-847.61956521739921</v>
      </c>
      <c r="W441" s="55">
        <f t="shared" si="88"/>
        <v>39612.153913233044</v>
      </c>
      <c r="X441" s="55">
        <f t="shared" si="89"/>
        <v>111.94739149392262</v>
      </c>
      <c r="Y441" s="55">
        <f t="shared" si="90"/>
        <v>33785</v>
      </c>
      <c r="Z441" s="55">
        <f t="shared" si="91"/>
        <v>33785</v>
      </c>
      <c r="AA441" s="55">
        <f t="shared" si="92"/>
        <v>0</v>
      </c>
      <c r="AB441" s="55">
        <f t="shared" si="93"/>
        <v>5827.1539132330436</v>
      </c>
      <c r="AC441" s="54">
        <f t="shared" si="94"/>
        <v>0.14710520225678497</v>
      </c>
      <c r="AD441" s="56">
        <f>INDEX(Assumptions!$B$14:$B$16,MATCH($R441,Assumptions!$A$14:$A$16,0))</f>
        <v>0.12</v>
      </c>
      <c r="AE441" s="56">
        <f>INDEX(Assumptions!$C$14:$C$16,MATCH($R441,Assumptions!$A$14:$A$16,0))</f>
        <v>0.08</v>
      </c>
      <c r="AF441" s="49">
        <f t="shared" si="95"/>
        <v>0</v>
      </c>
      <c r="AG441" s="49">
        <f t="shared" si="96"/>
        <v>0</v>
      </c>
      <c r="AH441" s="55">
        <f t="shared" si="97"/>
        <v>0</v>
      </c>
    </row>
    <row r="442" spans="1:34" x14ac:dyDescent="0.2">
      <c r="A442" s="48" t="s">
        <v>601</v>
      </c>
      <c r="B442" s="48">
        <v>2</v>
      </c>
      <c r="C442" s="48" t="s">
        <v>561</v>
      </c>
      <c r="D442" s="48" t="s">
        <v>527</v>
      </c>
      <c r="E442" s="48" t="s">
        <v>395</v>
      </c>
      <c r="F442" s="48" t="s">
        <v>280</v>
      </c>
      <c r="G442" s="48" t="s">
        <v>281</v>
      </c>
      <c r="H442" s="48" t="s">
        <v>66</v>
      </c>
      <c r="I442" s="48" t="s">
        <v>166</v>
      </c>
      <c r="J442" s="49">
        <v>29</v>
      </c>
      <c r="K442" s="50">
        <v>255</v>
      </c>
      <c r="L442" s="50">
        <v>244.91</v>
      </c>
      <c r="M442" s="48" t="s">
        <v>276</v>
      </c>
      <c r="N442" s="51">
        <v>0.92</v>
      </c>
      <c r="O442" s="51">
        <v>0.91739999999999999</v>
      </c>
      <c r="P442" s="52">
        <v>174.35</v>
      </c>
      <c r="Q442" s="52">
        <v>174.35</v>
      </c>
      <c r="R442" s="53" t="str">
        <f>INDEX(SKU_Master!$D$5:$D$34,MATCH($I442,SKU_Master!$A$5:$A$34,0))</f>
        <v>Accessory</v>
      </c>
      <c r="S442" s="54">
        <f t="shared" si="84"/>
        <v>3.9568627450980443E-2</v>
      </c>
      <c r="T442" s="55">
        <f t="shared" si="85"/>
        <v>8038.0434782608691</v>
      </c>
      <c r="U442" s="55">
        <f t="shared" si="86"/>
        <v>7719.989130434783</v>
      </c>
      <c r="V442" s="55">
        <f t="shared" si="87"/>
        <v>-318.05434782608609</v>
      </c>
      <c r="W442" s="55">
        <f t="shared" si="88"/>
        <v>7741.8683235230001</v>
      </c>
      <c r="X442" s="55">
        <f t="shared" si="89"/>
        <v>21.879193088217107</v>
      </c>
      <c r="Y442" s="55">
        <f t="shared" si="90"/>
        <v>5056.1499999999996</v>
      </c>
      <c r="Z442" s="55">
        <f t="shared" si="91"/>
        <v>5056.1499999999996</v>
      </c>
      <c r="AA442" s="55">
        <f t="shared" si="92"/>
        <v>0</v>
      </c>
      <c r="AB442" s="55">
        <f t="shared" si="93"/>
        <v>2685.7183235230004</v>
      </c>
      <c r="AC442" s="54">
        <f t="shared" si="94"/>
        <v>0.34690829284226865</v>
      </c>
      <c r="AD442" s="56">
        <f>INDEX(Assumptions!$B$14:$B$16,MATCH($R442,Assumptions!$A$14:$A$16,0))</f>
        <v>0.32</v>
      </c>
      <c r="AE442" s="56">
        <f>INDEX(Assumptions!$C$14:$C$16,MATCH($R442,Assumptions!$A$14:$A$16,0))</f>
        <v>0.22</v>
      </c>
      <c r="AF442" s="49">
        <f t="shared" si="95"/>
        <v>0</v>
      </c>
      <c r="AG442" s="49">
        <f t="shared" si="96"/>
        <v>0</v>
      </c>
      <c r="AH442" s="55">
        <f t="shared" si="97"/>
        <v>0</v>
      </c>
    </row>
    <row r="443" spans="1:34" x14ac:dyDescent="0.2">
      <c r="A443" s="48" t="s">
        <v>602</v>
      </c>
      <c r="B443" s="48">
        <v>1</v>
      </c>
      <c r="C443" s="48" t="s">
        <v>603</v>
      </c>
      <c r="D443" s="48" t="s">
        <v>527</v>
      </c>
      <c r="E443" s="48" t="s">
        <v>279</v>
      </c>
      <c r="F443" s="48" t="s">
        <v>280</v>
      </c>
      <c r="G443" s="48" t="s">
        <v>281</v>
      </c>
      <c r="H443" s="48" t="s">
        <v>64</v>
      </c>
      <c r="I443" s="48" t="s">
        <v>101</v>
      </c>
      <c r="J443" s="49">
        <v>22</v>
      </c>
      <c r="K443" s="50">
        <v>2795</v>
      </c>
      <c r="L443" s="50">
        <v>2676.15</v>
      </c>
      <c r="M443" s="48" t="s">
        <v>276</v>
      </c>
      <c r="N443" s="51">
        <v>0.79</v>
      </c>
      <c r="O443" s="51">
        <v>0.78759999999999997</v>
      </c>
      <c r="P443" s="52">
        <v>2962.5</v>
      </c>
      <c r="Q443" s="52">
        <v>2962.5</v>
      </c>
      <c r="R443" s="53" t="str">
        <f>INDEX(SKU_Master!$D$5:$D$34,MATCH($I443,SKU_Master!$A$5:$A$34,0))</f>
        <v>Laptop</v>
      </c>
      <c r="S443" s="54">
        <f t="shared" si="84"/>
        <v>4.252236135957066E-2</v>
      </c>
      <c r="T443" s="55">
        <f t="shared" si="85"/>
        <v>77835.443037974677</v>
      </c>
      <c r="U443" s="55">
        <f t="shared" si="86"/>
        <v>74525.696202531646</v>
      </c>
      <c r="V443" s="55">
        <f t="shared" si="87"/>
        <v>-3309.7468354430312</v>
      </c>
      <c r="W443" s="55">
        <f t="shared" si="88"/>
        <v>74752.793296089396</v>
      </c>
      <c r="X443" s="55">
        <f t="shared" si="89"/>
        <v>227.09709355774976</v>
      </c>
      <c r="Y443" s="55">
        <f t="shared" si="90"/>
        <v>65175</v>
      </c>
      <c r="Z443" s="55">
        <f t="shared" si="91"/>
        <v>65175</v>
      </c>
      <c r="AA443" s="55">
        <f t="shared" si="92"/>
        <v>0</v>
      </c>
      <c r="AB443" s="55">
        <f t="shared" si="93"/>
        <v>9577.7932960893959</v>
      </c>
      <c r="AC443" s="54">
        <f t="shared" si="94"/>
        <v>0.12812622610840213</v>
      </c>
      <c r="AD443" s="56">
        <f>INDEX(Assumptions!$B$14:$B$16,MATCH($R443,Assumptions!$A$14:$A$16,0))</f>
        <v>0.12</v>
      </c>
      <c r="AE443" s="56">
        <f>INDEX(Assumptions!$C$14:$C$16,MATCH($R443,Assumptions!$A$14:$A$16,0))</f>
        <v>0.08</v>
      </c>
      <c r="AF443" s="49">
        <f t="shared" si="95"/>
        <v>0</v>
      </c>
      <c r="AG443" s="49">
        <f t="shared" si="96"/>
        <v>0</v>
      </c>
      <c r="AH443" s="55">
        <f t="shared" si="97"/>
        <v>0</v>
      </c>
    </row>
    <row r="444" spans="1:34" x14ac:dyDescent="0.2">
      <c r="A444" s="48" t="s">
        <v>602</v>
      </c>
      <c r="B444" s="48">
        <v>2</v>
      </c>
      <c r="C444" s="48" t="s">
        <v>603</v>
      </c>
      <c r="D444" s="48" t="s">
        <v>527</v>
      </c>
      <c r="E444" s="48" t="s">
        <v>279</v>
      </c>
      <c r="F444" s="48" t="s">
        <v>280</v>
      </c>
      <c r="G444" s="48" t="s">
        <v>281</v>
      </c>
      <c r="H444" s="48" t="s">
        <v>64</v>
      </c>
      <c r="I444" s="48" t="s">
        <v>135</v>
      </c>
      <c r="J444" s="49">
        <v>26</v>
      </c>
      <c r="K444" s="50">
        <v>225</v>
      </c>
      <c r="L444" s="50">
        <v>216.69</v>
      </c>
      <c r="M444" s="48" t="s">
        <v>276</v>
      </c>
      <c r="N444" s="51">
        <v>0.79</v>
      </c>
      <c r="O444" s="51">
        <v>0.78759999999999997</v>
      </c>
      <c r="P444" s="52">
        <v>216.7</v>
      </c>
      <c r="Q444" s="52">
        <v>216.7</v>
      </c>
      <c r="R444" s="53" t="str">
        <f>INDEX(SKU_Master!$D$5:$D$34,MATCH($I444,SKU_Master!$A$5:$A$34,0))</f>
        <v>Monitor</v>
      </c>
      <c r="S444" s="54">
        <f t="shared" si="84"/>
        <v>3.6933333333333374E-2</v>
      </c>
      <c r="T444" s="55">
        <f t="shared" si="85"/>
        <v>7405.0632911392404</v>
      </c>
      <c r="U444" s="55">
        <f t="shared" si="86"/>
        <v>7131.5696202531635</v>
      </c>
      <c r="V444" s="55">
        <f t="shared" si="87"/>
        <v>-273.49367088607687</v>
      </c>
      <c r="W444" s="55">
        <f t="shared" si="88"/>
        <v>7153.3011681056369</v>
      </c>
      <c r="X444" s="55">
        <f t="shared" si="89"/>
        <v>21.731547852473341</v>
      </c>
      <c r="Y444" s="55">
        <f t="shared" si="90"/>
        <v>5634.2</v>
      </c>
      <c r="Z444" s="55">
        <f t="shared" si="91"/>
        <v>5634.2</v>
      </c>
      <c r="AA444" s="55">
        <f t="shared" si="92"/>
        <v>0</v>
      </c>
      <c r="AB444" s="55">
        <f t="shared" si="93"/>
        <v>1519.101168105637</v>
      </c>
      <c r="AC444" s="54">
        <f t="shared" si="94"/>
        <v>0.21236365314504588</v>
      </c>
      <c r="AD444" s="56">
        <f>INDEX(Assumptions!$B$14:$B$16,MATCH($R444,Assumptions!$A$14:$A$16,0))</f>
        <v>0.18</v>
      </c>
      <c r="AE444" s="56">
        <f>INDEX(Assumptions!$C$14:$C$16,MATCH($R444,Assumptions!$A$14:$A$16,0))</f>
        <v>0.12</v>
      </c>
      <c r="AF444" s="49">
        <f t="shared" si="95"/>
        <v>0</v>
      </c>
      <c r="AG444" s="49">
        <f t="shared" si="96"/>
        <v>0</v>
      </c>
      <c r="AH444" s="55">
        <f t="shared" si="97"/>
        <v>0</v>
      </c>
    </row>
    <row r="445" spans="1:34" x14ac:dyDescent="0.2">
      <c r="A445" s="48" t="s">
        <v>604</v>
      </c>
      <c r="B445" s="48">
        <v>1</v>
      </c>
      <c r="C445" s="48" t="s">
        <v>571</v>
      </c>
      <c r="D445" s="48" t="s">
        <v>527</v>
      </c>
      <c r="E445" s="48" t="s">
        <v>322</v>
      </c>
      <c r="F445" s="48" t="s">
        <v>274</v>
      </c>
      <c r="G445" s="48" t="s">
        <v>288</v>
      </c>
      <c r="H445" s="48" t="s">
        <v>62</v>
      </c>
      <c r="I445" s="48" t="s">
        <v>113</v>
      </c>
      <c r="J445" s="49">
        <v>2</v>
      </c>
      <c r="K445" s="50">
        <v>1740</v>
      </c>
      <c r="L445" s="50">
        <v>1712.19</v>
      </c>
      <c r="M445" s="48" t="s">
        <v>276</v>
      </c>
      <c r="N445" s="51">
        <v>1</v>
      </c>
      <c r="O445" s="51">
        <v>1</v>
      </c>
      <c r="P445" s="52">
        <v>1484.8</v>
      </c>
      <c r="Q445" s="52">
        <v>1484.8</v>
      </c>
      <c r="R445" s="53" t="str">
        <f>INDEX(SKU_Master!$D$5:$D$34,MATCH($I445,SKU_Master!$A$5:$A$34,0))</f>
        <v>Laptop</v>
      </c>
      <c r="S445" s="54">
        <f t="shared" si="84"/>
        <v>1.5982758620689652E-2</v>
      </c>
      <c r="T445" s="55">
        <f t="shared" si="85"/>
        <v>3480</v>
      </c>
      <c r="U445" s="55">
        <f t="shared" si="86"/>
        <v>3424.38</v>
      </c>
      <c r="V445" s="55">
        <f t="shared" si="87"/>
        <v>-55.619999999999891</v>
      </c>
      <c r="W445" s="55">
        <f t="shared" si="88"/>
        <v>3424.38</v>
      </c>
      <c r="X445" s="55">
        <f t="shared" si="89"/>
        <v>0</v>
      </c>
      <c r="Y445" s="55">
        <f t="shared" si="90"/>
        <v>2969.6</v>
      </c>
      <c r="Z445" s="55">
        <f t="shared" si="91"/>
        <v>2969.6</v>
      </c>
      <c r="AA445" s="55">
        <f t="shared" si="92"/>
        <v>0</v>
      </c>
      <c r="AB445" s="55">
        <f t="shared" si="93"/>
        <v>454.7800000000002</v>
      </c>
      <c r="AC445" s="54">
        <f t="shared" si="94"/>
        <v>0.13280652264059484</v>
      </c>
      <c r="AD445" s="56">
        <f>INDEX(Assumptions!$B$14:$B$16,MATCH($R445,Assumptions!$A$14:$A$16,0))</f>
        <v>0.12</v>
      </c>
      <c r="AE445" s="56">
        <f>INDEX(Assumptions!$C$14:$C$16,MATCH($R445,Assumptions!$A$14:$A$16,0))</f>
        <v>0.08</v>
      </c>
      <c r="AF445" s="49">
        <f t="shared" si="95"/>
        <v>0</v>
      </c>
      <c r="AG445" s="49">
        <f t="shared" si="96"/>
        <v>0</v>
      </c>
      <c r="AH445" s="55">
        <f t="shared" si="97"/>
        <v>0</v>
      </c>
    </row>
    <row r="446" spans="1:34" x14ac:dyDescent="0.2">
      <c r="A446" s="48" t="s">
        <v>604</v>
      </c>
      <c r="B446" s="48">
        <v>2</v>
      </c>
      <c r="C446" s="48" t="s">
        <v>571</v>
      </c>
      <c r="D446" s="48" t="s">
        <v>527</v>
      </c>
      <c r="E446" s="48" t="s">
        <v>322</v>
      </c>
      <c r="F446" s="48" t="s">
        <v>274</v>
      </c>
      <c r="G446" s="48" t="s">
        <v>288</v>
      </c>
      <c r="H446" s="48" t="s">
        <v>62</v>
      </c>
      <c r="I446" s="48" t="s">
        <v>164</v>
      </c>
      <c r="J446" s="49">
        <v>2</v>
      </c>
      <c r="K446" s="50">
        <v>190</v>
      </c>
      <c r="L446" s="50">
        <v>189.63</v>
      </c>
      <c r="M446" s="48" t="s">
        <v>276</v>
      </c>
      <c r="N446" s="51">
        <v>1</v>
      </c>
      <c r="O446" s="51">
        <v>1</v>
      </c>
      <c r="P446" s="52">
        <v>121</v>
      </c>
      <c r="Q446" s="52">
        <v>121</v>
      </c>
      <c r="R446" s="53" t="str">
        <f>INDEX(SKU_Master!$D$5:$D$34,MATCH($I446,SKU_Master!$A$5:$A$34,0))</f>
        <v>Accessory</v>
      </c>
      <c r="S446" s="54">
        <f t="shared" si="84"/>
        <v>1.9473684210526976E-3</v>
      </c>
      <c r="T446" s="55">
        <f t="shared" si="85"/>
        <v>380</v>
      </c>
      <c r="U446" s="55">
        <f t="shared" si="86"/>
        <v>379.26</v>
      </c>
      <c r="V446" s="55">
        <f t="shared" si="87"/>
        <v>-0.74000000000000909</v>
      </c>
      <c r="W446" s="55">
        <f t="shared" si="88"/>
        <v>379.26</v>
      </c>
      <c r="X446" s="55">
        <f t="shared" si="89"/>
        <v>0</v>
      </c>
      <c r="Y446" s="55">
        <f t="shared" si="90"/>
        <v>242</v>
      </c>
      <c r="Z446" s="55">
        <f t="shared" si="91"/>
        <v>242</v>
      </c>
      <c r="AA446" s="55">
        <f t="shared" si="92"/>
        <v>0</v>
      </c>
      <c r="AB446" s="55">
        <f t="shared" si="93"/>
        <v>137.26</v>
      </c>
      <c r="AC446" s="54">
        <f t="shared" si="94"/>
        <v>0.36191530875916256</v>
      </c>
      <c r="AD446" s="56">
        <f>INDEX(Assumptions!$B$14:$B$16,MATCH($R446,Assumptions!$A$14:$A$16,0))</f>
        <v>0.32</v>
      </c>
      <c r="AE446" s="56">
        <f>INDEX(Assumptions!$C$14:$C$16,MATCH($R446,Assumptions!$A$14:$A$16,0))</f>
        <v>0.22</v>
      </c>
      <c r="AF446" s="49">
        <f t="shared" si="95"/>
        <v>0</v>
      </c>
      <c r="AG446" s="49">
        <f t="shared" si="96"/>
        <v>0</v>
      </c>
      <c r="AH446" s="55">
        <f t="shared" si="97"/>
        <v>0</v>
      </c>
    </row>
    <row r="447" spans="1:34" x14ac:dyDescent="0.2">
      <c r="A447" s="48" t="s">
        <v>605</v>
      </c>
      <c r="B447" s="48">
        <v>1</v>
      </c>
      <c r="C447" s="48" t="s">
        <v>548</v>
      </c>
      <c r="D447" s="48" t="s">
        <v>527</v>
      </c>
      <c r="E447" s="48" t="s">
        <v>393</v>
      </c>
      <c r="F447" s="48" t="s">
        <v>274</v>
      </c>
      <c r="G447" s="48" t="s">
        <v>275</v>
      </c>
      <c r="H447" s="48" t="s">
        <v>66</v>
      </c>
      <c r="I447" s="48" t="s">
        <v>98</v>
      </c>
      <c r="J447" s="49">
        <v>7</v>
      </c>
      <c r="K447" s="50">
        <v>1980</v>
      </c>
      <c r="L447" s="50">
        <v>1964.45</v>
      </c>
      <c r="M447" s="48" t="s">
        <v>276</v>
      </c>
      <c r="N447" s="51">
        <v>0.92</v>
      </c>
      <c r="O447" s="51">
        <v>0.91739999999999999</v>
      </c>
      <c r="P447" s="52">
        <v>1800.2</v>
      </c>
      <c r="Q447" s="52">
        <v>1800.2</v>
      </c>
      <c r="R447" s="53" t="str">
        <f>INDEX(SKU_Master!$D$5:$D$34,MATCH($I447,SKU_Master!$A$5:$A$34,0))</f>
        <v>Laptop</v>
      </c>
      <c r="S447" s="54">
        <f t="shared" si="84"/>
        <v>7.8535353535352792E-3</v>
      </c>
      <c r="T447" s="55">
        <f t="shared" si="85"/>
        <v>15065.217391304348</v>
      </c>
      <c r="U447" s="55">
        <f t="shared" si="86"/>
        <v>14946.902173913042</v>
      </c>
      <c r="V447" s="55">
        <f t="shared" si="87"/>
        <v>-118.31521739130585</v>
      </c>
      <c r="W447" s="55">
        <f t="shared" si="88"/>
        <v>14989.263134946588</v>
      </c>
      <c r="X447" s="55">
        <f t="shared" si="89"/>
        <v>42.360961033546118</v>
      </c>
      <c r="Y447" s="55">
        <f t="shared" si="90"/>
        <v>12601.4</v>
      </c>
      <c r="Z447" s="55">
        <f t="shared" si="91"/>
        <v>12601.4</v>
      </c>
      <c r="AA447" s="55">
        <f t="shared" si="92"/>
        <v>0</v>
      </c>
      <c r="AB447" s="55">
        <f t="shared" si="93"/>
        <v>2387.8631349465886</v>
      </c>
      <c r="AC447" s="54">
        <f t="shared" si="94"/>
        <v>0.15930490468069947</v>
      </c>
      <c r="AD447" s="56">
        <f>INDEX(Assumptions!$B$14:$B$16,MATCH($R447,Assumptions!$A$14:$A$16,0))</f>
        <v>0.12</v>
      </c>
      <c r="AE447" s="56">
        <f>INDEX(Assumptions!$C$14:$C$16,MATCH($R447,Assumptions!$A$14:$A$16,0))</f>
        <v>0.08</v>
      </c>
      <c r="AF447" s="49">
        <f t="shared" si="95"/>
        <v>0</v>
      </c>
      <c r="AG447" s="49">
        <f t="shared" si="96"/>
        <v>0</v>
      </c>
      <c r="AH447" s="55">
        <f t="shared" si="97"/>
        <v>0</v>
      </c>
    </row>
    <row r="448" spans="1:34" x14ac:dyDescent="0.2">
      <c r="A448" s="48" t="s">
        <v>605</v>
      </c>
      <c r="B448" s="48">
        <v>2</v>
      </c>
      <c r="C448" s="48" t="s">
        <v>548</v>
      </c>
      <c r="D448" s="48" t="s">
        <v>527</v>
      </c>
      <c r="E448" s="48" t="s">
        <v>393</v>
      </c>
      <c r="F448" s="48" t="s">
        <v>274</v>
      </c>
      <c r="G448" s="48" t="s">
        <v>275</v>
      </c>
      <c r="H448" s="48" t="s">
        <v>66</v>
      </c>
      <c r="I448" s="48" t="s">
        <v>138</v>
      </c>
      <c r="J448" s="49">
        <v>7</v>
      </c>
      <c r="K448" s="50">
        <v>460</v>
      </c>
      <c r="L448" s="50">
        <v>457.51</v>
      </c>
      <c r="M448" s="48" t="s">
        <v>276</v>
      </c>
      <c r="N448" s="51">
        <v>0.92</v>
      </c>
      <c r="O448" s="51">
        <v>0.91739999999999999</v>
      </c>
      <c r="P448" s="52">
        <v>383.2</v>
      </c>
      <c r="Q448" s="52">
        <v>383.2</v>
      </c>
      <c r="R448" s="53" t="str">
        <f>INDEX(SKU_Master!$D$5:$D$34,MATCH($I448,SKU_Master!$A$5:$A$34,0))</f>
        <v>Monitor</v>
      </c>
      <c r="S448" s="54">
        <f t="shared" si="84"/>
        <v>5.4130434782608816E-3</v>
      </c>
      <c r="T448" s="55">
        <f t="shared" si="85"/>
        <v>3500</v>
      </c>
      <c r="U448" s="55">
        <f t="shared" si="86"/>
        <v>3481.0543478260865</v>
      </c>
      <c r="V448" s="55">
        <f t="shared" si="87"/>
        <v>-18.945652173913459</v>
      </c>
      <c r="W448" s="55">
        <f t="shared" si="88"/>
        <v>3490.919991279703</v>
      </c>
      <c r="X448" s="55">
        <f t="shared" si="89"/>
        <v>9.8656434536164852</v>
      </c>
      <c r="Y448" s="55">
        <f t="shared" si="90"/>
        <v>2682.4</v>
      </c>
      <c r="Z448" s="55">
        <f t="shared" si="91"/>
        <v>2682.4</v>
      </c>
      <c r="AA448" s="55">
        <f t="shared" si="92"/>
        <v>0</v>
      </c>
      <c r="AB448" s="55">
        <f t="shared" si="93"/>
        <v>808.51999127970294</v>
      </c>
      <c r="AC448" s="54">
        <f t="shared" si="94"/>
        <v>0.23160656597669982</v>
      </c>
      <c r="AD448" s="56">
        <f>INDEX(Assumptions!$B$14:$B$16,MATCH($R448,Assumptions!$A$14:$A$16,0))</f>
        <v>0.18</v>
      </c>
      <c r="AE448" s="56">
        <f>INDEX(Assumptions!$C$14:$C$16,MATCH($R448,Assumptions!$A$14:$A$16,0))</f>
        <v>0.12</v>
      </c>
      <c r="AF448" s="49">
        <f t="shared" si="95"/>
        <v>0</v>
      </c>
      <c r="AG448" s="49">
        <f t="shared" si="96"/>
        <v>0</v>
      </c>
      <c r="AH448" s="55">
        <f t="shared" si="97"/>
        <v>0</v>
      </c>
    </row>
    <row r="449" spans="1:34" x14ac:dyDescent="0.2">
      <c r="A449" s="48" t="s">
        <v>605</v>
      </c>
      <c r="B449" s="48">
        <v>3</v>
      </c>
      <c r="C449" s="48" t="s">
        <v>548</v>
      </c>
      <c r="D449" s="48" t="s">
        <v>527</v>
      </c>
      <c r="E449" s="48" t="s">
        <v>393</v>
      </c>
      <c r="F449" s="48" t="s">
        <v>274</v>
      </c>
      <c r="G449" s="48" t="s">
        <v>275</v>
      </c>
      <c r="H449" s="48" t="s">
        <v>66</v>
      </c>
      <c r="I449" s="48" t="s">
        <v>173</v>
      </c>
      <c r="J449" s="49">
        <v>5</v>
      </c>
      <c r="K449" s="50">
        <v>60</v>
      </c>
      <c r="L449" s="50">
        <v>59.61</v>
      </c>
      <c r="M449" s="48" t="s">
        <v>276</v>
      </c>
      <c r="N449" s="51">
        <v>0.92</v>
      </c>
      <c r="O449" s="51">
        <v>0.91739999999999999</v>
      </c>
      <c r="P449" s="52">
        <v>39</v>
      </c>
      <c r="Q449" s="52">
        <v>39</v>
      </c>
      <c r="R449" s="53" t="str">
        <f>INDEX(SKU_Master!$D$5:$D$34,MATCH($I449,SKU_Master!$A$5:$A$34,0))</f>
        <v>Accessory</v>
      </c>
      <c r="S449" s="54">
        <f t="shared" si="84"/>
        <v>6.5000000000000613E-3</v>
      </c>
      <c r="T449" s="55">
        <f t="shared" si="85"/>
        <v>326.08695652173913</v>
      </c>
      <c r="U449" s="55">
        <f t="shared" si="86"/>
        <v>323.96739130434781</v>
      </c>
      <c r="V449" s="55">
        <f t="shared" si="87"/>
        <v>-2.1195652173913118</v>
      </c>
      <c r="W449" s="55">
        <f t="shared" si="88"/>
        <v>324.88554610856772</v>
      </c>
      <c r="X449" s="55">
        <f t="shared" si="89"/>
        <v>0.91815480421990969</v>
      </c>
      <c r="Y449" s="55">
        <f t="shared" si="90"/>
        <v>195</v>
      </c>
      <c r="Z449" s="55">
        <f t="shared" si="91"/>
        <v>195</v>
      </c>
      <c r="AA449" s="55">
        <f t="shared" si="92"/>
        <v>0</v>
      </c>
      <c r="AB449" s="55">
        <f t="shared" si="93"/>
        <v>129.88554610856772</v>
      </c>
      <c r="AC449" s="54">
        <f t="shared" si="94"/>
        <v>0.39978862606945148</v>
      </c>
      <c r="AD449" s="56">
        <f>INDEX(Assumptions!$B$14:$B$16,MATCH($R449,Assumptions!$A$14:$A$16,0))</f>
        <v>0.32</v>
      </c>
      <c r="AE449" s="56">
        <f>INDEX(Assumptions!$C$14:$C$16,MATCH($R449,Assumptions!$A$14:$A$16,0))</f>
        <v>0.22</v>
      </c>
      <c r="AF449" s="49">
        <f t="shared" si="95"/>
        <v>0</v>
      </c>
      <c r="AG449" s="49">
        <f t="shared" si="96"/>
        <v>0</v>
      </c>
      <c r="AH449" s="55">
        <f t="shared" si="97"/>
        <v>0</v>
      </c>
    </row>
    <row r="450" spans="1:34" x14ac:dyDescent="0.2">
      <c r="A450" s="48" t="s">
        <v>606</v>
      </c>
      <c r="B450" s="48">
        <v>1</v>
      </c>
      <c r="C450" s="48" t="s">
        <v>583</v>
      </c>
      <c r="D450" s="48" t="s">
        <v>527</v>
      </c>
      <c r="E450" s="48" t="s">
        <v>417</v>
      </c>
      <c r="F450" s="48" t="s">
        <v>280</v>
      </c>
      <c r="G450" s="48" t="s">
        <v>298</v>
      </c>
      <c r="H450" s="48" t="s">
        <v>62</v>
      </c>
      <c r="I450" s="48" t="s">
        <v>108</v>
      </c>
      <c r="J450" s="49">
        <v>17</v>
      </c>
      <c r="K450" s="50">
        <v>1345</v>
      </c>
      <c r="L450" s="50">
        <v>1324.4</v>
      </c>
      <c r="M450" s="48" t="s">
        <v>276</v>
      </c>
      <c r="N450" s="51">
        <v>1</v>
      </c>
      <c r="O450" s="51">
        <v>1</v>
      </c>
      <c r="P450" s="52">
        <v>1145</v>
      </c>
      <c r="Q450" s="52">
        <v>1145</v>
      </c>
      <c r="R450" s="53" t="str">
        <f>INDEX(SKU_Master!$D$5:$D$34,MATCH($I450,SKU_Master!$A$5:$A$34,0))</f>
        <v>Laptop</v>
      </c>
      <c r="S450" s="54">
        <f t="shared" si="84"/>
        <v>1.5315985130111454E-2</v>
      </c>
      <c r="T450" s="55">
        <f t="shared" si="85"/>
        <v>22865</v>
      </c>
      <c r="U450" s="55">
        <f t="shared" si="86"/>
        <v>22514.800000000003</v>
      </c>
      <c r="V450" s="55">
        <f t="shared" si="87"/>
        <v>-350.19999999999709</v>
      </c>
      <c r="W450" s="55">
        <f t="shared" si="88"/>
        <v>22514.800000000003</v>
      </c>
      <c r="X450" s="55">
        <f t="shared" si="89"/>
        <v>0</v>
      </c>
      <c r="Y450" s="55">
        <f t="shared" si="90"/>
        <v>19465</v>
      </c>
      <c r="Z450" s="55">
        <f t="shared" si="91"/>
        <v>19465</v>
      </c>
      <c r="AA450" s="55">
        <f t="shared" si="92"/>
        <v>0</v>
      </c>
      <c r="AB450" s="55">
        <f t="shared" si="93"/>
        <v>3049.8000000000029</v>
      </c>
      <c r="AC450" s="54">
        <f t="shared" si="94"/>
        <v>0.13545756569012393</v>
      </c>
      <c r="AD450" s="56">
        <f>INDEX(Assumptions!$B$14:$B$16,MATCH($R450,Assumptions!$A$14:$A$16,0))</f>
        <v>0.12</v>
      </c>
      <c r="AE450" s="56">
        <f>INDEX(Assumptions!$C$14:$C$16,MATCH($R450,Assumptions!$A$14:$A$16,0))</f>
        <v>0.08</v>
      </c>
      <c r="AF450" s="49">
        <f t="shared" si="95"/>
        <v>0</v>
      </c>
      <c r="AG450" s="49">
        <f t="shared" si="96"/>
        <v>0</v>
      </c>
      <c r="AH450" s="55">
        <f t="shared" si="97"/>
        <v>0</v>
      </c>
    </row>
    <row r="451" spans="1:34" x14ac:dyDescent="0.2">
      <c r="A451" s="48" t="s">
        <v>606</v>
      </c>
      <c r="B451" s="48">
        <v>2</v>
      </c>
      <c r="C451" s="48" t="s">
        <v>583</v>
      </c>
      <c r="D451" s="48" t="s">
        <v>527</v>
      </c>
      <c r="E451" s="48" t="s">
        <v>417</v>
      </c>
      <c r="F451" s="48" t="s">
        <v>280</v>
      </c>
      <c r="G451" s="48" t="s">
        <v>298</v>
      </c>
      <c r="H451" s="48" t="s">
        <v>62</v>
      </c>
      <c r="I451" s="48" t="s">
        <v>138</v>
      </c>
      <c r="J451" s="49">
        <v>14</v>
      </c>
      <c r="K451" s="50">
        <v>455</v>
      </c>
      <c r="L451" s="50">
        <v>443.87</v>
      </c>
      <c r="M451" s="48" t="s">
        <v>276</v>
      </c>
      <c r="N451" s="51">
        <v>1</v>
      </c>
      <c r="O451" s="51">
        <v>1</v>
      </c>
      <c r="P451" s="52">
        <v>358.2</v>
      </c>
      <c r="Q451" s="52">
        <v>358.2</v>
      </c>
      <c r="R451" s="53" t="str">
        <f>INDEX(SKU_Master!$D$5:$D$34,MATCH($I451,SKU_Master!$A$5:$A$34,0))</f>
        <v>Monitor</v>
      </c>
      <c r="S451" s="54">
        <f t="shared" si="84"/>
        <v>2.4461538461538423E-2</v>
      </c>
      <c r="T451" s="55">
        <f t="shared" si="85"/>
        <v>6370</v>
      </c>
      <c r="U451" s="55">
        <f t="shared" si="86"/>
        <v>6214.18</v>
      </c>
      <c r="V451" s="55">
        <f t="shared" si="87"/>
        <v>-155.81999999999971</v>
      </c>
      <c r="W451" s="55">
        <f t="shared" si="88"/>
        <v>6214.18</v>
      </c>
      <c r="X451" s="55">
        <f t="shared" si="89"/>
        <v>0</v>
      </c>
      <c r="Y451" s="55">
        <f t="shared" si="90"/>
        <v>5014.8</v>
      </c>
      <c r="Z451" s="55">
        <f t="shared" si="91"/>
        <v>5014.8</v>
      </c>
      <c r="AA451" s="55">
        <f t="shared" si="92"/>
        <v>0</v>
      </c>
      <c r="AB451" s="55">
        <f t="shared" si="93"/>
        <v>1199.3800000000001</v>
      </c>
      <c r="AC451" s="54">
        <f t="shared" si="94"/>
        <v>0.19300696149773583</v>
      </c>
      <c r="AD451" s="56">
        <f>INDEX(Assumptions!$B$14:$B$16,MATCH($R451,Assumptions!$A$14:$A$16,0))</f>
        <v>0.18</v>
      </c>
      <c r="AE451" s="56">
        <f>INDEX(Assumptions!$C$14:$C$16,MATCH($R451,Assumptions!$A$14:$A$16,0))</f>
        <v>0.12</v>
      </c>
      <c r="AF451" s="49">
        <f t="shared" si="95"/>
        <v>0</v>
      </c>
      <c r="AG451" s="49">
        <f t="shared" si="96"/>
        <v>0</v>
      </c>
      <c r="AH451" s="55">
        <f t="shared" si="97"/>
        <v>0</v>
      </c>
    </row>
    <row r="452" spans="1:34" x14ac:dyDescent="0.2">
      <c r="A452" s="48" t="s">
        <v>606</v>
      </c>
      <c r="B452" s="48">
        <v>3</v>
      </c>
      <c r="C452" s="48" t="s">
        <v>583</v>
      </c>
      <c r="D452" s="48" t="s">
        <v>527</v>
      </c>
      <c r="E452" s="48" t="s">
        <v>417</v>
      </c>
      <c r="F452" s="48" t="s">
        <v>280</v>
      </c>
      <c r="G452" s="48" t="s">
        <v>298</v>
      </c>
      <c r="H452" s="48" t="s">
        <v>62</v>
      </c>
      <c r="I452" s="48" t="s">
        <v>173</v>
      </c>
      <c r="J452" s="49">
        <v>10</v>
      </c>
      <c r="K452" s="50">
        <v>55</v>
      </c>
      <c r="L452" s="50">
        <v>52.58</v>
      </c>
      <c r="M452" s="48" t="s">
        <v>276</v>
      </c>
      <c r="N452" s="51">
        <v>1</v>
      </c>
      <c r="O452" s="51">
        <v>1</v>
      </c>
      <c r="P452" s="52">
        <v>34</v>
      </c>
      <c r="Q452" s="52">
        <v>34</v>
      </c>
      <c r="R452" s="53" t="str">
        <f>INDEX(SKU_Master!$D$5:$D$34,MATCH($I452,SKU_Master!$A$5:$A$34,0))</f>
        <v>Accessory</v>
      </c>
      <c r="S452" s="54">
        <f t="shared" si="84"/>
        <v>4.4000000000000039E-2</v>
      </c>
      <c r="T452" s="55">
        <f t="shared" si="85"/>
        <v>550</v>
      </c>
      <c r="U452" s="55">
        <f t="shared" si="86"/>
        <v>525.79999999999995</v>
      </c>
      <c r="V452" s="55">
        <f t="shared" si="87"/>
        <v>-24.200000000000045</v>
      </c>
      <c r="W452" s="55">
        <f t="shared" si="88"/>
        <v>525.79999999999995</v>
      </c>
      <c r="X452" s="55">
        <f t="shared" si="89"/>
        <v>0</v>
      </c>
      <c r="Y452" s="55">
        <f t="shared" si="90"/>
        <v>340</v>
      </c>
      <c r="Z452" s="55">
        <f t="shared" si="91"/>
        <v>340</v>
      </c>
      <c r="AA452" s="55">
        <f t="shared" si="92"/>
        <v>0</v>
      </c>
      <c r="AB452" s="55">
        <f t="shared" si="93"/>
        <v>185.79999999999995</v>
      </c>
      <c r="AC452" s="54">
        <f t="shared" si="94"/>
        <v>0.35336629897299349</v>
      </c>
      <c r="AD452" s="56">
        <f>INDEX(Assumptions!$B$14:$B$16,MATCH($R452,Assumptions!$A$14:$A$16,0))</f>
        <v>0.32</v>
      </c>
      <c r="AE452" s="56">
        <f>INDEX(Assumptions!$C$14:$C$16,MATCH($R452,Assumptions!$A$14:$A$16,0))</f>
        <v>0.22</v>
      </c>
      <c r="AF452" s="49">
        <f t="shared" si="95"/>
        <v>0</v>
      </c>
      <c r="AG452" s="49">
        <f t="shared" si="96"/>
        <v>0</v>
      </c>
      <c r="AH452" s="55">
        <f t="shared" si="97"/>
        <v>0</v>
      </c>
    </row>
    <row r="453" spans="1:34" x14ac:dyDescent="0.2">
      <c r="A453" s="48" t="s">
        <v>607</v>
      </c>
      <c r="B453" s="48">
        <v>1</v>
      </c>
      <c r="C453" s="48" t="s">
        <v>544</v>
      </c>
      <c r="D453" s="48" t="s">
        <v>527</v>
      </c>
      <c r="E453" s="48" t="s">
        <v>349</v>
      </c>
      <c r="F453" s="48" t="s">
        <v>274</v>
      </c>
      <c r="G453" s="48" t="s">
        <v>275</v>
      </c>
      <c r="H453" s="48" t="s">
        <v>66</v>
      </c>
      <c r="I453" s="48" t="s">
        <v>108</v>
      </c>
      <c r="J453" s="49">
        <v>3</v>
      </c>
      <c r="K453" s="50">
        <v>1280</v>
      </c>
      <c r="L453" s="50">
        <v>1275.6500000000001</v>
      </c>
      <c r="M453" s="48" t="s">
        <v>276</v>
      </c>
      <c r="N453" s="51">
        <v>0.92</v>
      </c>
      <c r="O453" s="51">
        <v>0.91739999999999999</v>
      </c>
      <c r="P453" s="52">
        <v>1165</v>
      </c>
      <c r="Q453" s="52">
        <v>1165</v>
      </c>
      <c r="R453" s="53" t="str">
        <f>INDEX(SKU_Master!$D$5:$D$34,MATCH($I453,SKU_Master!$A$5:$A$34,0))</f>
        <v>Laptop</v>
      </c>
      <c r="S453" s="54">
        <f t="shared" ref="S453:S516" si="98">IF(K453=0,0,1-L453/K453)</f>
        <v>3.3984374999999067E-3</v>
      </c>
      <c r="T453" s="55">
        <f t="shared" ref="T453:T516" si="99">J453*K453/N453</f>
        <v>4173.913043478261</v>
      </c>
      <c r="U453" s="55">
        <f t="shared" ref="U453:U516" si="100">J453*L453/N453</f>
        <v>4159.728260869565</v>
      </c>
      <c r="V453" s="55">
        <f t="shared" ref="V453:V516" si="101">U453-T453</f>
        <v>-14.184782608695969</v>
      </c>
      <c r="W453" s="55">
        <f t="shared" ref="W453:W516" si="102">J453*L453/O453</f>
        <v>4171.5173315892744</v>
      </c>
      <c r="X453" s="55">
        <f t="shared" ref="X453:X516" si="103">W453-U453</f>
        <v>11.789070719709343</v>
      </c>
      <c r="Y453" s="55">
        <f t="shared" ref="Y453:Y516" si="104">J453*P453</f>
        <v>3495</v>
      </c>
      <c r="Z453" s="55">
        <f t="shared" ref="Z453:Z516" si="105">J453*Q453</f>
        <v>3495</v>
      </c>
      <c r="AA453" s="55">
        <f t="shared" ref="AA453:AA516" si="106">Y453-Z453</f>
        <v>0</v>
      </c>
      <c r="AB453" s="55">
        <f t="shared" ref="AB453:AB516" si="107">W453-Z453</f>
        <v>676.51733158927436</v>
      </c>
      <c r="AC453" s="54">
        <f t="shared" ref="AC453:AC516" si="108">IF(W453=0,0,AB453/W453)</f>
        <v>0.16217536158037085</v>
      </c>
      <c r="AD453" s="56">
        <f>INDEX(Assumptions!$B$14:$B$16,MATCH($R453,Assumptions!$A$14:$A$16,0))</f>
        <v>0.12</v>
      </c>
      <c r="AE453" s="56">
        <f>INDEX(Assumptions!$C$14:$C$16,MATCH($R453,Assumptions!$A$14:$A$16,0))</f>
        <v>0.08</v>
      </c>
      <c r="AF453" s="49">
        <f t="shared" ref="AF453:AF516" si="109">IF(AC453&lt;AE453,1,0)</f>
        <v>0</v>
      </c>
      <c r="AG453" s="49">
        <f t="shared" ref="AG453:AG516" si="110">IF(AND(AF453=1,M453="N"),1,0)</f>
        <v>0</v>
      </c>
      <c r="AH453" s="55">
        <f t="shared" ref="AH453:AH516" si="111">MAX(0,W453*AD453-AB453)</f>
        <v>0</v>
      </c>
    </row>
    <row r="454" spans="1:34" x14ac:dyDescent="0.2">
      <c r="A454" s="48" t="s">
        <v>608</v>
      </c>
      <c r="B454" s="48">
        <v>1</v>
      </c>
      <c r="C454" s="48" t="s">
        <v>566</v>
      </c>
      <c r="D454" s="48" t="s">
        <v>527</v>
      </c>
      <c r="E454" s="48" t="s">
        <v>309</v>
      </c>
      <c r="F454" s="48" t="s">
        <v>280</v>
      </c>
      <c r="G454" s="48" t="s">
        <v>298</v>
      </c>
      <c r="H454" s="48" t="s">
        <v>70</v>
      </c>
      <c r="I454" s="48" t="s">
        <v>123</v>
      </c>
      <c r="J454" s="49">
        <v>25</v>
      </c>
      <c r="K454" s="50">
        <v>141725</v>
      </c>
      <c r="L454" s="50">
        <v>139736.38</v>
      </c>
      <c r="M454" s="48" t="s">
        <v>276</v>
      </c>
      <c r="N454" s="51">
        <v>83.5</v>
      </c>
      <c r="O454" s="51">
        <v>83.595299999999995</v>
      </c>
      <c r="P454" s="52">
        <v>1421.69</v>
      </c>
      <c r="Q454" s="52">
        <v>1441.69</v>
      </c>
      <c r="R454" s="53" t="str">
        <f>INDEX(SKU_Master!$D$5:$D$34,MATCH($I454,SKU_Master!$A$5:$A$34,0))</f>
        <v>Laptop</v>
      </c>
      <c r="S454" s="54">
        <f t="shared" si="98"/>
        <v>1.4031539954136529E-2</v>
      </c>
      <c r="T454" s="55">
        <f t="shared" si="99"/>
        <v>42432.634730538921</v>
      </c>
      <c r="U454" s="55">
        <f t="shared" si="100"/>
        <v>41837.239520958086</v>
      </c>
      <c r="V454" s="55">
        <f t="shared" si="101"/>
        <v>-595.39520958083449</v>
      </c>
      <c r="W454" s="55">
        <f t="shared" si="102"/>
        <v>41789.544388261063</v>
      </c>
      <c r="X454" s="55">
        <f t="shared" si="103"/>
        <v>-47.695132697022927</v>
      </c>
      <c r="Y454" s="55">
        <f t="shared" si="104"/>
        <v>35542.25</v>
      </c>
      <c r="Z454" s="55">
        <f t="shared" si="105"/>
        <v>36042.25</v>
      </c>
      <c r="AA454" s="55">
        <f t="shared" si="106"/>
        <v>-500</v>
      </c>
      <c r="AB454" s="55">
        <f t="shared" si="107"/>
        <v>5747.2943882610634</v>
      </c>
      <c r="AC454" s="54">
        <f t="shared" si="108"/>
        <v>0.13752948189297592</v>
      </c>
      <c r="AD454" s="56">
        <f>INDEX(Assumptions!$B$14:$B$16,MATCH($R454,Assumptions!$A$14:$A$16,0))</f>
        <v>0.12</v>
      </c>
      <c r="AE454" s="56">
        <f>INDEX(Assumptions!$C$14:$C$16,MATCH($R454,Assumptions!$A$14:$A$16,0))</f>
        <v>0.08</v>
      </c>
      <c r="AF454" s="49">
        <f t="shared" si="109"/>
        <v>0</v>
      </c>
      <c r="AG454" s="49">
        <f t="shared" si="110"/>
        <v>0</v>
      </c>
      <c r="AH454" s="55">
        <f t="shared" si="111"/>
        <v>0</v>
      </c>
    </row>
    <row r="455" spans="1:34" x14ac:dyDescent="0.2">
      <c r="A455" s="48" t="s">
        <v>608</v>
      </c>
      <c r="B455" s="48">
        <v>2</v>
      </c>
      <c r="C455" s="48" t="s">
        <v>566</v>
      </c>
      <c r="D455" s="48" t="s">
        <v>527</v>
      </c>
      <c r="E455" s="48" t="s">
        <v>309</v>
      </c>
      <c r="F455" s="48" t="s">
        <v>280</v>
      </c>
      <c r="G455" s="48" t="s">
        <v>298</v>
      </c>
      <c r="H455" s="48" t="s">
        <v>70</v>
      </c>
      <c r="I455" s="48" t="s">
        <v>161</v>
      </c>
      <c r="J455" s="49">
        <v>24</v>
      </c>
      <c r="K455" s="50">
        <v>12195</v>
      </c>
      <c r="L455" s="50">
        <v>12047.93</v>
      </c>
      <c r="M455" s="48" t="s">
        <v>276</v>
      </c>
      <c r="N455" s="51">
        <v>83.5</v>
      </c>
      <c r="O455" s="51">
        <v>83.595299999999995</v>
      </c>
      <c r="P455" s="52">
        <v>92.7</v>
      </c>
      <c r="Q455" s="52">
        <v>97.7</v>
      </c>
      <c r="R455" s="53" t="str">
        <f>INDEX(SKU_Master!$D$5:$D$34,MATCH($I455,SKU_Master!$A$5:$A$34,0))</f>
        <v>Accessory</v>
      </c>
      <c r="S455" s="54">
        <f t="shared" si="98"/>
        <v>1.2059860598605976E-2</v>
      </c>
      <c r="T455" s="55">
        <f t="shared" si="99"/>
        <v>3505.1497005988026</v>
      </c>
      <c r="U455" s="55">
        <f t="shared" si="100"/>
        <v>3462.8780838323355</v>
      </c>
      <c r="V455" s="55">
        <f t="shared" si="101"/>
        <v>-42.271616766467105</v>
      </c>
      <c r="W455" s="55">
        <f t="shared" si="102"/>
        <v>3458.9303465625462</v>
      </c>
      <c r="X455" s="55">
        <f t="shared" si="103"/>
        <v>-3.9477372697892861</v>
      </c>
      <c r="Y455" s="55">
        <f t="shared" si="104"/>
        <v>2224.8000000000002</v>
      </c>
      <c r="Z455" s="55">
        <f t="shared" si="105"/>
        <v>2344.8000000000002</v>
      </c>
      <c r="AA455" s="55">
        <f t="shared" si="106"/>
        <v>-120</v>
      </c>
      <c r="AB455" s="55">
        <f t="shared" si="107"/>
        <v>1114.130346562546</v>
      </c>
      <c r="AC455" s="54">
        <f t="shared" si="108"/>
        <v>0.3221025678270043</v>
      </c>
      <c r="AD455" s="56">
        <f>INDEX(Assumptions!$B$14:$B$16,MATCH($R455,Assumptions!$A$14:$A$16,0))</f>
        <v>0.32</v>
      </c>
      <c r="AE455" s="56">
        <f>INDEX(Assumptions!$C$14:$C$16,MATCH($R455,Assumptions!$A$14:$A$16,0))</f>
        <v>0.22</v>
      </c>
      <c r="AF455" s="49">
        <f t="shared" si="109"/>
        <v>0</v>
      </c>
      <c r="AG455" s="49">
        <f t="shared" si="110"/>
        <v>0</v>
      </c>
      <c r="AH455" s="55">
        <f t="shared" si="111"/>
        <v>0</v>
      </c>
    </row>
    <row r="456" spans="1:34" x14ac:dyDescent="0.2">
      <c r="A456" s="48" t="s">
        <v>609</v>
      </c>
      <c r="B456" s="48">
        <v>1</v>
      </c>
      <c r="C456" s="48" t="s">
        <v>561</v>
      </c>
      <c r="D456" s="48" t="s">
        <v>527</v>
      </c>
      <c r="E456" s="48" t="s">
        <v>422</v>
      </c>
      <c r="F456" s="48" t="s">
        <v>280</v>
      </c>
      <c r="G456" s="48" t="s">
        <v>281</v>
      </c>
      <c r="H456" s="48" t="s">
        <v>68</v>
      </c>
      <c r="I456" s="48" t="s">
        <v>98</v>
      </c>
      <c r="J456" s="49">
        <v>17</v>
      </c>
      <c r="K456" s="50">
        <v>2935</v>
      </c>
      <c r="L456" s="50">
        <v>2837.55</v>
      </c>
      <c r="M456" s="48" t="s">
        <v>276</v>
      </c>
      <c r="N456" s="51">
        <v>1.37</v>
      </c>
      <c r="O456" s="51">
        <v>1.3767</v>
      </c>
      <c r="P456" s="52">
        <v>1792.2</v>
      </c>
      <c r="Q456" s="52">
        <v>1792.2</v>
      </c>
      <c r="R456" s="53" t="str">
        <f>INDEX(SKU_Master!$D$5:$D$34,MATCH($I456,SKU_Master!$A$5:$A$34,0))</f>
        <v>Laptop</v>
      </c>
      <c r="S456" s="54">
        <f t="shared" si="98"/>
        <v>3.3202725724020388E-2</v>
      </c>
      <c r="T456" s="55">
        <f t="shared" si="99"/>
        <v>36419.708029197078</v>
      </c>
      <c r="U456" s="55">
        <f t="shared" si="100"/>
        <v>35210.474452554743</v>
      </c>
      <c r="V456" s="55">
        <f t="shared" si="101"/>
        <v>-1209.2335766423348</v>
      </c>
      <c r="W456" s="55">
        <f t="shared" si="102"/>
        <v>35039.115275659191</v>
      </c>
      <c r="X456" s="55">
        <f t="shared" si="103"/>
        <v>-171.35917689555208</v>
      </c>
      <c r="Y456" s="55">
        <f t="shared" si="104"/>
        <v>30467.4</v>
      </c>
      <c r="Z456" s="55">
        <f t="shared" si="105"/>
        <v>30467.4</v>
      </c>
      <c r="AA456" s="55">
        <f t="shared" si="106"/>
        <v>0</v>
      </c>
      <c r="AB456" s="55">
        <f t="shared" si="107"/>
        <v>4571.7152756591895</v>
      </c>
      <c r="AC456" s="54">
        <f t="shared" si="108"/>
        <v>0.13047462071152943</v>
      </c>
      <c r="AD456" s="56">
        <f>INDEX(Assumptions!$B$14:$B$16,MATCH($R456,Assumptions!$A$14:$A$16,0))</f>
        <v>0.12</v>
      </c>
      <c r="AE456" s="56">
        <f>INDEX(Assumptions!$C$14:$C$16,MATCH($R456,Assumptions!$A$14:$A$16,0))</f>
        <v>0.08</v>
      </c>
      <c r="AF456" s="49">
        <f t="shared" si="109"/>
        <v>0</v>
      </c>
      <c r="AG456" s="49">
        <f t="shared" si="110"/>
        <v>0</v>
      </c>
      <c r="AH456" s="55">
        <f t="shared" si="111"/>
        <v>0</v>
      </c>
    </row>
    <row r="457" spans="1:34" x14ac:dyDescent="0.2">
      <c r="A457" s="48" t="s">
        <v>609</v>
      </c>
      <c r="B457" s="48">
        <v>2</v>
      </c>
      <c r="C457" s="48" t="s">
        <v>561</v>
      </c>
      <c r="D457" s="48" t="s">
        <v>527</v>
      </c>
      <c r="E457" s="48" t="s">
        <v>422</v>
      </c>
      <c r="F457" s="48" t="s">
        <v>280</v>
      </c>
      <c r="G457" s="48" t="s">
        <v>281</v>
      </c>
      <c r="H457" s="48" t="s">
        <v>68</v>
      </c>
      <c r="I457" s="48" t="s">
        <v>151</v>
      </c>
      <c r="J457" s="49">
        <v>19</v>
      </c>
      <c r="K457" s="50">
        <v>475</v>
      </c>
      <c r="L457" s="50">
        <v>455.38</v>
      </c>
      <c r="M457" s="48" t="s">
        <v>276</v>
      </c>
      <c r="N457" s="51">
        <v>1.37</v>
      </c>
      <c r="O457" s="51">
        <v>1.3767</v>
      </c>
      <c r="P457" s="52">
        <v>219.7</v>
      </c>
      <c r="Q457" s="52">
        <v>219.7</v>
      </c>
      <c r="R457" s="53" t="str">
        <f>INDEX(SKU_Master!$D$5:$D$34,MATCH($I457,SKU_Master!$A$5:$A$34,0))</f>
        <v>Accessory</v>
      </c>
      <c r="S457" s="54">
        <f t="shared" si="98"/>
        <v>4.1305263157894734E-2</v>
      </c>
      <c r="T457" s="55">
        <f t="shared" si="99"/>
        <v>6587.5912408759123</v>
      </c>
      <c r="U457" s="55">
        <f t="shared" si="100"/>
        <v>6315.4890510948899</v>
      </c>
      <c r="V457" s="55">
        <f t="shared" si="101"/>
        <v>-272.10218978102239</v>
      </c>
      <c r="W457" s="55">
        <f t="shared" si="102"/>
        <v>6284.7533958015538</v>
      </c>
      <c r="X457" s="55">
        <f t="shared" si="103"/>
        <v>-30.735655293336094</v>
      </c>
      <c r="Y457" s="55">
        <f t="shared" si="104"/>
        <v>4174.3</v>
      </c>
      <c r="Z457" s="55">
        <f t="shared" si="105"/>
        <v>4174.3</v>
      </c>
      <c r="AA457" s="55">
        <f t="shared" si="106"/>
        <v>0</v>
      </c>
      <c r="AB457" s="55">
        <f t="shared" si="107"/>
        <v>2110.4533958015536</v>
      </c>
      <c r="AC457" s="54">
        <f t="shared" si="108"/>
        <v>0.33580528349949484</v>
      </c>
      <c r="AD457" s="56">
        <f>INDEX(Assumptions!$B$14:$B$16,MATCH($R457,Assumptions!$A$14:$A$16,0))</f>
        <v>0.32</v>
      </c>
      <c r="AE457" s="56">
        <f>INDEX(Assumptions!$C$14:$C$16,MATCH($R457,Assumptions!$A$14:$A$16,0))</f>
        <v>0.22</v>
      </c>
      <c r="AF457" s="49">
        <f t="shared" si="109"/>
        <v>0</v>
      </c>
      <c r="AG457" s="49">
        <f t="shared" si="110"/>
        <v>0</v>
      </c>
      <c r="AH457" s="55">
        <f t="shared" si="111"/>
        <v>0</v>
      </c>
    </row>
    <row r="458" spans="1:34" x14ac:dyDescent="0.2">
      <c r="A458" s="48" t="s">
        <v>610</v>
      </c>
      <c r="B458" s="48">
        <v>1</v>
      </c>
      <c r="C458" s="48" t="s">
        <v>548</v>
      </c>
      <c r="D458" s="48" t="s">
        <v>527</v>
      </c>
      <c r="E458" s="48" t="s">
        <v>366</v>
      </c>
      <c r="F458" s="48" t="s">
        <v>297</v>
      </c>
      <c r="G458" s="48" t="s">
        <v>302</v>
      </c>
      <c r="H458" s="48" t="s">
        <v>66</v>
      </c>
      <c r="I458" s="48" t="s">
        <v>113</v>
      </c>
      <c r="J458" s="49">
        <v>27</v>
      </c>
      <c r="K458" s="50">
        <v>1655</v>
      </c>
      <c r="L458" s="50">
        <v>1565.31</v>
      </c>
      <c r="M458" s="48" t="s">
        <v>276</v>
      </c>
      <c r="N458" s="51">
        <v>0.92</v>
      </c>
      <c r="O458" s="51">
        <v>0.91739999999999999</v>
      </c>
      <c r="P458" s="52">
        <v>1504.8</v>
      </c>
      <c r="Q458" s="52">
        <v>1504.8</v>
      </c>
      <c r="R458" s="53" t="str">
        <f>INDEX(SKU_Master!$D$5:$D$34,MATCH($I458,SKU_Master!$A$5:$A$34,0))</f>
        <v>Laptop</v>
      </c>
      <c r="S458" s="54">
        <f t="shared" si="98"/>
        <v>5.4193353474320305E-2</v>
      </c>
      <c r="T458" s="55">
        <f t="shared" si="99"/>
        <v>48570.65217391304</v>
      </c>
      <c r="U458" s="55">
        <f t="shared" si="100"/>
        <v>45938.445652173905</v>
      </c>
      <c r="V458" s="55">
        <f t="shared" si="101"/>
        <v>-2632.2065217391355</v>
      </c>
      <c r="W458" s="55">
        <f t="shared" si="102"/>
        <v>46068.639633747545</v>
      </c>
      <c r="X458" s="55">
        <f t="shared" si="103"/>
        <v>130.19398157364049</v>
      </c>
      <c r="Y458" s="55">
        <f t="shared" si="104"/>
        <v>40629.599999999999</v>
      </c>
      <c r="Z458" s="55">
        <f t="shared" si="105"/>
        <v>40629.599999999999</v>
      </c>
      <c r="AA458" s="55">
        <f t="shared" si="106"/>
        <v>0</v>
      </c>
      <c r="AB458" s="55">
        <f t="shared" si="107"/>
        <v>5439.0396337475468</v>
      </c>
      <c r="AC458" s="54">
        <f t="shared" si="108"/>
        <v>0.1180638212239109</v>
      </c>
      <c r="AD458" s="56">
        <f>INDEX(Assumptions!$B$14:$B$16,MATCH($R458,Assumptions!$A$14:$A$16,0))</f>
        <v>0.12</v>
      </c>
      <c r="AE458" s="56">
        <f>INDEX(Assumptions!$C$14:$C$16,MATCH($R458,Assumptions!$A$14:$A$16,0))</f>
        <v>0.08</v>
      </c>
      <c r="AF458" s="49">
        <f t="shared" si="109"/>
        <v>0</v>
      </c>
      <c r="AG458" s="49">
        <f t="shared" si="110"/>
        <v>0</v>
      </c>
      <c r="AH458" s="55">
        <f t="shared" si="111"/>
        <v>89.197122302158277</v>
      </c>
    </row>
    <row r="459" spans="1:34" x14ac:dyDescent="0.2">
      <c r="A459" s="48" t="s">
        <v>610</v>
      </c>
      <c r="B459" s="48">
        <v>2</v>
      </c>
      <c r="C459" s="48" t="s">
        <v>548</v>
      </c>
      <c r="D459" s="48" t="s">
        <v>527</v>
      </c>
      <c r="E459" s="48" t="s">
        <v>366</v>
      </c>
      <c r="F459" s="48" t="s">
        <v>297</v>
      </c>
      <c r="G459" s="48" t="s">
        <v>302</v>
      </c>
      <c r="H459" s="48" t="s">
        <v>66</v>
      </c>
      <c r="I459" s="48" t="s">
        <v>148</v>
      </c>
      <c r="J459" s="49">
        <v>20</v>
      </c>
      <c r="K459" s="50">
        <v>405</v>
      </c>
      <c r="L459" s="50">
        <v>368.76</v>
      </c>
      <c r="M459" s="48" t="s">
        <v>276</v>
      </c>
      <c r="N459" s="51">
        <v>0.92</v>
      </c>
      <c r="O459" s="51">
        <v>0.91739999999999999</v>
      </c>
      <c r="P459" s="52">
        <v>340</v>
      </c>
      <c r="Q459" s="52">
        <v>340</v>
      </c>
      <c r="R459" s="53" t="str">
        <f>INDEX(SKU_Master!$D$5:$D$34,MATCH($I459,SKU_Master!$A$5:$A$34,0))</f>
        <v>Monitor</v>
      </c>
      <c r="S459" s="54">
        <f t="shared" si="98"/>
        <v>8.9481481481481495E-2</v>
      </c>
      <c r="T459" s="55">
        <f t="shared" si="99"/>
        <v>8804.347826086956</v>
      </c>
      <c r="U459" s="55">
        <f t="shared" si="100"/>
        <v>8016.5217391304341</v>
      </c>
      <c r="V459" s="55">
        <f t="shared" si="101"/>
        <v>-787.82608695652198</v>
      </c>
      <c r="W459" s="55">
        <f t="shared" si="102"/>
        <v>8039.2413342053633</v>
      </c>
      <c r="X459" s="55">
        <f t="shared" si="103"/>
        <v>22.719595074929202</v>
      </c>
      <c r="Y459" s="55">
        <f t="shared" si="104"/>
        <v>6800</v>
      </c>
      <c r="Z459" s="55">
        <f t="shared" si="105"/>
        <v>6800</v>
      </c>
      <c r="AA459" s="55">
        <f t="shared" si="106"/>
        <v>0</v>
      </c>
      <c r="AB459" s="55">
        <f t="shared" si="107"/>
        <v>1239.2413342053633</v>
      </c>
      <c r="AC459" s="54">
        <f t="shared" si="108"/>
        <v>0.15414904002603322</v>
      </c>
      <c r="AD459" s="56">
        <f>INDEX(Assumptions!$B$14:$B$16,MATCH($R459,Assumptions!$A$14:$A$16,0))</f>
        <v>0.18</v>
      </c>
      <c r="AE459" s="56">
        <f>INDEX(Assumptions!$C$14:$C$16,MATCH($R459,Assumptions!$A$14:$A$16,0))</f>
        <v>0.12</v>
      </c>
      <c r="AF459" s="49">
        <f t="shared" si="109"/>
        <v>0</v>
      </c>
      <c r="AG459" s="49">
        <f t="shared" si="110"/>
        <v>0</v>
      </c>
      <c r="AH459" s="55">
        <f t="shared" si="111"/>
        <v>207.822105951602</v>
      </c>
    </row>
    <row r="460" spans="1:34" x14ac:dyDescent="0.2">
      <c r="A460" s="48" t="s">
        <v>610</v>
      </c>
      <c r="B460" s="48">
        <v>3</v>
      </c>
      <c r="C460" s="48" t="s">
        <v>548</v>
      </c>
      <c r="D460" s="48" t="s">
        <v>527</v>
      </c>
      <c r="E460" s="48" t="s">
        <v>366</v>
      </c>
      <c r="F460" s="48" t="s">
        <v>297</v>
      </c>
      <c r="G460" s="48" t="s">
        <v>302</v>
      </c>
      <c r="H460" s="48" t="s">
        <v>66</v>
      </c>
      <c r="I460" s="48" t="s">
        <v>151</v>
      </c>
      <c r="J460" s="49">
        <v>13</v>
      </c>
      <c r="K460" s="50">
        <v>325</v>
      </c>
      <c r="L460" s="50">
        <v>310.95</v>
      </c>
      <c r="M460" s="48" t="s">
        <v>276</v>
      </c>
      <c r="N460" s="51">
        <v>0.92</v>
      </c>
      <c r="O460" s="51">
        <v>0.91739999999999999</v>
      </c>
      <c r="P460" s="52">
        <v>221.7</v>
      </c>
      <c r="Q460" s="52">
        <v>221.7</v>
      </c>
      <c r="R460" s="53" t="str">
        <f>INDEX(SKU_Master!$D$5:$D$34,MATCH($I460,SKU_Master!$A$5:$A$34,0))</f>
        <v>Accessory</v>
      </c>
      <c r="S460" s="54">
        <f t="shared" si="98"/>
        <v>4.3230769230769295E-2</v>
      </c>
      <c r="T460" s="55">
        <f t="shared" si="99"/>
        <v>4592.391304347826</v>
      </c>
      <c r="U460" s="55">
        <f t="shared" si="100"/>
        <v>4393.858695652174</v>
      </c>
      <c r="V460" s="55">
        <f t="shared" si="101"/>
        <v>-198.53260869565202</v>
      </c>
      <c r="W460" s="55">
        <f t="shared" si="102"/>
        <v>4406.3113145846955</v>
      </c>
      <c r="X460" s="55">
        <f t="shared" si="103"/>
        <v>12.452618932521546</v>
      </c>
      <c r="Y460" s="55">
        <f t="shared" si="104"/>
        <v>2882.1</v>
      </c>
      <c r="Z460" s="55">
        <f t="shared" si="105"/>
        <v>2882.1</v>
      </c>
      <c r="AA460" s="55">
        <f t="shared" si="106"/>
        <v>0</v>
      </c>
      <c r="AB460" s="55">
        <f t="shared" si="107"/>
        <v>1524.2113145846956</v>
      </c>
      <c r="AC460" s="54">
        <f t="shared" si="108"/>
        <v>0.34591548480463091</v>
      </c>
      <c r="AD460" s="56">
        <f>INDEX(Assumptions!$B$14:$B$16,MATCH($R460,Assumptions!$A$14:$A$16,0))</f>
        <v>0.32</v>
      </c>
      <c r="AE460" s="56">
        <f>INDEX(Assumptions!$C$14:$C$16,MATCH($R460,Assumptions!$A$14:$A$16,0))</f>
        <v>0.22</v>
      </c>
      <c r="AF460" s="49">
        <f t="shared" si="109"/>
        <v>0</v>
      </c>
      <c r="AG460" s="49">
        <f t="shared" si="110"/>
        <v>0</v>
      </c>
      <c r="AH460" s="55">
        <f t="shared" si="111"/>
        <v>0</v>
      </c>
    </row>
    <row r="461" spans="1:34" x14ac:dyDescent="0.2">
      <c r="A461" s="48" t="s">
        <v>611</v>
      </c>
      <c r="B461" s="48">
        <v>1</v>
      </c>
      <c r="C461" s="48" t="s">
        <v>612</v>
      </c>
      <c r="D461" s="48" t="s">
        <v>527</v>
      </c>
      <c r="E461" s="48" t="s">
        <v>422</v>
      </c>
      <c r="F461" s="48" t="s">
        <v>280</v>
      </c>
      <c r="G461" s="48" t="s">
        <v>281</v>
      </c>
      <c r="H461" s="48" t="s">
        <v>68</v>
      </c>
      <c r="I461" s="48" t="s">
        <v>98</v>
      </c>
      <c r="J461" s="49">
        <v>23</v>
      </c>
      <c r="K461" s="50">
        <v>2935</v>
      </c>
      <c r="L461" s="50">
        <v>2813.36</v>
      </c>
      <c r="M461" s="48" t="s">
        <v>276</v>
      </c>
      <c r="N461" s="51">
        <v>1.37</v>
      </c>
      <c r="O461" s="51">
        <v>1.3767</v>
      </c>
      <c r="P461" s="52">
        <v>1792.2</v>
      </c>
      <c r="Q461" s="52">
        <v>1792.2</v>
      </c>
      <c r="R461" s="53" t="str">
        <f>INDEX(SKU_Master!$D$5:$D$34,MATCH($I461,SKU_Master!$A$5:$A$34,0))</f>
        <v>Laptop</v>
      </c>
      <c r="S461" s="54">
        <f t="shared" si="98"/>
        <v>4.1444633730834735E-2</v>
      </c>
      <c r="T461" s="55">
        <f t="shared" si="99"/>
        <v>49273.722627737225</v>
      </c>
      <c r="U461" s="55">
        <f t="shared" si="100"/>
        <v>47231.59124087591</v>
      </c>
      <c r="V461" s="55">
        <f t="shared" si="101"/>
        <v>-2042.1313868613142</v>
      </c>
      <c r="W461" s="55">
        <f t="shared" si="102"/>
        <v>47001.728771700444</v>
      </c>
      <c r="X461" s="55">
        <f t="shared" si="103"/>
        <v>-229.86246917546669</v>
      </c>
      <c r="Y461" s="55">
        <f t="shared" si="104"/>
        <v>41220.6</v>
      </c>
      <c r="Z461" s="55">
        <f t="shared" si="105"/>
        <v>41220.6</v>
      </c>
      <c r="AA461" s="55">
        <f t="shared" si="106"/>
        <v>0</v>
      </c>
      <c r="AB461" s="55">
        <f t="shared" si="107"/>
        <v>5781.1287717004452</v>
      </c>
      <c r="AC461" s="54">
        <f t="shared" si="108"/>
        <v>0.12299821565672367</v>
      </c>
      <c r="AD461" s="56">
        <f>INDEX(Assumptions!$B$14:$B$16,MATCH($R461,Assumptions!$A$14:$A$16,0))</f>
        <v>0.12</v>
      </c>
      <c r="AE461" s="56">
        <f>INDEX(Assumptions!$C$14:$C$16,MATCH($R461,Assumptions!$A$14:$A$16,0))</f>
        <v>0.08</v>
      </c>
      <c r="AF461" s="49">
        <f t="shared" si="109"/>
        <v>0</v>
      </c>
      <c r="AG461" s="49">
        <f t="shared" si="110"/>
        <v>0</v>
      </c>
      <c r="AH461" s="55">
        <f t="shared" si="111"/>
        <v>0</v>
      </c>
    </row>
    <row r="462" spans="1:34" x14ac:dyDescent="0.2">
      <c r="A462" s="48" t="s">
        <v>611</v>
      </c>
      <c r="B462" s="48">
        <v>2</v>
      </c>
      <c r="C462" s="48" t="s">
        <v>612</v>
      </c>
      <c r="D462" s="48" t="s">
        <v>527</v>
      </c>
      <c r="E462" s="48" t="s">
        <v>422</v>
      </c>
      <c r="F462" s="48" t="s">
        <v>280</v>
      </c>
      <c r="G462" s="48" t="s">
        <v>281</v>
      </c>
      <c r="H462" s="48" t="s">
        <v>68</v>
      </c>
      <c r="I462" s="48" t="s">
        <v>135</v>
      </c>
      <c r="J462" s="49">
        <v>22</v>
      </c>
      <c r="K462" s="50">
        <v>360</v>
      </c>
      <c r="L462" s="50">
        <v>355.55</v>
      </c>
      <c r="M462" s="48" t="s">
        <v>276</v>
      </c>
      <c r="N462" s="51">
        <v>1.37</v>
      </c>
      <c r="O462" s="51">
        <v>1.3767</v>
      </c>
      <c r="P462" s="52">
        <v>201.7</v>
      </c>
      <c r="Q462" s="52">
        <v>201.7</v>
      </c>
      <c r="R462" s="53" t="str">
        <f>INDEX(SKU_Master!$D$5:$D$34,MATCH($I462,SKU_Master!$A$5:$A$34,0))</f>
        <v>Monitor</v>
      </c>
      <c r="S462" s="54">
        <f t="shared" si="98"/>
        <v>1.2361111111111045E-2</v>
      </c>
      <c r="T462" s="55">
        <f t="shared" si="99"/>
        <v>5781.0218978102184</v>
      </c>
      <c r="U462" s="55">
        <f t="shared" si="100"/>
        <v>5709.5620437956204</v>
      </c>
      <c r="V462" s="55">
        <f t="shared" si="101"/>
        <v>-71.459854014598022</v>
      </c>
      <c r="W462" s="55">
        <f t="shared" si="102"/>
        <v>5681.7752596789423</v>
      </c>
      <c r="X462" s="55">
        <f t="shared" si="103"/>
        <v>-27.786784116678064</v>
      </c>
      <c r="Y462" s="55">
        <f t="shared" si="104"/>
        <v>4437.3999999999996</v>
      </c>
      <c r="Z462" s="55">
        <f t="shared" si="105"/>
        <v>4437.3999999999996</v>
      </c>
      <c r="AA462" s="55">
        <f t="shared" si="106"/>
        <v>0</v>
      </c>
      <c r="AB462" s="55">
        <f t="shared" si="107"/>
        <v>1244.3752596789427</v>
      </c>
      <c r="AC462" s="54">
        <f t="shared" si="108"/>
        <v>0.21901170018281541</v>
      </c>
      <c r="AD462" s="56">
        <f>INDEX(Assumptions!$B$14:$B$16,MATCH($R462,Assumptions!$A$14:$A$16,0))</f>
        <v>0.18</v>
      </c>
      <c r="AE462" s="56">
        <f>INDEX(Assumptions!$C$14:$C$16,MATCH($R462,Assumptions!$A$14:$A$16,0))</f>
        <v>0.12</v>
      </c>
      <c r="AF462" s="49">
        <f t="shared" si="109"/>
        <v>0</v>
      </c>
      <c r="AG462" s="49">
        <f t="shared" si="110"/>
        <v>0</v>
      </c>
      <c r="AH462" s="55">
        <f t="shared" si="111"/>
        <v>0</v>
      </c>
    </row>
    <row r="463" spans="1:34" x14ac:dyDescent="0.2">
      <c r="A463" s="48" t="s">
        <v>611</v>
      </c>
      <c r="B463" s="48">
        <v>3</v>
      </c>
      <c r="C463" s="48" t="s">
        <v>612</v>
      </c>
      <c r="D463" s="48" t="s">
        <v>527</v>
      </c>
      <c r="E463" s="48" t="s">
        <v>422</v>
      </c>
      <c r="F463" s="48" t="s">
        <v>280</v>
      </c>
      <c r="G463" s="48" t="s">
        <v>281</v>
      </c>
      <c r="H463" s="48" t="s">
        <v>68</v>
      </c>
      <c r="I463" s="48" t="s">
        <v>151</v>
      </c>
      <c r="J463" s="49">
        <v>21</v>
      </c>
      <c r="K463" s="50">
        <v>475</v>
      </c>
      <c r="L463" s="50">
        <v>464.61</v>
      </c>
      <c r="M463" s="48" t="s">
        <v>276</v>
      </c>
      <c r="N463" s="51">
        <v>1.37</v>
      </c>
      <c r="O463" s="51">
        <v>1.3767</v>
      </c>
      <c r="P463" s="52">
        <v>219.7</v>
      </c>
      <c r="Q463" s="52">
        <v>219.7</v>
      </c>
      <c r="R463" s="53" t="str">
        <f>INDEX(SKU_Master!$D$5:$D$34,MATCH($I463,SKU_Master!$A$5:$A$34,0))</f>
        <v>Accessory</v>
      </c>
      <c r="S463" s="54">
        <f t="shared" si="98"/>
        <v>2.1873684210526267E-2</v>
      </c>
      <c r="T463" s="55">
        <f t="shared" si="99"/>
        <v>7281.0218978102184</v>
      </c>
      <c r="U463" s="55">
        <f t="shared" si="100"/>
        <v>7121.75912408759</v>
      </c>
      <c r="V463" s="55">
        <f t="shared" si="101"/>
        <v>-159.26277372262848</v>
      </c>
      <c r="W463" s="55">
        <f t="shared" si="102"/>
        <v>7087.0995859664408</v>
      </c>
      <c r="X463" s="55">
        <f t="shared" si="103"/>
        <v>-34.659538121149126</v>
      </c>
      <c r="Y463" s="55">
        <f t="shared" si="104"/>
        <v>4613.7</v>
      </c>
      <c r="Z463" s="55">
        <f t="shared" si="105"/>
        <v>4613.7</v>
      </c>
      <c r="AA463" s="55">
        <f t="shared" si="106"/>
        <v>0</v>
      </c>
      <c r="AB463" s="55">
        <f t="shared" si="107"/>
        <v>2473.399585966441</v>
      </c>
      <c r="AC463" s="54">
        <f t="shared" si="108"/>
        <v>0.34900025828113901</v>
      </c>
      <c r="AD463" s="56">
        <f>INDEX(Assumptions!$B$14:$B$16,MATCH($R463,Assumptions!$A$14:$A$16,0))</f>
        <v>0.32</v>
      </c>
      <c r="AE463" s="56">
        <f>INDEX(Assumptions!$C$14:$C$16,MATCH($R463,Assumptions!$A$14:$A$16,0))</f>
        <v>0.22</v>
      </c>
      <c r="AF463" s="49">
        <f t="shared" si="109"/>
        <v>0</v>
      </c>
      <c r="AG463" s="49">
        <f t="shared" si="110"/>
        <v>0</v>
      </c>
      <c r="AH463" s="55">
        <f t="shared" si="111"/>
        <v>0</v>
      </c>
    </row>
    <row r="464" spans="1:34" x14ac:dyDescent="0.2">
      <c r="A464" s="48" t="s">
        <v>613</v>
      </c>
      <c r="B464" s="48">
        <v>1</v>
      </c>
      <c r="C464" s="48" t="s">
        <v>561</v>
      </c>
      <c r="D464" s="48" t="s">
        <v>527</v>
      </c>
      <c r="E464" s="48" t="s">
        <v>410</v>
      </c>
      <c r="F464" s="48" t="s">
        <v>297</v>
      </c>
      <c r="G464" s="48" t="s">
        <v>302</v>
      </c>
      <c r="H464" s="48" t="s">
        <v>64</v>
      </c>
      <c r="I464" s="48" t="s">
        <v>113</v>
      </c>
      <c r="J464" s="49">
        <v>57</v>
      </c>
      <c r="K464" s="50">
        <v>1425</v>
      </c>
      <c r="L464" s="50">
        <v>1323.1</v>
      </c>
      <c r="M464" s="48" t="s">
        <v>276</v>
      </c>
      <c r="N464" s="51">
        <v>0.79</v>
      </c>
      <c r="O464" s="51">
        <v>0.78759999999999997</v>
      </c>
      <c r="P464" s="52">
        <v>1508.8</v>
      </c>
      <c r="Q464" s="52">
        <v>1508.8</v>
      </c>
      <c r="R464" s="53" t="str">
        <f>INDEX(SKU_Master!$D$5:$D$34,MATCH($I464,SKU_Master!$A$5:$A$34,0))</f>
        <v>Laptop</v>
      </c>
      <c r="S464" s="54">
        <f t="shared" si="98"/>
        <v>7.1508771929824633E-2</v>
      </c>
      <c r="T464" s="55">
        <f t="shared" si="99"/>
        <v>102816.45569620252</v>
      </c>
      <c r="U464" s="55">
        <f t="shared" si="100"/>
        <v>95464.177215189862</v>
      </c>
      <c r="V464" s="55">
        <f t="shared" si="101"/>
        <v>-7352.2784810126614</v>
      </c>
      <c r="W464" s="55">
        <f t="shared" si="102"/>
        <v>95755.078720162521</v>
      </c>
      <c r="X464" s="55">
        <f t="shared" si="103"/>
        <v>290.90150497265859</v>
      </c>
      <c r="Y464" s="55">
        <f t="shared" si="104"/>
        <v>86001.599999999991</v>
      </c>
      <c r="Z464" s="55">
        <f t="shared" si="105"/>
        <v>86001.599999999991</v>
      </c>
      <c r="AA464" s="55">
        <f t="shared" si="106"/>
        <v>0</v>
      </c>
      <c r="AB464" s="55">
        <f t="shared" si="107"/>
        <v>9753.4787201625295</v>
      </c>
      <c r="AC464" s="54">
        <f t="shared" si="108"/>
        <v>0.101858604791777</v>
      </c>
      <c r="AD464" s="56">
        <f>INDEX(Assumptions!$B$14:$B$16,MATCH($R464,Assumptions!$A$14:$A$16,0))</f>
        <v>0.12</v>
      </c>
      <c r="AE464" s="56">
        <f>INDEX(Assumptions!$C$14:$C$16,MATCH($R464,Assumptions!$A$14:$A$16,0))</f>
        <v>0.08</v>
      </c>
      <c r="AF464" s="49">
        <f t="shared" si="109"/>
        <v>0</v>
      </c>
      <c r="AG464" s="49">
        <f t="shared" si="110"/>
        <v>0</v>
      </c>
      <c r="AH464" s="55">
        <f t="shared" si="111"/>
        <v>1737.1307262569717</v>
      </c>
    </row>
    <row r="465" spans="1:34" x14ac:dyDescent="0.2">
      <c r="A465" s="48" t="s">
        <v>613</v>
      </c>
      <c r="B465" s="48">
        <v>2</v>
      </c>
      <c r="C465" s="48" t="s">
        <v>561</v>
      </c>
      <c r="D465" s="48" t="s">
        <v>527</v>
      </c>
      <c r="E465" s="48" t="s">
        <v>410</v>
      </c>
      <c r="F465" s="48" t="s">
        <v>297</v>
      </c>
      <c r="G465" s="48" t="s">
        <v>302</v>
      </c>
      <c r="H465" s="48" t="s">
        <v>64</v>
      </c>
      <c r="I465" s="48" t="s">
        <v>138</v>
      </c>
      <c r="J465" s="49">
        <v>47</v>
      </c>
      <c r="K465" s="50">
        <v>400</v>
      </c>
      <c r="L465" s="50">
        <v>376.6</v>
      </c>
      <c r="M465" s="48" t="s">
        <v>276</v>
      </c>
      <c r="N465" s="51">
        <v>0.79</v>
      </c>
      <c r="O465" s="51">
        <v>0.78759999999999997</v>
      </c>
      <c r="P465" s="52">
        <v>388.2</v>
      </c>
      <c r="Q465" s="52">
        <v>388.2</v>
      </c>
      <c r="R465" s="53" t="str">
        <f>INDEX(SKU_Master!$D$5:$D$34,MATCH($I465,SKU_Master!$A$5:$A$34,0))</f>
        <v>Monitor</v>
      </c>
      <c r="S465" s="54">
        <f t="shared" si="98"/>
        <v>5.8499999999999996E-2</v>
      </c>
      <c r="T465" s="55">
        <f t="shared" si="99"/>
        <v>23797.468354430377</v>
      </c>
      <c r="U465" s="55">
        <f t="shared" si="100"/>
        <v>22405.316455696204</v>
      </c>
      <c r="V465" s="55">
        <f t="shared" si="101"/>
        <v>-1392.1518987341733</v>
      </c>
      <c r="W465" s="55">
        <f t="shared" si="102"/>
        <v>22473.590655154901</v>
      </c>
      <c r="X465" s="55">
        <f t="shared" si="103"/>
        <v>68.274199458697694</v>
      </c>
      <c r="Y465" s="55">
        <f t="shared" si="104"/>
        <v>18245.399999999998</v>
      </c>
      <c r="Z465" s="55">
        <f t="shared" si="105"/>
        <v>18245.399999999998</v>
      </c>
      <c r="AA465" s="55">
        <f t="shared" si="106"/>
        <v>0</v>
      </c>
      <c r="AB465" s="55">
        <f t="shared" si="107"/>
        <v>4228.1906551549037</v>
      </c>
      <c r="AC465" s="54">
        <f t="shared" si="108"/>
        <v>0.18814041423260766</v>
      </c>
      <c r="AD465" s="56">
        <f>INDEX(Assumptions!$B$14:$B$16,MATCH($R465,Assumptions!$A$14:$A$16,0))</f>
        <v>0.18</v>
      </c>
      <c r="AE465" s="56">
        <f>INDEX(Assumptions!$C$14:$C$16,MATCH($R465,Assumptions!$A$14:$A$16,0))</f>
        <v>0.12</v>
      </c>
      <c r="AF465" s="49">
        <f t="shared" si="109"/>
        <v>0</v>
      </c>
      <c r="AG465" s="49">
        <f t="shared" si="110"/>
        <v>0</v>
      </c>
      <c r="AH465" s="55">
        <f t="shared" si="111"/>
        <v>0</v>
      </c>
    </row>
    <row r="466" spans="1:34" x14ac:dyDescent="0.2">
      <c r="A466" s="48" t="s">
        <v>614</v>
      </c>
      <c r="B466" s="48">
        <v>1</v>
      </c>
      <c r="C466" s="48" t="s">
        <v>566</v>
      </c>
      <c r="D466" s="48" t="s">
        <v>527</v>
      </c>
      <c r="E466" s="48" t="s">
        <v>355</v>
      </c>
      <c r="F466" s="48" t="s">
        <v>280</v>
      </c>
      <c r="G466" s="48" t="s">
        <v>302</v>
      </c>
      <c r="H466" s="48" t="s">
        <v>62</v>
      </c>
      <c r="I466" s="48" t="s">
        <v>110</v>
      </c>
      <c r="J466" s="49">
        <v>22</v>
      </c>
      <c r="K466" s="50">
        <v>1165</v>
      </c>
      <c r="L466" s="50">
        <v>1095.56</v>
      </c>
      <c r="M466" s="48" t="s">
        <v>276</v>
      </c>
      <c r="N466" s="51">
        <v>1</v>
      </c>
      <c r="O466" s="51">
        <v>1</v>
      </c>
      <c r="P466" s="52">
        <v>992.65</v>
      </c>
      <c r="Q466" s="52">
        <v>992.65</v>
      </c>
      <c r="R466" s="53" t="str">
        <f>INDEX(SKU_Master!$D$5:$D$34,MATCH($I466,SKU_Master!$A$5:$A$34,0))</f>
        <v>Laptop</v>
      </c>
      <c r="S466" s="54">
        <f t="shared" si="98"/>
        <v>5.960515021459234E-2</v>
      </c>
      <c r="T466" s="55">
        <f t="shared" si="99"/>
        <v>25630</v>
      </c>
      <c r="U466" s="55">
        <f t="shared" si="100"/>
        <v>24102.32</v>
      </c>
      <c r="V466" s="55">
        <f t="shared" si="101"/>
        <v>-1527.6800000000003</v>
      </c>
      <c r="W466" s="55">
        <f t="shared" si="102"/>
        <v>24102.32</v>
      </c>
      <c r="X466" s="55">
        <f t="shared" si="103"/>
        <v>0</v>
      </c>
      <c r="Y466" s="55">
        <f t="shared" si="104"/>
        <v>21838.3</v>
      </c>
      <c r="Z466" s="55">
        <f t="shared" si="105"/>
        <v>21838.3</v>
      </c>
      <c r="AA466" s="55">
        <f t="shared" si="106"/>
        <v>0</v>
      </c>
      <c r="AB466" s="55">
        <f t="shared" si="107"/>
        <v>2264.0200000000004</v>
      </c>
      <c r="AC466" s="54">
        <f t="shared" si="108"/>
        <v>9.393369600934684E-2</v>
      </c>
      <c r="AD466" s="56">
        <f>INDEX(Assumptions!$B$14:$B$16,MATCH($R466,Assumptions!$A$14:$A$16,0))</f>
        <v>0.12</v>
      </c>
      <c r="AE466" s="56">
        <f>INDEX(Assumptions!$C$14:$C$16,MATCH($R466,Assumptions!$A$14:$A$16,0))</f>
        <v>0.08</v>
      </c>
      <c r="AF466" s="49">
        <f t="shared" si="109"/>
        <v>0</v>
      </c>
      <c r="AG466" s="49">
        <f t="shared" si="110"/>
        <v>0</v>
      </c>
      <c r="AH466" s="55">
        <f t="shared" si="111"/>
        <v>628.25839999999926</v>
      </c>
    </row>
    <row r="467" spans="1:34" x14ac:dyDescent="0.2">
      <c r="A467" s="48" t="s">
        <v>614</v>
      </c>
      <c r="B467" s="48">
        <v>2</v>
      </c>
      <c r="C467" s="48" t="s">
        <v>566</v>
      </c>
      <c r="D467" s="48" t="s">
        <v>527</v>
      </c>
      <c r="E467" s="48" t="s">
        <v>355</v>
      </c>
      <c r="F467" s="48" t="s">
        <v>280</v>
      </c>
      <c r="G467" s="48" t="s">
        <v>302</v>
      </c>
      <c r="H467" s="48" t="s">
        <v>62</v>
      </c>
      <c r="I467" s="48" t="s">
        <v>144</v>
      </c>
      <c r="J467" s="49">
        <v>15</v>
      </c>
      <c r="K467" s="50">
        <v>370</v>
      </c>
      <c r="L467" s="50">
        <v>358.69</v>
      </c>
      <c r="M467" s="48" t="s">
        <v>276</v>
      </c>
      <c r="N467" s="51">
        <v>1</v>
      </c>
      <c r="O467" s="51">
        <v>1</v>
      </c>
      <c r="P467" s="52">
        <v>289.60000000000002</v>
      </c>
      <c r="Q467" s="52">
        <v>289.60000000000002</v>
      </c>
      <c r="R467" s="53" t="str">
        <f>INDEX(SKU_Master!$D$5:$D$34,MATCH($I467,SKU_Master!$A$5:$A$34,0))</f>
        <v>Monitor</v>
      </c>
      <c r="S467" s="54">
        <f t="shared" si="98"/>
        <v>3.0567567567567622E-2</v>
      </c>
      <c r="T467" s="55">
        <f t="shared" si="99"/>
        <v>5550</v>
      </c>
      <c r="U467" s="55">
        <f t="shared" si="100"/>
        <v>5380.35</v>
      </c>
      <c r="V467" s="55">
        <f t="shared" si="101"/>
        <v>-169.64999999999964</v>
      </c>
      <c r="W467" s="55">
        <f t="shared" si="102"/>
        <v>5380.35</v>
      </c>
      <c r="X467" s="55">
        <f t="shared" si="103"/>
        <v>0</v>
      </c>
      <c r="Y467" s="55">
        <f t="shared" si="104"/>
        <v>4344</v>
      </c>
      <c r="Z467" s="55">
        <f t="shared" si="105"/>
        <v>4344</v>
      </c>
      <c r="AA467" s="55">
        <f t="shared" si="106"/>
        <v>0</v>
      </c>
      <c r="AB467" s="55">
        <f t="shared" si="107"/>
        <v>1036.3500000000004</v>
      </c>
      <c r="AC467" s="54">
        <f t="shared" si="108"/>
        <v>0.1926175806406647</v>
      </c>
      <c r="AD467" s="56">
        <f>INDEX(Assumptions!$B$14:$B$16,MATCH($R467,Assumptions!$A$14:$A$16,0))</f>
        <v>0.18</v>
      </c>
      <c r="AE467" s="56">
        <f>INDEX(Assumptions!$C$14:$C$16,MATCH($R467,Assumptions!$A$14:$A$16,0))</f>
        <v>0.12</v>
      </c>
      <c r="AF467" s="49">
        <f t="shared" si="109"/>
        <v>0</v>
      </c>
      <c r="AG467" s="49">
        <f t="shared" si="110"/>
        <v>0</v>
      </c>
      <c r="AH467" s="55">
        <f t="shared" si="111"/>
        <v>0</v>
      </c>
    </row>
    <row r="468" spans="1:34" x14ac:dyDescent="0.2">
      <c r="A468" s="48" t="s">
        <v>614</v>
      </c>
      <c r="B468" s="48">
        <v>3</v>
      </c>
      <c r="C468" s="48" t="s">
        <v>566</v>
      </c>
      <c r="D468" s="48" t="s">
        <v>527</v>
      </c>
      <c r="E468" s="48" t="s">
        <v>355</v>
      </c>
      <c r="F468" s="48" t="s">
        <v>280</v>
      </c>
      <c r="G468" s="48" t="s">
        <v>302</v>
      </c>
      <c r="H468" s="48" t="s">
        <v>62</v>
      </c>
      <c r="I468" s="48" t="s">
        <v>161</v>
      </c>
      <c r="J468" s="49">
        <v>24</v>
      </c>
      <c r="K468" s="50">
        <v>120</v>
      </c>
      <c r="L468" s="50">
        <v>111.52</v>
      </c>
      <c r="M468" s="48" t="s">
        <v>276</v>
      </c>
      <c r="N468" s="51">
        <v>1</v>
      </c>
      <c r="O468" s="51">
        <v>1</v>
      </c>
      <c r="P468" s="52">
        <v>76</v>
      </c>
      <c r="Q468" s="52">
        <v>76</v>
      </c>
      <c r="R468" s="53" t="str">
        <f>INDEX(SKU_Master!$D$5:$D$34,MATCH($I468,SKU_Master!$A$5:$A$34,0))</f>
        <v>Accessory</v>
      </c>
      <c r="S468" s="54">
        <f t="shared" si="98"/>
        <v>7.0666666666666655E-2</v>
      </c>
      <c r="T468" s="55">
        <f t="shared" si="99"/>
        <v>2880</v>
      </c>
      <c r="U468" s="55">
        <f t="shared" si="100"/>
        <v>2676.48</v>
      </c>
      <c r="V468" s="55">
        <f t="shared" si="101"/>
        <v>-203.51999999999998</v>
      </c>
      <c r="W468" s="55">
        <f t="shared" si="102"/>
        <v>2676.48</v>
      </c>
      <c r="X468" s="55">
        <f t="shared" si="103"/>
        <v>0</v>
      </c>
      <c r="Y468" s="55">
        <f t="shared" si="104"/>
        <v>1824</v>
      </c>
      <c r="Z468" s="55">
        <f t="shared" si="105"/>
        <v>1824</v>
      </c>
      <c r="AA468" s="55">
        <f t="shared" si="106"/>
        <v>0</v>
      </c>
      <c r="AB468" s="55">
        <f t="shared" si="107"/>
        <v>852.48</v>
      </c>
      <c r="AC468" s="54">
        <f t="shared" si="108"/>
        <v>0.31850789096126259</v>
      </c>
      <c r="AD468" s="56">
        <f>INDEX(Assumptions!$B$14:$B$16,MATCH($R468,Assumptions!$A$14:$A$16,0))</f>
        <v>0.32</v>
      </c>
      <c r="AE468" s="56">
        <f>INDEX(Assumptions!$C$14:$C$16,MATCH($R468,Assumptions!$A$14:$A$16,0))</f>
        <v>0.22</v>
      </c>
      <c r="AF468" s="49">
        <f t="shared" si="109"/>
        <v>0</v>
      </c>
      <c r="AG468" s="49">
        <f t="shared" si="110"/>
        <v>0</v>
      </c>
      <c r="AH468" s="55">
        <f t="shared" si="111"/>
        <v>3.9936000000000149</v>
      </c>
    </row>
    <row r="469" spans="1:34" x14ac:dyDescent="0.2">
      <c r="A469" s="48" t="s">
        <v>615</v>
      </c>
      <c r="B469" s="48">
        <v>1</v>
      </c>
      <c r="C469" s="48" t="s">
        <v>539</v>
      </c>
      <c r="D469" s="48" t="s">
        <v>527</v>
      </c>
      <c r="E469" s="48" t="s">
        <v>317</v>
      </c>
      <c r="F469" s="48" t="s">
        <v>280</v>
      </c>
      <c r="G469" s="48" t="s">
        <v>306</v>
      </c>
      <c r="H469" s="48" t="s">
        <v>62</v>
      </c>
      <c r="I469" s="48" t="s">
        <v>93</v>
      </c>
      <c r="J469" s="49">
        <v>22</v>
      </c>
      <c r="K469" s="50">
        <v>1390</v>
      </c>
      <c r="L469" s="50">
        <v>1348.76</v>
      </c>
      <c r="M469" s="48" t="s">
        <v>276</v>
      </c>
      <c r="N469" s="51">
        <v>1</v>
      </c>
      <c r="O469" s="51">
        <v>1</v>
      </c>
      <c r="P469" s="52">
        <v>1186.2</v>
      </c>
      <c r="Q469" s="52">
        <v>1186.2</v>
      </c>
      <c r="R469" s="53" t="str">
        <f>INDEX(SKU_Master!$D$5:$D$34,MATCH($I469,SKU_Master!$A$5:$A$34,0))</f>
        <v>Laptop</v>
      </c>
      <c r="S469" s="54">
        <f t="shared" si="98"/>
        <v>2.9669064748201412E-2</v>
      </c>
      <c r="T469" s="55">
        <f t="shared" si="99"/>
        <v>30580</v>
      </c>
      <c r="U469" s="55">
        <f t="shared" si="100"/>
        <v>29672.720000000001</v>
      </c>
      <c r="V469" s="55">
        <f t="shared" si="101"/>
        <v>-907.27999999999884</v>
      </c>
      <c r="W469" s="55">
        <f t="shared" si="102"/>
        <v>29672.720000000001</v>
      </c>
      <c r="X469" s="55">
        <f t="shared" si="103"/>
        <v>0</v>
      </c>
      <c r="Y469" s="55">
        <f t="shared" si="104"/>
        <v>26096.400000000001</v>
      </c>
      <c r="Z469" s="55">
        <f t="shared" si="105"/>
        <v>26096.400000000001</v>
      </c>
      <c r="AA469" s="55">
        <f t="shared" si="106"/>
        <v>0</v>
      </c>
      <c r="AB469" s="55">
        <f t="shared" si="107"/>
        <v>3576.3199999999997</v>
      </c>
      <c r="AC469" s="54">
        <f t="shared" si="108"/>
        <v>0.12052551973664698</v>
      </c>
      <c r="AD469" s="56">
        <f>INDEX(Assumptions!$B$14:$B$16,MATCH($R469,Assumptions!$A$14:$A$16,0))</f>
        <v>0.12</v>
      </c>
      <c r="AE469" s="56">
        <f>INDEX(Assumptions!$C$14:$C$16,MATCH($R469,Assumptions!$A$14:$A$16,0))</f>
        <v>0.08</v>
      </c>
      <c r="AF469" s="49">
        <f t="shared" si="109"/>
        <v>0</v>
      </c>
      <c r="AG469" s="49">
        <f t="shared" si="110"/>
        <v>0</v>
      </c>
      <c r="AH469" s="55">
        <f t="shared" si="111"/>
        <v>0</v>
      </c>
    </row>
    <row r="470" spans="1:34" x14ac:dyDescent="0.2">
      <c r="A470" s="48" t="s">
        <v>615</v>
      </c>
      <c r="B470" s="48">
        <v>2</v>
      </c>
      <c r="C470" s="48" t="s">
        <v>539</v>
      </c>
      <c r="D470" s="48" t="s">
        <v>527</v>
      </c>
      <c r="E470" s="48" t="s">
        <v>317</v>
      </c>
      <c r="F470" s="48" t="s">
        <v>280</v>
      </c>
      <c r="G470" s="48" t="s">
        <v>306</v>
      </c>
      <c r="H470" s="48" t="s">
        <v>62</v>
      </c>
      <c r="I470" s="48" t="s">
        <v>151</v>
      </c>
      <c r="J470" s="49">
        <v>22</v>
      </c>
      <c r="K470" s="50">
        <v>335</v>
      </c>
      <c r="L470" s="50">
        <v>325.7</v>
      </c>
      <c r="M470" s="48" t="s">
        <v>276</v>
      </c>
      <c r="N470" s="51">
        <v>1</v>
      </c>
      <c r="O470" s="51">
        <v>1</v>
      </c>
      <c r="P470" s="52">
        <v>216.7</v>
      </c>
      <c r="Q470" s="52">
        <v>216.7</v>
      </c>
      <c r="R470" s="53" t="str">
        <f>INDEX(SKU_Master!$D$5:$D$34,MATCH($I470,SKU_Master!$A$5:$A$34,0))</f>
        <v>Accessory</v>
      </c>
      <c r="S470" s="54">
        <f t="shared" si="98"/>
        <v>2.7761194029850778E-2</v>
      </c>
      <c r="T470" s="55">
        <f t="shared" si="99"/>
        <v>7370</v>
      </c>
      <c r="U470" s="55">
        <f t="shared" si="100"/>
        <v>7165.4</v>
      </c>
      <c r="V470" s="55">
        <f t="shared" si="101"/>
        <v>-204.60000000000036</v>
      </c>
      <c r="W470" s="55">
        <f t="shared" si="102"/>
        <v>7165.4</v>
      </c>
      <c r="X470" s="55">
        <f t="shared" si="103"/>
        <v>0</v>
      </c>
      <c r="Y470" s="55">
        <f t="shared" si="104"/>
        <v>4767.3999999999996</v>
      </c>
      <c r="Z470" s="55">
        <f t="shared" si="105"/>
        <v>4767.3999999999996</v>
      </c>
      <c r="AA470" s="55">
        <f t="shared" si="106"/>
        <v>0</v>
      </c>
      <c r="AB470" s="55">
        <f t="shared" si="107"/>
        <v>2398</v>
      </c>
      <c r="AC470" s="54">
        <f t="shared" si="108"/>
        <v>0.33466380104390547</v>
      </c>
      <c r="AD470" s="56">
        <f>INDEX(Assumptions!$B$14:$B$16,MATCH($R470,Assumptions!$A$14:$A$16,0))</f>
        <v>0.32</v>
      </c>
      <c r="AE470" s="56">
        <f>INDEX(Assumptions!$C$14:$C$16,MATCH($R470,Assumptions!$A$14:$A$16,0))</f>
        <v>0.22</v>
      </c>
      <c r="AF470" s="49">
        <f t="shared" si="109"/>
        <v>0</v>
      </c>
      <c r="AG470" s="49">
        <f t="shared" si="110"/>
        <v>0</v>
      </c>
      <c r="AH470" s="55">
        <f t="shared" si="111"/>
        <v>0</v>
      </c>
    </row>
    <row r="471" spans="1:34" x14ac:dyDescent="0.2">
      <c r="A471" s="48" t="s">
        <v>616</v>
      </c>
      <c r="B471" s="48">
        <v>1</v>
      </c>
      <c r="C471" s="48" t="s">
        <v>583</v>
      </c>
      <c r="D471" s="48" t="s">
        <v>527</v>
      </c>
      <c r="E471" s="48" t="s">
        <v>498</v>
      </c>
      <c r="F471" s="48" t="s">
        <v>280</v>
      </c>
      <c r="G471" s="48" t="s">
        <v>302</v>
      </c>
      <c r="H471" s="48" t="s">
        <v>66</v>
      </c>
      <c r="I471" s="48" t="s">
        <v>113</v>
      </c>
      <c r="J471" s="49">
        <v>28</v>
      </c>
      <c r="K471" s="50">
        <v>1655</v>
      </c>
      <c r="L471" s="50">
        <v>1589.65</v>
      </c>
      <c r="M471" s="48" t="s">
        <v>276</v>
      </c>
      <c r="N471" s="51">
        <v>0.92</v>
      </c>
      <c r="O471" s="51">
        <v>0.91739999999999999</v>
      </c>
      <c r="P471" s="52">
        <v>1504.8</v>
      </c>
      <c r="Q471" s="52">
        <v>1504.8</v>
      </c>
      <c r="R471" s="53" t="str">
        <f>INDEX(SKU_Master!$D$5:$D$34,MATCH($I471,SKU_Master!$A$5:$A$34,0))</f>
        <v>Laptop</v>
      </c>
      <c r="S471" s="54">
        <f t="shared" si="98"/>
        <v>3.9486404833836808E-2</v>
      </c>
      <c r="T471" s="55">
        <f t="shared" si="99"/>
        <v>50369.565217391304</v>
      </c>
      <c r="U471" s="55">
        <f t="shared" si="100"/>
        <v>48380.652173913048</v>
      </c>
      <c r="V471" s="55">
        <f t="shared" si="101"/>
        <v>-1988.9130434782564</v>
      </c>
      <c r="W471" s="55">
        <f t="shared" si="102"/>
        <v>48517.767604098546</v>
      </c>
      <c r="X471" s="55">
        <f t="shared" si="103"/>
        <v>137.11543018549855</v>
      </c>
      <c r="Y471" s="55">
        <f t="shared" si="104"/>
        <v>42134.400000000001</v>
      </c>
      <c r="Z471" s="55">
        <f t="shared" si="105"/>
        <v>42134.400000000001</v>
      </c>
      <c r="AA471" s="55">
        <f t="shared" si="106"/>
        <v>0</v>
      </c>
      <c r="AB471" s="55">
        <f t="shared" si="107"/>
        <v>6383.3676040985447</v>
      </c>
      <c r="AC471" s="54">
        <f t="shared" si="108"/>
        <v>0.13156762809423467</v>
      </c>
      <c r="AD471" s="56">
        <f>INDEX(Assumptions!$B$14:$B$16,MATCH($R471,Assumptions!$A$14:$A$16,0))</f>
        <v>0.12</v>
      </c>
      <c r="AE471" s="56">
        <f>INDEX(Assumptions!$C$14:$C$16,MATCH($R471,Assumptions!$A$14:$A$16,0))</f>
        <v>0.08</v>
      </c>
      <c r="AF471" s="49">
        <f t="shared" si="109"/>
        <v>0</v>
      </c>
      <c r="AG471" s="49">
        <f t="shared" si="110"/>
        <v>0</v>
      </c>
      <c r="AH471" s="55">
        <f t="shared" si="111"/>
        <v>0</v>
      </c>
    </row>
    <row r="472" spans="1:34" x14ac:dyDescent="0.2">
      <c r="A472" s="48" t="s">
        <v>616</v>
      </c>
      <c r="B472" s="48">
        <v>2</v>
      </c>
      <c r="C472" s="48" t="s">
        <v>583</v>
      </c>
      <c r="D472" s="48" t="s">
        <v>527</v>
      </c>
      <c r="E472" s="48" t="s">
        <v>498</v>
      </c>
      <c r="F472" s="48" t="s">
        <v>280</v>
      </c>
      <c r="G472" s="48" t="s">
        <v>302</v>
      </c>
      <c r="H472" s="48" t="s">
        <v>66</v>
      </c>
      <c r="I472" s="48" t="s">
        <v>151</v>
      </c>
      <c r="J472" s="49">
        <v>23</v>
      </c>
      <c r="K472" s="50">
        <v>325</v>
      </c>
      <c r="L472" s="50">
        <v>319.29000000000002</v>
      </c>
      <c r="M472" s="48" t="s">
        <v>276</v>
      </c>
      <c r="N472" s="51">
        <v>0.92</v>
      </c>
      <c r="O472" s="51">
        <v>0.91739999999999999</v>
      </c>
      <c r="P472" s="52">
        <v>221.7</v>
      </c>
      <c r="Q472" s="52">
        <v>221.7</v>
      </c>
      <c r="R472" s="53" t="str">
        <f>INDEX(SKU_Master!$D$5:$D$34,MATCH($I472,SKU_Master!$A$5:$A$34,0))</f>
        <v>Accessory</v>
      </c>
      <c r="S472" s="54">
        <f t="shared" si="98"/>
        <v>1.756923076923067E-2</v>
      </c>
      <c r="T472" s="55">
        <f t="shared" si="99"/>
        <v>8125</v>
      </c>
      <c r="U472" s="55">
        <f t="shared" si="100"/>
        <v>7982.25</v>
      </c>
      <c r="V472" s="55">
        <f t="shared" si="101"/>
        <v>-142.75</v>
      </c>
      <c r="W472" s="55">
        <f t="shared" si="102"/>
        <v>8004.8724656638324</v>
      </c>
      <c r="X472" s="55">
        <f t="shared" si="103"/>
        <v>22.622465663832372</v>
      </c>
      <c r="Y472" s="55">
        <f t="shared" si="104"/>
        <v>5099.0999999999995</v>
      </c>
      <c r="Z472" s="55">
        <f t="shared" si="105"/>
        <v>5099.0999999999995</v>
      </c>
      <c r="AA472" s="55">
        <f t="shared" si="106"/>
        <v>0</v>
      </c>
      <c r="AB472" s="55">
        <f t="shared" si="107"/>
        <v>2905.7724656638329</v>
      </c>
      <c r="AC472" s="54">
        <f t="shared" si="108"/>
        <v>0.36300046979235184</v>
      </c>
      <c r="AD472" s="56">
        <f>INDEX(Assumptions!$B$14:$B$16,MATCH($R472,Assumptions!$A$14:$A$16,0))</f>
        <v>0.32</v>
      </c>
      <c r="AE472" s="56">
        <f>INDEX(Assumptions!$C$14:$C$16,MATCH($R472,Assumptions!$A$14:$A$16,0))</f>
        <v>0.22</v>
      </c>
      <c r="AF472" s="49">
        <f t="shared" si="109"/>
        <v>0</v>
      </c>
      <c r="AG472" s="49">
        <f t="shared" si="110"/>
        <v>0</v>
      </c>
      <c r="AH472" s="55">
        <f t="shared" si="111"/>
        <v>0</v>
      </c>
    </row>
    <row r="473" spans="1:34" x14ac:dyDescent="0.2">
      <c r="A473" s="48" t="s">
        <v>617</v>
      </c>
      <c r="B473" s="48">
        <v>1</v>
      </c>
      <c r="C473" s="48" t="s">
        <v>618</v>
      </c>
      <c r="D473" s="48" t="s">
        <v>527</v>
      </c>
      <c r="E473" s="48" t="s">
        <v>273</v>
      </c>
      <c r="F473" s="48" t="s">
        <v>274</v>
      </c>
      <c r="G473" s="48" t="s">
        <v>275</v>
      </c>
      <c r="H473" s="48" t="s">
        <v>66</v>
      </c>
      <c r="I473" s="48" t="s">
        <v>103</v>
      </c>
      <c r="J473" s="49">
        <v>7</v>
      </c>
      <c r="K473" s="50">
        <v>1090</v>
      </c>
      <c r="L473" s="50">
        <v>1074.6600000000001</v>
      </c>
      <c r="M473" s="48" t="s">
        <v>276</v>
      </c>
      <c r="N473" s="51">
        <v>0.92</v>
      </c>
      <c r="O473" s="51">
        <v>0.91739999999999999</v>
      </c>
      <c r="P473" s="52">
        <v>988.6</v>
      </c>
      <c r="Q473" s="52">
        <v>988.6</v>
      </c>
      <c r="R473" s="53" t="str">
        <f>INDEX(SKU_Master!$D$5:$D$34,MATCH($I473,SKU_Master!$A$5:$A$34,0))</f>
        <v>Laptop</v>
      </c>
      <c r="S473" s="54">
        <f t="shared" si="98"/>
        <v>1.4073394495412783E-2</v>
      </c>
      <c r="T473" s="55">
        <f t="shared" si="99"/>
        <v>8293.4782608695641</v>
      </c>
      <c r="U473" s="55">
        <f t="shared" si="100"/>
        <v>8176.7608695652179</v>
      </c>
      <c r="V473" s="55">
        <f t="shared" si="101"/>
        <v>-116.71739130434617</v>
      </c>
      <c r="W473" s="55">
        <f t="shared" si="102"/>
        <v>8199.934597776326</v>
      </c>
      <c r="X473" s="55">
        <f t="shared" si="103"/>
        <v>23.173728211108028</v>
      </c>
      <c r="Y473" s="55">
        <f t="shared" si="104"/>
        <v>6920.2</v>
      </c>
      <c r="Z473" s="55">
        <f t="shared" si="105"/>
        <v>6920.2</v>
      </c>
      <c r="AA473" s="55">
        <f t="shared" si="106"/>
        <v>0</v>
      </c>
      <c r="AB473" s="55">
        <f t="shared" si="107"/>
        <v>1279.7345977763262</v>
      </c>
      <c r="AC473" s="54">
        <f t="shared" si="108"/>
        <v>0.15606643961811195</v>
      </c>
      <c r="AD473" s="56">
        <f>INDEX(Assumptions!$B$14:$B$16,MATCH($R473,Assumptions!$A$14:$A$16,0))</f>
        <v>0.12</v>
      </c>
      <c r="AE473" s="56">
        <f>INDEX(Assumptions!$C$14:$C$16,MATCH($R473,Assumptions!$A$14:$A$16,0))</f>
        <v>0.08</v>
      </c>
      <c r="AF473" s="49">
        <f t="shared" si="109"/>
        <v>0</v>
      </c>
      <c r="AG473" s="49">
        <f t="shared" si="110"/>
        <v>0</v>
      </c>
      <c r="AH473" s="55">
        <f t="shared" si="111"/>
        <v>0</v>
      </c>
    </row>
    <row r="474" spans="1:34" x14ac:dyDescent="0.2">
      <c r="A474" s="48" t="s">
        <v>617</v>
      </c>
      <c r="B474" s="48">
        <v>2</v>
      </c>
      <c r="C474" s="48" t="s">
        <v>618</v>
      </c>
      <c r="D474" s="48" t="s">
        <v>527</v>
      </c>
      <c r="E474" s="48" t="s">
        <v>273</v>
      </c>
      <c r="F474" s="48" t="s">
        <v>274</v>
      </c>
      <c r="G474" s="48" t="s">
        <v>275</v>
      </c>
      <c r="H474" s="48" t="s">
        <v>66</v>
      </c>
      <c r="I474" s="48" t="s">
        <v>135</v>
      </c>
      <c r="J474" s="49">
        <v>3</v>
      </c>
      <c r="K474" s="50">
        <v>255</v>
      </c>
      <c r="L474" s="50">
        <v>250.47</v>
      </c>
      <c r="M474" s="48" t="s">
        <v>276</v>
      </c>
      <c r="N474" s="51">
        <v>0.92</v>
      </c>
      <c r="O474" s="51">
        <v>0.91739999999999999</v>
      </c>
      <c r="P474" s="52">
        <v>211.7</v>
      </c>
      <c r="Q474" s="52">
        <v>211.7</v>
      </c>
      <c r="R474" s="53" t="str">
        <f>INDEX(SKU_Master!$D$5:$D$34,MATCH($I474,SKU_Master!$A$5:$A$34,0))</f>
        <v>Monitor</v>
      </c>
      <c r="S474" s="54">
        <f t="shared" si="98"/>
        <v>1.7764705882352905E-2</v>
      </c>
      <c r="T474" s="55">
        <f t="shared" si="99"/>
        <v>831.52173913043475</v>
      </c>
      <c r="U474" s="55">
        <f t="shared" si="100"/>
        <v>816.74999999999989</v>
      </c>
      <c r="V474" s="55">
        <f t="shared" si="101"/>
        <v>-14.771739130434867</v>
      </c>
      <c r="W474" s="55">
        <f t="shared" si="102"/>
        <v>819.06474820143887</v>
      </c>
      <c r="X474" s="55">
        <f t="shared" si="103"/>
        <v>2.314748201438988</v>
      </c>
      <c r="Y474" s="55">
        <f t="shared" si="104"/>
        <v>635.09999999999991</v>
      </c>
      <c r="Z474" s="55">
        <f t="shared" si="105"/>
        <v>635.09999999999991</v>
      </c>
      <c r="AA474" s="55">
        <f t="shared" si="106"/>
        <v>0</v>
      </c>
      <c r="AB474" s="55">
        <f t="shared" si="107"/>
        <v>183.96474820143897</v>
      </c>
      <c r="AC474" s="54">
        <f t="shared" si="108"/>
        <v>0.22460342555994744</v>
      </c>
      <c r="AD474" s="56">
        <f>INDEX(Assumptions!$B$14:$B$16,MATCH($R474,Assumptions!$A$14:$A$16,0))</f>
        <v>0.18</v>
      </c>
      <c r="AE474" s="56">
        <f>INDEX(Assumptions!$C$14:$C$16,MATCH($R474,Assumptions!$A$14:$A$16,0))</f>
        <v>0.12</v>
      </c>
      <c r="AF474" s="49">
        <f t="shared" si="109"/>
        <v>0</v>
      </c>
      <c r="AG474" s="49">
        <f t="shared" si="110"/>
        <v>0</v>
      </c>
      <c r="AH474" s="55">
        <f t="shared" si="111"/>
        <v>0</v>
      </c>
    </row>
    <row r="475" spans="1:34" x14ac:dyDescent="0.2">
      <c r="A475" s="48" t="s">
        <v>617</v>
      </c>
      <c r="B475" s="48">
        <v>3</v>
      </c>
      <c r="C475" s="48" t="s">
        <v>618</v>
      </c>
      <c r="D475" s="48" t="s">
        <v>527</v>
      </c>
      <c r="E475" s="48" t="s">
        <v>273</v>
      </c>
      <c r="F475" s="48" t="s">
        <v>274</v>
      </c>
      <c r="G475" s="48" t="s">
        <v>275</v>
      </c>
      <c r="H475" s="48" t="s">
        <v>66</v>
      </c>
      <c r="I475" s="48" t="s">
        <v>166</v>
      </c>
      <c r="J475" s="49">
        <v>3</v>
      </c>
      <c r="K475" s="50">
        <v>255</v>
      </c>
      <c r="L475" s="50">
        <v>253.51</v>
      </c>
      <c r="M475" s="48" t="s">
        <v>276</v>
      </c>
      <c r="N475" s="51">
        <v>0.92</v>
      </c>
      <c r="O475" s="51">
        <v>0.91739999999999999</v>
      </c>
      <c r="P475" s="52">
        <v>174.35</v>
      </c>
      <c r="Q475" s="52">
        <v>174.35</v>
      </c>
      <c r="R475" s="53" t="str">
        <f>INDEX(SKU_Master!$D$5:$D$34,MATCH($I475,SKU_Master!$A$5:$A$34,0))</f>
        <v>Accessory</v>
      </c>
      <c r="S475" s="54">
        <f t="shared" si="98"/>
        <v>5.8431372549020422E-3</v>
      </c>
      <c r="T475" s="55">
        <f t="shared" si="99"/>
        <v>831.52173913043475</v>
      </c>
      <c r="U475" s="55">
        <f t="shared" si="100"/>
        <v>826.66304347826076</v>
      </c>
      <c r="V475" s="55">
        <f t="shared" si="101"/>
        <v>-4.8586956521739921</v>
      </c>
      <c r="W475" s="55">
        <f t="shared" si="102"/>
        <v>829.00588620013082</v>
      </c>
      <c r="X475" s="55">
        <f t="shared" si="103"/>
        <v>2.3428427218700563</v>
      </c>
      <c r="Y475" s="55">
        <f t="shared" si="104"/>
        <v>523.04999999999995</v>
      </c>
      <c r="Z475" s="55">
        <f t="shared" si="105"/>
        <v>523.04999999999995</v>
      </c>
      <c r="AA475" s="55">
        <f t="shared" si="106"/>
        <v>0</v>
      </c>
      <c r="AB475" s="55">
        <f t="shared" si="107"/>
        <v>305.95588620013086</v>
      </c>
      <c r="AC475" s="54">
        <f t="shared" si="108"/>
        <v>0.36906358723521759</v>
      </c>
      <c r="AD475" s="56">
        <f>INDEX(Assumptions!$B$14:$B$16,MATCH($R475,Assumptions!$A$14:$A$16,0))</f>
        <v>0.32</v>
      </c>
      <c r="AE475" s="56">
        <f>INDEX(Assumptions!$C$14:$C$16,MATCH($R475,Assumptions!$A$14:$A$16,0))</f>
        <v>0.22</v>
      </c>
      <c r="AF475" s="49">
        <f t="shared" si="109"/>
        <v>0</v>
      </c>
      <c r="AG475" s="49">
        <f t="shared" si="110"/>
        <v>0</v>
      </c>
      <c r="AH475" s="55">
        <f t="shared" si="111"/>
        <v>0</v>
      </c>
    </row>
    <row r="476" spans="1:34" x14ac:dyDescent="0.2">
      <c r="A476" s="48" t="s">
        <v>619</v>
      </c>
      <c r="B476" s="48">
        <v>1</v>
      </c>
      <c r="C476" s="48" t="s">
        <v>539</v>
      </c>
      <c r="D476" s="48" t="s">
        <v>527</v>
      </c>
      <c r="E476" s="48" t="s">
        <v>395</v>
      </c>
      <c r="F476" s="48" t="s">
        <v>280</v>
      </c>
      <c r="G476" s="48" t="s">
        <v>281</v>
      </c>
      <c r="H476" s="48" t="s">
        <v>66</v>
      </c>
      <c r="I476" s="48" t="s">
        <v>101</v>
      </c>
      <c r="J476" s="49">
        <v>10</v>
      </c>
      <c r="K476" s="50">
        <v>3250</v>
      </c>
      <c r="L476" s="50">
        <v>3213</v>
      </c>
      <c r="M476" s="48" t="s">
        <v>276</v>
      </c>
      <c r="N476" s="51">
        <v>0.92</v>
      </c>
      <c r="O476" s="51">
        <v>0.91739999999999999</v>
      </c>
      <c r="P476" s="52">
        <v>2958.5</v>
      </c>
      <c r="Q476" s="52">
        <v>2958.5</v>
      </c>
      <c r="R476" s="53" t="str">
        <f>INDEX(SKU_Master!$D$5:$D$34,MATCH($I476,SKU_Master!$A$5:$A$34,0))</f>
        <v>Laptop</v>
      </c>
      <c r="S476" s="54">
        <f t="shared" si="98"/>
        <v>1.1384615384615437E-2</v>
      </c>
      <c r="T476" s="55">
        <f t="shared" si="99"/>
        <v>35326.086956521736</v>
      </c>
      <c r="U476" s="55">
        <f t="shared" si="100"/>
        <v>34923.913043478256</v>
      </c>
      <c r="V476" s="55">
        <f t="shared" si="101"/>
        <v>-402.17391304347984</v>
      </c>
      <c r="W476" s="55">
        <f t="shared" si="102"/>
        <v>35022.890778286463</v>
      </c>
      <c r="X476" s="55">
        <f t="shared" si="103"/>
        <v>98.977734808206151</v>
      </c>
      <c r="Y476" s="55">
        <f t="shared" si="104"/>
        <v>29585</v>
      </c>
      <c r="Z476" s="55">
        <f t="shared" si="105"/>
        <v>29585</v>
      </c>
      <c r="AA476" s="55">
        <f t="shared" si="106"/>
        <v>0</v>
      </c>
      <c r="AB476" s="55">
        <f t="shared" si="107"/>
        <v>5437.8907782864626</v>
      </c>
      <c r="AC476" s="54">
        <f t="shared" si="108"/>
        <v>0.15526676003734829</v>
      </c>
      <c r="AD476" s="56">
        <f>INDEX(Assumptions!$B$14:$B$16,MATCH($R476,Assumptions!$A$14:$A$16,0))</f>
        <v>0.12</v>
      </c>
      <c r="AE476" s="56">
        <f>INDEX(Assumptions!$C$14:$C$16,MATCH($R476,Assumptions!$A$14:$A$16,0))</f>
        <v>0.08</v>
      </c>
      <c r="AF476" s="49">
        <f t="shared" si="109"/>
        <v>0</v>
      </c>
      <c r="AG476" s="49">
        <f t="shared" si="110"/>
        <v>0</v>
      </c>
      <c r="AH476" s="55">
        <f t="shared" si="111"/>
        <v>0</v>
      </c>
    </row>
    <row r="477" spans="1:34" x14ac:dyDescent="0.2">
      <c r="A477" s="48" t="s">
        <v>619</v>
      </c>
      <c r="B477" s="48">
        <v>2</v>
      </c>
      <c r="C477" s="48" t="s">
        <v>539</v>
      </c>
      <c r="D477" s="48" t="s">
        <v>527</v>
      </c>
      <c r="E477" s="48" t="s">
        <v>395</v>
      </c>
      <c r="F477" s="48" t="s">
        <v>280</v>
      </c>
      <c r="G477" s="48" t="s">
        <v>281</v>
      </c>
      <c r="H477" s="48" t="s">
        <v>66</v>
      </c>
      <c r="I477" s="48" t="s">
        <v>166</v>
      </c>
      <c r="J477" s="49">
        <v>4</v>
      </c>
      <c r="K477" s="50">
        <v>255</v>
      </c>
      <c r="L477" s="50">
        <v>252.41</v>
      </c>
      <c r="M477" s="48" t="s">
        <v>276</v>
      </c>
      <c r="N477" s="51">
        <v>0.92</v>
      </c>
      <c r="O477" s="51">
        <v>0.91739999999999999</v>
      </c>
      <c r="P477" s="52">
        <v>174.35</v>
      </c>
      <c r="Q477" s="52">
        <v>174.35</v>
      </c>
      <c r="R477" s="53" t="str">
        <f>INDEX(SKU_Master!$D$5:$D$34,MATCH($I477,SKU_Master!$A$5:$A$34,0))</f>
        <v>Accessory</v>
      </c>
      <c r="S477" s="54">
        <f t="shared" si="98"/>
        <v>1.0156862745098083E-2</v>
      </c>
      <c r="T477" s="55">
        <f t="shared" si="99"/>
        <v>1108.695652173913</v>
      </c>
      <c r="U477" s="55">
        <f t="shared" si="100"/>
        <v>1097.4347826086955</v>
      </c>
      <c r="V477" s="55">
        <f t="shared" si="101"/>
        <v>-11.26086956521749</v>
      </c>
      <c r="W477" s="55">
        <f t="shared" si="102"/>
        <v>1100.5450185306299</v>
      </c>
      <c r="X477" s="55">
        <f t="shared" si="103"/>
        <v>3.110235921934418</v>
      </c>
      <c r="Y477" s="55">
        <f t="shared" si="104"/>
        <v>697.4</v>
      </c>
      <c r="Z477" s="55">
        <f t="shared" si="105"/>
        <v>697.4</v>
      </c>
      <c r="AA477" s="55">
        <f t="shared" si="106"/>
        <v>0</v>
      </c>
      <c r="AB477" s="55">
        <f t="shared" si="107"/>
        <v>403.14501853062995</v>
      </c>
      <c r="AC477" s="54">
        <f t="shared" si="108"/>
        <v>0.36631397329741289</v>
      </c>
      <c r="AD477" s="56">
        <f>INDEX(Assumptions!$B$14:$B$16,MATCH($R477,Assumptions!$A$14:$A$16,0))</f>
        <v>0.32</v>
      </c>
      <c r="AE477" s="56">
        <f>INDEX(Assumptions!$C$14:$C$16,MATCH($R477,Assumptions!$A$14:$A$16,0))</f>
        <v>0.22</v>
      </c>
      <c r="AF477" s="49">
        <f t="shared" si="109"/>
        <v>0</v>
      </c>
      <c r="AG477" s="49">
        <f t="shared" si="110"/>
        <v>0</v>
      </c>
      <c r="AH477" s="55">
        <f t="shared" si="111"/>
        <v>0</v>
      </c>
    </row>
    <row r="478" spans="1:34" x14ac:dyDescent="0.2">
      <c r="A478" s="48" t="s">
        <v>620</v>
      </c>
      <c r="B478" s="48">
        <v>1</v>
      </c>
      <c r="C478" s="48" t="s">
        <v>532</v>
      </c>
      <c r="D478" s="48" t="s">
        <v>527</v>
      </c>
      <c r="E478" s="48" t="s">
        <v>284</v>
      </c>
      <c r="F478" s="48" t="s">
        <v>274</v>
      </c>
      <c r="G478" s="48" t="s">
        <v>275</v>
      </c>
      <c r="H478" s="48" t="s">
        <v>64</v>
      </c>
      <c r="I478" s="48" t="s">
        <v>106</v>
      </c>
      <c r="J478" s="49">
        <v>7</v>
      </c>
      <c r="K478" s="50">
        <v>1250</v>
      </c>
      <c r="L478" s="50">
        <v>1237.8499999999999</v>
      </c>
      <c r="M478" s="48" t="s">
        <v>276</v>
      </c>
      <c r="N478" s="51">
        <v>0.79</v>
      </c>
      <c r="O478" s="51">
        <v>0.78759999999999997</v>
      </c>
      <c r="P478" s="52">
        <v>1322.4</v>
      </c>
      <c r="Q478" s="52">
        <v>1322.4</v>
      </c>
      <c r="R478" s="53" t="str">
        <f>INDEX(SKU_Master!$D$5:$D$34,MATCH($I478,SKU_Master!$A$5:$A$34,0))</f>
        <v>Laptop</v>
      </c>
      <c r="S478" s="54">
        <f t="shared" si="98"/>
        <v>9.7200000000000619E-3</v>
      </c>
      <c r="T478" s="55">
        <f t="shared" si="99"/>
        <v>11075.949367088608</v>
      </c>
      <c r="U478" s="55">
        <f t="shared" si="100"/>
        <v>10968.291139240504</v>
      </c>
      <c r="V478" s="55">
        <f t="shared" si="101"/>
        <v>-107.65822784810371</v>
      </c>
      <c r="W478" s="55">
        <f t="shared" si="102"/>
        <v>11001.714068054849</v>
      </c>
      <c r="X478" s="55">
        <f t="shared" si="103"/>
        <v>33.422928814345141</v>
      </c>
      <c r="Y478" s="55">
        <f t="shared" si="104"/>
        <v>9256.8000000000011</v>
      </c>
      <c r="Z478" s="55">
        <f t="shared" si="105"/>
        <v>9256.8000000000011</v>
      </c>
      <c r="AA478" s="55">
        <f t="shared" si="106"/>
        <v>0</v>
      </c>
      <c r="AB478" s="55">
        <f t="shared" si="107"/>
        <v>1744.914068054848</v>
      </c>
      <c r="AC478" s="54">
        <f t="shared" si="108"/>
        <v>0.15860383729854163</v>
      </c>
      <c r="AD478" s="56">
        <f>INDEX(Assumptions!$B$14:$B$16,MATCH($R478,Assumptions!$A$14:$A$16,0))</f>
        <v>0.12</v>
      </c>
      <c r="AE478" s="56">
        <f>INDEX(Assumptions!$C$14:$C$16,MATCH($R478,Assumptions!$A$14:$A$16,0))</f>
        <v>0.08</v>
      </c>
      <c r="AF478" s="49">
        <f t="shared" si="109"/>
        <v>0</v>
      </c>
      <c r="AG478" s="49">
        <f t="shared" si="110"/>
        <v>0</v>
      </c>
      <c r="AH478" s="55">
        <f t="shared" si="111"/>
        <v>0</v>
      </c>
    </row>
    <row r="479" spans="1:34" x14ac:dyDescent="0.2">
      <c r="A479" s="48" t="s">
        <v>621</v>
      </c>
      <c r="B479" s="48">
        <v>1</v>
      </c>
      <c r="C479" s="48" t="s">
        <v>534</v>
      </c>
      <c r="D479" s="48" t="s">
        <v>527</v>
      </c>
      <c r="E479" s="48" t="s">
        <v>305</v>
      </c>
      <c r="F479" s="48" t="s">
        <v>274</v>
      </c>
      <c r="G479" s="48" t="s">
        <v>306</v>
      </c>
      <c r="H479" s="48" t="s">
        <v>62</v>
      </c>
      <c r="I479" s="48" t="s">
        <v>110</v>
      </c>
      <c r="J479" s="49">
        <v>6</v>
      </c>
      <c r="K479" s="50">
        <v>1165</v>
      </c>
      <c r="L479" s="50">
        <v>1144.07</v>
      </c>
      <c r="M479" s="48" t="s">
        <v>276</v>
      </c>
      <c r="N479" s="51">
        <v>1</v>
      </c>
      <c r="O479" s="51">
        <v>1</v>
      </c>
      <c r="P479" s="52">
        <v>992.65</v>
      </c>
      <c r="Q479" s="52">
        <v>992.65</v>
      </c>
      <c r="R479" s="53" t="str">
        <f>INDEX(SKU_Master!$D$5:$D$34,MATCH($I479,SKU_Master!$A$5:$A$34,0))</f>
        <v>Laptop</v>
      </c>
      <c r="S479" s="54">
        <f t="shared" si="98"/>
        <v>1.7965665236051587E-2</v>
      </c>
      <c r="T479" s="55">
        <f t="shared" si="99"/>
        <v>6990</v>
      </c>
      <c r="U479" s="55">
        <f t="shared" si="100"/>
        <v>6864.42</v>
      </c>
      <c r="V479" s="55">
        <f t="shared" si="101"/>
        <v>-125.57999999999993</v>
      </c>
      <c r="W479" s="55">
        <f t="shared" si="102"/>
        <v>6864.42</v>
      </c>
      <c r="X479" s="55">
        <f t="shared" si="103"/>
        <v>0</v>
      </c>
      <c r="Y479" s="55">
        <f t="shared" si="104"/>
        <v>5955.9</v>
      </c>
      <c r="Z479" s="55">
        <f t="shared" si="105"/>
        <v>5955.9</v>
      </c>
      <c r="AA479" s="55">
        <f t="shared" si="106"/>
        <v>0</v>
      </c>
      <c r="AB479" s="55">
        <f t="shared" si="107"/>
        <v>908.52000000000044</v>
      </c>
      <c r="AC479" s="54">
        <f t="shared" si="108"/>
        <v>0.13235204139606849</v>
      </c>
      <c r="AD479" s="56">
        <f>INDEX(Assumptions!$B$14:$B$16,MATCH($R479,Assumptions!$A$14:$A$16,0))</f>
        <v>0.12</v>
      </c>
      <c r="AE479" s="56">
        <f>INDEX(Assumptions!$C$14:$C$16,MATCH($R479,Assumptions!$A$14:$A$16,0))</f>
        <v>0.08</v>
      </c>
      <c r="AF479" s="49">
        <f t="shared" si="109"/>
        <v>0</v>
      </c>
      <c r="AG479" s="49">
        <f t="shared" si="110"/>
        <v>0</v>
      </c>
      <c r="AH479" s="55">
        <f t="shared" si="111"/>
        <v>0</v>
      </c>
    </row>
    <row r="480" spans="1:34" x14ac:dyDescent="0.2">
      <c r="A480" s="48" t="s">
        <v>621</v>
      </c>
      <c r="B480" s="48">
        <v>2</v>
      </c>
      <c r="C480" s="48" t="s">
        <v>534</v>
      </c>
      <c r="D480" s="48" t="s">
        <v>527</v>
      </c>
      <c r="E480" s="48" t="s">
        <v>305</v>
      </c>
      <c r="F480" s="48" t="s">
        <v>274</v>
      </c>
      <c r="G480" s="48" t="s">
        <v>306</v>
      </c>
      <c r="H480" s="48" t="s">
        <v>62</v>
      </c>
      <c r="I480" s="48" t="s">
        <v>148</v>
      </c>
      <c r="J480" s="49">
        <v>2</v>
      </c>
      <c r="K480" s="50">
        <v>400</v>
      </c>
      <c r="L480" s="50">
        <v>396.92</v>
      </c>
      <c r="M480" s="48" t="s">
        <v>276</v>
      </c>
      <c r="N480" s="51">
        <v>1</v>
      </c>
      <c r="O480" s="51">
        <v>1</v>
      </c>
      <c r="P480" s="52">
        <v>315</v>
      </c>
      <c r="Q480" s="52">
        <v>315</v>
      </c>
      <c r="R480" s="53" t="str">
        <f>INDEX(SKU_Master!$D$5:$D$34,MATCH($I480,SKU_Master!$A$5:$A$34,0))</f>
        <v>Monitor</v>
      </c>
      <c r="S480" s="54">
        <f t="shared" si="98"/>
        <v>7.6999999999999291E-3</v>
      </c>
      <c r="T480" s="55">
        <f t="shared" si="99"/>
        <v>800</v>
      </c>
      <c r="U480" s="55">
        <f t="shared" si="100"/>
        <v>793.84</v>
      </c>
      <c r="V480" s="55">
        <f t="shared" si="101"/>
        <v>-6.1599999999999682</v>
      </c>
      <c r="W480" s="55">
        <f t="shared" si="102"/>
        <v>793.84</v>
      </c>
      <c r="X480" s="55">
        <f t="shared" si="103"/>
        <v>0</v>
      </c>
      <c r="Y480" s="55">
        <f t="shared" si="104"/>
        <v>630</v>
      </c>
      <c r="Z480" s="55">
        <f t="shared" si="105"/>
        <v>630</v>
      </c>
      <c r="AA480" s="55">
        <f t="shared" si="106"/>
        <v>0</v>
      </c>
      <c r="AB480" s="55">
        <f t="shared" si="107"/>
        <v>163.84000000000003</v>
      </c>
      <c r="AC480" s="54">
        <f t="shared" si="108"/>
        <v>0.20638919681547921</v>
      </c>
      <c r="AD480" s="56">
        <f>INDEX(Assumptions!$B$14:$B$16,MATCH($R480,Assumptions!$A$14:$A$16,0))</f>
        <v>0.18</v>
      </c>
      <c r="AE480" s="56">
        <f>INDEX(Assumptions!$C$14:$C$16,MATCH($R480,Assumptions!$A$14:$A$16,0))</f>
        <v>0.12</v>
      </c>
      <c r="AF480" s="49">
        <f t="shared" si="109"/>
        <v>0</v>
      </c>
      <c r="AG480" s="49">
        <f t="shared" si="110"/>
        <v>0</v>
      </c>
      <c r="AH480" s="55">
        <f t="shared" si="111"/>
        <v>0</v>
      </c>
    </row>
    <row r="481" spans="1:34" x14ac:dyDescent="0.2">
      <c r="A481" s="48" t="s">
        <v>621</v>
      </c>
      <c r="B481" s="48">
        <v>3</v>
      </c>
      <c r="C481" s="48" t="s">
        <v>534</v>
      </c>
      <c r="D481" s="48" t="s">
        <v>527</v>
      </c>
      <c r="E481" s="48" t="s">
        <v>305</v>
      </c>
      <c r="F481" s="48" t="s">
        <v>274</v>
      </c>
      <c r="G481" s="48" t="s">
        <v>306</v>
      </c>
      <c r="H481" s="48" t="s">
        <v>62</v>
      </c>
      <c r="I481" s="48" t="s">
        <v>151</v>
      </c>
      <c r="J481" s="49">
        <v>4</v>
      </c>
      <c r="K481" s="50">
        <v>335</v>
      </c>
      <c r="L481" s="50">
        <v>333.07</v>
      </c>
      <c r="M481" s="48" t="s">
        <v>276</v>
      </c>
      <c r="N481" s="51">
        <v>1</v>
      </c>
      <c r="O481" s="51">
        <v>1</v>
      </c>
      <c r="P481" s="52">
        <v>216.7</v>
      </c>
      <c r="Q481" s="52">
        <v>216.7</v>
      </c>
      <c r="R481" s="53" t="str">
        <f>INDEX(SKU_Master!$D$5:$D$34,MATCH($I481,SKU_Master!$A$5:$A$34,0))</f>
        <v>Accessory</v>
      </c>
      <c r="S481" s="54">
        <f t="shared" si="98"/>
        <v>5.761194029850758E-3</v>
      </c>
      <c r="T481" s="55">
        <f t="shared" si="99"/>
        <v>1340</v>
      </c>
      <c r="U481" s="55">
        <f t="shared" si="100"/>
        <v>1332.28</v>
      </c>
      <c r="V481" s="55">
        <f t="shared" si="101"/>
        <v>-7.7200000000000273</v>
      </c>
      <c r="W481" s="55">
        <f t="shared" si="102"/>
        <v>1332.28</v>
      </c>
      <c r="X481" s="55">
        <f t="shared" si="103"/>
        <v>0</v>
      </c>
      <c r="Y481" s="55">
        <f t="shared" si="104"/>
        <v>866.8</v>
      </c>
      <c r="Z481" s="55">
        <f t="shared" si="105"/>
        <v>866.8</v>
      </c>
      <c r="AA481" s="55">
        <f t="shared" si="106"/>
        <v>0</v>
      </c>
      <c r="AB481" s="55">
        <f t="shared" si="107"/>
        <v>465.48</v>
      </c>
      <c r="AC481" s="54">
        <f t="shared" si="108"/>
        <v>0.34938601495181193</v>
      </c>
      <c r="AD481" s="56">
        <f>INDEX(Assumptions!$B$14:$B$16,MATCH($R481,Assumptions!$A$14:$A$16,0))</f>
        <v>0.32</v>
      </c>
      <c r="AE481" s="56">
        <f>INDEX(Assumptions!$C$14:$C$16,MATCH($R481,Assumptions!$A$14:$A$16,0))</f>
        <v>0.22</v>
      </c>
      <c r="AF481" s="49">
        <f t="shared" si="109"/>
        <v>0</v>
      </c>
      <c r="AG481" s="49">
        <f t="shared" si="110"/>
        <v>0</v>
      </c>
      <c r="AH481" s="55">
        <f t="shared" si="111"/>
        <v>0</v>
      </c>
    </row>
    <row r="482" spans="1:34" x14ac:dyDescent="0.2">
      <c r="A482" s="48" t="s">
        <v>622</v>
      </c>
      <c r="B482" s="48">
        <v>1</v>
      </c>
      <c r="C482" s="48" t="s">
        <v>548</v>
      </c>
      <c r="D482" s="48" t="s">
        <v>527</v>
      </c>
      <c r="E482" s="48" t="s">
        <v>417</v>
      </c>
      <c r="F482" s="48" t="s">
        <v>280</v>
      </c>
      <c r="G482" s="48" t="s">
        <v>298</v>
      </c>
      <c r="H482" s="48" t="s">
        <v>62</v>
      </c>
      <c r="I482" s="48" t="s">
        <v>121</v>
      </c>
      <c r="J482" s="49">
        <v>9</v>
      </c>
      <c r="K482" s="50">
        <v>920</v>
      </c>
      <c r="L482" s="50">
        <v>909.75</v>
      </c>
      <c r="M482" s="48" t="s">
        <v>276</v>
      </c>
      <c r="N482" s="51">
        <v>1</v>
      </c>
      <c r="O482" s="51">
        <v>1</v>
      </c>
      <c r="P482" s="52">
        <v>782.4</v>
      </c>
      <c r="Q482" s="52">
        <v>782.4</v>
      </c>
      <c r="R482" s="53" t="str">
        <f>INDEX(SKU_Master!$D$5:$D$34,MATCH($I482,SKU_Master!$A$5:$A$34,0))</f>
        <v>Laptop</v>
      </c>
      <c r="S482" s="54">
        <f t="shared" si="98"/>
        <v>1.114130434782612E-2</v>
      </c>
      <c r="T482" s="55">
        <f t="shared" si="99"/>
        <v>8280</v>
      </c>
      <c r="U482" s="55">
        <f t="shared" si="100"/>
        <v>8187.75</v>
      </c>
      <c r="V482" s="55">
        <f t="shared" si="101"/>
        <v>-92.25</v>
      </c>
      <c r="W482" s="55">
        <f t="shared" si="102"/>
        <v>8187.75</v>
      </c>
      <c r="X482" s="55">
        <f t="shared" si="103"/>
        <v>0</v>
      </c>
      <c r="Y482" s="55">
        <f t="shared" si="104"/>
        <v>7041.5999999999995</v>
      </c>
      <c r="Z482" s="55">
        <f t="shared" si="105"/>
        <v>7041.5999999999995</v>
      </c>
      <c r="AA482" s="55">
        <f t="shared" si="106"/>
        <v>0</v>
      </c>
      <c r="AB482" s="55">
        <f t="shared" si="107"/>
        <v>1146.1500000000005</v>
      </c>
      <c r="AC482" s="54">
        <f t="shared" si="108"/>
        <v>0.13998351195383354</v>
      </c>
      <c r="AD482" s="56">
        <f>INDEX(Assumptions!$B$14:$B$16,MATCH($R482,Assumptions!$A$14:$A$16,0))</f>
        <v>0.12</v>
      </c>
      <c r="AE482" s="56">
        <f>INDEX(Assumptions!$C$14:$C$16,MATCH($R482,Assumptions!$A$14:$A$16,0))</f>
        <v>0.08</v>
      </c>
      <c r="AF482" s="49">
        <f t="shared" si="109"/>
        <v>0</v>
      </c>
      <c r="AG482" s="49">
        <f t="shared" si="110"/>
        <v>0</v>
      </c>
      <c r="AH482" s="55">
        <f t="shared" si="111"/>
        <v>0</v>
      </c>
    </row>
    <row r="483" spans="1:34" x14ac:dyDescent="0.2">
      <c r="A483" s="48" t="s">
        <v>622</v>
      </c>
      <c r="B483" s="48">
        <v>2</v>
      </c>
      <c r="C483" s="48" t="s">
        <v>548</v>
      </c>
      <c r="D483" s="48" t="s">
        <v>527</v>
      </c>
      <c r="E483" s="48" t="s">
        <v>417</v>
      </c>
      <c r="F483" s="48" t="s">
        <v>280</v>
      </c>
      <c r="G483" s="48" t="s">
        <v>298</v>
      </c>
      <c r="H483" s="48" t="s">
        <v>62</v>
      </c>
      <c r="I483" s="48" t="s">
        <v>151</v>
      </c>
      <c r="J483" s="49">
        <v>6</v>
      </c>
      <c r="K483" s="50">
        <v>335</v>
      </c>
      <c r="L483" s="50">
        <v>330.71</v>
      </c>
      <c r="M483" s="48" t="s">
        <v>276</v>
      </c>
      <c r="N483" s="51">
        <v>1</v>
      </c>
      <c r="O483" s="51">
        <v>1</v>
      </c>
      <c r="P483" s="52">
        <v>216.7</v>
      </c>
      <c r="Q483" s="52">
        <v>216.7</v>
      </c>
      <c r="R483" s="53" t="str">
        <f>INDEX(SKU_Master!$D$5:$D$34,MATCH($I483,SKU_Master!$A$5:$A$34,0))</f>
        <v>Accessory</v>
      </c>
      <c r="S483" s="54">
        <f t="shared" si="98"/>
        <v>1.2805970149253776E-2</v>
      </c>
      <c r="T483" s="55">
        <f t="shared" si="99"/>
        <v>2010</v>
      </c>
      <c r="U483" s="55">
        <f t="shared" si="100"/>
        <v>1984.2599999999998</v>
      </c>
      <c r="V483" s="55">
        <f t="shared" si="101"/>
        <v>-25.740000000000236</v>
      </c>
      <c r="W483" s="55">
        <f t="shared" si="102"/>
        <v>1984.2599999999998</v>
      </c>
      <c r="X483" s="55">
        <f t="shared" si="103"/>
        <v>0</v>
      </c>
      <c r="Y483" s="55">
        <f t="shared" si="104"/>
        <v>1300.1999999999998</v>
      </c>
      <c r="Z483" s="55">
        <f t="shared" si="105"/>
        <v>1300.1999999999998</v>
      </c>
      <c r="AA483" s="55">
        <f t="shared" si="106"/>
        <v>0</v>
      </c>
      <c r="AB483" s="55">
        <f t="shared" si="107"/>
        <v>684.06</v>
      </c>
      <c r="AC483" s="54">
        <f t="shared" si="108"/>
        <v>0.34474312842067067</v>
      </c>
      <c r="AD483" s="56">
        <f>INDEX(Assumptions!$B$14:$B$16,MATCH($R483,Assumptions!$A$14:$A$16,0))</f>
        <v>0.32</v>
      </c>
      <c r="AE483" s="56">
        <f>INDEX(Assumptions!$C$14:$C$16,MATCH($R483,Assumptions!$A$14:$A$16,0))</f>
        <v>0.22</v>
      </c>
      <c r="AF483" s="49">
        <f t="shared" si="109"/>
        <v>0</v>
      </c>
      <c r="AG483" s="49">
        <f t="shared" si="110"/>
        <v>0</v>
      </c>
      <c r="AH483" s="55">
        <f t="shared" si="111"/>
        <v>0</v>
      </c>
    </row>
    <row r="484" spans="1:34" x14ac:dyDescent="0.2">
      <c r="A484" s="48" t="s">
        <v>623</v>
      </c>
      <c r="B484" s="48">
        <v>1</v>
      </c>
      <c r="C484" s="48" t="s">
        <v>548</v>
      </c>
      <c r="D484" s="48" t="s">
        <v>527</v>
      </c>
      <c r="E484" s="48" t="s">
        <v>333</v>
      </c>
      <c r="F484" s="48" t="s">
        <v>297</v>
      </c>
      <c r="G484" s="48" t="s">
        <v>302</v>
      </c>
      <c r="H484" s="48" t="s">
        <v>70</v>
      </c>
      <c r="I484" s="48" t="s">
        <v>110</v>
      </c>
      <c r="J484" s="49">
        <v>22</v>
      </c>
      <c r="K484" s="50">
        <v>113335</v>
      </c>
      <c r="L484" s="50">
        <v>106109.67</v>
      </c>
      <c r="M484" s="48" t="s">
        <v>276</v>
      </c>
      <c r="N484" s="51">
        <v>83.5</v>
      </c>
      <c r="O484" s="51">
        <v>83.595299999999995</v>
      </c>
      <c r="P484" s="52">
        <v>1136.8599999999999</v>
      </c>
      <c r="Q484" s="52">
        <v>1156.8599999999999</v>
      </c>
      <c r="R484" s="53" t="str">
        <f>INDEX(SKU_Master!$D$5:$D$34,MATCH($I484,SKU_Master!$A$5:$A$34,0))</f>
        <v>Laptop</v>
      </c>
      <c r="S484" s="54">
        <f t="shared" si="98"/>
        <v>6.3751974235673026E-2</v>
      </c>
      <c r="T484" s="55">
        <f t="shared" si="99"/>
        <v>29860.718562874252</v>
      </c>
      <c r="U484" s="55">
        <f t="shared" si="100"/>
        <v>27957.038802395207</v>
      </c>
      <c r="V484" s="55">
        <f t="shared" si="101"/>
        <v>-1903.6797604790445</v>
      </c>
      <c r="W484" s="55">
        <f t="shared" si="102"/>
        <v>27925.167324000271</v>
      </c>
      <c r="X484" s="55">
        <f t="shared" si="103"/>
        <v>-31.871478394936275</v>
      </c>
      <c r="Y484" s="55">
        <f t="shared" si="104"/>
        <v>25010.92</v>
      </c>
      <c r="Z484" s="55">
        <f t="shared" si="105"/>
        <v>25450.92</v>
      </c>
      <c r="AA484" s="55">
        <f t="shared" si="106"/>
        <v>-440</v>
      </c>
      <c r="AB484" s="55">
        <f t="shared" si="107"/>
        <v>2474.2473240002728</v>
      </c>
      <c r="AC484" s="54">
        <f t="shared" si="108"/>
        <v>8.860277524187947E-2</v>
      </c>
      <c r="AD484" s="56">
        <f>INDEX(Assumptions!$B$14:$B$16,MATCH($R484,Assumptions!$A$14:$A$16,0))</f>
        <v>0.12</v>
      </c>
      <c r="AE484" s="56">
        <f>INDEX(Assumptions!$C$14:$C$16,MATCH($R484,Assumptions!$A$14:$A$16,0))</f>
        <v>0.08</v>
      </c>
      <c r="AF484" s="49">
        <f t="shared" si="109"/>
        <v>0</v>
      </c>
      <c r="AG484" s="49">
        <f t="shared" si="110"/>
        <v>0</v>
      </c>
      <c r="AH484" s="55">
        <f t="shared" si="111"/>
        <v>876.77275487975976</v>
      </c>
    </row>
    <row r="485" spans="1:34" x14ac:dyDescent="0.2">
      <c r="A485" s="48" t="s">
        <v>623</v>
      </c>
      <c r="B485" s="48">
        <v>2</v>
      </c>
      <c r="C485" s="48" t="s">
        <v>548</v>
      </c>
      <c r="D485" s="48" t="s">
        <v>527</v>
      </c>
      <c r="E485" s="48" t="s">
        <v>333</v>
      </c>
      <c r="F485" s="48" t="s">
        <v>297</v>
      </c>
      <c r="G485" s="48" t="s">
        <v>302</v>
      </c>
      <c r="H485" s="48" t="s">
        <v>70</v>
      </c>
      <c r="I485" s="48" t="s">
        <v>173</v>
      </c>
      <c r="J485" s="49">
        <v>11</v>
      </c>
      <c r="K485" s="50">
        <v>6065</v>
      </c>
      <c r="L485" s="50">
        <v>5878.74</v>
      </c>
      <c r="M485" s="48" t="s">
        <v>276</v>
      </c>
      <c r="N485" s="51">
        <v>83.5</v>
      </c>
      <c r="O485" s="51">
        <v>83.595299999999995</v>
      </c>
      <c r="P485" s="52">
        <v>46.08</v>
      </c>
      <c r="Q485" s="52">
        <v>51.08</v>
      </c>
      <c r="R485" s="53" t="str">
        <f>INDEX(SKU_Master!$D$5:$D$34,MATCH($I485,SKU_Master!$A$5:$A$34,0))</f>
        <v>Accessory</v>
      </c>
      <c r="S485" s="54">
        <f t="shared" si="98"/>
        <v>3.0710634789777425E-2</v>
      </c>
      <c r="T485" s="55">
        <f t="shared" si="99"/>
        <v>798.98203592814366</v>
      </c>
      <c r="U485" s="55">
        <f t="shared" si="100"/>
        <v>774.44479041916168</v>
      </c>
      <c r="V485" s="55">
        <f t="shared" si="101"/>
        <v>-24.537245508981982</v>
      </c>
      <c r="W485" s="55">
        <f t="shared" si="102"/>
        <v>773.56191077728056</v>
      </c>
      <c r="X485" s="55">
        <f t="shared" si="103"/>
        <v>-0.882879641881118</v>
      </c>
      <c r="Y485" s="55">
        <f t="shared" si="104"/>
        <v>506.88</v>
      </c>
      <c r="Z485" s="55">
        <f t="shared" si="105"/>
        <v>561.88</v>
      </c>
      <c r="AA485" s="55">
        <f t="shared" si="106"/>
        <v>-55</v>
      </c>
      <c r="AB485" s="55">
        <f t="shared" si="107"/>
        <v>211.68191077728056</v>
      </c>
      <c r="AC485" s="54">
        <f t="shared" si="108"/>
        <v>0.273645726124986</v>
      </c>
      <c r="AD485" s="56">
        <f>INDEX(Assumptions!$B$14:$B$16,MATCH($R485,Assumptions!$A$14:$A$16,0))</f>
        <v>0.32</v>
      </c>
      <c r="AE485" s="56">
        <f>INDEX(Assumptions!$C$14:$C$16,MATCH($R485,Assumptions!$A$14:$A$16,0))</f>
        <v>0.22</v>
      </c>
      <c r="AF485" s="49">
        <f t="shared" si="109"/>
        <v>0</v>
      </c>
      <c r="AG485" s="49">
        <f t="shared" si="110"/>
        <v>0</v>
      </c>
      <c r="AH485" s="55">
        <f t="shared" si="111"/>
        <v>35.857900671449215</v>
      </c>
    </row>
    <row r="486" spans="1:34" x14ac:dyDescent="0.2">
      <c r="A486" s="48" t="s">
        <v>624</v>
      </c>
      <c r="B486" s="48">
        <v>1</v>
      </c>
      <c r="C486" s="48" t="s">
        <v>546</v>
      </c>
      <c r="D486" s="48" t="s">
        <v>527</v>
      </c>
      <c r="E486" s="48" t="s">
        <v>395</v>
      </c>
      <c r="F486" s="48" t="s">
        <v>280</v>
      </c>
      <c r="G486" s="48" t="s">
        <v>281</v>
      </c>
      <c r="H486" s="48" t="s">
        <v>66</v>
      </c>
      <c r="I486" s="48" t="s">
        <v>93</v>
      </c>
      <c r="J486" s="49">
        <v>26</v>
      </c>
      <c r="K486" s="50">
        <v>1325</v>
      </c>
      <c r="L486" s="50">
        <v>1303.8499999999999</v>
      </c>
      <c r="M486" s="48" t="s">
        <v>276</v>
      </c>
      <c r="N486" s="51">
        <v>0.92</v>
      </c>
      <c r="O486" s="51">
        <v>0.91739999999999999</v>
      </c>
      <c r="P486" s="52">
        <v>1206.2</v>
      </c>
      <c r="Q486" s="52">
        <v>1206.2</v>
      </c>
      <c r="R486" s="53" t="str">
        <f>INDEX(SKU_Master!$D$5:$D$34,MATCH($I486,SKU_Master!$A$5:$A$34,0))</f>
        <v>Laptop</v>
      </c>
      <c r="S486" s="54">
        <f t="shared" si="98"/>
        <v>1.5962264150943484E-2</v>
      </c>
      <c r="T486" s="55">
        <f t="shared" si="99"/>
        <v>37445.65217391304</v>
      </c>
      <c r="U486" s="55">
        <f t="shared" si="100"/>
        <v>36847.934782608696</v>
      </c>
      <c r="V486" s="55">
        <f t="shared" si="101"/>
        <v>-597.71739130434435</v>
      </c>
      <c r="W486" s="55">
        <f t="shared" si="102"/>
        <v>36952.365380422933</v>
      </c>
      <c r="X486" s="55">
        <f t="shared" si="103"/>
        <v>104.43059781423653</v>
      </c>
      <c r="Y486" s="55">
        <f t="shared" si="104"/>
        <v>31361.200000000001</v>
      </c>
      <c r="Z486" s="55">
        <f t="shared" si="105"/>
        <v>31361.200000000001</v>
      </c>
      <c r="AA486" s="55">
        <f t="shared" si="106"/>
        <v>0</v>
      </c>
      <c r="AB486" s="55">
        <f t="shared" si="107"/>
        <v>5591.1653804229318</v>
      </c>
      <c r="AC486" s="54">
        <f t="shared" si="108"/>
        <v>0.15130737431452998</v>
      </c>
      <c r="AD486" s="56">
        <f>INDEX(Assumptions!$B$14:$B$16,MATCH($R486,Assumptions!$A$14:$A$16,0))</f>
        <v>0.12</v>
      </c>
      <c r="AE486" s="56">
        <f>INDEX(Assumptions!$C$14:$C$16,MATCH($R486,Assumptions!$A$14:$A$16,0))</f>
        <v>0.08</v>
      </c>
      <c r="AF486" s="49">
        <f t="shared" si="109"/>
        <v>0</v>
      </c>
      <c r="AG486" s="49">
        <f t="shared" si="110"/>
        <v>0</v>
      </c>
      <c r="AH486" s="55">
        <f t="shared" si="111"/>
        <v>0</v>
      </c>
    </row>
    <row r="487" spans="1:34" x14ac:dyDescent="0.2">
      <c r="A487" s="48" t="s">
        <v>624</v>
      </c>
      <c r="B487" s="48">
        <v>2</v>
      </c>
      <c r="C487" s="48" t="s">
        <v>546</v>
      </c>
      <c r="D487" s="48" t="s">
        <v>527</v>
      </c>
      <c r="E487" s="48" t="s">
        <v>395</v>
      </c>
      <c r="F487" s="48" t="s">
        <v>280</v>
      </c>
      <c r="G487" s="48" t="s">
        <v>281</v>
      </c>
      <c r="H487" s="48" t="s">
        <v>66</v>
      </c>
      <c r="I487" s="48" t="s">
        <v>135</v>
      </c>
      <c r="J487" s="49">
        <v>25</v>
      </c>
      <c r="K487" s="50">
        <v>255</v>
      </c>
      <c r="L487" s="50">
        <v>249.88</v>
      </c>
      <c r="M487" s="48" t="s">
        <v>276</v>
      </c>
      <c r="N487" s="51">
        <v>0.92</v>
      </c>
      <c r="O487" s="51">
        <v>0.91739999999999999</v>
      </c>
      <c r="P487" s="52">
        <v>211.7</v>
      </c>
      <c r="Q487" s="52">
        <v>211.7</v>
      </c>
      <c r="R487" s="53" t="str">
        <f>INDEX(SKU_Master!$D$5:$D$34,MATCH($I487,SKU_Master!$A$5:$A$34,0))</f>
        <v>Monitor</v>
      </c>
      <c r="S487" s="54">
        <f t="shared" si="98"/>
        <v>2.0078431372549055E-2</v>
      </c>
      <c r="T487" s="55">
        <f t="shared" si="99"/>
        <v>6929.347826086956</v>
      </c>
      <c r="U487" s="55">
        <f t="shared" si="100"/>
        <v>6790.217391304348</v>
      </c>
      <c r="V487" s="55">
        <f t="shared" si="101"/>
        <v>-139.13043478260806</v>
      </c>
      <c r="W487" s="55">
        <f t="shared" si="102"/>
        <v>6809.4615216917373</v>
      </c>
      <c r="X487" s="55">
        <f t="shared" si="103"/>
        <v>19.244130387389305</v>
      </c>
      <c r="Y487" s="55">
        <f t="shared" si="104"/>
        <v>5292.5</v>
      </c>
      <c r="Z487" s="55">
        <f t="shared" si="105"/>
        <v>5292.5</v>
      </c>
      <c r="AA487" s="55">
        <f t="shared" si="106"/>
        <v>0</v>
      </c>
      <c r="AB487" s="55">
        <f t="shared" si="107"/>
        <v>1516.9615216917373</v>
      </c>
      <c r="AC487" s="54">
        <f t="shared" si="108"/>
        <v>0.22277261085320951</v>
      </c>
      <c r="AD487" s="56">
        <f>INDEX(Assumptions!$B$14:$B$16,MATCH($R487,Assumptions!$A$14:$A$16,0))</f>
        <v>0.18</v>
      </c>
      <c r="AE487" s="56">
        <f>INDEX(Assumptions!$C$14:$C$16,MATCH($R487,Assumptions!$A$14:$A$16,0))</f>
        <v>0.12</v>
      </c>
      <c r="AF487" s="49">
        <f t="shared" si="109"/>
        <v>0</v>
      </c>
      <c r="AG487" s="49">
        <f t="shared" si="110"/>
        <v>0</v>
      </c>
      <c r="AH487" s="55">
        <f t="shared" si="111"/>
        <v>0</v>
      </c>
    </row>
    <row r="488" spans="1:34" x14ac:dyDescent="0.2">
      <c r="A488" s="48" t="s">
        <v>624</v>
      </c>
      <c r="B488" s="48">
        <v>3</v>
      </c>
      <c r="C488" s="48" t="s">
        <v>546</v>
      </c>
      <c r="D488" s="48" t="s">
        <v>527</v>
      </c>
      <c r="E488" s="48" t="s">
        <v>395</v>
      </c>
      <c r="F488" s="48" t="s">
        <v>280</v>
      </c>
      <c r="G488" s="48" t="s">
        <v>281</v>
      </c>
      <c r="H488" s="48" t="s">
        <v>66</v>
      </c>
      <c r="I488" s="48" t="s">
        <v>166</v>
      </c>
      <c r="J488" s="49">
        <v>11</v>
      </c>
      <c r="K488" s="50">
        <v>255</v>
      </c>
      <c r="L488" s="50">
        <v>244.75</v>
      </c>
      <c r="M488" s="48" t="s">
        <v>276</v>
      </c>
      <c r="N488" s="51">
        <v>0.92</v>
      </c>
      <c r="O488" s="51">
        <v>0.91739999999999999</v>
      </c>
      <c r="P488" s="52">
        <v>174.35</v>
      </c>
      <c r="Q488" s="52">
        <v>174.35</v>
      </c>
      <c r="R488" s="53" t="str">
        <f>INDEX(SKU_Master!$D$5:$D$34,MATCH($I488,SKU_Master!$A$5:$A$34,0))</f>
        <v>Accessory</v>
      </c>
      <c r="S488" s="54">
        <f t="shared" si="98"/>
        <v>4.0196078431372517E-2</v>
      </c>
      <c r="T488" s="55">
        <f t="shared" si="99"/>
        <v>3048.9130434782605</v>
      </c>
      <c r="U488" s="55">
        <f t="shared" si="100"/>
        <v>2926.358695652174</v>
      </c>
      <c r="V488" s="55">
        <f t="shared" si="101"/>
        <v>-122.55434782608654</v>
      </c>
      <c r="W488" s="55">
        <f t="shared" si="102"/>
        <v>2934.6522781774579</v>
      </c>
      <c r="X488" s="55">
        <f t="shared" si="103"/>
        <v>8.2935825252839095</v>
      </c>
      <c r="Y488" s="55">
        <f t="shared" si="104"/>
        <v>1917.85</v>
      </c>
      <c r="Z488" s="55">
        <f t="shared" si="105"/>
        <v>1917.85</v>
      </c>
      <c r="AA488" s="55">
        <f t="shared" si="106"/>
        <v>0</v>
      </c>
      <c r="AB488" s="55">
        <f t="shared" si="107"/>
        <v>1016.802278177458</v>
      </c>
      <c r="AC488" s="54">
        <f t="shared" si="108"/>
        <v>0.34648134831460675</v>
      </c>
      <c r="AD488" s="56">
        <f>INDEX(Assumptions!$B$14:$B$16,MATCH($R488,Assumptions!$A$14:$A$16,0))</f>
        <v>0.32</v>
      </c>
      <c r="AE488" s="56">
        <f>INDEX(Assumptions!$C$14:$C$16,MATCH($R488,Assumptions!$A$14:$A$16,0))</f>
        <v>0.22</v>
      </c>
      <c r="AF488" s="49">
        <f t="shared" si="109"/>
        <v>0</v>
      </c>
      <c r="AG488" s="49">
        <f t="shared" si="110"/>
        <v>0</v>
      </c>
      <c r="AH488" s="55">
        <f t="shared" si="111"/>
        <v>0</v>
      </c>
    </row>
    <row r="489" spans="1:34" x14ac:dyDescent="0.2">
      <c r="A489" s="48" t="s">
        <v>625</v>
      </c>
      <c r="B489" s="48">
        <v>1</v>
      </c>
      <c r="C489" s="48" t="s">
        <v>592</v>
      </c>
      <c r="D489" s="48" t="s">
        <v>527</v>
      </c>
      <c r="E489" s="48" t="s">
        <v>311</v>
      </c>
      <c r="F489" s="48" t="s">
        <v>297</v>
      </c>
      <c r="G489" s="48" t="s">
        <v>302</v>
      </c>
      <c r="H489" s="48" t="s">
        <v>62</v>
      </c>
      <c r="I489" s="48" t="s">
        <v>118</v>
      </c>
      <c r="J489" s="49">
        <v>72</v>
      </c>
      <c r="K489" s="50">
        <v>1365</v>
      </c>
      <c r="L489" s="50">
        <v>1284.94</v>
      </c>
      <c r="M489" s="48" t="s">
        <v>276</v>
      </c>
      <c r="N489" s="51">
        <v>1</v>
      </c>
      <c r="O489" s="51">
        <v>1</v>
      </c>
      <c r="P489" s="52">
        <v>1162.5999999999999</v>
      </c>
      <c r="Q489" s="52">
        <v>1162.5999999999999</v>
      </c>
      <c r="R489" s="53" t="str">
        <f>INDEX(SKU_Master!$D$5:$D$34,MATCH($I489,SKU_Master!$A$5:$A$34,0))</f>
        <v>Laptop</v>
      </c>
      <c r="S489" s="54">
        <f t="shared" si="98"/>
        <v>5.8652014652014639E-2</v>
      </c>
      <c r="T489" s="55">
        <f t="shared" si="99"/>
        <v>98280</v>
      </c>
      <c r="U489" s="55">
        <f t="shared" si="100"/>
        <v>92515.680000000008</v>
      </c>
      <c r="V489" s="55">
        <f t="shared" si="101"/>
        <v>-5764.3199999999924</v>
      </c>
      <c r="W489" s="55">
        <f t="shared" si="102"/>
        <v>92515.680000000008</v>
      </c>
      <c r="X489" s="55">
        <f t="shared" si="103"/>
        <v>0</v>
      </c>
      <c r="Y489" s="55">
        <f t="shared" si="104"/>
        <v>83707.199999999997</v>
      </c>
      <c r="Z489" s="55">
        <f t="shared" si="105"/>
        <v>83707.199999999997</v>
      </c>
      <c r="AA489" s="55">
        <f t="shared" si="106"/>
        <v>0</v>
      </c>
      <c r="AB489" s="55">
        <f t="shared" si="107"/>
        <v>8808.4800000000105</v>
      </c>
      <c r="AC489" s="54">
        <f t="shared" si="108"/>
        <v>9.5210671315392265E-2</v>
      </c>
      <c r="AD489" s="56">
        <f>INDEX(Assumptions!$B$14:$B$16,MATCH($R489,Assumptions!$A$14:$A$16,0))</f>
        <v>0.12</v>
      </c>
      <c r="AE489" s="56">
        <f>INDEX(Assumptions!$C$14:$C$16,MATCH($R489,Assumptions!$A$14:$A$16,0))</f>
        <v>0.08</v>
      </c>
      <c r="AF489" s="49">
        <f t="shared" si="109"/>
        <v>0</v>
      </c>
      <c r="AG489" s="49">
        <f t="shared" si="110"/>
        <v>0</v>
      </c>
      <c r="AH489" s="55">
        <f t="shared" si="111"/>
        <v>2293.4015999999901</v>
      </c>
    </row>
    <row r="490" spans="1:34" x14ac:dyDescent="0.2">
      <c r="A490" s="48" t="s">
        <v>625</v>
      </c>
      <c r="B490" s="48">
        <v>2</v>
      </c>
      <c r="C490" s="48" t="s">
        <v>592</v>
      </c>
      <c r="D490" s="48" t="s">
        <v>527</v>
      </c>
      <c r="E490" s="48" t="s">
        <v>311</v>
      </c>
      <c r="F490" s="48" t="s">
        <v>297</v>
      </c>
      <c r="G490" s="48" t="s">
        <v>302</v>
      </c>
      <c r="H490" s="48" t="s">
        <v>62</v>
      </c>
      <c r="I490" s="48" t="s">
        <v>144</v>
      </c>
      <c r="J490" s="49">
        <v>56</v>
      </c>
      <c r="K490" s="50">
        <v>370</v>
      </c>
      <c r="L490" s="50">
        <v>357.97</v>
      </c>
      <c r="M490" s="48" t="s">
        <v>276</v>
      </c>
      <c r="N490" s="51">
        <v>1</v>
      </c>
      <c r="O490" s="51">
        <v>1</v>
      </c>
      <c r="P490" s="52">
        <v>289.60000000000002</v>
      </c>
      <c r="Q490" s="52">
        <v>289.60000000000002</v>
      </c>
      <c r="R490" s="53" t="str">
        <f>INDEX(SKU_Master!$D$5:$D$34,MATCH($I490,SKU_Master!$A$5:$A$34,0))</f>
        <v>Monitor</v>
      </c>
      <c r="S490" s="54">
        <f t="shared" si="98"/>
        <v>3.2513513513513392E-2</v>
      </c>
      <c r="T490" s="55">
        <f t="shared" si="99"/>
        <v>20720</v>
      </c>
      <c r="U490" s="55">
        <f t="shared" si="100"/>
        <v>20046.32</v>
      </c>
      <c r="V490" s="55">
        <f t="shared" si="101"/>
        <v>-673.68000000000029</v>
      </c>
      <c r="W490" s="55">
        <f t="shared" si="102"/>
        <v>20046.32</v>
      </c>
      <c r="X490" s="55">
        <f t="shared" si="103"/>
        <v>0</v>
      </c>
      <c r="Y490" s="55">
        <f t="shared" si="104"/>
        <v>16217.600000000002</v>
      </c>
      <c r="Z490" s="55">
        <f t="shared" si="105"/>
        <v>16217.600000000002</v>
      </c>
      <c r="AA490" s="55">
        <f t="shared" si="106"/>
        <v>0</v>
      </c>
      <c r="AB490" s="55">
        <f t="shared" si="107"/>
        <v>3828.7199999999975</v>
      </c>
      <c r="AC490" s="54">
        <f t="shared" si="108"/>
        <v>0.19099365868648199</v>
      </c>
      <c r="AD490" s="56">
        <f>INDEX(Assumptions!$B$14:$B$16,MATCH($R490,Assumptions!$A$14:$A$16,0))</f>
        <v>0.18</v>
      </c>
      <c r="AE490" s="56">
        <f>INDEX(Assumptions!$C$14:$C$16,MATCH($R490,Assumptions!$A$14:$A$16,0))</f>
        <v>0.12</v>
      </c>
      <c r="AF490" s="49">
        <f t="shared" si="109"/>
        <v>0</v>
      </c>
      <c r="AG490" s="49">
        <f t="shared" si="110"/>
        <v>0</v>
      </c>
      <c r="AH490" s="55">
        <f t="shared" si="111"/>
        <v>0</v>
      </c>
    </row>
    <row r="491" spans="1:34" x14ac:dyDescent="0.2">
      <c r="A491" s="48" t="s">
        <v>625</v>
      </c>
      <c r="B491" s="48">
        <v>3</v>
      </c>
      <c r="C491" s="48" t="s">
        <v>592</v>
      </c>
      <c r="D491" s="48" t="s">
        <v>527</v>
      </c>
      <c r="E491" s="48" t="s">
        <v>311</v>
      </c>
      <c r="F491" s="48" t="s">
        <v>297</v>
      </c>
      <c r="G491" s="48" t="s">
        <v>302</v>
      </c>
      <c r="H491" s="48" t="s">
        <v>62</v>
      </c>
      <c r="I491" s="48" t="s">
        <v>151</v>
      </c>
      <c r="J491" s="49">
        <v>76</v>
      </c>
      <c r="K491" s="50">
        <v>335</v>
      </c>
      <c r="L491" s="50">
        <v>312.26</v>
      </c>
      <c r="M491" s="48" t="s">
        <v>276</v>
      </c>
      <c r="N491" s="51">
        <v>1</v>
      </c>
      <c r="O491" s="51">
        <v>1</v>
      </c>
      <c r="P491" s="52">
        <v>216.7</v>
      </c>
      <c r="Q491" s="52">
        <v>216.7</v>
      </c>
      <c r="R491" s="53" t="str">
        <f>INDEX(SKU_Master!$D$5:$D$34,MATCH($I491,SKU_Master!$A$5:$A$34,0))</f>
        <v>Accessory</v>
      </c>
      <c r="S491" s="54">
        <f t="shared" si="98"/>
        <v>6.7880597014925437E-2</v>
      </c>
      <c r="T491" s="55">
        <f t="shared" si="99"/>
        <v>25460</v>
      </c>
      <c r="U491" s="55">
        <f t="shared" si="100"/>
        <v>23731.759999999998</v>
      </c>
      <c r="V491" s="55">
        <f t="shared" si="101"/>
        <v>-1728.2400000000016</v>
      </c>
      <c r="W491" s="55">
        <f t="shared" si="102"/>
        <v>23731.759999999998</v>
      </c>
      <c r="X491" s="55">
        <f t="shared" si="103"/>
        <v>0</v>
      </c>
      <c r="Y491" s="55">
        <f t="shared" si="104"/>
        <v>16469.2</v>
      </c>
      <c r="Z491" s="55">
        <f t="shared" si="105"/>
        <v>16469.2</v>
      </c>
      <c r="AA491" s="55">
        <f t="shared" si="106"/>
        <v>0</v>
      </c>
      <c r="AB491" s="55">
        <f t="shared" si="107"/>
        <v>7262.5599999999977</v>
      </c>
      <c r="AC491" s="54">
        <f t="shared" si="108"/>
        <v>0.30602702875808613</v>
      </c>
      <c r="AD491" s="56">
        <f>INDEX(Assumptions!$B$14:$B$16,MATCH($R491,Assumptions!$A$14:$A$16,0))</f>
        <v>0.32</v>
      </c>
      <c r="AE491" s="56">
        <f>INDEX(Assumptions!$C$14:$C$16,MATCH($R491,Assumptions!$A$14:$A$16,0))</f>
        <v>0.22</v>
      </c>
      <c r="AF491" s="49">
        <f t="shared" si="109"/>
        <v>0</v>
      </c>
      <c r="AG491" s="49">
        <f t="shared" si="110"/>
        <v>0</v>
      </c>
      <c r="AH491" s="55">
        <f t="shared" si="111"/>
        <v>331.60320000000229</v>
      </c>
    </row>
    <row r="492" spans="1:34" x14ac:dyDescent="0.2">
      <c r="A492" s="48" t="s">
        <v>626</v>
      </c>
      <c r="B492" s="48">
        <v>1</v>
      </c>
      <c r="C492" s="48" t="s">
        <v>627</v>
      </c>
      <c r="D492" s="48" t="s">
        <v>527</v>
      </c>
      <c r="E492" s="48" t="s">
        <v>368</v>
      </c>
      <c r="F492" s="48" t="s">
        <v>274</v>
      </c>
      <c r="G492" s="48" t="s">
        <v>288</v>
      </c>
      <c r="H492" s="48" t="s">
        <v>68</v>
      </c>
      <c r="I492" s="48" t="s">
        <v>103</v>
      </c>
      <c r="J492" s="49">
        <v>7</v>
      </c>
      <c r="K492" s="50">
        <v>1605</v>
      </c>
      <c r="L492" s="50">
        <v>1593.23</v>
      </c>
      <c r="M492" s="48" t="s">
        <v>276</v>
      </c>
      <c r="N492" s="51">
        <v>1.37</v>
      </c>
      <c r="O492" s="51">
        <v>1.3767</v>
      </c>
      <c r="P492" s="52">
        <v>980.6</v>
      </c>
      <c r="Q492" s="52">
        <v>980.6</v>
      </c>
      <c r="R492" s="53" t="str">
        <f>INDEX(SKU_Master!$D$5:$D$34,MATCH($I492,SKU_Master!$A$5:$A$34,0))</f>
        <v>Laptop</v>
      </c>
      <c r="S492" s="54">
        <f t="shared" si="98"/>
        <v>7.3333333333333028E-3</v>
      </c>
      <c r="T492" s="55">
        <f t="shared" si="99"/>
        <v>8200.7299270072981</v>
      </c>
      <c r="U492" s="55">
        <f t="shared" si="100"/>
        <v>8140.5912408759123</v>
      </c>
      <c r="V492" s="55">
        <f t="shared" si="101"/>
        <v>-60.138686131385839</v>
      </c>
      <c r="W492" s="55">
        <f t="shared" si="102"/>
        <v>8100.9733420498296</v>
      </c>
      <c r="X492" s="55">
        <f t="shared" si="103"/>
        <v>-39.617898826082637</v>
      </c>
      <c r="Y492" s="55">
        <f t="shared" si="104"/>
        <v>6864.2</v>
      </c>
      <c r="Z492" s="55">
        <f t="shared" si="105"/>
        <v>6864.2</v>
      </c>
      <c r="AA492" s="55">
        <f t="shared" si="106"/>
        <v>0</v>
      </c>
      <c r="AB492" s="55">
        <f t="shared" si="107"/>
        <v>1236.7733420498298</v>
      </c>
      <c r="AC492" s="54">
        <f t="shared" si="108"/>
        <v>0.15266972125807327</v>
      </c>
      <c r="AD492" s="56">
        <f>INDEX(Assumptions!$B$14:$B$16,MATCH($R492,Assumptions!$A$14:$A$16,0))</f>
        <v>0.12</v>
      </c>
      <c r="AE492" s="56">
        <f>INDEX(Assumptions!$C$14:$C$16,MATCH($R492,Assumptions!$A$14:$A$16,0))</f>
        <v>0.08</v>
      </c>
      <c r="AF492" s="49">
        <f t="shared" si="109"/>
        <v>0</v>
      </c>
      <c r="AG492" s="49">
        <f t="shared" si="110"/>
        <v>0</v>
      </c>
      <c r="AH492" s="55">
        <f t="shared" si="111"/>
        <v>0</v>
      </c>
    </row>
    <row r="493" spans="1:34" x14ac:dyDescent="0.2">
      <c r="A493" s="48" t="s">
        <v>626</v>
      </c>
      <c r="B493" s="48">
        <v>2</v>
      </c>
      <c r="C493" s="48" t="s">
        <v>627</v>
      </c>
      <c r="D493" s="48" t="s">
        <v>527</v>
      </c>
      <c r="E493" s="48" t="s">
        <v>368</v>
      </c>
      <c r="F493" s="48" t="s">
        <v>274</v>
      </c>
      <c r="G493" s="48" t="s">
        <v>288</v>
      </c>
      <c r="H493" s="48" t="s">
        <v>68</v>
      </c>
      <c r="I493" s="48" t="s">
        <v>161</v>
      </c>
      <c r="J493" s="49">
        <v>5</v>
      </c>
      <c r="K493" s="50">
        <v>175</v>
      </c>
      <c r="L493" s="50">
        <v>173.86</v>
      </c>
      <c r="M493" s="48" t="s">
        <v>276</v>
      </c>
      <c r="N493" s="51">
        <v>1.37</v>
      </c>
      <c r="O493" s="51">
        <v>1.3767</v>
      </c>
      <c r="P493" s="52">
        <v>79</v>
      </c>
      <c r="Q493" s="52">
        <v>79</v>
      </c>
      <c r="R493" s="53" t="str">
        <f>INDEX(SKU_Master!$D$5:$D$34,MATCH($I493,SKU_Master!$A$5:$A$34,0))</f>
        <v>Accessory</v>
      </c>
      <c r="S493" s="54">
        <f t="shared" si="98"/>
        <v>6.5142857142855837E-3</v>
      </c>
      <c r="T493" s="55">
        <f t="shared" si="99"/>
        <v>638.68613138686123</v>
      </c>
      <c r="U493" s="55">
        <f t="shared" si="100"/>
        <v>634.52554744525548</v>
      </c>
      <c r="V493" s="55">
        <f t="shared" si="101"/>
        <v>-4.1605839416057506</v>
      </c>
      <c r="W493" s="55">
        <f t="shared" si="102"/>
        <v>631.4374954601584</v>
      </c>
      <c r="X493" s="55">
        <f t="shared" si="103"/>
        <v>-3.0880519850970813</v>
      </c>
      <c r="Y493" s="55">
        <f t="shared" si="104"/>
        <v>395</v>
      </c>
      <c r="Z493" s="55">
        <f t="shared" si="105"/>
        <v>395</v>
      </c>
      <c r="AA493" s="55">
        <f t="shared" si="106"/>
        <v>0</v>
      </c>
      <c r="AB493" s="55">
        <f t="shared" si="107"/>
        <v>236.4374954601584</v>
      </c>
      <c r="AC493" s="54">
        <f t="shared" si="108"/>
        <v>0.37444323018520653</v>
      </c>
      <c r="AD493" s="56">
        <f>INDEX(Assumptions!$B$14:$B$16,MATCH($R493,Assumptions!$A$14:$A$16,0))</f>
        <v>0.32</v>
      </c>
      <c r="AE493" s="56">
        <f>INDEX(Assumptions!$C$14:$C$16,MATCH($R493,Assumptions!$A$14:$A$16,0))</f>
        <v>0.22</v>
      </c>
      <c r="AF493" s="49">
        <f t="shared" si="109"/>
        <v>0</v>
      </c>
      <c r="AG493" s="49">
        <f t="shared" si="110"/>
        <v>0</v>
      </c>
      <c r="AH493" s="55">
        <f t="shared" si="111"/>
        <v>0</v>
      </c>
    </row>
    <row r="494" spans="1:34" x14ac:dyDescent="0.2">
      <c r="A494" s="48" t="s">
        <v>628</v>
      </c>
      <c r="B494" s="48">
        <v>1</v>
      </c>
      <c r="C494" s="48" t="s">
        <v>612</v>
      </c>
      <c r="D494" s="48" t="s">
        <v>527</v>
      </c>
      <c r="E494" s="48" t="s">
        <v>339</v>
      </c>
      <c r="F494" s="48" t="s">
        <v>280</v>
      </c>
      <c r="G494" s="48" t="s">
        <v>302</v>
      </c>
      <c r="H494" s="48" t="s">
        <v>62</v>
      </c>
      <c r="I494" s="48" t="s">
        <v>118</v>
      </c>
      <c r="J494" s="49">
        <v>6</v>
      </c>
      <c r="K494" s="50">
        <v>1365</v>
      </c>
      <c r="L494" s="50">
        <v>1266.8699999999999</v>
      </c>
      <c r="M494" s="48" t="s">
        <v>276</v>
      </c>
      <c r="N494" s="51">
        <v>1</v>
      </c>
      <c r="O494" s="51">
        <v>1</v>
      </c>
      <c r="P494" s="52">
        <v>1162.5999999999999</v>
      </c>
      <c r="Q494" s="52">
        <v>1162.5999999999999</v>
      </c>
      <c r="R494" s="53" t="str">
        <f>INDEX(SKU_Master!$D$5:$D$34,MATCH($I494,SKU_Master!$A$5:$A$34,0))</f>
        <v>Laptop</v>
      </c>
      <c r="S494" s="54">
        <f t="shared" si="98"/>
        <v>7.1890109890110021E-2</v>
      </c>
      <c r="T494" s="55">
        <f t="shared" si="99"/>
        <v>8190</v>
      </c>
      <c r="U494" s="55">
        <f t="shared" si="100"/>
        <v>7601.2199999999993</v>
      </c>
      <c r="V494" s="55">
        <f t="shared" si="101"/>
        <v>-588.78000000000065</v>
      </c>
      <c r="W494" s="55">
        <f t="shared" si="102"/>
        <v>7601.2199999999993</v>
      </c>
      <c r="X494" s="55">
        <f t="shared" si="103"/>
        <v>0</v>
      </c>
      <c r="Y494" s="55">
        <f t="shared" si="104"/>
        <v>6975.5999999999995</v>
      </c>
      <c r="Z494" s="55">
        <f t="shared" si="105"/>
        <v>6975.5999999999995</v>
      </c>
      <c r="AA494" s="55">
        <f t="shared" si="106"/>
        <v>0</v>
      </c>
      <c r="AB494" s="55">
        <f t="shared" si="107"/>
        <v>625.61999999999989</v>
      </c>
      <c r="AC494" s="54">
        <f t="shared" si="108"/>
        <v>8.2305208900676469E-2</v>
      </c>
      <c r="AD494" s="56">
        <f>INDEX(Assumptions!$B$14:$B$16,MATCH($R494,Assumptions!$A$14:$A$16,0))</f>
        <v>0.12</v>
      </c>
      <c r="AE494" s="56">
        <f>INDEX(Assumptions!$C$14:$C$16,MATCH($R494,Assumptions!$A$14:$A$16,0))</f>
        <v>0.08</v>
      </c>
      <c r="AF494" s="49">
        <f t="shared" si="109"/>
        <v>0</v>
      </c>
      <c r="AG494" s="49">
        <f t="shared" si="110"/>
        <v>0</v>
      </c>
      <c r="AH494" s="55">
        <f t="shared" si="111"/>
        <v>286.52639999999997</v>
      </c>
    </row>
    <row r="495" spans="1:34" x14ac:dyDescent="0.2">
      <c r="A495" s="48" t="s">
        <v>628</v>
      </c>
      <c r="B495" s="48">
        <v>2</v>
      </c>
      <c r="C495" s="48" t="s">
        <v>612</v>
      </c>
      <c r="D495" s="48" t="s">
        <v>527</v>
      </c>
      <c r="E495" s="48" t="s">
        <v>339</v>
      </c>
      <c r="F495" s="48" t="s">
        <v>280</v>
      </c>
      <c r="G495" s="48" t="s">
        <v>302</v>
      </c>
      <c r="H495" s="48" t="s">
        <v>62</v>
      </c>
      <c r="I495" s="48" t="s">
        <v>146</v>
      </c>
      <c r="J495" s="49">
        <v>3</v>
      </c>
      <c r="K495" s="50">
        <v>235</v>
      </c>
      <c r="L495" s="50">
        <v>226.38</v>
      </c>
      <c r="M495" s="48" t="s">
        <v>276</v>
      </c>
      <c r="N495" s="51">
        <v>1</v>
      </c>
      <c r="O495" s="51">
        <v>1</v>
      </c>
      <c r="P495" s="52">
        <v>181.8</v>
      </c>
      <c r="Q495" s="52">
        <v>181.8</v>
      </c>
      <c r="R495" s="53" t="str">
        <f>INDEX(SKU_Master!$D$5:$D$34,MATCH($I495,SKU_Master!$A$5:$A$34,0))</f>
        <v>Monitor</v>
      </c>
      <c r="S495" s="54">
        <f t="shared" si="98"/>
        <v>3.6680851063829789E-2</v>
      </c>
      <c r="T495" s="55">
        <f t="shared" si="99"/>
        <v>705</v>
      </c>
      <c r="U495" s="55">
        <f t="shared" si="100"/>
        <v>679.14</v>
      </c>
      <c r="V495" s="55">
        <f t="shared" si="101"/>
        <v>-25.860000000000014</v>
      </c>
      <c r="W495" s="55">
        <f t="shared" si="102"/>
        <v>679.14</v>
      </c>
      <c r="X495" s="55">
        <f t="shared" si="103"/>
        <v>0</v>
      </c>
      <c r="Y495" s="55">
        <f t="shared" si="104"/>
        <v>545.40000000000009</v>
      </c>
      <c r="Z495" s="55">
        <f t="shared" si="105"/>
        <v>545.40000000000009</v>
      </c>
      <c r="AA495" s="55">
        <f t="shared" si="106"/>
        <v>0</v>
      </c>
      <c r="AB495" s="55">
        <f t="shared" si="107"/>
        <v>133.7399999999999</v>
      </c>
      <c r="AC495" s="54">
        <f t="shared" si="108"/>
        <v>0.19692552345613554</v>
      </c>
      <c r="AD495" s="56">
        <f>INDEX(Assumptions!$B$14:$B$16,MATCH($R495,Assumptions!$A$14:$A$16,0))</f>
        <v>0.18</v>
      </c>
      <c r="AE495" s="56">
        <f>INDEX(Assumptions!$C$14:$C$16,MATCH($R495,Assumptions!$A$14:$A$16,0))</f>
        <v>0.12</v>
      </c>
      <c r="AF495" s="49">
        <f t="shared" si="109"/>
        <v>0</v>
      </c>
      <c r="AG495" s="49">
        <f t="shared" si="110"/>
        <v>0</v>
      </c>
      <c r="AH495" s="55">
        <f t="shared" si="111"/>
        <v>0</v>
      </c>
    </row>
    <row r="496" spans="1:34" x14ac:dyDescent="0.2">
      <c r="A496" s="48" t="s">
        <v>628</v>
      </c>
      <c r="B496" s="48">
        <v>3</v>
      </c>
      <c r="C496" s="48" t="s">
        <v>612</v>
      </c>
      <c r="D496" s="48" t="s">
        <v>527</v>
      </c>
      <c r="E496" s="48" t="s">
        <v>339</v>
      </c>
      <c r="F496" s="48" t="s">
        <v>280</v>
      </c>
      <c r="G496" s="48" t="s">
        <v>302</v>
      </c>
      <c r="H496" s="48" t="s">
        <v>62</v>
      </c>
      <c r="I496" s="48" t="s">
        <v>166</v>
      </c>
      <c r="J496" s="49">
        <v>7</v>
      </c>
      <c r="K496" s="50">
        <v>265</v>
      </c>
      <c r="L496" s="50">
        <v>261.93</v>
      </c>
      <c r="M496" s="48" t="s">
        <v>276</v>
      </c>
      <c r="N496" s="51">
        <v>1</v>
      </c>
      <c r="O496" s="51">
        <v>1</v>
      </c>
      <c r="P496" s="52">
        <v>169.35</v>
      </c>
      <c r="Q496" s="52">
        <v>169.35</v>
      </c>
      <c r="R496" s="53" t="str">
        <f>INDEX(SKU_Master!$D$5:$D$34,MATCH($I496,SKU_Master!$A$5:$A$34,0))</f>
        <v>Accessory</v>
      </c>
      <c r="S496" s="54">
        <f t="shared" si="98"/>
        <v>1.1584905660377287E-2</v>
      </c>
      <c r="T496" s="55">
        <f t="shared" si="99"/>
        <v>1855</v>
      </c>
      <c r="U496" s="55">
        <f t="shared" si="100"/>
        <v>1833.51</v>
      </c>
      <c r="V496" s="55">
        <f t="shared" si="101"/>
        <v>-21.490000000000009</v>
      </c>
      <c r="W496" s="55">
        <f t="shared" si="102"/>
        <v>1833.51</v>
      </c>
      <c r="X496" s="55">
        <f t="shared" si="103"/>
        <v>0</v>
      </c>
      <c r="Y496" s="55">
        <f t="shared" si="104"/>
        <v>1185.45</v>
      </c>
      <c r="Z496" s="55">
        <f t="shared" si="105"/>
        <v>1185.45</v>
      </c>
      <c r="AA496" s="55">
        <f t="shared" si="106"/>
        <v>0</v>
      </c>
      <c r="AB496" s="55">
        <f t="shared" si="107"/>
        <v>648.05999999999995</v>
      </c>
      <c r="AC496" s="54">
        <f t="shared" si="108"/>
        <v>0.35345321269041347</v>
      </c>
      <c r="AD496" s="56">
        <f>INDEX(Assumptions!$B$14:$B$16,MATCH($R496,Assumptions!$A$14:$A$16,0))</f>
        <v>0.32</v>
      </c>
      <c r="AE496" s="56">
        <f>INDEX(Assumptions!$C$14:$C$16,MATCH($R496,Assumptions!$A$14:$A$16,0))</f>
        <v>0.22</v>
      </c>
      <c r="AF496" s="49">
        <f t="shared" si="109"/>
        <v>0</v>
      </c>
      <c r="AG496" s="49">
        <f t="shared" si="110"/>
        <v>0</v>
      </c>
      <c r="AH496" s="55">
        <f t="shared" si="111"/>
        <v>0</v>
      </c>
    </row>
    <row r="497" spans="1:34" x14ac:dyDescent="0.2">
      <c r="A497" s="48" t="s">
        <v>629</v>
      </c>
      <c r="B497" s="48">
        <v>1</v>
      </c>
      <c r="C497" s="48" t="s">
        <v>627</v>
      </c>
      <c r="D497" s="48" t="s">
        <v>527</v>
      </c>
      <c r="E497" s="48" t="s">
        <v>309</v>
      </c>
      <c r="F497" s="48" t="s">
        <v>280</v>
      </c>
      <c r="G497" s="48" t="s">
        <v>298</v>
      </c>
      <c r="H497" s="48" t="s">
        <v>70</v>
      </c>
      <c r="I497" s="48" t="s">
        <v>103</v>
      </c>
      <c r="J497" s="49">
        <v>6</v>
      </c>
      <c r="K497" s="50">
        <v>110670</v>
      </c>
      <c r="L497" s="50">
        <v>109520.94</v>
      </c>
      <c r="M497" s="48" t="s">
        <v>276</v>
      </c>
      <c r="N497" s="51">
        <v>83.5</v>
      </c>
      <c r="O497" s="51">
        <v>83.595299999999995</v>
      </c>
      <c r="P497" s="52">
        <v>1110.17</v>
      </c>
      <c r="Q497" s="52">
        <v>1130.17</v>
      </c>
      <c r="R497" s="53" t="str">
        <f>INDEX(SKU_Master!$D$5:$D$34,MATCH($I497,SKU_Master!$A$5:$A$34,0))</f>
        <v>Laptop</v>
      </c>
      <c r="S497" s="54">
        <f t="shared" si="98"/>
        <v>1.0382759555435106E-2</v>
      </c>
      <c r="T497" s="55">
        <f t="shared" si="99"/>
        <v>7952.3353293413174</v>
      </c>
      <c r="U497" s="55">
        <f t="shared" si="100"/>
        <v>7869.7681437125748</v>
      </c>
      <c r="V497" s="55">
        <f t="shared" si="101"/>
        <v>-82.567185628742664</v>
      </c>
      <c r="W497" s="55">
        <f t="shared" si="102"/>
        <v>7860.7964801848912</v>
      </c>
      <c r="X497" s="55">
        <f t="shared" si="103"/>
        <v>-8.9716635276836314</v>
      </c>
      <c r="Y497" s="55">
        <f t="shared" si="104"/>
        <v>6661.02</v>
      </c>
      <c r="Z497" s="55">
        <f t="shared" si="105"/>
        <v>6781.02</v>
      </c>
      <c r="AA497" s="55">
        <f t="shared" si="106"/>
        <v>-120</v>
      </c>
      <c r="AB497" s="55">
        <f t="shared" si="107"/>
        <v>1079.7764801848907</v>
      </c>
      <c r="AC497" s="54">
        <f t="shared" si="108"/>
        <v>0.13736222314198543</v>
      </c>
      <c r="AD497" s="56">
        <f>INDEX(Assumptions!$B$14:$B$16,MATCH($R497,Assumptions!$A$14:$A$16,0))</f>
        <v>0.12</v>
      </c>
      <c r="AE497" s="56">
        <f>INDEX(Assumptions!$C$14:$C$16,MATCH($R497,Assumptions!$A$14:$A$16,0))</f>
        <v>0.08</v>
      </c>
      <c r="AF497" s="49">
        <f t="shared" si="109"/>
        <v>0</v>
      </c>
      <c r="AG497" s="49">
        <f t="shared" si="110"/>
        <v>0</v>
      </c>
      <c r="AH497" s="55">
        <f t="shared" si="111"/>
        <v>0</v>
      </c>
    </row>
    <row r="498" spans="1:34" x14ac:dyDescent="0.2">
      <c r="A498" s="48" t="s">
        <v>630</v>
      </c>
      <c r="B498" s="48">
        <v>1</v>
      </c>
      <c r="C498" s="48" t="s">
        <v>561</v>
      </c>
      <c r="D498" s="48" t="s">
        <v>527</v>
      </c>
      <c r="E498" s="48" t="s">
        <v>284</v>
      </c>
      <c r="F498" s="48" t="s">
        <v>274</v>
      </c>
      <c r="G498" s="48" t="s">
        <v>275</v>
      </c>
      <c r="H498" s="48" t="s">
        <v>64</v>
      </c>
      <c r="I498" s="48" t="s">
        <v>93</v>
      </c>
      <c r="J498" s="49">
        <v>5</v>
      </c>
      <c r="K498" s="50">
        <v>1145</v>
      </c>
      <c r="L498" s="50">
        <v>1132.28</v>
      </c>
      <c r="M498" s="48" t="s">
        <v>276</v>
      </c>
      <c r="N498" s="51">
        <v>0.79</v>
      </c>
      <c r="O498" s="51">
        <v>0.78759999999999997</v>
      </c>
      <c r="P498" s="52">
        <v>1210.2</v>
      </c>
      <c r="Q498" s="52">
        <v>1210.2</v>
      </c>
      <c r="R498" s="53" t="str">
        <f>INDEX(SKU_Master!$D$5:$D$34,MATCH($I498,SKU_Master!$A$5:$A$34,0))</f>
        <v>Laptop</v>
      </c>
      <c r="S498" s="54">
        <f t="shared" si="98"/>
        <v>1.110917030567693E-2</v>
      </c>
      <c r="T498" s="55">
        <f t="shared" si="99"/>
        <v>7246.8354430379741</v>
      </c>
      <c r="U498" s="55">
        <f t="shared" si="100"/>
        <v>7166.32911392405</v>
      </c>
      <c r="V498" s="55">
        <f t="shared" si="101"/>
        <v>-80.506329113924039</v>
      </c>
      <c r="W498" s="55">
        <f t="shared" si="102"/>
        <v>7188.1665820213302</v>
      </c>
      <c r="X498" s="55">
        <f t="shared" si="103"/>
        <v>21.83746809728018</v>
      </c>
      <c r="Y498" s="55">
        <f t="shared" si="104"/>
        <v>6051</v>
      </c>
      <c r="Z498" s="55">
        <f t="shared" si="105"/>
        <v>6051</v>
      </c>
      <c r="AA498" s="55">
        <f t="shared" si="106"/>
        <v>0</v>
      </c>
      <c r="AB498" s="55">
        <f t="shared" si="107"/>
        <v>1137.1665820213302</v>
      </c>
      <c r="AC498" s="54">
        <f t="shared" si="108"/>
        <v>0.15819980923446492</v>
      </c>
      <c r="AD498" s="56">
        <f>INDEX(Assumptions!$B$14:$B$16,MATCH($R498,Assumptions!$A$14:$A$16,0))</f>
        <v>0.12</v>
      </c>
      <c r="AE498" s="56">
        <f>INDEX(Assumptions!$C$14:$C$16,MATCH($R498,Assumptions!$A$14:$A$16,0))</f>
        <v>0.08</v>
      </c>
      <c r="AF498" s="49">
        <f t="shared" si="109"/>
        <v>0</v>
      </c>
      <c r="AG498" s="49">
        <f t="shared" si="110"/>
        <v>0</v>
      </c>
      <c r="AH498" s="55">
        <f t="shared" si="111"/>
        <v>0</v>
      </c>
    </row>
    <row r="499" spans="1:34" x14ac:dyDescent="0.2">
      <c r="A499" s="48" t="s">
        <v>630</v>
      </c>
      <c r="B499" s="48">
        <v>2</v>
      </c>
      <c r="C499" s="48" t="s">
        <v>561</v>
      </c>
      <c r="D499" s="48" t="s">
        <v>527</v>
      </c>
      <c r="E499" s="48" t="s">
        <v>284</v>
      </c>
      <c r="F499" s="48" t="s">
        <v>274</v>
      </c>
      <c r="G499" s="48" t="s">
        <v>275</v>
      </c>
      <c r="H499" s="48" t="s">
        <v>64</v>
      </c>
      <c r="I499" s="48" t="s">
        <v>164</v>
      </c>
      <c r="J499" s="49">
        <v>5</v>
      </c>
      <c r="K499" s="50">
        <v>160</v>
      </c>
      <c r="L499" s="50">
        <v>157.59</v>
      </c>
      <c r="M499" s="48" t="s">
        <v>276</v>
      </c>
      <c r="N499" s="51">
        <v>0.79</v>
      </c>
      <c r="O499" s="51">
        <v>0.78759999999999997</v>
      </c>
      <c r="P499" s="52">
        <v>127</v>
      </c>
      <c r="Q499" s="52">
        <v>127</v>
      </c>
      <c r="R499" s="53" t="str">
        <f>INDEX(SKU_Master!$D$5:$D$34,MATCH($I499,SKU_Master!$A$5:$A$34,0))</f>
        <v>Accessory</v>
      </c>
      <c r="S499" s="54">
        <f t="shared" si="98"/>
        <v>1.5062499999999979E-2</v>
      </c>
      <c r="T499" s="55">
        <f t="shared" si="99"/>
        <v>1012.6582278481012</v>
      </c>
      <c r="U499" s="55">
        <f t="shared" si="100"/>
        <v>997.4050632911393</v>
      </c>
      <c r="V499" s="55">
        <f t="shared" si="101"/>
        <v>-15.253164556961906</v>
      </c>
      <c r="W499" s="55">
        <f t="shared" si="102"/>
        <v>1000.4443880142205</v>
      </c>
      <c r="X499" s="55">
        <f t="shared" si="103"/>
        <v>3.0393247230812221</v>
      </c>
      <c r="Y499" s="55">
        <f t="shared" si="104"/>
        <v>635</v>
      </c>
      <c r="Z499" s="55">
        <f t="shared" si="105"/>
        <v>635</v>
      </c>
      <c r="AA499" s="55">
        <f t="shared" si="106"/>
        <v>0</v>
      </c>
      <c r="AB499" s="55">
        <f t="shared" si="107"/>
        <v>365.44438801422052</v>
      </c>
      <c r="AC499" s="54">
        <f t="shared" si="108"/>
        <v>0.36528206104448258</v>
      </c>
      <c r="AD499" s="56">
        <f>INDEX(Assumptions!$B$14:$B$16,MATCH($R499,Assumptions!$A$14:$A$16,0))</f>
        <v>0.32</v>
      </c>
      <c r="AE499" s="56">
        <f>INDEX(Assumptions!$C$14:$C$16,MATCH($R499,Assumptions!$A$14:$A$16,0))</f>
        <v>0.22</v>
      </c>
      <c r="AF499" s="49">
        <f t="shared" si="109"/>
        <v>0</v>
      </c>
      <c r="AG499" s="49">
        <f t="shared" si="110"/>
        <v>0</v>
      </c>
      <c r="AH499" s="55">
        <f t="shared" si="111"/>
        <v>0</v>
      </c>
    </row>
    <row r="500" spans="1:34" x14ac:dyDescent="0.2">
      <c r="A500" s="48" t="s">
        <v>631</v>
      </c>
      <c r="B500" s="48">
        <v>1</v>
      </c>
      <c r="C500" s="48" t="s">
        <v>541</v>
      </c>
      <c r="D500" s="48" t="s">
        <v>527</v>
      </c>
      <c r="E500" s="48" t="s">
        <v>395</v>
      </c>
      <c r="F500" s="48" t="s">
        <v>280</v>
      </c>
      <c r="G500" s="48" t="s">
        <v>281</v>
      </c>
      <c r="H500" s="48" t="s">
        <v>66</v>
      </c>
      <c r="I500" s="48" t="s">
        <v>108</v>
      </c>
      <c r="J500" s="49">
        <v>27</v>
      </c>
      <c r="K500" s="50">
        <v>1280</v>
      </c>
      <c r="L500" s="50">
        <v>1253.8800000000001</v>
      </c>
      <c r="M500" s="48" t="s">
        <v>276</v>
      </c>
      <c r="N500" s="51">
        <v>0.92</v>
      </c>
      <c r="O500" s="51">
        <v>0.91739999999999999</v>
      </c>
      <c r="P500" s="52">
        <v>1165</v>
      </c>
      <c r="Q500" s="52">
        <v>1165</v>
      </c>
      <c r="R500" s="53" t="str">
        <f>INDEX(SKU_Master!$D$5:$D$34,MATCH($I500,SKU_Master!$A$5:$A$34,0))</f>
        <v>Laptop</v>
      </c>
      <c r="S500" s="54">
        <f t="shared" si="98"/>
        <v>2.0406249999999959E-2</v>
      </c>
      <c r="T500" s="55">
        <f t="shared" si="99"/>
        <v>37565.217391304344</v>
      </c>
      <c r="U500" s="55">
        <f t="shared" si="100"/>
        <v>36798.652173913048</v>
      </c>
      <c r="V500" s="55">
        <f t="shared" si="101"/>
        <v>-766.56521739129676</v>
      </c>
      <c r="W500" s="55">
        <f t="shared" si="102"/>
        <v>36902.943100065408</v>
      </c>
      <c r="X500" s="55">
        <f t="shared" si="103"/>
        <v>104.29092615236004</v>
      </c>
      <c r="Y500" s="55">
        <f t="shared" si="104"/>
        <v>31455</v>
      </c>
      <c r="Z500" s="55">
        <f t="shared" si="105"/>
        <v>31455</v>
      </c>
      <c r="AA500" s="55">
        <f t="shared" si="106"/>
        <v>0</v>
      </c>
      <c r="AB500" s="55">
        <f t="shared" si="107"/>
        <v>5447.9431000654076</v>
      </c>
      <c r="AC500" s="54">
        <f t="shared" si="108"/>
        <v>0.1476289597090632</v>
      </c>
      <c r="AD500" s="56">
        <f>INDEX(Assumptions!$B$14:$B$16,MATCH($R500,Assumptions!$A$14:$A$16,0))</f>
        <v>0.12</v>
      </c>
      <c r="AE500" s="56">
        <f>INDEX(Assumptions!$C$14:$C$16,MATCH($R500,Assumptions!$A$14:$A$16,0))</f>
        <v>0.08</v>
      </c>
      <c r="AF500" s="49">
        <f t="shared" si="109"/>
        <v>0</v>
      </c>
      <c r="AG500" s="49">
        <f t="shared" si="110"/>
        <v>0</v>
      </c>
      <c r="AH500" s="55">
        <f t="shared" si="111"/>
        <v>0</v>
      </c>
    </row>
    <row r="501" spans="1:34" x14ac:dyDescent="0.2">
      <c r="A501" s="48" t="s">
        <v>631</v>
      </c>
      <c r="B501" s="48">
        <v>2</v>
      </c>
      <c r="C501" s="48" t="s">
        <v>541</v>
      </c>
      <c r="D501" s="48" t="s">
        <v>527</v>
      </c>
      <c r="E501" s="48" t="s">
        <v>395</v>
      </c>
      <c r="F501" s="48" t="s">
        <v>280</v>
      </c>
      <c r="G501" s="48" t="s">
        <v>281</v>
      </c>
      <c r="H501" s="48" t="s">
        <v>66</v>
      </c>
      <c r="I501" s="48" t="s">
        <v>157</v>
      </c>
      <c r="J501" s="49">
        <v>30</v>
      </c>
      <c r="K501" s="50">
        <v>135</v>
      </c>
      <c r="L501" s="50">
        <v>130.43</v>
      </c>
      <c r="M501" s="48" t="s">
        <v>276</v>
      </c>
      <c r="N501" s="51">
        <v>0.92</v>
      </c>
      <c r="O501" s="51">
        <v>0.91739999999999999</v>
      </c>
      <c r="P501" s="52">
        <v>91</v>
      </c>
      <c r="Q501" s="52">
        <v>91</v>
      </c>
      <c r="R501" s="53" t="str">
        <f>INDEX(SKU_Master!$D$5:$D$34,MATCH($I501,SKU_Master!$A$5:$A$34,0))</f>
        <v>Accessory</v>
      </c>
      <c r="S501" s="54">
        <f t="shared" si="98"/>
        <v>3.38518518518518E-2</v>
      </c>
      <c r="T501" s="55">
        <f t="shared" si="99"/>
        <v>4402.173913043478</v>
      </c>
      <c r="U501" s="55">
        <f t="shared" si="100"/>
        <v>4253.152173913043</v>
      </c>
      <c r="V501" s="55">
        <f t="shared" si="101"/>
        <v>-149.02173913043498</v>
      </c>
      <c r="W501" s="55">
        <f t="shared" si="102"/>
        <v>4265.2060170045779</v>
      </c>
      <c r="X501" s="55">
        <f t="shared" si="103"/>
        <v>12.053843091534873</v>
      </c>
      <c r="Y501" s="55">
        <f t="shared" si="104"/>
        <v>2730</v>
      </c>
      <c r="Z501" s="55">
        <f t="shared" si="105"/>
        <v>2730</v>
      </c>
      <c r="AA501" s="55">
        <f t="shared" si="106"/>
        <v>0</v>
      </c>
      <c r="AB501" s="55">
        <f t="shared" si="107"/>
        <v>1535.2060170045779</v>
      </c>
      <c r="AC501" s="54">
        <f t="shared" si="108"/>
        <v>0.35993713102813768</v>
      </c>
      <c r="AD501" s="56">
        <f>INDEX(Assumptions!$B$14:$B$16,MATCH($R501,Assumptions!$A$14:$A$16,0))</f>
        <v>0.32</v>
      </c>
      <c r="AE501" s="56">
        <f>INDEX(Assumptions!$C$14:$C$16,MATCH($R501,Assumptions!$A$14:$A$16,0))</f>
        <v>0.22</v>
      </c>
      <c r="AF501" s="49">
        <f t="shared" si="109"/>
        <v>0</v>
      </c>
      <c r="AG501" s="49">
        <f t="shared" si="110"/>
        <v>0</v>
      </c>
      <c r="AH501" s="55">
        <f t="shared" si="111"/>
        <v>0</v>
      </c>
    </row>
    <row r="502" spans="1:34" x14ac:dyDescent="0.2">
      <c r="A502" s="48" t="s">
        <v>632</v>
      </c>
      <c r="B502" s="48">
        <v>1</v>
      </c>
      <c r="C502" s="48" t="s">
        <v>539</v>
      </c>
      <c r="D502" s="48" t="s">
        <v>527</v>
      </c>
      <c r="E502" s="48" t="s">
        <v>362</v>
      </c>
      <c r="F502" s="48" t="s">
        <v>280</v>
      </c>
      <c r="G502" s="48" t="s">
        <v>275</v>
      </c>
      <c r="H502" s="48" t="s">
        <v>62</v>
      </c>
      <c r="I502" s="48" t="s">
        <v>93</v>
      </c>
      <c r="J502" s="49">
        <v>27</v>
      </c>
      <c r="K502" s="50">
        <v>1390</v>
      </c>
      <c r="L502" s="50">
        <v>1364.58</v>
      </c>
      <c r="M502" s="48" t="s">
        <v>276</v>
      </c>
      <c r="N502" s="51">
        <v>1</v>
      </c>
      <c r="O502" s="51">
        <v>1</v>
      </c>
      <c r="P502" s="52">
        <v>1186.2</v>
      </c>
      <c r="Q502" s="52">
        <v>1186.2</v>
      </c>
      <c r="R502" s="53" t="str">
        <f>INDEX(SKU_Master!$D$5:$D$34,MATCH($I502,SKU_Master!$A$5:$A$34,0))</f>
        <v>Laptop</v>
      </c>
      <c r="S502" s="54">
        <f t="shared" si="98"/>
        <v>1.8287769784172681E-2</v>
      </c>
      <c r="T502" s="55">
        <f t="shared" si="99"/>
        <v>37530</v>
      </c>
      <c r="U502" s="55">
        <f t="shared" si="100"/>
        <v>36843.659999999996</v>
      </c>
      <c r="V502" s="55">
        <f t="shared" si="101"/>
        <v>-686.34000000000378</v>
      </c>
      <c r="W502" s="55">
        <f t="shared" si="102"/>
        <v>36843.659999999996</v>
      </c>
      <c r="X502" s="55">
        <f t="shared" si="103"/>
        <v>0</v>
      </c>
      <c r="Y502" s="55">
        <f t="shared" si="104"/>
        <v>32027.4</v>
      </c>
      <c r="Z502" s="55">
        <f t="shared" si="105"/>
        <v>32027.4</v>
      </c>
      <c r="AA502" s="55">
        <f t="shared" si="106"/>
        <v>0</v>
      </c>
      <c r="AB502" s="55">
        <f t="shared" si="107"/>
        <v>4816.2599999999948</v>
      </c>
      <c r="AC502" s="54">
        <f t="shared" si="108"/>
        <v>0.13072154069383973</v>
      </c>
      <c r="AD502" s="56">
        <f>INDEX(Assumptions!$B$14:$B$16,MATCH($R502,Assumptions!$A$14:$A$16,0))</f>
        <v>0.12</v>
      </c>
      <c r="AE502" s="56">
        <f>INDEX(Assumptions!$C$14:$C$16,MATCH($R502,Assumptions!$A$14:$A$16,0))</f>
        <v>0.08</v>
      </c>
      <c r="AF502" s="49">
        <f t="shared" si="109"/>
        <v>0</v>
      </c>
      <c r="AG502" s="49">
        <f t="shared" si="110"/>
        <v>0</v>
      </c>
      <c r="AH502" s="55">
        <f t="shared" si="111"/>
        <v>0</v>
      </c>
    </row>
    <row r="503" spans="1:34" x14ac:dyDescent="0.2">
      <c r="A503" s="48" t="s">
        <v>632</v>
      </c>
      <c r="B503" s="48">
        <v>2</v>
      </c>
      <c r="C503" s="48" t="s">
        <v>539</v>
      </c>
      <c r="D503" s="48" t="s">
        <v>527</v>
      </c>
      <c r="E503" s="48" t="s">
        <v>362</v>
      </c>
      <c r="F503" s="48" t="s">
        <v>280</v>
      </c>
      <c r="G503" s="48" t="s">
        <v>275</v>
      </c>
      <c r="H503" s="48" t="s">
        <v>62</v>
      </c>
      <c r="I503" s="48" t="s">
        <v>138</v>
      </c>
      <c r="J503" s="49">
        <v>12</v>
      </c>
      <c r="K503" s="50">
        <v>455</v>
      </c>
      <c r="L503" s="50">
        <v>435.62</v>
      </c>
      <c r="M503" s="48" t="s">
        <v>276</v>
      </c>
      <c r="N503" s="51">
        <v>1</v>
      </c>
      <c r="O503" s="51">
        <v>1</v>
      </c>
      <c r="P503" s="52">
        <v>358.2</v>
      </c>
      <c r="Q503" s="52">
        <v>358.2</v>
      </c>
      <c r="R503" s="53" t="str">
        <f>INDEX(SKU_Master!$D$5:$D$34,MATCH($I503,SKU_Master!$A$5:$A$34,0))</f>
        <v>Monitor</v>
      </c>
      <c r="S503" s="54">
        <f t="shared" si="98"/>
        <v>4.2593406593406602E-2</v>
      </c>
      <c r="T503" s="55">
        <f t="shared" si="99"/>
        <v>5460</v>
      </c>
      <c r="U503" s="55">
        <f t="shared" si="100"/>
        <v>5227.4400000000005</v>
      </c>
      <c r="V503" s="55">
        <f t="shared" si="101"/>
        <v>-232.55999999999949</v>
      </c>
      <c r="W503" s="55">
        <f t="shared" si="102"/>
        <v>5227.4400000000005</v>
      </c>
      <c r="X503" s="55">
        <f t="shared" si="103"/>
        <v>0</v>
      </c>
      <c r="Y503" s="55">
        <f t="shared" si="104"/>
        <v>4298.3999999999996</v>
      </c>
      <c r="Z503" s="55">
        <f t="shared" si="105"/>
        <v>4298.3999999999996</v>
      </c>
      <c r="AA503" s="55">
        <f t="shared" si="106"/>
        <v>0</v>
      </c>
      <c r="AB503" s="55">
        <f t="shared" si="107"/>
        <v>929.04000000000087</v>
      </c>
      <c r="AC503" s="54">
        <f t="shared" si="108"/>
        <v>0.17772370414581531</v>
      </c>
      <c r="AD503" s="56">
        <f>INDEX(Assumptions!$B$14:$B$16,MATCH($R503,Assumptions!$A$14:$A$16,0))</f>
        <v>0.18</v>
      </c>
      <c r="AE503" s="56">
        <f>INDEX(Assumptions!$C$14:$C$16,MATCH($R503,Assumptions!$A$14:$A$16,0))</f>
        <v>0.12</v>
      </c>
      <c r="AF503" s="49">
        <f t="shared" si="109"/>
        <v>0</v>
      </c>
      <c r="AG503" s="49">
        <f t="shared" si="110"/>
        <v>0</v>
      </c>
      <c r="AH503" s="55">
        <f t="shared" si="111"/>
        <v>11.899199999999155</v>
      </c>
    </row>
    <row r="504" spans="1:34" x14ac:dyDescent="0.2">
      <c r="A504" s="48" t="s">
        <v>632</v>
      </c>
      <c r="B504" s="48">
        <v>3</v>
      </c>
      <c r="C504" s="48" t="s">
        <v>539</v>
      </c>
      <c r="D504" s="48" t="s">
        <v>527</v>
      </c>
      <c r="E504" s="48" t="s">
        <v>362</v>
      </c>
      <c r="F504" s="48" t="s">
        <v>280</v>
      </c>
      <c r="G504" s="48" t="s">
        <v>275</v>
      </c>
      <c r="H504" s="48" t="s">
        <v>62</v>
      </c>
      <c r="I504" s="48" t="s">
        <v>151</v>
      </c>
      <c r="J504" s="49">
        <v>15</v>
      </c>
      <c r="K504" s="50">
        <v>335</v>
      </c>
      <c r="L504" s="50">
        <v>322.68</v>
      </c>
      <c r="M504" s="48" t="s">
        <v>276</v>
      </c>
      <c r="N504" s="51">
        <v>1</v>
      </c>
      <c r="O504" s="51">
        <v>1</v>
      </c>
      <c r="P504" s="52">
        <v>216.7</v>
      </c>
      <c r="Q504" s="52">
        <v>216.7</v>
      </c>
      <c r="R504" s="53" t="str">
        <f>INDEX(SKU_Master!$D$5:$D$34,MATCH($I504,SKU_Master!$A$5:$A$34,0))</f>
        <v>Accessory</v>
      </c>
      <c r="S504" s="54">
        <f t="shared" si="98"/>
        <v>3.6776119402985086E-2</v>
      </c>
      <c r="T504" s="55">
        <f t="shared" si="99"/>
        <v>5025</v>
      </c>
      <c r="U504" s="55">
        <f t="shared" si="100"/>
        <v>4840.2</v>
      </c>
      <c r="V504" s="55">
        <f t="shared" si="101"/>
        <v>-184.80000000000018</v>
      </c>
      <c r="W504" s="55">
        <f t="shared" si="102"/>
        <v>4840.2</v>
      </c>
      <c r="X504" s="55">
        <f t="shared" si="103"/>
        <v>0</v>
      </c>
      <c r="Y504" s="55">
        <f t="shared" si="104"/>
        <v>3250.5</v>
      </c>
      <c r="Z504" s="55">
        <f t="shared" si="105"/>
        <v>3250.5</v>
      </c>
      <c r="AA504" s="55">
        <f t="shared" si="106"/>
        <v>0</v>
      </c>
      <c r="AB504" s="55">
        <f t="shared" si="107"/>
        <v>1589.6999999999998</v>
      </c>
      <c r="AC504" s="54">
        <f t="shared" si="108"/>
        <v>0.32843684145283253</v>
      </c>
      <c r="AD504" s="56">
        <f>INDEX(Assumptions!$B$14:$B$16,MATCH($R504,Assumptions!$A$14:$A$16,0))</f>
        <v>0.32</v>
      </c>
      <c r="AE504" s="56">
        <f>INDEX(Assumptions!$C$14:$C$16,MATCH($R504,Assumptions!$A$14:$A$16,0))</f>
        <v>0.22</v>
      </c>
      <c r="AF504" s="49">
        <f t="shared" si="109"/>
        <v>0</v>
      </c>
      <c r="AG504" s="49">
        <f t="shared" si="110"/>
        <v>0</v>
      </c>
      <c r="AH504" s="55">
        <f t="shared" si="111"/>
        <v>0</v>
      </c>
    </row>
    <row r="505" spans="1:34" x14ac:dyDescent="0.2">
      <c r="A505" s="48" t="s">
        <v>633</v>
      </c>
      <c r="B505" s="48">
        <v>1</v>
      </c>
      <c r="C505" s="48" t="s">
        <v>592</v>
      </c>
      <c r="D505" s="48" t="s">
        <v>527</v>
      </c>
      <c r="E505" s="48" t="s">
        <v>279</v>
      </c>
      <c r="F505" s="48" t="s">
        <v>280</v>
      </c>
      <c r="G505" s="48" t="s">
        <v>281</v>
      </c>
      <c r="H505" s="48" t="s">
        <v>64</v>
      </c>
      <c r="I505" s="48" t="s">
        <v>93</v>
      </c>
      <c r="J505" s="49">
        <v>7</v>
      </c>
      <c r="K505" s="50">
        <v>1145</v>
      </c>
      <c r="L505" s="50">
        <v>1105.82</v>
      </c>
      <c r="M505" s="48" t="s">
        <v>276</v>
      </c>
      <c r="N505" s="51">
        <v>0.79</v>
      </c>
      <c r="O505" s="51">
        <v>0.78759999999999997</v>
      </c>
      <c r="P505" s="52">
        <v>1210.2</v>
      </c>
      <c r="Q505" s="52">
        <v>1210.2</v>
      </c>
      <c r="R505" s="53" t="str">
        <f>INDEX(SKU_Master!$D$5:$D$34,MATCH($I505,SKU_Master!$A$5:$A$34,0))</f>
        <v>Laptop</v>
      </c>
      <c r="S505" s="54">
        <f t="shared" si="98"/>
        <v>3.4218340611353759E-2</v>
      </c>
      <c r="T505" s="55">
        <f t="shared" si="99"/>
        <v>10145.569620253164</v>
      </c>
      <c r="U505" s="55">
        <f t="shared" si="100"/>
        <v>9798.4050632911385</v>
      </c>
      <c r="V505" s="55">
        <f t="shared" si="101"/>
        <v>-347.16455696202502</v>
      </c>
      <c r="W505" s="55">
        <f t="shared" si="102"/>
        <v>9828.2630777044178</v>
      </c>
      <c r="X505" s="55">
        <f t="shared" si="103"/>
        <v>29.858014413279307</v>
      </c>
      <c r="Y505" s="55">
        <f t="shared" si="104"/>
        <v>8471.4</v>
      </c>
      <c r="Z505" s="55">
        <f t="shared" si="105"/>
        <v>8471.4</v>
      </c>
      <c r="AA505" s="55">
        <f t="shared" si="106"/>
        <v>0</v>
      </c>
      <c r="AB505" s="55">
        <f t="shared" si="107"/>
        <v>1356.8630777044182</v>
      </c>
      <c r="AC505" s="54">
        <f t="shared" si="108"/>
        <v>0.13805726067533594</v>
      </c>
      <c r="AD505" s="56">
        <f>INDEX(Assumptions!$B$14:$B$16,MATCH($R505,Assumptions!$A$14:$A$16,0))</f>
        <v>0.12</v>
      </c>
      <c r="AE505" s="56">
        <f>INDEX(Assumptions!$C$14:$C$16,MATCH($R505,Assumptions!$A$14:$A$16,0))</f>
        <v>0.08</v>
      </c>
      <c r="AF505" s="49">
        <f t="shared" si="109"/>
        <v>0</v>
      </c>
      <c r="AG505" s="49">
        <f t="shared" si="110"/>
        <v>0</v>
      </c>
      <c r="AH505" s="55">
        <f t="shared" si="111"/>
        <v>0</v>
      </c>
    </row>
    <row r="506" spans="1:34" x14ac:dyDescent="0.2">
      <c r="A506" s="48" t="s">
        <v>634</v>
      </c>
      <c r="B506" s="48">
        <v>1</v>
      </c>
      <c r="C506" s="48" t="s">
        <v>635</v>
      </c>
      <c r="D506" s="48" t="s">
        <v>636</v>
      </c>
      <c r="E506" s="48" t="s">
        <v>368</v>
      </c>
      <c r="F506" s="48" t="s">
        <v>274</v>
      </c>
      <c r="G506" s="48" t="s">
        <v>288</v>
      </c>
      <c r="H506" s="48" t="s">
        <v>68</v>
      </c>
      <c r="I506" s="48" t="s">
        <v>113</v>
      </c>
      <c r="J506" s="49">
        <v>5</v>
      </c>
      <c r="K506" s="50">
        <v>2450</v>
      </c>
      <c r="L506" s="50">
        <v>2403.11</v>
      </c>
      <c r="M506" s="48" t="s">
        <v>276</v>
      </c>
      <c r="N506" s="51">
        <v>1.37</v>
      </c>
      <c r="O506" s="51">
        <v>1.3562000000000001</v>
      </c>
      <c r="P506" s="52">
        <v>1496.8</v>
      </c>
      <c r="Q506" s="52">
        <v>1496.8</v>
      </c>
      <c r="R506" s="53" t="str">
        <f>INDEX(SKU_Master!$D$5:$D$34,MATCH($I506,SKU_Master!$A$5:$A$34,0))</f>
        <v>Laptop</v>
      </c>
      <c r="S506" s="54">
        <f t="shared" si="98"/>
        <v>1.9138775510204042E-2</v>
      </c>
      <c r="T506" s="55">
        <f t="shared" si="99"/>
        <v>8941.6058394160573</v>
      </c>
      <c r="U506" s="55">
        <f t="shared" si="100"/>
        <v>8770.4744525547449</v>
      </c>
      <c r="V506" s="55">
        <f t="shared" si="101"/>
        <v>-171.13138686131242</v>
      </c>
      <c r="W506" s="55">
        <f t="shared" si="102"/>
        <v>8859.7183306297011</v>
      </c>
      <c r="X506" s="55">
        <f t="shared" si="103"/>
        <v>89.243878074956228</v>
      </c>
      <c r="Y506" s="55">
        <f t="shared" si="104"/>
        <v>7484</v>
      </c>
      <c r="Z506" s="55">
        <f t="shared" si="105"/>
        <v>7484</v>
      </c>
      <c r="AA506" s="55">
        <f t="shared" si="106"/>
        <v>0</v>
      </c>
      <c r="AB506" s="55">
        <f t="shared" si="107"/>
        <v>1375.7183306297011</v>
      </c>
      <c r="AC506" s="54">
        <f t="shared" si="108"/>
        <v>0.15527788573972898</v>
      </c>
      <c r="AD506" s="56">
        <f>INDEX(Assumptions!$B$14:$B$16,MATCH($R506,Assumptions!$A$14:$A$16,0))</f>
        <v>0.12</v>
      </c>
      <c r="AE506" s="56">
        <f>INDEX(Assumptions!$C$14:$C$16,MATCH($R506,Assumptions!$A$14:$A$16,0))</f>
        <v>0.08</v>
      </c>
      <c r="AF506" s="49">
        <f t="shared" si="109"/>
        <v>0</v>
      </c>
      <c r="AG506" s="49">
        <f t="shared" si="110"/>
        <v>0</v>
      </c>
      <c r="AH506" s="55">
        <f t="shared" si="111"/>
        <v>0</v>
      </c>
    </row>
    <row r="507" spans="1:34" x14ac:dyDescent="0.2">
      <c r="A507" s="48" t="s">
        <v>634</v>
      </c>
      <c r="B507" s="48">
        <v>2</v>
      </c>
      <c r="C507" s="48" t="s">
        <v>635</v>
      </c>
      <c r="D507" s="48" t="s">
        <v>636</v>
      </c>
      <c r="E507" s="48" t="s">
        <v>368</v>
      </c>
      <c r="F507" s="48" t="s">
        <v>274</v>
      </c>
      <c r="G507" s="48" t="s">
        <v>288</v>
      </c>
      <c r="H507" s="48" t="s">
        <v>68</v>
      </c>
      <c r="I507" s="48" t="s">
        <v>164</v>
      </c>
      <c r="J507" s="49">
        <v>4</v>
      </c>
      <c r="K507" s="50">
        <v>270</v>
      </c>
      <c r="L507" s="50">
        <v>267.64</v>
      </c>
      <c r="M507" s="48" t="s">
        <v>276</v>
      </c>
      <c r="N507" s="51">
        <v>1.37</v>
      </c>
      <c r="O507" s="51">
        <v>1.3562000000000001</v>
      </c>
      <c r="P507" s="52">
        <v>124</v>
      </c>
      <c r="Q507" s="52">
        <v>124</v>
      </c>
      <c r="R507" s="53" t="str">
        <f>INDEX(SKU_Master!$D$5:$D$34,MATCH($I507,SKU_Master!$A$5:$A$34,0))</f>
        <v>Accessory</v>
      </c>
      <c r="S507" s="54">
        <f t="shared" si="98"/>
        <v>8.7407407407408266E-3</v>
      </c>
      <c r="T507" s="55">
        <f t="shared" si="99"/>
        <v>788.32116788321161</v>
      </c>
      <c r="U507" s="55">
        <f t="shared" si="100"/>
        <v>781.43065693430651</v>
      </c>
      <c r="V507" s="55">
        <f t="shared" si="101"/>
        <v>-6.8905109489051029</v>
      </c>
      <c r="W507" s="55">
        <f t="shared" si="102"/>
        <v>789.38209703583539</v>
      </c>
      <c r="X507" s="55">
        <f t="shared" si="103"/>
        <v>7.951440101528874</v>
      </c>
      <c r="Y507" s="55">
        <f t="shared" si="104"/>
        <v>496</v>
      </c>
      <c r="Z507" s="55">
        <f t="shared" si="105"/>
        <v>496</v>
      </c>
      <c r="AA507" s="55">
        <f t="shared" si="106"/>
        <v>0</v>
      </c>
      <c r="AB507" s="55">
        <f t="shared" si="107"/>
        <v>293.38209703583539</v>
      </c>
      <c r="AC507" s="54">
        <f t="shared" si="108"/>
        <v>0.3716604393962038</v>
      </c>
      <c r="AD507" s="56">
        <f>INDEX(Assumptions!$B$14:$B$16,MATCH($R507,Assumptions!$A$14:$A$16,0))</f>
        <v>0.32</v>
      </c>
      <c r="AE507" s="56">
        <f>INDEX(Assumptions!$C$14:$C$16,MATCH($R507,Assumptions!$A$14:$A$16,0))</f>
        <v>0.22</v>
      </c>
      <c r="AF507" s="49">
        <f t="shared" si="109"/>
        <v>0</v>
      </c>
      <c r="AG507" s="49">
        <f t="shared" si="110"/>
        <v>0</v>
      </c>
      <c r="AH507" s="55">
        <f t="shared" si="111"/>
        <v>0</v>
      </c>
    </row>
    <row r="508" spans="1:34" x14ac:dyDescent="0.2">
      <c r="A508" s="48" t="s">
        <v>637</v>
      </c>
      <c r="B508" s="48">
        <v>1</v>
      </c>
      <c r="C508" s="48" t="s">
        <v>638</v>
      </c>
      <c r="D508" s="48" t="s">
        <v>636</v>
      </c>
      <c r="E508" s="48" t="s">
        <v>284</v>
      </c>
      <c r="F508" s="48" t="s">
        <v>274</v>
      </c>
      <c r="G508" s="48" t="s">
        <v>275</v>
      </c>
      <c r="H508" s="48" t="s">
        <v>64</v>
      </c>
      <c r="I508" s="48" t="s">
        <v>98</v>
      </c>
      <c r="J508" s="49">
        <v>8</v>
      </c>
      <c r="K508" s="50">
        <v>1705</v>
      </c>
      <c r="L508" s="50">
        <v>1686.61</v>
      </c>
      <c r="M508" s="48" t="s">
        <v>276</v>
      </c>
      <c r="N508" s="51">
        <v>0.79</v>
      </c>
      <c r="O508" s="51">
        <v>0.79100000000000004</v>
      </c>
      <c r="P508" s="52">
        <v>1804.2</v>
      </c>
      <c r="Q508" s="52">
        <v>1804.2</v>
      </c>
      <c r="R508" s="53" t="str">
        <f>INDEX(SKU_Master!$D$5:$D$34,MATCH($I508,SKU_Master!$A$5:$A$34,0))</f>
        <v>Laptop</v>
      </c>
      <c r="S508" s="54">
        <f t="shared" si="98"/>
        <v>1.0785923753665716E-2</v>
      </c>
      <c r="T508" s="55">
        <f t="shared" si="99"/>
        <v>17265.822784810127</v>
      </c>
      <c r="U508" s="55">
        <f t="shared" si="100"/>
        <v>17079.594936708858</v>
      </c>
      <c r="V508" s="55">
        <f t="shared" si="101"/>
        <v>-186.22784810126905</v>
      </c>
      <c r="W508" s="55">
        <f t="shared" si="102"/>
        <v>17058.002528445006</v>
      </c>
      <c r="X508" s="55">
        <f t="shared" si="103"/>
        <v>-21.592408263852121</v>
      </c>
      <c r="Y508" s="55">
        <f t="shared" si="104"/>
        <v>14433.6</v>
      </c>
      <c r="Z508" s="55">
        <f t="shared" si="105"/>
        <v>14433.6</v>
      </c>
      <c r="AA508" s="55">
        <f t="shared" si="106"/>
        <v>0</v>
      </c>
      <c r="AB508" s="55">
        <f t="shared" si="107"/>
        <v>2624.4025284450054</v>
      </c>
      <c r="AC508" s="54">
        <f t="shared" si="108"/>
        <v>0.15385169066944931</v>
      </c>
      <c r="AD508" s="56">
        <f>INDEX(Assumptions!$B$14:$B$16,MATCH($R508,Assumptions!$A$14:$A$16,0))</f>
        <v>0.12</v>
      </c>
      <c r="AE508" s="56">
        <f>INDEX(Assumptions!$C$14:$C$16,MATCH($R508,Assumptions!$A$14:$A$16,0))</f>
        <v>0.08</v>
      </c>
      <c r="AF508" s="49">
        <f t="shared" si="109"/>
        <v>0</v>
      </c>
      <c r="AG508" s="49">
        <f t="shared" si="110"/>
        <v>0</v>
      </c>
      <c r="AH508" s="55">
        <f t="shared" si="111"/>
        <v>0</v>
      </c>
    </row>
    <row r="509" spans="1:34" x14ac:dyDescent="0.2">
      <c r="A509" s="48" t="s">
        <v>637</v>
      </c>
      <c r="B509" s="48">
        <v>2</v>
      </c>
      <c r="C509" s="48" t="s">
        <v>638</v>
      </c>
      <c r="D509" s="48" t="s">
        <v>636</v>
      </c>
      <c r="E509" s="48" t="s">
        <v>284</v>
      </c>
      <c r="F509" s="48" t="s">
        <v>274</v>
      </c>
      <c r="G509" s="48" t="s">
        <v>275</v>
      </c>
      <c r="H509" s="48" t="s">
        <v>64</v>
      </c>
      <c r="I509" s="48" t="s">
        <v>161</v>
      </c>
      <c r="J509" s="49">
        <v>6</v>
      </c>
      <c r="K509" s="50">
        <v>105</v>
      </c>
      <c r="L509" s="50">
        <v>104.9</v>
      </c>
      <c r="M509" s="48" t="s">
        <v>276</v>
      </c>
      <c r="N509" s="51">
        <v>0.79</v>
      </c>
      <c r="O509" s="51">
        <v>0.79100000000000004</v>
      </c>
      <c r="P509" s="52">
        <v>82</v>
      </c>
      <c r="Q509" s="52">
        <v>82</v>
      </c>
      <c r="R509" s="53" t="str">
        <f>INDEX(SKU_Master!$D$5:$D$34,MATCH($I509,SKU_Master!$A$5:$A$34,0))</f>
        <v>Accessory</v>
      </c>
      <c r="S509" s="54">
        <f t="shared" si="98"/>
        <v>9.5238095238092679E-4</v>
      </c>
      <c r="T509" s="55">
        <f t="shared" si="99"/>
        <v>797.46835443037969</v>
      </c>
      <c r="U509" s="55">
        <f t="shared" si="100"/>
        <v>796.70886075949375</v>
      </c>
      <c r="V509" s="55">
        <f t="shared" si="101"/>
        <v>-0.75949367088594499</v>
      </c>
      <c r="W509" s="55">
        <f t="shared" si="102"/>
        <v>795.70164348925414</v>
      </c>
      <c r="X509" s="55">
        <f t="shared" si="103"/>
        <v>-1.0072172702396074</v>
      </c>
      <c r="Y509" s="55">
        <f t="shared" si="104"/>
        <v>492</v>
      </c>
      <c r="Z509" s="55">
        <f t="shared" si="105"/>
        <v>492</v>
      </c>
      <c r="AA509" s="55">
        <f t="shared" si="106"/>
        <v>0</v>
      </c>
      <c r="AB509" s="55">
        <f t="shared" si="107"/>
        <v>303.70164348925414</v>
      </c>
      <c r="AC509" s="54">
        <f t="shared" si="108"/>
        <v>0.38167778836987609</v>
      </c>
      <c r="AD509" s="56">
        <f>INDEX(Assumptions!$B$14:$B$16,MATCH($R509,Assumptions!$A$14:$A$16,0))</f>
        <v>0.32</v>
      </c>
      <c r="AE509" s="56">
        <f>INDEX(Assumptions!$C$14:$C$16,MATCH($R509,Assumptions!$A$14:$A$16,0))</f>
        <v>0.22</v>
      </c>
      <c r="AF509" s="49">
        <f t="shared" si="109"/>
        <v>0</v>
      </c>
      <c r="AG509" s="49">
        <f t="shared" si="110"/>
        <v>0</v>
      </c>
      <c r="AH509" s="55">
        <f t="shared" si="111"/>
        <v>0</v>
      </c>
    </row>
    <row r="510" spans="1:34" x14ac:dyDescent="0.2">
      <c r="A510" s="48" t="s">
        <v>639</v>
      </c>
      <c r="B510" s="48">
        <v>1</v>
      </c>
      <c r="C510" s="48" t="s">
        <v>640</v>
      </c>
      <c r="D510" s="48" t="s">
        <v>636</v>
      </c>
      <c r="E510" s="48" t="s">
        <v>279</v>
      </c>
      <c r="F510" s="48" t="s">
        <v>280</v>
      </c>
      <c r="G510" s="48" t="s">
        <v>281</v>
      </c>
      <c r="H510" s="48" t="s">
        <v>64</v>
      </c>
      <c r="I510" s="48" t="s">
        <v>113</v>
      </c>
      <c r="J510" s="49">
        <v>13</v>
      </c>
      <c r="K510" s="50">
        <v>1425</v>
      </c>
      <c r="L510" s="50">
        <v>1378.75</v>
      </c>
      <c r="M510" s="48" t="s">
        <v>276</v>
      </c>
      <c r="N510" s="51">
        <v>0.79</v>
      </c>
      <c r="O510" s="51">
        <v>0.79100000000000004</v>
      </c>
      <c r="P510" s="52">
        <v>1508.8</v>
      </c>
      <c r="Q510" s="52">
        <v>1508.8</v>
      </c>
      <c r="R510" s="53" t="str">
        <f>INDEX(SKU_Master!$D$5:$D$34,MATCH($I510,SKU_Master!$A$5:$A$34,0))</f>
        <v>Laptop</v>
      </c>
      <c r="S510" s="54">
        <f t="shared" si="98"/>
        <v>3.2456140350877183E-2</v>
      </c>
      <c r="T510" s="55">
        <f t="shared" si="99"/>
        <v>23449.367088607592</v>
      </c>
      <c r="U510" s="55">
        <f t="shared" si="100"/>
        <v>22688.291139240504</v>
      </c>
      <c r="V510" s="55">
        <f t="shared" si="101"/>
        <v>-761.07594936708847</v>
      </c>
      <c r="W510" s="55">
        <f t="shared" si="102"/>
        <v>22659.60809102402</v>
      </c>
      <c r="X510" s="55">
        <f t="shared" si="103"/>
        <v>-28.683048216484167</v>
      </c>
      <c r="Y510" s="55">
        <f t="shared" si="104"/>
        <v>19614.399999999998</v>
      </c>
      <c r="Z510" s="55">
        <f t="shared" si="105"/>
        <v>19614.399999999998</v>
      </c>
      <c r="AA510" s="55">
        <f t="shared" si="106"/>
        <v>0</v>
      </c>
      <c r="AB510" s="55">
        <f t="shared" si="107"/>
        <v>3045.208091024022</v>
      </c>
      <c r="AC510" s="54">
        <f t="shared" si="108"/>
        <v>0.13438926563916598</v>
      </c>
      <c r="AD510" s="56">
        <f>INDEX(Assumptions!$B$14:$B$16,MATCH($R510,Assumptions!$A$14:$A$16,0))</f>
        <v>0.12</v>
      </c>
      <c r="AE510" s="56">
        <f>INDEX(Assumptions!$C$14:$C$16,MATCH($R510,Assumptions!$A$14:$A$16,0))</f>
        <v>0.08</v>
      </c>
      <c r="AF510" s="49">
        <f t="shared" si="109"/>
        <v>0</v>
      </c>
      <c r="AG510" s="49">
        <f t="shared" si="110"/>
        <v>0</v>
      </c>
      <c r="AH510" s="55">
        <f t="shared" si="111"/>
        <v>0</v>
      </c>
    </row>
    <row r="511" spans="1:34" x14ac:dyDescent="0.2">
      <c r="A511" s="48" t="s">
        <v>639</v>
      </c>
      <c r="B511" s="48">
        <v>2</v>
      </c>
      <c r="C511" s="48" t="s">
        <v>640</v>
      </c>
      <c r="D511" s="48" t="s">
        <v>636</v>
      </c>
      <c r="E511" s="48" t="s">
        <v>279</v>
      </c>
      <c r="F511" s="48" t="s">
        <v>280</v>
      </c>
      <c r="G511" s="48" t="s">
        <v>281</v>
      </c>
      <c r="H511" s="48" t="s">
        <v>64</v>
      </c>
      <c r="I511" s="48" t="s">
        <v>166</v>
      </c>
      <c r="J511" s="49">
        <v>11</v>
      </c>
      <c r="K511" s="50">
        <v>220</v>
      </c>
      <c r="L511" s="50">
        <v>213.66</v>
      </c>
      <c r="M511" s="48" t="s">
        <v>276</v>
      </c>
      <c r="N511" s="51">
        <v>0.79</v>
      </c>
      <c r="O511" s="51">
        <v>0.79100000000000004</v>
      </c>
      <c r="P511" s="52">
        <v>175.35</v>
      </c>
      <c r="Q511" s="52">
        <v>175.35</v>
      </c>
      <c r="R511" s="53" t="str">
        <f>INDEX(SKU_Master!$D$5:$D$34,MATCH($I511,SKU_Master!$A$5:$A$34,0))</f>
        <v>Accessory</v>
      </c>
      <c r="S511" s="54">
        <f t="shared" si="98"/>
        <v>2.8818181818181854E-2</v>
      </c>
      <c r="T511" s="55">
        <f t="shared" si="99"/>
        <v>3063.2911392405063</v>
      </c>
      <c r="U511" s="55">
        <f t="shared" si="100"/>
        <v>2975.0126582278476</v>
      </c>
      <c r="V511" s="55">
        <f t="shared" si="101"/>
        <v>-88.278481012658631</v>
      </c>
      <c r="W511" s="55">
        <f t="shared" si="102"/>
        <v>2971.2515802781286</v>
      </c>
      <c r="X511" s="55">
        <f t="shared" si="103"/>
        <v>-3.7610779497190379</v>
      </c>
      <c r="Y511" s="55">
        <f t="shared" si="104"/>
        <v>1928.85</v>
      </c>
      <c r="Z511" s="55">
        <f t="shared" si="105"/>
        <v>1928.85</v>
      </c>
      <c r="AA511" s="55">
        <f t="shared" si="106"/>
        <v>0</v>
      </c>
      <c r="AB511" s="55">
        <f t="shared" si="107"/>
        <v>1042.4015802781287</v>
      </c>
      <c r="AC511" s="54">
        <f t="shared" si="108"/>
        <v>0.35082912103341751</v>
      </c>
      <c r="AD511" s="56">
        <f>INDEX(Assumptions!$B$14:$B$16,MATCH($R511,Assumptions!$A$14:$A$16,0))</f>
        <v>0.32</v>
      </c>
      <c r="AE511" s="56">
        <f>INDEX(Assumptions!$C$14:$C$16,MATCH($R511,Assumptions!$A$14:$A$16,0))</f>
        <v>0.22</v>
      </c>
      <c r="AF511" s="49">
        <f t="shared" si="109"/>
        <v>0</v>
      </c>
      <c r="AG511" s="49">
        <f t="shared" si="110"/>
        <v>0</v>
      </c>
      <c r="AH511" s="55">
        <f t="shared" si="111"/>
        <v>0</v>
      </c>
    </row>
    <row r="512" spans="1:34" x14ac:dyDescent="0.2">
      <c r="A512" s="48" t="s">
        <v>641</v>
      </c>
      <c r="B512" s="48">
        <v>1</v>
      </c>
      <c r="C512" s="48" t="s">
        <v>642</v>
      </c>
      <c r="D512" s="48" t="s">
        <v>636</v>
      </c>
      <c r="E512" s="48" t="s">
        <v>287</v>
      </c>
      <c r="F512" s="48" t="s">
        <v>274</v>
      </c>
      <c r="G512" s="48" t="s">
        <v>288</v>
      </c>
      <c r="H512" s="48" t="s">
        <v>62</v>
      </c>
      <c r="I512" s="48" t="s">
        <v>108</v>
      </c>
      <c r="J512" s="49">
        <v>6</v>
      </c>
      <c r="K512" s="50">
        <v>1345</v>
      </c>
      <c r="L512" s="50">
        <v>1321.52</v>
      </c>
      <c r="M512" s="48" t="s">
        <v>276</v>
      </c>
      <c r="N512" s="51">
        <v>1</v>
      </c>
      <c r="O512" s="51">
        <v>1</v>
      </c>
      <c r="P512" s="52">
        <v>1145</v>
      </c>
      <c r="Q512" s="52">
        <v>1145</v>
      </c>
      <c r="R512" s="53" t="str">
        <f>INDEX(SKU_Master!$D$5:$D$34,MATCH($I512,SKU_Master!$A$5:$A$34,0))</f>
        <v>Laptop</v>
      </c>
      <c r="S512" s="54">
        <f t="shared" si="98"/>
        <v>1.7457249070631953E-2</v>
      </c>
      <c r="T512" s="55">
        <f t="shared" si="99"/>
        <v>8070</v>
      </c>
      <c r="U512" s="55">
        <f t="shared" si="100"/>
        <v>7929.12</v>
      </c>
      <c r="V512" s="55">
        <f t="shared" si="101"/>
        <v>-140.88000000000011</v>
      </c>
      <c r="W512" s="55">
        <f t="shared" si="102"/>
        <v>7929.12</v>
      </c>
      <c r="X512" s="55">
        <f t="shared" si="103"/>
        <v>0</v>
      </c>
      <c r="Y512" s="55">
        <f t="shared" si="104"/>
        <v>6870</v>
      </c>
      <c r="Z512" s="55">
        <f t="shared" si="105"/>
        <v>6870</v>
      </c>
      <c r="AA512" s="55">
        <f t="shared" si="106"/>
        <v>0</v>
      </c>
      <c r="AB512" s="55">
        <f t="shared" si="107"/>
        <v>1059.1199999999999</v>
      </c>
      <c r="AC512" s="54">
        <f t="shared" si="108"/>
        <v>0.13357346086324837</v>
      </c>
      <c r="AD512" s="56">
        <f>INDEX(Assumptions!$B$14:$B$16,MATCH($R512,Assumptions!$A$14:$A$16,0))</f>
        <v>0.12</v>
      </c>
      <c r="AE512" s="56">
        <f>INDEX(Assumptions!$C$14:$C$16,MATCH($R512,Assumptions!$A$14:$A$16,0))</f>
        <v>0.08</v>
      </c>
      <c r="AF512" s="49">
        <f t="shared" si="109"/>
        <v>0</v>
      </c>
      <c r="AG512" s="49">
        <f t="shared" si="110"/>
        <v>0</v>
      </c>
      <c r="AH512" s="55">
        <f t="shared" si="111"/>
        <v>0</v>
      </c>
    </row>
    <row r="513" spans="1:34" x14ac:dyDescent="0.2">
      <c r="A513" s="48" t="s">
        <v>641</v>
      </c>
      <c r="B513" s="48">
        <v>2</v>
      </c>
      <c r="C513" s="48" t="s">
        <v>642</v>
      </c>
      <c r="D513" s="48" t="s">
        <v>636</v>
      </c>
      <c r="E513" s="48" t="s">
        <v>287</v>
      </c>
      <c r="F513" s="48" t="s">
        <v>274</v>
      </c>
      <c r="G513" s="48" t="s">
        <v>288</v>
      </c>
      <c r="H513" s="48" t="s">
        <v>62</v>
      </c>
      <c r="I513" s="48" t="s">
        <v>141</v>
      </c>
      <c r="J513" s="49">
        <v>2</v>
      </c>
      <c r="K513" s="50">
        <v>450</v>
      </c>
      <c r="L513" s="50">
        <v>444.67</v>
      </c>
      <c r="M513" s="48" t="s">
        <v>276</v>
      </c>
      <c r="N513" s="51">
        <v>1</v>
      </c>
      <c r="O513" s="51">
        <v>1</v>
      </c>
      <c r="P513" s="52">
        <v>351.7</v>
      </c>
      <c r="Q513" s="52">
        <v>351.7</v>
      </c>
      <c r="R513" s="53" t="str">
        <f>INDEX(SKU_Master!$D$5:$D$34,MATCH($I513,SKU_Master!$A$5:$A$34,0))</f>
        <v>Monitor</v>
      </c>
      <c r="S513" s="54">
        <f t="shared" si="98"/>
        <v>1.1844444444444435E-2</v>
      </c>
      <c r="T513" s="55">
        <f t="shared" si="99"/>
        <v>900</v>
      </c>
      <c r="U513" s="55">
        <f t="shared" si="100"/>
        <v>889.34</v>
      </c>
      <c r="V513" s="55">
        <f t="shared" si="101"/>
        <v>-10.659999999999968</v>
      </c>
      <c r="W513" s="55">
        <f t="shared" si="102"/>
        <v>889.34</v>
      </c>
      <c r="X513" s="55">
        <f t="shared" si="103"/>
        <v>0</v>
      </c>
      <c r="Y513" s="55">
        <f t="shared" si="104"/>
        <v>703.4</v>
      </c>
      <c r="Z513" s="55">
        <f t="shared" si="105"/>
        <v>703.4</v>
      </c>
      <c r="AA513" s="55">
        <f t="shared" si="106"/>
        <v>0</v>
      </c>
      <c r="AB513" s="55">
        <f t="shared" si="107"/>
        <v>185.94000000000005</v>
      </c>
      <c r="AC513" s="54">
        <f t="shared" si="108"/>
        <v>0.209076393730182</v>
      </c>
      <c r="AD513" s="56">
        <f>INDEX(Assumptions!$B$14:$B$16,MATCH($R513,Assumptions!$A$14:$A$16,0))</f>
        <v>0.18</v>
      </c>
      <c r="AE513" s="56">
        <f>INDEX(Assumptions!$C$14:$C$16,MATCH($R513,Assumptions!$A$14:$A$16,0))</f>
        <v>0.12</v>
      </c>
      <c r="AF513" s="49">
        <f t="shared" si="109"/>
        <v>0</v>
      </c>
      <c r="AG513" s="49">
        <f t="shared" si="110"/>
        <v>0</v>
      </c>
      <c r="AH513" s="55">
        <f t="shared" si="111"/>
        <v>0</v>
      </c>
    </row>
    <row r="514" spans="1:34" x14ac:dyDescent="0.2">
      <c r="A514" s="48" t="s">
        <v>641</v>
      </c>
      <c r="B514" s="48">
        <v>3</v>
      </c>
      <c r="C514" s="48" t="s">
        <v>642</v>
      </c>
      <c r="D514" s="48" t="s">
        <v>636</v>
      </c>
      <c r="E514" s="48" t="s">
        <v>287</v>
      </c>
      <c r="F514" s="48" t="s">
        <v>274</v>
      </c>
      <c r="G514" s="48" t="s">
        <v>288</v>
      </c>
      <c r="H514" s="48" t="s">
        <v>62</v>
      </c>
      <c r="I514" s="48" t="s">
        <v>154</v>
      </c>
      <c r="J514" s="49">
        <v>5</v>
      </c>
      <c r="K514" s="50">
        <v>475</v>
      </c>
      <c r="L514" s="50">
        <v>467.14</v>
      </c>
      <c r="M514" s="48" t="s">
        <v>276</v>
      </c>
      <c r="N514" s="51">
        <v>1</v>
      </c>
      <c r="O514" s="51">
        <v>1</v>
      </c>
      <c r="P514" s="52">
        <v>306</v>
      </c>
      <c r="Q514" s="52">
        <v>306</v>
      </c>
      <c r="R514" s="53" t="str">
        <f>INDEX(SKU_Master!$D$5:$D$34,MATCH($I514,SKU_Master!$A$5:$A$34,0))</f>
        <v>Accessory</v>
      </c>
      <c r="S514" s="54">
        <f t="shared" si="98"/>
        <v>1.6547368421052644E-2</v>
      </c>
      <c r="T514" s="55">
        <f t="shared" si="99"/>
        <v>2375</v>
      </c>
      <c r="U514" s="55">
        <f t="shared" si="100"/>
        <v>2335.6999999999998</v>
      </c>
      <c r="V514" s="55">
        <f t="shared" si="101"/>
        <v>-39.300000000000182</v>
      </c>
      <c r="W514" s="55">
        <f t="shared" si="102"/>
        <v>2335.6999999999998</v>
      </c>
      <c r="X514" s="55">
        <f t="shared" si="103"/>
        <v>0</v>
      </c>
      <c r="Y514" s="55">
        <f t="shared" si="104"/>
        <v>1530</v>
      </c>
      <c r="Z514" s="55">
        <f t="shared" si="105"/>
        <v>1530</v>
      </c>
      <c r="AA514" s="55">
        <f t="shared" si="106"/>
        <v>0</v>
      </c>
      <c r="AB514" s="55">
        <f t="shared" si="107"/>
        <v>805.69999999999982</v>
      </c>
      <c r="AC514" s="54">
        <f t="shared" si="108"/>
        <v>0.34495012201909486</v>
      </c>
      <c r="AD514" s="56">
        <f>INDEX(Assumptions!$B$14:$B$16,MATCH($R514,Assumptions!$A$14:$A$16,0))</f>
        <v>0.32</v>
      </c>
      <c r="AE514" s="56">
        <f>INDEX(Assumptions!$C$14:$C$16,MATCH($R514,Assumptions!$A$14:$A$16,0))</f>
        <v>0.22</v>
      </c>
      <c r="AF514" s="49">
        <f t="shared" si="109"/>
        <v>0</v>
      </c>
      <c r="AG514" s="49">
        <f t="shared" si="110"/>
        <v>0</v>
      </c>
      <c r="AH514" s="55">
        <f t="shared" si="111"/>
        <v>0</v>
      </c>
    </row>
    <row r="515" spans="1:34" x14ac:dyDescent="0.2">
      <c r="A515" s="48" t="s">
        <v>643</v>
      </c>
      <c r="B515" s="48">
        <v>1</v>
      </c>
      <c r="C515" s="48" t="s">
        <v>644</v>
      </c>
      <c r="D515" s="48" t="s">
        <v>636</v>
      </c>
      <c r="E515" s="48" t="s">
        <v>407</v>
      </c>
      <c r="F515" s="48" t="s">
        <v>274</v>
      </c>
      <c r="G515" s="48" t="s">
        <v>302</v>
      </c>
      <c r="H515" s="48" t="s">
        <v>62</v>
      </c>
      <c r="I515" s="48" t="s">
        <v>118</v>
      </c>
      <c r="J515" s="49">
        <v>7</v>
      </c>
      <c r="K515" s="50">
        <v>1365</v>
      </c>
      <c r="L515" s="50">
        <v>1302.8699999999999</v>
      </c>
      <c r="M515" s="48" t="s">
        <v>276</v>
      </c>
      <c r="N515" s="51">
        <v>1</v>
      </c>
      <c r="O515" s="51">
        <v>1</v>
      </c>
      <c r="P515" s="52">
        <v>1162.5999999999999</v>
      </c>
      <c r="Q515" s="52">
        <v>1162.5999999999999</v>
      </c>
      <c r="R515" s="53" t="str">
        <f>INDEX(SKU_Master!$D$5:$D$34,MATCH($I515,SKU_Master!$A$5:$A$34,0))</f>
        <v>Laptop</v>
      </c>
      <c r="S515" s="54">
        <f t="shared" si="98"/>
        <v>4.551648351648363E-2</v>
      </c>
      <c r="T515" s="55">
        <f t="shared" si="99"/>
        <v>9555</v>
      </c>
      <c r="U515" s="55">
        <f t="shared" si="100"/>
        <v>9120.09</v>
      </c>
      <c r="V515" s="55">
        <f t="shared" si="101"/>
        <v>-434.90999999999985</v>
      </c>
      <c r="W515" s="55">
        <f t="shared" si="102"/>
        <v>9120.09</v>
      </c>
      <c r="X515" s="55">
        <f t="shared" si="103"/>
        <v>0</v>
      </c>
      <c r="Y515" s="55">
        <f t="shared" si="104"/>
        <v>8138.1999999999989</v>
      </c>
      <c r="Z515" s="55">
        <f t="shared" si="105"/>
        <v>8138.1999999999989</v>
      </c>
      <c r="AA515" s="55">
        <f t="shared" si="106"/>
        <v>0</v>
      </c>
      <c r="AB515" s="55">
        <f t="shared" si="107"/>
        <v>981.89000000000124</v>
      </c>
      <c r="AC515" s="54">
        <f t="shared" si="108"/>
        <v>0.10766231473592927</v>
      </c>
      <c r="AD515" s="56">
        <f>INDEX(Assumptions!$B$14:$B$16,MATCH($R515,Assumptions!$A$14:$A$16,0))</f>
        <v>0.12</v>
      </c>
      <c r="AE515" s="56">
        <f>INDEX(Assumptions!$C$14:$C$16,MATCH($R515,Assumptions!$A$14:$A$16,0))</f>
        <v>0.08</v>
      </c>
      <c r="AF515" s="49">
        <f t="shared" si="109"/>
        <v>0</v>
      </c>
      <c r="AG515" s="49">
        <f t="shared" si="110"/>
        <v>0</v>
      </c>
      <c r="AH515" s="55">
        <f t="shared" si="111"/>
        <v>112.52079999999864</v>
      </c>
    </row>
    <row r="516" spans="1:34" x14ac:dyDescent="0.2">
      <c r="A516" s="48" t="s">
        <v>643</v>
      </c>
      <c r="B516" s="48">
        <v>2</v>
      </c>
      <c r="C516" s="48" t="s">
        <v>644</v>
      </c>
      <c r="D516" s="48" t="s">
        <v>636</v>
      </c>
      <c r="E516" s="48" t="s">
        <v>407</v>
      </c>
      <c r="F516" s="48" t="s">
        <v>274</v>
      </c>
      <c r="G516" s="48" t="s">
        <v>302</v>
      </c>
      <c r="H516" s="48" t="s">
        <v>62</v>
      </c>
      <c r="I516" s="48" t="s">
        <v>151</v>
      </c>
      <c r="J516" s="49">
        <v>3</v>
      </c>
      <c r="K516" s="50">
        <v>335</v>
      </c>
      <c r="L516" s="50">
        <v>317.52</v>
      </c>
      <c r="M516" s="48" t="s">
        <v>276</v>
      </c>
      <c r="N516" s="51">
        <v>1</v>
      </c>
      <c r="O516" s="51">
        <v>1</v>
      </c>
      <c r="P516" s="52">
        <v>216.7</v>
      </c>
      <c r="Q516" s="52">
        <v>216.7</v>
      </c>
      <c r="R516" s="53" t="str">
        <f>INDEX(SKU_Master!$D$5:$D$34,MATCH($I516,SKU_Master!$A$5:$A$34,0))</f>
        <v>Accessory</v>
      </c>
      <c r="S516" s="54">
        <f t="shared" si="98"/>
        <v>5.2179104477611982E-2</v>
      </c>
      <c r="T516" s="55">
        <f t="shared" si="99"/>
        <v>1005</v>
      </c>
      <c r="U516" s="55">
        <f t="shared" si="100"/>
        <v>952.56</v>
      </c>
      <c r="V516" s="55">
        <f t="shared" si="101"/>
        <v>-52.440000000000055</v>
      </c>
      <c r="W516" s="55">
        <f t="shared" si="102"/>
        <v>952.56</v>
      </c>
      <c r="X516" s="55">
        <f t="shared" si="103"/>
        <v>0</v>
      </c>
      <c r="Y516" s="55">
        <f t="shared" si="104"/>
        <v>650.09999999999991</v>
      </c>
      <c r="Z516" s="55">
        <f t="shared" si="105"/>
        <v>650.09999999999991</v>
      </c>
      <c r="AA516" s="55">
        <f t="shared" si="106"/>
        <v>0</v>
      </c>
      <c r="AB516" s="55">
        <f t="shared" si="107"/>
        <v>302.46000000000004</v>
      </c>
      <c r="AC516" s="54">
        <f t="shared" si="108"/>
        <v>0.31752330561854375</v>
      </c>
      <c r="AD516" s="56">
        <f>INDEX(Assumptions!$B$14:$B$16,MATCH($R516,Assumptions!$A$14:$A$16,0))</f>
        <v>0.32</v>
      </c>
      <c r="AE516" s="56">
        <f>INDEX(Assumptions!$C$14:$C$16,MATCH($R516,Assumptions!$A$14:$A$16,0))</f>
        <v>0.22</v>
      </c>
      <c r="AF516" s="49">
        <f t="shared" si="109"/>
        <v>0</v>
      </c>
      <c r="AG516" s="49">
        <f t="shared" si="110"/>
        <v>0</v>
      </c>
      <c r="AH516" s="55">
        <f t="shared" si="111"/>
        <v>2.3591999999999302</v>
      </c>
    </row>
    <row r="517" spans="1:34" x14ac:dyDescent="0.2">
      <c r="A517" s="48" t="s">
        <v>645</v>
      </c>
      <c r="B517" s="48">
        <v>1</v>
      </c>
      <c r="C517" s="48" t="s">
        <v>646</v>
      </c>
      <c r="D517" s="48" t="s">
        <v>636</v>
      </c>
      <c r="E517" s="48" t="s">
        <v>417</v>
      </c>
      <c r="F517" s="48" t="s">
        <v>280</v>
      </c>
      <c r="G517" s="48" t="s">
        <v>298</v>
      </c>
      <c r="H517" s="48" t="s">
        <v>62</v>
      </c>
      <c r="I517" s="48" t="s">
        <v>103</v>
      </c>
      <c r="J517" s="49">
        <v>17</v>
      </c>
      <c r="K517" s="50">
        <v>1135</v>
      </c>
      <c r="L517" s="50">
        <v>1091.25</v>
      </c>
      <c r="M517" s="48" t="s">
        <v>276</v>
      </c>
      <c r="N517" s="51">
        <v>1</v>
      </c>
      <c r="O517" s="51">
        <v>1</v>
      </c>
      <c r="P517" s="52">
        <v>968.6</v>
      </c>
      <c r="Q517" s="52">
        <v>968.6</v>
      </c>
      <c r="R517" s="53" t="str">
        <f>INDEX(SKU_Master!$D$5:$D$34,MATCH($I517,SKU_Master!$A$5:$A$34,0))</f>
        <v>Laptop</v>
      </c>
      <c r="S517" s="54">
        <f t="shared" ref="S517:S580" si="112">IF(K517=0,0,1-L517/K517)</f>
        <v>3.8546255506607952E-2</v>
      </c>
      <c r="T517" s="55">
        <f t="shared" ref="T517:T580" si="113">J517*K517/N517</f>
        <v>19295</v>
      </c>
      <c r="U517" s="55">
        <f t="shared" ref="U517:U580" si="114">J517*L517/N517</f>
        <v>18551.25</v>
      </c>
      <c r="V517" s="55">
        <f t="shared" ref="V517:V580" si="115">U517-T517</f>
        <v>-743.75</v>
      </c>
      <c r="W517" s="55">
        <f t="shared" ref="W517:W580" si="116">J517*L517/O517</f>
        <v>18551.25</v>
      </c>
      <c r="X517" s="55">
        <f t="shared" ref="X517:X580" si="117">W517-U517</f>
        <v>0</v>
      </c>
      <c r="Y517" s="55">
        <f t="shared" ref="Y517:Y580" si="118">J517*P517</f>
        <v>16466.2</v>
      </c>
      <c r="Z517" s="55">
        <f t="shared" ref="Z517:Z580" si="119">J517*Q517</f>
        <v>16466.2</v>
      </c>
      <c r="AA517" s="55">
        <f t="shared" ref="AA517:AA580" si="120">Y517-Z517</f>
        <v>0</v>
      </c>
      <c r="AB517" s="55">
        <f t="shared" ref="AB517:AB580" si="121">W517-Z517</f>
        <v>2085.0499999999993</v>
      </c>
      <c r="AC517" s="54">
        <f t="shared" ref="AC517:AC580" si="122">IF(W517=0,0,AB517/W517)</f>
        <v>0.11239404352806411</v>
      </c>
      <c r="AD517" s="56">
        <f>INDEX(Assumptions!$B$14:$B$16,MATCH($R517,Assumptions!$A$14:$A$16,0))</f>
        <v>0.12</v>
      </c>
      <c r="AE517" s="56">
        <f>INDEX(Assumptions!$C$14:$C$16,MATCH($R517,Assumptions!$A$14:$A$16,0))</f>
        <v>0.08</v>
      </c>
      <c r="AF517" s="49">
        <f t="shared" ref="AF517:AF580" si="123">IF(AC517&lt;AE517,1,0)</f>
        <v>0</v>
      </c>
      <c r="AG517" s="49">
        <f t="shared" ref="AG517:AG580" si="124">IF(AND(AF517=1,M517="N"),1,0)</f>
        <v>0</v>
      </c>
      <c r="AH517" s="55">
        <f t="shared" ref="AH517:AH580" si="125">MAX(0,W517*AD517-AB517)</f>
        <v>141.10000000000082</v>
      </c>
    </row>
    <row r="518" spans="1:34" x14ac:dyDescent="0.2">
      <c r="A518" s="48" t="s">
        <v>645</v>
      </c>
      <c r="B518" s="48">
        <v>2</v>
      </c>
      <c r="C518" s="48" t="s">
        <v>646</v>
      </c>
      <c r="D518" s="48" t="s">
        <v>636</v>
      </c>
      <c r="E518" s="48" t="s">
        <v>417</v>
      </c>
      <c r="F518" s="48" t="s">
        <v>280</v>
      </c>
      <c r="G518" s="48" t="s">
        <v>298</v>
      </c>
      <c r="H518" s="48" t="s">
        <v>62</v>
      </c>
      <c r="I518" s="48" t="s">
        <v>138</v>
      </c>
      <c r="J518" s="49">
        <v>17</v>
      </c>
      <c r="K518" s="50">
        <v>455</v>
      </c>
      <c r="L518" s="50">
        <v>437.67</v>
      </c>
      <c r="M518" s="48" t="s">
        <v>276</v>
      </c>
      <c r="N518" s="51">
        <v>1</v>
      </c>
      <c r="O518" s="51">
        <v>1</v>
      </c>
      <c r="P518" s="52">
        <v>358.2</v>
      </c>
      <c r="Q518" s="52">
        <v>358.2</v>
      </c>
      <c r="R518" s="53" t="str">
        <f>INDEX(SKU_Master!$D$5:$D$34,MATCH($I518,SKU_Master!$A$5:$A$34,0))</f>
        <v>Monitor</v>
      </c>
      <c r="S518" s="54">
        <f t="shared" si="112"/>
        <v>3.8087912087912068E-2</v>
      </c>
      <c r="T518" s="55">
        <f t="shared" si="113"/>
        <v>7735</v>
      </c>
      <c r="U518" s="55">
        <f t="shared" si="114"/>
        <v>7440.39</v>
      </c>
      <c r="V518" s="55">
        <f t="shared" si="115"/>
        <v>-294.60999999999967</v>
      </c>
      <c r="W518" s="55">
        <f t="shared" si="116"/>
        <v>7440.39</v>
      </c>
      <c r="X518" s="55">
        <f t="shared" si="117"/>
        <v>0</v>
      </c>
      <c r="Y518" s="55">
        <f t="shared" si="118"/>
        <v>6089.4</v>
      </c>
      <c r="Z518" s="55">
        <f t="shared" si="119"/>
        <v>6089.4</v>
      </c>
      <c r="AA518" s="55">
        <f t="shared" si="120"/>
        <v>0</v>
      </c>
      <c r="AB518" s="55">
        <f t="shared" si="121"/>
        <v>1350.9900000000007</v>
      </c>
      <c r="AC518" s="54">
        <f t="shared" si="122"/>
        <v>0.1815751593666462</v>
      </c>
      <c r="AD518" s="56">
        <f>INDEX(Assumptions!$B$14:$B$16,MATCH($R518,Assumptions!$A$14:$A$16,0))</f>
        <v>0.18</v>
      </c>
      <c r="AE518" s="56">
        <f>INDEX(Assumptions!$C$14:$C$16,MATCH($R518,Assumptions!$A$14:$A$16,0))</f>
        <v>0.12</v>
      </c>
      <c r="AF518" s="49">
        <f t="shared" si="123"/>
        <v>0</v>
      </c>
      <c r="AG518" s="49">
        <f t="shared" si="124"/>
        <v>0</v>
      </c>
      <c r="AH518" s="55">
        <f t="shared" si="125"/>
        <v>0</v>
      </c>
    </row>
    <row r="519" spans="1:34" x14ac:dyDescent="0.2">
      <c r="A519" s="48" t="s">
        <v>645</v>
      </c>
      <c r="B519" s="48">
        <v>3</v>
      </c>
      <c r="C519" s="48" t="s">
        <v>646</v>
      </c>
      <c r="D519" s="48" t="s">
        <v>636</v>
      </c>
      <c r="E519" s="48" t="s">
        <v>417</v>
      </c>
      <c r="F519" s="48" t="s">
        <v>280</v>
      </c>
      <c r="G519" s="48" t="s">
        <v>298</v>
      </c>
      <c r="H519" s="48" t="s">
        <v>62</v>
      </c>
      <c r="I519" s="48" t="s">
        <v>151</v>
      </c>
      <c r="J519" s="49">
        <v>15</v>
      </c>
      <c r="K519" s="50">
        <v>335</v>
      </c>
      <c r="L519" s="50">
        <v>320.39999999999998</v>
      </c>
      <c r="M519" s="48" t="s">
        <v>276</v>
      </c>
      <c r="N519" s="51">
        <v>1</v>
      </c>
      <c r="O519" s="51">
        <v>1</v>
      </c>
      <c r="P519" s="52">
        <v>216.7</v>
      </c>
      <c r="Q519" s="52">
        <v>216.7</v>
      </c>
      <c r="R519" s="53" t="str">
        <f>INDEX(SKU_Master!$D$5:$D$34,MATCH($I519,SKU_Master!$A$5:$A$34,0))</f>
        <v>Accessory</v>
      </c>
      <c r="S519" s="54">
        <f t="shared" si="112"/>
        <v>4.3582089552238856E-2</v>
      </c>
      <c r="T519" s="55">
        <f t="shared" si="113"/>
        <v>5025</v>
      </c>
      <c r="U519" s="55">
        <f t="shared" si="114"/>
        <v>4806</v>
      </c>
      <c r="V519" s="55">
        <f t="shared" si="115"/>
        <v>-219</v>
      </c>
      <c r="W519" s="55">
        <f t="shared" si="116"/>
        <v>4806</v>
      </c>
      <c r="X519" s="55">
        <f t="shared" si="117"/>
        <v>0</v>
      </c>
      <c r="Y519" s="55">
        <f t="shared" si="118"/>
        <v>3250.5</v>
      </c>
      <c r="Z519" s="55">
        <f t="shared" si="119"/>
        <v>3250.5</v>
      </c>
      <c r="AA519" s="55">
        <f t="shared" si="120"/>
        <v>0</v>
      </c>
      <c r="AB519" s="55">
        <f t="shared" si="121"/>
        <v>1555.5</v>
      </c>
      <c r="AC519" s="54">
        <f t="shared" si="122"/>
        <v>0.32365792759051187</v>
      </c>
      <c r="AD519" s="56">
        <f>INDEX(Assumptions!$B$14:$B$16,MATCH($R519,Assumptions!$A$14:$A$16,0))</f>
        <v>0.32</v>
      </c>
      <c r="AE519" s="56">
        <f>INDEX(Assumptions!$C$14:$C$16,MATCH($R519,Assumptions!$A$14:$A$16,0))</f>
        <v>0.22</v>
      </c>
      <c r="AF519" s="49">
        <f t="shared" si="123"/>
        <v>0</v>
      </c>
      <c r="AG519" s="49">
        <f t="shared" si="124"/>
        <v>0</v>
      </c>
      <c r="AH519" s="55">
        <f t="shared" si="125"/>
        <v>0</v>
      </c>
    </row>
    <row r="520" spans="1:34" x14ac:dyDescent="0.2">
      <c r="A520" s="48" t="s">
        <v>647</v>
      </c>
      <c r="B520" s="48">
        <v>1</v>
      </c>
      <c r="C520" s="48" t="s">
        <v>640</v>
      </c>
      <c r="D520" s="48" t="s">
        <v>636</v>
      </c>
      <c r="E520" s="48" t="s">
        <v>395</v>
      </c>
      <c r="F520" s="48" t="s">
        <v>280</v>
      </c>
      <c r="G520" s="48" t="s">
        <v>281</v>
      </c>
      <c r="H520" s="48" t="s">
        <v>66</v>
      </c>
      <c r="I520" s="48" t="s">
        <v>108</v>
      </c>
      <c r="J520" s="49">
        <v>28</v>
      </c>
      <c r="K520" s="50">
        <v>1280</v>
      </c>
      <c r="L520" s="50">
        <v>1242.46</v>
      </c>
      <c r="M520" s="48" t="s">
        <v>276</v>
      </c>
      <c r="N520" s="51">
        <v>0.92</v>
      </c>
      <c r="O520" s="51">
        <v>0.91800000000000004</v>
      </c>
      <c r="P520" s="52">
        <v>1165</v>
      </c>
      <c r="Q520" s="52">
        <v>1165</v>
      </c>
      <c r="R520" s="53" t="str">
        <f>INDEX(SKU_Master!$D$5:$D$34,MATCH($I520,SKU_Master!$A$5:$A$34,0))</f>
        <v>Laptop</v>
      </c>
      <c r="S520" s="54">
        <f t="shared" si="112"/>
        <v>2.9328124999999927E-2</v>
      </c>
      <c r="T520" s="55">
        <f t="shared" si="113"/>
        <v>38956.521739130432</v>
      </c>
      <c r="U520" s="55">
        <f t="shared" si="114"/>
        <v>37814</v>
      </c>
      <c r="V520" s="55">
        <f t="shared" si="115"/>
        <v>-1142.5217391304323</v>
      </c>
      <c r="W520" s="55">
        <f t="shared" si="116"/>
        <v>37896.383442265796</v>
      </c>
      <c r="X520" s="55">
        <f t="shared" si="117"/>
        <v>82.383442265796475</v>
      </c>
      <c r="Y520" s="55">
        <f t="shared" si="118"/>
        <v>32620</v>
      </c>
      <c r="Z520" s="55">
        <f t="shared" si="119"/>
        <v>32620</v>
      </c>
      <c r="AA520" s="55">
        <f t="shared" si="120"/>
        <v>0</v>
      </c>
      <c r="AB520" s="55">
        <f t="shared" si="121"/>
        <v>5276.3834422657965</v>
      </c>
      <c r="AC520" s="54">
        <f t="shared" si="122"/>
        <v>0.13923184649807643</v>
      </c>
      <c r="AD520" s="56">
        <f>INDEX(Assumptions!$B$14:$B$16,MATCH($R520,Assumptions!$A$14:$A$16,0))</f>
        <v>0.12</v>
      </c>
      <c r="AE520" s="56">
        <f>INDEX(Assumptions!$C$14:$C$16,MATCH($R520,Assumptions!$A$14:$A$16,0))</f>
        <v>0.08</v>
      </c>
      <c r="AF520" s="49">
        <f t="shared" si="123"/>
        <v>0</v>
      </c>
      <c r="AG520" s="49">
        <f t="shared" si="124"/>
        <v>0</v>
      </c>
      <c r="AH520" s="55">
        <f t="shared" si="125"/>
        <v>0</v>
      </c>
    </row>
    <row r="521" spans="1:34" x14ac:dyDescent="0.2">
      <c r="A521" s="48" t="s">
        <v>647</v>
      </c>
      <c r="B521" s="48">
        <v>2</v>
      </c>
      <c r="C521" s="48" t="s">
        <v>640</v>
      </c>
      <c r="D521" s="48" t="s">
        <v>636</v>
      </c>
      <c r="E521" s="48" t="s">
        <v>395</v>
      </c>
      <c r="F521" s="48" t="s">
        <v>280</v>
      </c>
      <c r="G521" s="48" t="s">
        <v>281</v>
      </c>
      <c r="H521" s="48" t="s">
        <v>66</v>
      </c>
      <c r="I521" s="48" t="s">
        <v>135</v>
      </c>
      <c r="J521" s="49">
        <v>29</v>
      </c>
      <c r="K521" s="50">
        <v>255</v>
      </c>
      <c r="L521" s="50">
        <v>248</v>
      </c>
      <c r="M521" s="48" t="s">
        <v>276</v>
      </c>
      <c r="N521" s="51">
        <v>0.92</v>
      </c>
      <c r="O521" s="51">
        <v>0.91800000000000004</v>
      </c>
      <c r="P521" s="52">
        <v>211.7</v>
      </c>
      <c r="Q521" s="52">
        <v>211.7</v>
      </c>
      <c r="R521" s="53" t="str">
        <f>INDEX(SKU_Master!$D$5:$D$34,MATCH($I521,SKU_Master!$A$5:$A$34,0))</f>
        <v>Monitor</v>
      </c>
      <c r="S521" s="54">
        <f t="shared" si="112"/>
        <v>2.7450980392156876E-2</v>
      </c>
      <c r="T521" s="55">
        <f t="shared" si="113"/>
        <v>8038.0434782608691</v>
      </c>
      <c r="U521" s="55">
        <f t="shared" si="114"/>
        <v>7817.391304347826</v>
      </c>
      <c r="V521" s="55">
        <f t="shared" si="115"/>
        <v>-220.65217391304304</v>
      </c>
      <c r="W521" s="55">
        <f t="shared" si="116"/>
        <v>7834.4226579520691</v>
      </c>
      <c r="X521" s="55">
        <f t="shared" si="117"/>
        <v>17.031353604243122</v>
      </c>
      <c r="Y521" s="55">
        <f t="shared" si="118"/>
        <v>6139.2999999999993</v>
      </c>
      <c r="Z521" s="55">
        <f t="shared" si="119"/>
        <v>6139.2999999999993</v>
      </c>
      <c r="AA521" s="55">
        <f t="shared" si="120"/>
        <v>0</v>
      </c>
      <c r="AB521" s="55">
        <f t="shared" si="121"/>
        <v>1695.1226579520699</v>
      </c>
      <c r="AC521" s="54">
        <f t="shared" si="122"/>
        <v>0.21636854838709682</v>
      </c>
      <c r="AD521" s="56">
        <f>INDEX(Assumptions!$B$14:$B$16,MATCH($R521,Assumptions!$A$14:$A$16,0))</f>
        <v>0.18</v>
      </c>
      <c r="AE521" s="56">
        <f>INDEX(Assumptions!$C$14:$C$16,MATCH($R521,Assumptions!$A$14:$A$16,0))</f>
        <v>0.12</v>
      </c>
      <c r="AF521" s="49">
        <f t="shared" si="123"/>
        <v>0</v>
      </c>
      <c r="AG521" s="49">
        <f t="shared" si="124"/>
        <v>0</v>
      </c>
      <c r="AH521" s="55">
        <f t="shared" si="125"/>
        <v>0</v>
      </c>
    </row>
    <row r="522" spans="1:34" x14ac:dyDescent="0.2">
      <c r="A522" s="48" t="s">
        <v>648</v>
      </c>
      <c r="B522" s="48">
        <v>1</v>
      </c>
      <c r="C522" s="48" t="s">
        <v>649</v>
      </c>
      <c r="D522" s="48" t="s">
        <v>636</v>
      </c>
      <c r="E522" s="48" t="s">
        <v>325</v>
      </c>
      <c r="F522" s="48" t="s">
        <v>274</v>
      </c>
      <c r="G522" s="48" t="s">
        <v>298</v>
      </c>
      <c r="H522" s="48" t="s">
        <v>62</v>
      </c>
      <c r="I522" s="48" t="s">
        <v>118</v>
      </c>
      <c r="J522" s="49">
        <v>2</v>
      </c>
      <c r="K522" s="50">
        <v>1365</v>
      </c>
      <c r="L522" s="50">
        <v>1357.43</v>
      </c>
      <c r="M522" s="48" t="s">
        <v>276</v>
      </c>
      <c r="N522" s="51">
        <v>1</v>
      </c>
      <c r="O522" s="51">
        <v>1</v>
      </c>
      <c r="P522" s="52">
        <v>1162.5999999999999</v>
      </c>
      <c r="Q522" s="52">
        <v>1162.5999999999999</v>
      </c>
      <c r="R522" s="53" t="str">
        <f>INDEX(SKU_Master!$D$5:$D$34,MATCH($I522,SKU_Master!$A$5:$A$34,0))</f>
        <v>Laptop</v>
      </c>
      <c r="S522" s="54">
        <f t="shared" si="112"/>
        <v>5.545787545787495E-3</v>
      </c>
      <c r="T522" s="55">
        <f t="shared" si="113"/>
        <v>2730</v>
      </c>
      <c r="U522" s="55">
        <f t="shared" si="114"/>
        <v>2714.86</v>
      </c>
      <c r="V522" s="55">
        <f t="shared" si="115"/>
        <v>-15.139999999999873</v>
      </c>
      <c r="W522" s="55">
        <f t="shared" si="116"/>
        <v>2714.86</v>
      </c>
      <c r="X522" s="55">
        <f t="shared" si="117"/>
        <v>0</v>
      </c>
      <c r="Y522" s="55">
        <f t="shared" si="118"/>
        <v>2325.1999999999998</v>
      </c>
      <c r="Z522" s="55">
        <f t="shared" si="119"/>
        <v>2325.1999999999998</v>
      </c>
      <c r="AA522" s="55">
        <f t="shared" si="120"/>
        <v>0</v>
      </c>
      <c r="AB522" s="55">
        <f t="shared" si="121"/>
        <v>389.66000000000031</v>
      </c>
      <c r="AC522" s="54">
        <f t="shared" si="122"/>
        <v>0.14352857974260194</v>
      </c>
      <c r="AD522" s="56">
        <f>INDEX(Assumptions!$B$14:$B$16,MATCH($R522,Assumptions!$A$14:$A$16,0))</f>
        <v>0.12</v>
      </c>
      <c r="AE522" s="56">
        <f>INDEX(Assumptions!$C$14:$C$16,MATCH($R522,Assumptions!$A$14:$A$16,0))</f>
        <v>0.08</v>
      </c>
      <c r="AF522" s="49">
        <f t="shared" si="123"/>
        <v>0</v>
      </c>
      <c r="AG522" s="49">
        <f t="shared" si="124"/>
        <v>0</v>
      </c>
      <c r="AH522" s="55">
        <f t="shared" si="125"/>
        <v>0</v>
      </c>
    </row>
    <row r="523" spans="1:34" x14ac:dyDescent="0.2">
      <c r="A523" s="48" t="s">
        <v>650</v>
      </c>
      <c r="B523" s="48">
        <v>1</v>
      </c>
      <c r="C523" s="48" t="s">
        <v>651</v>
      </c>
      <c r="D523" s="48" t="s">
        <v>636</v>
      </c>
      <c r="E523" s="48" t="s">
        <v>437</v>
      </c>
      <c r="F523" s="48" t="s">
        <v>274</v>
      </c>
      <c r="G523" s="48" t="s">
        <v>302</v>
      </c>
      <c r="H523" s="48" t="s">
        <v>62</v>
      </c>
      <c r="I523" s="48" t="s">
        <v>110</v>
      </c>
      <c r="J523" s="49">
        <v>2</v>
      </c>
      <c r="K523" s="50">
        <v>1165</v>
      </c>
      <c r="L523" s="50">
        <v>1126.75</v>
      </c>
      <c r="M523" s="48" t="s">
        <v>276</v>
      </c>
      <c r="N523" s="51">
        <v>1</v>
      </c>
      <c r="O523" s="51">
        <v>1</v>
      </c>
      <c r="P523" s="52">
        <v>992.65</v>
      </c>
      <c r="Q523" s="52">
        <v>992.65</v>
      </c>
      <c r="R523" s="53" t="str">
        <f>INDEX(SKU_Master!$D$5:$D$34,MATCH($I523,SKU_Master!$A$5:$A$34,0))</f>
        <v>Laptop</v>
      </c>
      <c r="S523" s="54">
        <f t="shared" si="112"/>
        <v>3.2832618025751104E-2</v>
      </c>
      <c r="T523" s="55">
        <f t="shared" si="113"/>
        <v>2330</v>
      </c>
      <c r="U523" s="55">
        <f t="shared" si="114"/>
        <v>2253.5</v>
      </c>
      <c r="V523" s="55">
        <f t="shared" si="115"/>
        <v>-76.5</v>
      </c>
      <c r="W523" s="55">
        <f t="shared" si="116"/>
        <v>2253.5</v>
      </c>
      <c r="X523" s="55">
        <f t="shared" si="117"/>
        <v>0</v>
      </c>
      <c r="Y523" s="55">
        <f t="shared" si="118"/>
        <v>1985.3</v>
      </c>
      <c r="Z523" s="55">
        <f t="shared" si="119"/>
        <v>1985.3</v>
      </c>
      <c r="AA523" s="55">
        <f t="shared" si="120"/>
        <v>0</v>
      </c>
      <c r="AB523" s="55">
        <f t="shared" si="121"/>
        <v>268.20000000000005</v>
      </c>
      <c r="AC523" s="54">
        <f t="shared" si="122"/>
        <v>0.11901486576436657</v>
      </c>
      <c r="AD523" s="56">
        <f>INDEX(Assumptions!$B$14:$B$16,MATCH($R523,Assumptions!$A$14:$A$16,0))</f>
        <v>0.12</v>
      </c>
      <c r="AE523" s="56">
        <f>INDEX(Assumptions!$C$14:$C$16,MATCH($R523,Assumptions!$A$14:$A$16,0))</f>
        <v>0.08</v>
      </c>
      <c r="AF523" s="49">
        <f t="shared" si="123"/>
        <v>0</v>
      </c>
      <c r="AG523" s="49">
        <f t="shared" si="124"/>
        <v>0</v>
      </c>
      <c r="AH523" s="55">
        <f t="shared" si="125"/>
        <v>2.2199999999999704</v>
      </c>
    </row>
    <row r="524" spans="1:34" x14ac:dyDescent="0.2">
      <c r="A524" s="48" t="s">
        <v>652</v>
      </c>
      <c r="B524" s="48">
        <v>1</v>
      </c>
      <c r="C524" s="48" t="s">
        <v>653</v>
      </c>
      <c r="D524" s="48" t="s">
        <v>636</v>
      </c>
      <c r="E524" s="48" t="s">
        <v>355</v>
      </c>
      <c r="F524" s="48" t="s">
        <v>280</v>
      </c>
      <c r="G524" s="48" t="s">
        <v>302</v>
      </c>
      <c r="H524" s="48" t="s">
        <v>62</v>
      </c>
      <c r="I524" s="48" t="s">
        <v>93</v>
      </c>
      <c r="J524" s="49">
        <v>7</v>
      </c>
      <c r="K524" s="50">
        <v>1390</v>
      </c>
      <c r="L524" s="50">
        <v>1328.3</v>
      </c>
      <c r="M524" s="48" t="s">
        <v>276</v>
      </c>
      <c r="N524" s="51">
        <v>1</v>
      </c>
      <c r="O524" s="51">
        <v>1</v>
      </c>
      <c r="P524" s="52">
        <v>1186.2</v>
      </c>
      <c r="Q524" s="52">
        <v>1186.2</v>
      </c>
      <c r="R524" s="53" t="str">
        <f>INDEX(SKU_Master!$D$5:$D$34,MATCH($I524,SKU_Master!$A$5:$A$34,0))</f>
        <v>Laptop</v>
      </c>
      <c r="S524" s="54">
        <f t="shared" si="112"/>
        <v>4.4388489208633142E-2</v>
      </c>
      <c r="T524" s="55">
        <f t="shared" si="113"/>
        <v>9730</v>
      </c>
      <c r="U524" s="55">
        <f t="shared" si="114"/>
        <v>9298.1</v>
      </c>
      <c r="V524" s="55">
        <f t="shared" si="115"/>
        <v>-431.89999999999964</v>
      </c>
      <c r="W524" s="55">
        <f t="shared" si="116"/>
        <v>9298.1</v>
      </c>
      <c r="X524" s="55">
        <f t="shared" si="117"/>
        <v>0</v>
      </c>
      <c r="Y524" s="55">
        <f t="shared" si="118"/>
        <v>8303.4</v>
      </c>
      <c r="Z524" s="55">
        <f t="shared" si="119"/>
        <v>8303.4</v>
      </c>
      <c r="AA524" s="55">
        <f t="shared" si="120"/>
        <v>0</v>
      </c>
      <c r="AB524" s="55">
        <f t="shared" si="121"/>
        <v>994.70000000000073</v>
      </c>
      <c r="AC524" s="54">
        <f t="shared" si="122"/>
        <v>0.10697884514040511</v>
      </c>
      <c r="AD524" s="56">
        <f>INDEX(Assumptions!$B$14:$B$16,MATCH($R524,Assumptions!$A$14:$A$16,0))</f>
        <v>0.12</v>
      </c>
      <c r="AE524" s="56">
        <f>INDEX(Assumptions!$C$14:$C$16,MATCH($R524,Assumptions!$A$14:$A$16,0))</f>
        <v>0.08</v>
      </c>
      <c r="AF524" s="49">
        <f t="shared" si="123"/>
        <v>0</v>
      </c>
      <c r="AG524" s="49">
        <f t="shared" si="124"/>
        <v>0</v>
      </c>
      <c r="AH524" s="55">
        <f t="shared" si="125"/>
        <v>121.07199999999921</v>
      </c>
    </row>
    <row r="525" spans="1:34" x14ac:dyDescent="0.2">
      <c r="A525" s="48" t="s">
        <v>652</v>
      </c>
      <c r="B525" s="48">
        <v>2</v>
      </c>
      <c r="C525" s="48" t="s">
        <v>653</v>
      </c>
      <c r="D525" s="48" t="s">
        <v>636</v>
      </c>
      <c r="E525" s="48" t="s">
        <v>355</v>
      </c>
      <c r="F525" s="48" t="s">
        <v>280</v>
      </c>
      <c r="G525" s="48" t="s">
        <v>302</v>
      </c>
      <c r="H525" s="48" t="s">
        <v>62</v>
      </c>
      <c r="I525" s="48" t="s">
        <v>135</v>
      </c>
      <c r="J525" s="49">
        <v>5</v>
      </c>
      <c r="K525" s="50">
        <v>240</v>
      </c>
      <c r="L525" s="50">
        <v>234.51</v>
      </c>
      <c r="M525" s="48" t="s">
        <v>276</v>
      </c>
      <c r="N525" s="51">
        <v>1</v>
      </c>
      <c r="O525" s="51">
        <v>1</v>
      </c>
      <c r="P525" s="52">
        <v>186.7</v>
      </c>
      <c r="Q525" s="52">
        <v>186.7</v>
      </c>
      <c r="R525" s="53" t="str">
        <f>INDEX(SKU_Master!$D$5:$D$34,MATCH($I525,SKU_Master!$A$5:$A$34,0))</f>
        <v>Monitor</v>
      </c>
      <c r="S525" s="54">
        <f t="shared" si="112"/>
        <v>2.287500000000009E-2</v>
      </c>
      <c r="T525" s="55">
        <f t="shared" si="113"/>
        <v>1200</v>
      </c>
      <c r="U525" s="55">
        <f t="shared" si="114"/>
        <v>1172.55</v>
      </c>
      <c r="V525" s="55">
        <f t="shared" si="115"/>
        <v>-27.450000000000045</v>
      </c>
      <c r="W525" s="55">
        <f t="shared" si="116"/>
        <v>1172.55</v>
      </c>
      <c r="X525" s="55">
        <f t="shared" si="117"/>
        <v>0</v>
      </c>
      <c r="Y525" s="55">
        <f t="shared" si="118"/>
        <v>933.5</v>
      </c>
      <c r="Z525" s="55">
        <f t="shared" si="119"/>
        <v>933.5</v>
      </c>
      <c r="AA525" s="55">
        <f t="shared" si="120"/>
        <v>0</v>
      </c>
      <c r="AB525" s="55">
        <f t="shared" si="121"/>
        <v>239.04999999999995</v>
      </c>
      <c r="AC525" s="54">
        <f t="shared" si="122"/>
        <v>0.20387190311713782</v>
      </c>
      <c r="AD525" s="56">
        <f>INDEX(Assumptions!$B$14:$B$16,MATCH($R525,Assumptions!$A$14:$A$16,0))</f>
        <v>0.18</v>
      </c>
      <c r="AE525" s="56">
        <f>INDEX(Assumptions!$C$14:$C$16,MATCH($R525,Assumptions!$A$14:$A$16,0))</f>
        <v>0.12</v>
      </c>
      <c r="AF525" s="49">
        <f t="shared" si="123"/>
        <v>0</v>
      </c>
      <c r="AG525" s="49">
        <f t="shared" si="124"/>
        <v>0</v>
      </c>
      <c r="AH525" s="55">
        <f t="shared" si="125"/>
        <v>0</v>
      </c>
    </row>
    <row r="526" spans="1:34" x14ac:dyDescent="0.2">
      <c r="A526" s="48" t="s">
        <v>654</v>
      </c>
      <c r="B526" s="48">
        <v>1</v>
      </c>
      <c r="C526" s="48" t="s">
        <v>655</v>
      </c>
      <c r="D526" s="48" t="s">
        <v>636</v>
      </c>
      <c r="E526" s="48" t="s">
        <v>333</v>
      </c>
      <c r="F526" s="48" t="s">
        <v>297</v>
      </c>
      <c r="G526" s="48" t="s">
        <v>302</v>
      </c>
      <c r="H526" s="48" t="s">
        <v>70</v>
      </c>
      <c r="I526" s="48" t="s">
        <v>118</v>
      </c>
      <c r="J526" s="49">
        <v>18</v>
      </c>
      <c r="K526" s="50">
        <v>132140</v>
      </c>
      <c r="L526" s="50">
        <v>127411.75</v>
      </c>
      <c r="M526" s="48" t="s">
        <v>276</v>
      </c>
      <c r="N526" s="51">
        <v>83.5</v>
      </c>
      <c r="O526" s="51">
        <v>83.985900000000001</v>
      </c>
      <c r="P526" s="52">
        <v>1325.51</v>
      </c>
      <c r="Q526" s="52">
        <v>1345.51</v>
      </c>
      <c r="R526" s="53" t="str">
        <f>INDEX(SKU_Master!$D$5:$D$34,MATCH($I526,SKU_Master!$A$5:$A$34,0))</f>
        <v>Laptop</v>
      </c>
      <c r="S526" s="54">
        <f t="shared" si="112"/>
        <v>3.5782125018919309E-2</v>
      </c>
      <c r="T526" s="55">
        <f t="shared" si="113"/>
        <v>28485.269461077845</v>
      </c>
      <c r="U526" s="55">
        <f t="shared" si="114"/>
        <v>27466.005988023953</v>
      </c>
      <c r="V526" s="55">
        <f t="shared" si="115"/>
        <v>-1019.2634730538921</v>
      </c>
      <c r="W526" s="55">
        <f t="shared" si="116"/>
        <v>27307.101549188614</v>
      </c>
      <c r="X526" s="55">
        <f t="shared" si="117"/>
        <v>-158.90443883533953</v>
      </c>
      <c r="Y526" s="55">
        <f t="shared" si="118"/>
        <v>23859.18</v>
      </c>
      <c r="Z526" s="55">
        <f t="shared" si="119"/>
        <v>24219.18</v>
      </c>
      <c r="AA526" s="55">
        <f t="shared" si="120"/>
        <v>-360</v>
      </c>
      <c r="AB526" s="55">
        <f t="shared" si="121"/>
        <v>3087.9215491886134</v>
      </c>
      <c r="AC526" s="54">
        <f t="shared" si="122"/>
        <v>0.11308126362756966</v>
      </c>
      <c r="AD526" s="56">
        <f>INDEX(Assumptions!$B$14:$B$16,MATCH($R526,Assumptions!$A$14:$A$16,0))</f>
        <v>0.12</v>
      </c>
      <c r="AE526" s="56">
        <f>INDEX(Assumptions!$C$14:$C$16,MATCH($R526,Assumptions!$A$14:$A$16,0))</f>
        <v>0.08</v>
      </c>
      <c r="AF526" s="49">
        <f t="shared" si="123"/>
        <v>0</v>
      </c>
      <c r="AG526" s="49">
        <f t="shared" si="124"/>
        <v>0</v>
      </c>
      <c r="AH526" s="55">
        <f t="shared" si="125"/>
        <v>188.93063671402024</v>
      </c>
    </row>
    <row r="527" spans="1:34" x14ac:dyDescent="0.2">
      <c r="A527" s="48" t="s">
        <v>654</v>
      </c>
      <c r="B527" s="48">
        <v>2</v>
      </c>
      <c r="C527" s="48" t="s">
        <v>655</v>
      </c>
      <c r="D527" s="48" t="s">
        <v>636</v>
      </c>
      <c r="E527" s="48" t="s">
        <v>333</v>
      </c>
      <c r="F527" s="48" t="s">
        <v>297</v>
      </c>
      <c r="G527" s="48" t="s">
        <v>302</v>
      </c>
      <c r="H527" s="48" t="s">
        <v>70</v>
      </c>
      <c r="I527" s="48" t="s">
        <v>141</v>
      </c>
      <c r="J527" s="49">
        <v>17</v>
      </c>
      <c r="K527" s="50">
        <v>46735</v>
      </c>
      <c r="L527" s="50">
        <v>45781.04</v>
      </c>
      <c r="M527" s="48" t="s">
        <v>276</v>
      </c>
      <c r="N527" s="51">
        <v>83.5</v>
      </c>
      <c r="O527" s="51">
        <v>83.985900000000001</v>
      </c>
      <c r="P527" s="52">
        <v>432.64</v>
      </c>
      <c r="Q527" s="52">
        <v>452.64</v>
      </c>
      <c r="R527" s="53" t="str">
        <f>INDEX(SKU_Master!$D$5:$D$34,MATCH($I527,SKU_Master!$A$5:$A$34,0))</f>
        <v>Monitor</v>
      </c>
      <c r="S527" s="54">
        <f t="shared" si="112"/>
        <v>2.0412110837701891E-2</v>
      </c>
      <c r="T527" s="55">
        <f t="shared" si="113"/>
        <v>9514.9101796407194</v>
      </c>
      <c r="U527" s="55">
        <f t="shared" si="114"/>
        <v>9320.6907784431151</v>
      </c>
      <c r="V527" s="55">
        <f t="shared" si="115"/>
        <v>-194.21940119760438</v>
      </c>
      <c r="W527" s="55">
        <f t="shared" si="116"/>
        <v>9266.7659690495675</v>
      </c>
      <c r="X527" s="55">
        <f t="shared" si="117"/>
        <v>-53.924809393547548</v>
      </c>
      <c r="Y527" s="55">
        <f t="shared" si="118"/>
        <v>7354.88</v>
      </c>
      <c r="Z527" s="55">
        <f t="shared" si="119"/>
        <v>7694.88</v>
      </c>
      <c r="AA527" s="55">
        <f t="shared" si="120"/>
        <v>-340</v>
      </c>
      <c r="AB527" s="55">
        <f t="shared" si="121"/>
        <v>1571.8859690495674</v>
      </c>
      <c r="AC527" s="54">
        <f t="shared" si="122"/>
        <v>0.16962616454322582</v>
      </c>
      <c r="AD527" s="56">
        <f>INDEX(Assumptions!$B$14:$B$16,MATCH($R527,Assumptions!$A$14:$A$16,0))</f>
        <v>0.18</v>
      </c>
      <c r="AE527" s="56">
        <f>INDEX(Assumptions!$C$14:$C$16,MATCH($R527,Assumptions!$A$14:$A$16,0))</f>
        <v>0.12</v>
      </c>
      <c r="AF527" s="49">
        <f t="shared" si="123"/>
        <v>0</v>
      </c>
      <c r="AG527" s="49">
        <f t="shared" si="124"/>
        <v>0</v>
      </c>
      <c r="AH527" s="55">
        <f t="shared" si="125"/>
        <v>96.131905379354748</v>
      </c>
    </row>
    <row r="528" spans="1:34" x14ac:dyDescent="0.2">
      <c r="A528" s="48" t="s">
        <v>656</v>
      </c>
      <c r="B528" s="48">
        <v>1</v>
      </c>
      <c r="C528" s="48" t="s">
        <v>655</v>
      </c>
      <c r="D528" s="48" t="s">
        <v>636</v>
      </c>
      <c r="E528" s="48" t="s">
        <v>362</v>
      </c>
      <c r="F528" s="48" t="s">
        <v>280</v>
      </c>
      <c r="G528" s="48" t="s">
        <v>275</v>
      </c>
      <c r="H528" s="48" t="s">
        <v>62</v>
      </c>
      <c r="I528" s="48" t="s">
        <v>93</v>
      </c>
      <c r="J528" s="49">
        <v>19</v>
      </c>
      <c r="K528" s="50">
        <v>1390</v>
      </c>
      <c r="L528" s="50">
        <v>1351.3</v>
      </c>
      <c r="M528" s="48" t="s">
        <v>276</v>
      </c>
      <c r="N528" s="51">
        <v>1</v>
      </c>
      <c r="O528" s="51">
        <v>1</v>
      </c>
      <c r="P528" s="52">
        <v>1186.2</v>
      </c>
      <c r="Q528" s="52">
        <v>1186.2</v>
      </c>
      <c r="R528" s="53" t="str">
        <f>INDEX(SKU_Master!$D$5:$D$34,MATCH($I528,SKU_Master!$A$5:$A$34,0))</f>
        <v>Laptop</v>
      </c>
      <c r="S528" s="54">
        <f t="shared" si="112"/>
        <v>2.7841726618705098E-2</v>
      </c>
      <c r="T528" s="55">
        <f t="shared" si="113"/>
        <v>26410</v>
      </c>
      <c r="U528" s="55">
        <f t="shared" si="114"/>
        <v>25674.7</v>
      </c>
      <c r="V528" s="55">
        <f t="shared" si="115"/>
        <v>-735.29999999999927</v>
      </c>
      <c r="W528" s="55">
        <f t="shared" si="116"/>
        <v>25674.7</v>
      </c>
      <c r="X528" s="55">
        <f t="shared" si="117"/>
        <v>0</v>
      </c>
      <c r="Y528" s="55">
        <f t="shared" si="118"/>
        <v>22537.8</v>
      </c>
      <c r="Z528" s="55">
        <f t="shared" si="119"/>
        <v>22537.8</v>
      </c>
      <c r="AA528" s="55">
        <f t="shared" si="120"/>
        <v>0</v>
      </c>
      <c r="AB528" s="55">
        <f t="shared" si="121"/>
        <v>3136.9000000000015</v>
      </c>
      <c r="AC528" s="54">
        <f t="shared" si="122"/>
        <v>0.12217864278842601</v>
      </c>
      <c r="AD528" s="56">
        <f>INDEX(Assumptions!$B$14:$B$16,MATCH($R528,Assumptions!$A$14:$A$16,0))</f>
        <v>0.12</v>
      </c>
      <c r="AE528" s="56">
        <f>INDEX(Assumptions!$C$14:$C$16,MATCH($R528,Assumptions!$A$14:$A$16,0))</f>
        <v>0.08</v>
      </c>
      <c r="AF528" s="49">
        <f t="shared" si="123"/>
        <v>0</v>
      </c>
      <c r="AG528" s="49">
        <f t="shared" si="124"/>
        <v>0</v>
      </c>
      <c r="AH528" s="55">
        <f t="shared" si="125"/>
        <v>0</v>
      </c>
    </row>
    <row r="529" spans="1:34" x14ac:dyDescent="0.2">
      <c r="A529" s="48" t="s">
        <v>656</v>
      </c>
      <c r="B529" s="48">
        <v>2</v>
      </c>
      <c r="C529" s="48" t="s">
        <v>655</v>
      </c>
      <c r="D529" s="48" t="s">
        <v>636</v>
      </c>
      <c r="E529" s="48" t="s">
        <v>362</v>
      </c>
      <c r="F529" s="48" t="s">
        <v>280</v>
      </c>
      <c r="G529" s="48" t="s">
        <v>275</v>
      </c>
      <c r="H529" s="48" t="s">
        <v>62</v>
      </c>
      <c r="I529" s="48" t="s">
        <v>161</v>
      </c>
      <c r="J529" s="49">
        <v>14</v>
      </c>
      <c r="K529" s="50">
        <v>120</v>
      </c>
      <c r="L529" s="50">
        <v>117.37</v>
      </c>
      <c r="M529" s="48" t="s">
        <v>276</v>
      </c>
      <c r="N529" s="51">
        <v>1</v>
      </c>
      <c r="O529" s="51">
        <v>1</v>
      </c>
      <c r="P529" s="52">
        <v>76</v>
      </c>
      <c r="Q529" s="52">
        <v>76</v>
      </c>
      <c r="R529" s="53" t="str">
        <f>INDEX(SKU_Master!$D$5:$D$34,MATCH($I529,SKU_Master!$A$5:$A$34,0))</f>
        <v>Accessory</v>
      </c>
      <c r="S529" s="54">
        <f t="shared" si="112"/>
        <v>2.1916666666666584E-2</v>
      </c>
      <c r="T529" s="55">
        <f t="shared" si="113"/>
        <v>1680</v>
      </c>
      <c r="U529" s="55">
        <f t="shared" si="114"/>
        <v>1643.18</v>
      </c>
      <c r="V529" s="55">
        <f t="shared" si="115"/>
        <v>-36.819999999999936</v>
      </c>
      <c r="W529" s="55">
        <f t="shared" si="116"/>
        <v>1643.18</v>
      </c>
      <c r="X529" s="55">
        <f t="shared" si="117"/>
        <v>0</v>
      </c>
      <c r="Y529" s="55">
        <f t="shared" si="118"/>
        <v>1064</v>
      </c>
      <c r="Z529" s="55">
        <f t="shared" si="119"/>
        <v>1064</v>
      </c>
      <c r="AA529" s="55">
        <f t="shared" si="120"/>
        <v>0</v>
      </c>
      <c r="AB529" s="55">
        <f t="shared" si="121"/>
        <v>579.18000000000006</v>
      </c>
      <c r="AC529" s="54">
        <f t="shared" si="122"/>
        <v>0.35247507881059897</v>
      </c>
      <c r="AD529" s="56">
        <f>INDEX(Assumptions!$B$14:$B$16,MATCH($R529,Assumptions!$A$14:$A$16,0))</f>
        <v>0.32</v>
      </c>
      <c r="AE529" s="56">
        <f>INDEX(Assumptions!$C$14:$C$16,MATCH($R529,Assumptions!$A$14:$A$16,0))</f>
        <v>0.22</v>
      </c>
      <c r="AF529" s="49">
        <f t="shared" si="123"/>
        <v>0</v>
      </c>
      <c r="AG529" s="49">
        <f t="shared" si="124"/>
        <v>0</v>
      </c>
      <c r="AH529" s="55">
        <f t="shared" si="125"/>
        <v>0</v>
      </c>
    </row>
    <row r="530" spans="1:34" x14ac:dyDescent="0.2">
      <c r="A530" s="48" t="s">
        <v>657</v>
      </c>
      <c r="B530" s="48">
        <v>1</v>
      </c>
      <c r="C530" s="48" t="s">
        <v>653</v>
      </c>
      <c r="D530" s="48" t="s">
        <v>636</v>
      </c>
      <c r="E530" s="48" t="s">
        <v>437</v>
      </c>
      <c r="F530" s="48" t="s">
        <v>274</v>
      </c>
      <c r="G530" s="48" t="s">
        <v>302</v>
      </c>
      <c r="H530" s="48" t="s">
        <v>62</v>
      </c>
      <c r="I530" s="48" t="s">
        <v>93</v>
      </c>
      <c r="J530" s="49">
        <v>2</v>
      </c>
      <c r="K530" s="50">
        <v>1390</v>
      </c>
      <c r="L530" s="50">
        <v>1330.66</v>
      </c>
      <c r="M530" s="48" t="s">
        <v>276</v>
      </c>
      <c r="N530" s="51">
        <v>1</v>
      </c>
      <c r="O530" s="51">
        <v>1</v>
      </c>
      <c r="P530" s="52">
        <v>1186.2</v>
      </c>
      <c r="Q530" s="52">
        <v>1186.2</v>
      </c>
      <c r="R530" s="53" t="str">
        <f>INDEX(SKU_Master!$D$5:$D$34,MATCH($I530,SKU_Master!$A$5:$A$34,0))</f>
        <v>Laptop</v>
      </c>
      <c r="S530" s="54">
        <f t="shared" si="112"/>
        <v>4.2690647482014343E-2</v>
      </c>
      <c r="T530" s="55">
        <f t="shared" si="113"/>
        <v>2780</v>
      </c>
      <c r="U530" s="55">
        <f t="shared" si="114"/>
        <v>2661.32</v>
      </c>
      <c r="V530" s="55">
        <f t="shared" si="115"/>
        <v>-118.67999999999984</v>
      </c>
      <c r="W530" s="55">
        <f t="shared" si="116"/>
        <v>2661.32</v>
      </c>
      <c r="X530" s="55">
        <f t="shared" si="117"/>
        <v>0</v>
      </c>
      <c r="Y530" s="55">
        <f t="shared" si="118"/>
        <v>2372.4</v>
      </c>
      <c r="Z530" s="55">
        <f t="shared" si="119"/>
        <v>2372.4</v>
      </c>
      <c r="AA530" s="55">
        <f t="shared" si="120"/>
        <v>0</v>
      </c>
      <c r="AB530" s="55">
        <f t="shared" si="121"/>
        <v>288.92000000000007</v>
      </c>
      <c r="AC530" s="54">
        <f t="shared" si="122"/>
        <v>0.10856266814964005</v>
      </c>
      <c r="AD530" s="56">
        <f>INDEX(Assumptions!$B$14:$B$16,MATCH($R530,Assumptions!$A$14:$A$16,0))</f>
        <v>0.12</v>
      </c>
      <c r="AE530" s="56">
        <f>INDEX(Assumptions!$C$14:$C$16,MATCH($R530,Assumptions!$A$14:$A$16,0))</f>
        <v>0.08</v>
      </c>
      <c r="AF530" s="49">
        <f t="shared" si="123"/>
        <v>0</v>
      </c>
      <c r="AG530" s="49">
        <f t="shared" si="124"/>
        <v>0</v>
      </c>
      <c r="AH530" s="55">
        <f t="shared" si="125"/>
        <v>30.438399999999945</v>
      </c>
    </row>
    <row r="531" spans="1:34" x14ac:dyDescent="0.2">
      <c r="A531" s="48" t="s">
        <v>657</v>
      </c>
      <c r="B531" s="48">
        <v>2</v>
      </c>
      <c r="C531" s="48" t="s">
        <v>653</v>
      </c>
      <c r="D531" s="48" t="s">
        <v>636</v>
      </c>
      <c r="E531" s="48" t="s">
        <v>437</v>
      </c>
      <c r="F531" s="48" t="s">
        <v>274</v>
      </c>
      <c r="G531" s="48" t="s">
        <v>302</v>
      </c>
      <c r="H531" s="48" t="s">
        <v>62</v>
      </c>
      <c r="I531" s="48" t="s">
        <v>138</v>
      </c>
      <c r="J531" s="49">
        <v>1</v>
      </c>
      <c r="K531" s="50">
        <v>455</v>
      </c>
      <c r="L531" s="50">
        <v>427.8</v>
      </c>
      <c r="M531" s="48" t="s">
        <v>276</v>
      </c>
      <c r="N531" s="51">
        <v>1</v>
      </c>
      <c r="O531" s="51">
        <v>1</v>
      </c>
      <c r="P531" s="52">
        <v>358.2</v>
      </c>
      <c r="Q531" s="52">
        <v>358.2</v>
      </c>
      <c r="R531" s="53" t="str">
        <f>INDEX(SKU_Master!$D$5:$D$34,MATCH($I531,SKU_Master!$A$5:$A$34,0))</f>
        <v>Monitor</v>
      </c>
      <c r="S531" s="54">
        <f t="shared" si="112"/>
        <v>5.9780219780219745E-2</v>
      </c>
      <c r="T531" s="55">
        <f t="shared" si="113"/>
        <v>455</v>
      </c>
      <c r="U531" s="55">
        <f t="shared" si="114"/>
        <v>427.8</v>
      </c>
      <c r="V531" s="55">
        <f t="shared" si="115"/>
        <v>-27.199999999999989</v>
      </c>
      <c r="W531" s="55">
        <f t="shared" si="116"/>
        <v>427.8</v>
      </c>
      <c r="X531" s="55">
        <f t="shared" si="117"/>
        <v>0</v>
      </c>
      <c r="Y531" s="55">
        <f t="shared" si="118"/>
        <v>358.2</v>
      </c>
      <c r="Z531" s="55">
        <f t="shared" si="119"/>
        <v>358.2</v>
      </c>
      <c r="AA531" s="55">
        <f t="shared" si="120"/>
        <v>0</v>
      </c>
      <c r="AB531" s="55">
        <f t="shared" si="121"/>
        <v>69.600000000000023</v>
      </c>
      <c r="AC531" s="54">
        <f t="shared" si="122"/>
        <v>0.16269284712482474</v>
      </c>
      <c r="AD531" s="56">
        <f>INDEX(Assumptions!$B$14:$B$16,MATCH($R531,Assumptions!$A$14:$A$16,0))</f>
        <v>0.18</v>
      </c>
      <c r="AE531" s="56">
        <f>INDEX(Assumptions!$C$14:$C$16,MATCH($R531,Assumptions!$A$14:$A$16,0))</f>
        <v>0.12</v>
      </c>
      <c r="AF531" s="49">
        <f t="shared" si="123"/>
        <v>0</v>
      </c>
      <c r="AG531" s="49">
        <f t="shared" si="124"/>
        <v>0</v>
      </c>
      <c r="AH531" s="55">
        <f t="shared" si="125"/>
        <v>7.4039999999999822</v>
      </c>
    </row>
    <row r="532" spans="1:34" x14ac:dyDescent="0.2">
      <c r="A532" s="48" t="s">
        <v>657</v>
      </c>
      <c r="B532" s="48">
        <v>3</v>
      </c>
      <c r="C532" s="48" t="s">
        <v>653</v>
      </c>
      <c r="D532" s="48" t="s">
        <v>636</v>
      </c>
      <c r="E532" s="48" t="s">
        <v>437</v>
      </c>
      <c r="F532" s="48" t="s">
        <v>274</v>
      </c>
      <c r="G532" s="48" t="s">
        <v>302</v>
      </c>
      <c r="H532" s="48" t="s">
        <v>62</v>
      </c>
      <c r="I532" s="48" t="s">
        <v>151</v>
      </c>
      <c r="J532" s="49">
        <v>1</v>
      </c>
      <c r="K532" s="50">
        <v>335</v>
      </c>
      <c r="L532" s="50">
        <v>318.99</v>
      </c>
      <c r="M532" s="48" t="s">
        <v>276</v>
      </c>
      <c r="N532" s="51">
        <v>1</v>
      </c>
      <c r="O532" s="51">
        <v>1</v>
      </c>
      <c r="P532" s="52">
        <v>216.7</v>
      </c>
      <c r="Q532" s="52">
        <v>216.7</v>
      </c>
      <c r="R532" s="53" t="str">
        <f>INDEX(SKU_Master!$D$5:$D$34,MATCH($I532,SKU_Master!$A$5:$A$34,0))</f>
        <v>Accessory</v>
      </c>
      <c r="S532" s="54">
        <f t="shared" si="112"/>
        <v>4.7791044776119396E-2</v>
      </c>
      <c r="T532" s="55">
        <f t="shared" si="113"/>
        <v>335</v>
      </c>
      <c r="U532" s="55">
        <f t="shared" si="114"/>
        <v>318.99</v>
      </c>
      <c r="V532" s="55">
        <f t="shared" si="115"/>
        <v>-16.009999999999991</v>
      </c>
      <c r="W532" s="55">
        <f t="shared" si="116"/>
        <v>318.99</v>
      </c>
      <c r="X532" s="55">
        <f t="shared" si="117"/>
        <v>0</v>
      </c>
      <c r="Y532" s="55">
        <f t="shared" si="118"/>
        <v>216.7</v>
      </c>
      <c r="Z532" s="55">
        <f t="shared" si="119"/>
        <v>216.7</v>
      </c>
      <c r="AA532" s="55">
        <f t="shared" si="120"/>
        <v>0</v>
      </c>
      <c r="AB532" s="55">
        <f t="shared" si="121"/>
        <v>102.29000000000002</v>
      </c>
      <c r="AC532" s="54">
        <f t="shared" si="122"/>
        <v>0.32066835950970257</v>
      </c>
      <c r="AD532" s="56">
        <f>INDEX(Assumptions!$B$14:$B$16,MATCH($R532,Assumptions!$A$14:$A$16,0))</f>
        <v>0.32</v>
      </c>
      <c r="AE532" s="56">
        <f>INDEX(Assumptions!$C$14:$C$16,MATCH($R532,Assumptions!$A$14:$A$16,0))</f>
        <v>0.22</v>
      </c>
      <c r="AF532" s="49">
        <f t="shared" si="123"/>
        <v>0</v>
      </c>
      <c r="AG532" s="49">
        <f t="shared" si="124"/>
        <v>0</v>
      </c>
      <c r="AH532" s="55">
        <f t="shared" si="125"/>
        <v>0</v>
      </c>
    </row>
    <row r="533" spans="1:34" x14ac:dyDescent="0.2">
      <c r="A533" s="48" t="s">
        <v>658</v>
      </c>
      <c r="B533" s="48">
        <v>1</v>
      </c>
      <c r="C533" s="48" t="s">
        <v>659</v>
      </c>
      <c r="D533" s="48" t="s">
        <v>636</v>
      </c>
      <c r="E533" s="48" t="s">
        <v>336</v>
      </c>
      <c r="F533" s="48" t="s">
        <v>274</v>
      </c>
      <c r="G533" s="48" t="s">
        <v>288</v>
      </c>
      <c r="H533" s="48" t="s">
        <v>62</v>
      </c>
      <c r="I533" s="48" t="s">
        <v>110</v>
      </c>
      <c r="J533" s="49">
        <v>7</v>
      </c>
      <c r="K533" s="50">
        <v>1165</v>
      </c>
      <c r="L533" s="50">
        <v>1155.77</v>
      </c>
      <c r="M533" s="48" t="s">
        <v>276</v>
      </c>
      <c r="N533" s="51">
        <v>1</v>
      </c>
      <c r="O533" s="51">
        <v>1</v>
      </c>
      <c r="P533" s="52">
        <v>992.65</v>
      </c>
      <c r="Q533" s="52">
        <v>992.65</v>
      </c>
      <c r="R533" s="53" t="str">
        <f>INDEX(SKU_Master!$D$5:$D$34,MATCH($I533,SKU_Master!$A$5:$A$34,0))</f>
        <v>Laptop</v>
      </c>
      <c r="S533" s="54">
        <f t="shared" si="112"/>
        <v>7.9227467811159302E-3</v>
      </c>
      <c r="T533" s="55">
        <f t="shared" si="113"/>
        <v>8155</v>
      </c>
      <c r="U533" s="55">
        <f t="shared" si="114"/>
        <v>8090.3899999999994</v>
      </c>
      <c r="V533" s="55">
        <f t="shared" si="115"/>
        <v>-64.610000000000582</v>
      </c>
      <c r="W533" s="55">
        <f t="shared" si="116"/>
        <v>8090.3899999999994</v>
      </c>
      <c r="X533" s="55">
        <f t="shared" si="117"/>
        <v>0</v>
      </c>
      <c r="Y533" s="55">
        <f t="shared" si="118"/>
        <v>6948.55</v>
      </c>
      <c r="Z533" s="55">
        <f t="shared" si="119"/>
        <v>6948.55</v>
      </c>
      <c r="AA533" s="55">
        <f t="shared" si="120"/>
        <v>0</v>
      </c>
      <c r="AB533" s="55">
        <f t="shared" si="121"/>
        <v>1141.8399999999992</v>
      </c>
      <c r="AC533" s="54">
        <f t="shared" si="122"/>
        <v>0.14113534699810507</v>
      </c>
      <c r="AD533" s="56">
        <f>INDEX(Assumptions!$B$14:$B$16,MATCH($R533,Assumptions!$A$14:$A$16,0))</f>
        <v>0.12</v>
      </c>
      <c r="AE533" s="56">
        <f>INDEX(Assumptions!$C$14:$C$16,MATCH($R533,Assumptions!$A$14:$A$16,0))</f>
        <v>0.08</v>
      </c>
      <c r="AF533" s="49">
        <f t="shared" si="123"/>
        <v>0</v>
      </c>
      <c r="AG533" s="49">
        <f t="shared" si="124"/>
        <v>0</v>
      </c>
      <c r="AH533" s="55">
        <f t="shared" si="125"/>
        <v>0</v>
      </c>
    </row>
    <row r="534" spans="1:34" x14ac:dyDescent="0.2">
      <c r="A534" s="48" t="s">
        <v>658</v>
      </c>
      <c r="B534" s="48">
        <v>2</v>
      </c>
      <c r="C534" s="48" t="s">
        <v>659</v>
      </c>
      <c r="D534" s="48" t="s">
        <v>636</v>
      </c>
      <c r="E534" s="48" t="s">
        <v>336</v>
      </c>
      <c r="F534" s="48" t="s">
        <v>274</v>
      </c>
      <c r="G534" s="48" t="s">
        <v>288</v>
      </c>
      <c r="H534" s="48" t="s">
        <v>62</v>
      </c>
      <c r="I534" s="48" t="s">
        <v>151</v>
      </c>
      <c r="J534" s="49">
        <v>3</v>
      </c>
      <c r="K534" s="50">
        <v>335</v>
      </c>
      <c r="L534" s="50">
        <v>330.61</v>
      </c>
      <c r="M534" s="48" t="s">
        <v>276</v>
      </c>
      <c r="N534" s="51">
        <v>1</v>
      </c>
      <c r="O534" s="51">
        <v>1</v>
      </c>
      <c r="P534" s="52">
        <v>216.7</v>
      </c>
      <c r="Q534" s="52">
        <v>216.7</v>
      </c>
      <c r="R534" s="53" t="str">
        <f>INDEX(SKU_Master!$D$5:$D$34,MATCH($I534,SKU_Master!$A$5:$A$34,0))</f>
        <v>Accessory</v>
      </c>
      <c r="S534" s="54">
        <f t="shared" si="112"/>
        <v>1.3104477611940224E-2</v>
      </c>
      <c r="T534" s="55">
        <f t="shared" si="113"/>
        <v>1005</v>
      </c>
      <c r="U534" s="55">
        <f t="shared" si="114"/>
        <v>991.83</v>
      </c>
      <c r="V534" s="55">
        <f t="shared" si="115"/>
        <v>-13.169999999999959</v>
      </c>
      <c r="W534" s="55">
        <f t="shared" si="116"/>
        <v>991.83</v>
      </c>
      <c r="X534" s="55">
        <f t="shared" si="117"/>
        <v>0</v>
      </c>
      <c r="Y534" s="55">
        <f t="shared" si="118"/>
        <v>650.09999999999991</v>
      </c>
      <c r="Z534" s="55">
        <f t="shared" si="119"/>
        <v>650.09999999999991</v>
      </c>
      <c r="AA534" s="55">
        <f t="shared" si="120"/>
        <v>0</v>
      </c>
      <c r="AB534" s="55">
        <f t="shared" si="121"/>
        <v>341.73000000000013</v>
      </c>
      <c r="AC534" s="54">
        <f t="shared" si="122"/>
        <v>0.34454493209521803</v>
      </c>
      <c r="AD534" s="56">
        <f>INDEX(Assumptions!$B$14:$B$16,MATCH($R534,Assumptions!$A$14:$A$16,0))</f>
        <v>0.32</v>
      </c>
      <c r="AE534" s="56">
        <f>INDEX(Assumptions!$C$14:$C$16,MATCH($R534,Assumptions!$A$14:$A$16,0))</f>
        <v>0.22</v>
      </c>
      <c r="AF534" s="49">
        <f t="shared" si="123"/>
        <v>0</v>
      </c>
      <c r="AG534" s="49">
        <f t="shared" si="124"/>
        <v>0</v>
      </c>
      <c r="AH534" s="55">
        <f t="shared" si="125"/>
        <v>0</v>
      </c>
    </row>
    <row r="535" spans="1:34" x14ac:dyDescent="0.2">
      <c r="A535" s="48" t="s">
        <v>660</v>
      </c>
      <c r="B535" s="48">
        <v>1</v>
      </c>
      <c r="C535" s="48" t="s">
        <v>661</v>
      </c>
      <c r="D535" s="48" t="s">
        <v>636</v>
      </c>
      <c r="E535" s="48" t="s">
        <v>498</v>
      </c>
      <c r="F535" s="48" t="s">
        <v>280</v>
      </c>
      <c r="G535" s="48" t="s">
        <v>302</v>
      </c>
      <c r="H535" s="48" t="s">
        <v>66</v>
      </c>
      <c r="I535" s="48" t="s">
        <v>118</v>
      </c>
      <c r="J535" s="49">
        <v>21</v>
      </c>
      <c r="K535" s="50">
        <v>1300</v>
      </c>
      <c r="L535" s="50">
        <v>1262.19</v>
      </c>
      <c r="M535" s="48" t="s">
        <v>276</v>
      </c>
      <c r="N535" s="51">
        <v>0.92</v>
      </c>
      <c r="O535" s="51">
        <v>0.91800000000000004</v>
      </c>
      <c r="P535" s="52">
        <v>1182.5999999999999</v>
      </c>
      <c r="Q535" s="52">
        <v>1182.5999999999999</v>
      </c>
      <c r="R535" s="53" t="str">
        <f>INDEX(SKU_Master!$D$5:$D$34,MATCH($I535,SKU_Master!$A$5:$A$34,0))</f>
        <v>Laptop</v>
      </c>
      <c r="S535" s="54">
        <f t="shared" si="112"/>
        <v>2.9084615384615375E-2</v>
      </c>
      <c r="T535" s="55">
        <f t="shared" si="113"/>
        <v>29673.91304347826</v>
      </c>
      <c r="U535" s="55">
        <f t="shared" si="114"/>
        <v>28810.858695652176</v>
      </c>
      <c r="V535" s="55">
        <f t="shared" si="115"/>
        <v>-863.05434782608427</v>
      </c>
      <c r="W535" s="55">
        <f t="shared" si="116"/>
        <v>28873.627450980392</v>
      </c>
      <c r="X535" s="55">
        <f t="shared" si="117"/>
        <v>62.768755328215775</v>
      </c>
      <c r="Y535" s="55">
        <f t="shared" si="118"/>
        <v>24834.6</v>
      </c>
      <c r="Z535" s="55">
        <f t="shared" si="119"/>
        <v>24834.6</v>
      </c>
      <c r="AA535" s="55">
        <f t="shared" si="120"/>
        <v>0</v>
      </c>
      <c r="AB535" s="55">
        <f t="shared" si="121"/>
        <v>4039.027450980393</v>
      </c>
      <c r="AC535" s="54">
        <f t="shared" si="122"/>
        <v>0.13988638794476271</v>
      </c>
      <c r="AD535" s="56">
        <f>INDEX(Assumptions!$B$14:$B$16,MATCH($R535,Assumptions!$A$14:$A$16,0))</f>
        <v>0.12</v>
      </c>
      <c r="AE535" s="56">
        <f>INDEX(Assumptions!$C$14:$C$16,MATCH($R535,Assumptions!$A$14:$A$16,0))</f>
        <v>0.08</v>
      </c>
      <c r="AF535" s="49">
        <f t="shared" si="123"/>
        <v>0</v>
      </c>
      <c r="AG535" s="49">
        <f t="shared" si="124"/>
        <v>0</v>
      </c>
      <c r="AH535" s="55">
        <f t="shared" si="125"/>
        <v>0</v>
      </c>
    </row>
    <row r="536" spans="1:34" x14ac:dyDescent="0.2">
      <c r="A536" s="48" t="s">
        <v>660</v>
      </c>
      <c r="B536" s="48">
        <v>2</v>
      </c>
      <c r="C536" s="48" t="s">
        <v>661</v>
      </c>
      <c r="D536" s="48" t="s">
        <v>636</v>
      </c>
      <c r="E536" s="48" t="s">
        <v>498</v>
      </c>
      <c r="F536" s="48" t="s">
        <v>280</v>
      </c>
      <c r="G536" s="48" t="s">
        <v>302</v>
      </c>
      <c r="H536" s="48" t="s">
        <v>66</v>
      </c>
      <c r="I536" s="48" t="s">
        <v>144</v>
      </c>
      <c r="J536" s="49">
        <v>22</v>
      </c>
      <c r="K536" s="50">
        <v>375</v>
      </c>
      <c r="L536" s="50">
        <v>369.64</v>
      </c>
      <c r="M536" s="48" t="s">
        <v>276</v>
      </c>
      <c r="N536" s="51">
        <v>0.92</v>
      </c>
      <c r="O536" s="51">
        <v>0.91800000000000004</v>
      </c>
      <c r="P536" s="52">
        <v>314.60000000000002</v>
      </c>
      <c r="Q536" s="52">
        <v>314.60000000000002</v>
      </c>
      <c r="R536" s="53" t="str">
        <f>INDEX(SKU_Master!$D$5:$D$34,MATCH($I536,SKU_Master!$A$5:$A$34,0))</f>
        <v>Monitor</v>
      </c>
      <c r="S536" s="54">
        <f t="shared" si="112"/>
        <v>1.429333333333338E-2</v>
      </c>
      <c r="T536" s="55">
        <f t="shared" si="113"/>
        <v>8967.391304347826</v>
      </c>
      <c r="U536" s="55">
        <f t="shared" si="114"/>
        <v>8839.217391304348</v>
      </c>
      <c r="V536" s="55">
        <f t="shared" si="115"/>
        <v>-128.17391304347802</v>
      </c>
      <c r="W536" s="55">
        <f t="shared" si="116"/>
        <v>8858.4749455337678</v>
      </c>
      <c r="X536" s="55">
        <f t="shared" si="117"/>
        <v>19.257554229419839</v>
      </c>
      <c r="Y536" s="55">
        <f t="shared" si="118"/>
        <v>6921.2000000000007</v>
      </c>
      <c r="Z536" s="55">
        <f t="shared" si="119"/>
        <v>6921.2000000000007</v>
      </c>
      <c r="AA536" s="55">
        <f t="shared" si="120"/>
        <v>0</v>
      </c>
      <c r="AB536" s="55">
        <f t="shared" si="121"/>
        <v>1937.2749455337671</v>
      </c>
      <c r="AC536" s="54">
        <f t="shared" si="122"/>
        <v>0.21869170003246383</v>
      </c>
      <c r="AD536" s="56">
        <f>INDEX(Assumptions!$B$14:$B$16,MATCH($R536,Assumptions!$A$14:$A$16,0))</f>
        <v>0.18</v>
      </c>
      <c r="AE536" s="56">
        <f>INDEX(Assumptions!$C$14:$C$16,MATCH($R536,Assumptions!$A$14:$A$16,0))</f>
        <v>0.12</v>
      </c>
      <c r="AF536" s="49">
        <f t="shared" si="123"/>
        <v>0</v>
      </c>
      <c r="AG536" s="49">
        <f t="shared" si="124"/>
        <v>0</v>
      </c>
      <c r="AH536" s="55">
        <f t="shared" si="125"/>
        <v>0</v>
      </c>
    </row>
    <row r="537" spans="1:34" x14ac:dyDescent="0.2">
      <c r="A537" s="48" t="s">
        <v>660</v>
      </c>
      <c r="B537" s="48">
        <v>3</v>
      </c>
      <c r="C537" s="48" t="s">
        <v>661</v>
      </c>
      <c r="D537" s="48" t="s">
        <v>636</v>
      </c>
      <c r="E537" s="48" t="s">
        <v>498</v>
      </c>
      <c r="F537" s="48" t="s">
        <v>280</v>
      </c>
      <c r="G537" s="48" t="s">
        <v>302</v>
      </c>
      <c r="H537" s="48" t="s">
        <v>66</v>
      </c>
      <c r="I537" s="48" t="s">
        <v>151</v>
      </c>
      <c r="J537" s="49">
        <v>22</v>
      </c>
      <c r="K537" s="50">
        <v>325</v>
      </c>
      <c r="L537" s="50">
        <v>314.33999999999997</v>
      </c>
      <c r="M537" s="48" t="s">
        <v>276</v>
      </c>
      <c r="N537" s="51">
        <v>0.92</v>
      </c>
      <c r="O537" s="51">
        <v>0.91800000000000004</v>
      </c>
      <c r="P537" s="52">
        <v>221.7</v>
      </c>
      <c r="Q537" s="52">
        <v>221.7</v>
      </c>
      <c r="R537" s="53" t="str">
        <f>INDEX(SKU_Master!$D$5:$D$34,MATCH($I537,SKU_Master!$A$5:$A$34,0))</f>
        <v>Accessory</v>
      </c>
      <c r="S537" s="54">
        <f t="shared" si="112"/>
        <v>3.2800000000000051E-2</v>
      </c>
      <c r="T537" s="55">
        <f t="shared" si="113"/>
        <v>7771.7391304347821</v>
      </c>
      <c r="U537" s="55">
        <f t="shared" si="114"/>
        <v>7516.8260869565211</v>
      </c>
      <c r="V537" s="55">
        <f t="shared" si="115"/>
        <v>-254.91304347826099</v>
      </c>
      <c r="W537" s="55">
        <f t="shared" si="116"/>
        <v>7533.2026143790845</v>
      </c>
      <c r="X537" s="55">
        <f t="shared" si="117"/>
        <v>16.376527422563413</v>
      </c>
      <c r="Y537" s="55">
        <f t="shared" si="118"/>
        <v>4877.3999999999996</v>
      </c>
      <c r="Z537" s="55">
        <f t="shared" si="119"/>
        <v>4877.3999999999996</v>
      </c>
      <c r="AA537" s="55">
        <f t="shared" si="120"/>
        <v>0</v>
      </c>
      <c r="AB537" s="55">
        <f t="shared" si="121"/>
        <v>2655.8026143790848</v>
      </c>
      <c r="AC537" s="54">
        <f t="shared" si="122"/>
        <v>0.35254628745943883</v>
      </c>
      <c r="AD537" s="56">
        <f>INDEX(Assumptions!$B$14:$B$16,MATCH($R537,Assumptions!$A$14:$A$16,0))</f>
        <v>0.32</v>
      </c>
      <c r="AE537" s="56">
        <f>INDEX(Assumptions!$C$14:$C$16,MATCH($R537,Assumptions!$A$14:$A$16,0))</f>
        <v>0.22</v>
      </c>
      <c r="AF537" s="49">
        <f t="shared" si="123"/>
        <v>0</v>
      </c>
      <c r="AG537" s="49">
        <f t="shared" si="124"/>
        <v>0</v>
      </c>
      <c r="AH537" s="55">
        <f t="shared" si="125"/>
        <v>0</v>
      </c>
    </row>
    <row r="538" spans="1:34" x14ac:dyDescent="0.2">
      <c r="A538" s="48" t="s">
        <v>662</v>
      </c>
      <c r="B538" s="48">
        <v>1</v>
      </c>
      <c r="C538" s="48" t="s">
        <v>644</v>
      </c>
      <c r="D538" s="48" t="s">
        <v>636</v>
      </c>
      <c r="E538" s="48" t="s">
        <v>393</v>
      </c>
      <c r="F538" s="48" t="s">
        <v>274</v>
      </c>
      <c r="G538" s="48" t="s">
        <v>275</v>
      </c>
      <c r="H538" s="48" t="s">
        <v>66</v>
      </c>
      <c r="I538" s="48" t="s">
        <v>106</v>
      </c>
      <c r="J538" s="49">
        <v>5</v>
      </c>
      <c r="K538" s="50">
        <v>1450</v>
      </c>
      <c r="L538" s="50">
        <v>1438.33</v>
      </c>
      <c r="M538" s="48" t="s">
        <v>276</v>
      </c>
      <c r="N538" s="51">
        <v>0.92</v>
      </c>
      <c r="O538" s="51">
        <v>0.91800000000000004</v>
      </c>
      <c r="P538" s="52">
        <v>1318.4</v>
      </c>
      <c r="Q538" s="52">
        <v>1318.4</v>
      </c>
      <c r="R538" s="53" t="str">
        <f>INDEX(SKU_Master!$D$5:$D$34,MATCH($I538,SKU_Master!$A$5:$A$34,0))</f>
        <v>Laptop</v>
      </c>
      <c r="S538" s="54">
        <f t="shared" si="112"/>
        <v>8.0482758620690209E-3</v>
      </c>
      <c r="T538" s="55">
        <f t="shared" si="113"/>
        <v>7880.4347826086951</v>
      </c>
      <c r="U538" s="55">
        <f t="shared" si="114"/>
        <v>7817.010869565217</v>
      </c>
      <c r="V538" s="55">
        <f t="shared" si="115"/>
        <v>-63.423913043478024</v>
      </c>
      <c r="W538" s="55">
        <f t="shared" si="116"/>
        <v>7834.0413943355115</v>
      </c>
      <c r="X538" s="55">
        <f t="shared" si="117"/>
        <v>17.030524770294505</v>
      </c>
      <c r="Y538" s="55">
        <f t="shared" si="118"/>
        <v>6592</v>
      </c>
      <c r="Z538" s="55">
        <f t="shared" si="119"/>
        <v>6592</v>
      </c>
      <c r="AA538" s="55">
        <f t="shared" si="120"/>
        <v>0</v>
      </c>
      <c r="AB538" s="55">
        <f t="shared" si="121"/>
        <v>1242.0413943355115</v>
      </c>
      <c r="AC538" s="54">
        <f t="shared" si="122"/>
        <v>0.15854414494587468</v>
      </c>
      <c r="AD538" s="56">
        <f>INDEX(Assumptions!$B$14:$B$16,MATCH($R538,Assumptions!$A$14:$A$16,0))</f>
        <v>0.12</v>
      </c>
      <c r="AE538" s="56">
        <f>INDEX(Assumptions!$C$14:$C$16,MATCH($R538,Assumptions!$A$14:$A$16,0))</f>
        <v>0.08</v>
      </c>
      <c r="AF538" s="49">
        <f t="shared" si="123"/>
        <v>0</v>
      </c>
      <c r="AG538" s="49">
        <f t="shared" si="124"/>
        <v>0</v>
      </c>
      <c r="AH538" s="55">
        <f t="shared" si="125"/>
        <v>0</v>
      </c>
    </row>
    <row r="539" spans="1:34" x14ac:dyDescent="0.2">
      <c r="A539" s="48" t="s">
        <v>662</v>
      </c>
      <c r="B539" s="48">
        <v>2</v>
      </c>
      <c r="C539" s="48" t="s">
        <v>644</v>
      </c>
      <c r="D539" s="48" t="s">
        <v>636</v>
      </c>
      <c r="E539" s="48" t="s">
        <v>393</v>
      </c>
      <c r="F539" s="48" t="s">
        <v>274</v>
      </c>
      <c r="G539" s="48" t="s">
        <v>275</v>
      </c>
      <c r="H539" s="48" t="s">
        <v>66</v>
      </c>
      <c r="I539" s="48" t="s">
        <v>144</v>
      </c>
      <c r="J539" s="49">
        <v>5</v>
      </c>
      <c r="K539" s="50">
        <v>375</v>
      </c>
      <c r="L539" s="50">
        <v>370.11</v>
      </c>
      <c r="M539" s="48" t="s">
        <v>276</v>
      </c>
      <c r="N539" s="51">
        <v>0.92</v>
      </c>
      <c r="O539" s="51">
        <v>0.91800000000000004</v>
      </c>
      <c r="P539" s="52">
        <v>314.60000000000002</v>
      </c>
      <c r="Q539" s="52">
        <v>314.60000000000002</v>
      </c>
      <c r="R539" s="53" t="str">
        <f>INDEX(SKU_Master!$D$5:$D$34,MATCH($I539,SKU_Master!$A$5:$A$34,0))</f>
        <v>Monitor</v>
      </c>
      <c r="S539" s="54">
        <f t="shared" si="112"/>
        <v>1.3039999999999941E-2</v>
      </c>
      <c r="T539" s="55">
        <f t="shared" si="113"/>
        <v>2038.0434782608695</v>
      </c>
      <c r="U539" s="55">
        <f t="shared" si="114"/>
        <v>2011.467391304348</v>
      </c>
      <c r="V539" s="55">
        <f t="shared" si="115"/>
        <v>-26.576086956521522</v>
      </c>
      <c r="W539" s="55">
        <f t="shared" si="116"/>
        <v>2015.8496732026144</v>
      </c>
      <c r="X539" s="55">
        <f t="shared" si="117"/>
        <v>4.3822818982664558</v>
      </c>
      <c r="Y539" s="55">
        <f t="shared" si="118"/>
        <v>1573</v>
      </c>
      <c r="Z539" s="55">
        <f t="shared" si="119"/>
        <v>1573</v>
      </c>
      <c r="AA539" s="55">
        <f t="shared" si="120"/>
        <v>0</v>
      </c>
      <c r="AB539" s="55">
        <f t="shared" si="121"/>
        <v>442.84967320261444</v>
      </c>
      <c r="AC539" s="54">
        <f t="shared" si="122"/>
        <v>0.21968387776606957</v>
      </c>
      <c r="AD539" s="56">
        <f>INDEX(Assumptions!$B$14:$B$16,MATCH($R539,Assumptions!$A$14:$A$16,0))</f>
        <v>0.18</v>
      </c>
      <c r="AE539" s="56">
        <f>INDEX(Assumptions!$C$14:$C$16,MATCH($R539,Assumptions!$A$14:$A$16,0))</f>
        <v>0.12</v>
      </c>
      <c r="AF539" s="49">
        <f t="shared" si="123"/>
        <v>0</v>
      </c>
      <c r="AG539" s="49">
        <f t="shared" si="124"/>
        <v>0</v>
      </c>
      <c r="AH539" s="55">
        <f t="shared" si="125"/>
        <v>0</v>
      </c>
    </row>
    <row r="540" spans="1:34" x14ac:dyDescent="0.2">
      <c r="A540" s="48" t="s">
        <v>662</v>
      </c>
      <c r="B540" s="48">
        <v>3</v>
      </c>
      <c r="C540" s="48" t="s">
        <v>644</v>
      </c>
      <c r="D540" s="48" t="s">
        <v>636</v>
      </c>
      <c r="E540" s="48" t="s">
        <v>393</v>
      </c>
      <c r="F540" s="48" t="s">
        <v>274</v>
      </c>
      <c r="G540" s="48" t="s">
        <v>275</v>
      </c>
      <c r="H540" s="48" t="s">
        <v>66</v>
      </c>
      <c r="I540" s="48" t="s">
        <v>151</v>
      </c>
      <c r="J540" s="49">
        <v>3</v>
      </c>
      <c r="K540" s="50">
        <v>325</v>
      </c>
      <c r="L540" s="50">
        <v>319.06</v>
      </c>
      <c r="M540" s="48" t="s">
        <v>276</v>
      </c>
      <c r="N540" s="51">
        <v>0.92</v>
      </c>
      <c r="O540" s="51">
        <v>0.91800000000000004</v>
      </c>
      <c r="P540" s="52">
        <v>221.7</v>
      </c>
      <c r="Q540" s="52">
        <v>221.7</v>
      </c>
      <c r="R540" s="53" t="str">
        <f>INDEX(SKU_Master!$D$5:$D$34,MATCH($I540,SKU_Master!$A$5:$A$34,0))</f>
        <v>Accessory</v>
      </c>
      <c r="S540" s="54">
        <f t="shared" si="112"/>
        <v>1.8276923076923079E-2</v>
      </c>
      <c r="T540" s="55">
        <f t="shared" si="113"/>
        <v>1059.782608695652</v>
      </c>
      <c r="U540" s="55">
        <f t="shared" si="114"/>
        <v>1040.413043478261</v>
      </c>
      <c r="V540" s="55">
        <f t="shared" si="115"/>
        <v>-19.369565217391028</v>
      </c>
      <c r="W540" s="55">
        <f t="shared" si="116"/>
        <v>1042.6797385620914</v>
      </c>
      <c r="X540" s="55">
        <f t="shared" si="117"/>
        <v>2.2666950838304274</v>
      </c>
      <c r="Y540" s="55">
        <f t="shared" si="118"/>
        <v>665.09999999999991</v>
      </c>
      <c r="Z540" s="55">
        <f t="shared" si="119"/>
        <v>665.09999999999991</v>
      </c>
      <c r="AA540" s="55">
        <f t="shared" si="120"/>
        <v>0</v>
      </c>
      <c r="AB540" s="55">
        <f t="shared" si="121"/>
        <v>377.57973856209151</v>
      </c>
      <c r="AC540" s="54">
        <f t="shared" si="122"/>
        <v>0.36212436532313674</v>
      </c>
      <c r="AD540" s="56">
        <f>INDEX(Assumptions!$B$14:$B$16,MATCH($R540,Assumptions!$A$14:$A$16,0))</f>
        <v>0.32</v>
      </c>
      <c r="AE540" s="56">
        <f>INDEX(Assumptions!$C$14:$C$16,MATCH($R540,Assumptions!$A$14:$A$16,0))</f>
        <v>0.22</v>
      </c>
      <c r="AF540" s="49">
        <f t="shared" si="123"/>
        <v>0</v>
      </c>
      <c r="AG540" s="49">
        <f t="shared" si="124"/>
        <v>0</v>
      </c>
      <c r="AH540" s="55">
        <f t="shared" si="125"/>
        <v>0</v>
      </c>
    </row>
    <row r="541" spans="1:34" x14ac:dyDescent="0.2">
      <c r="A541" s="48" t="s">
        <v>663</v>
      </c>
      <c r="B541" s="48">
        <v>1</v>
      </c>
      <c r="C541" s="48" t="s">
        <v>664</v>
      </c>
      <c r="D541" s="48" t="s">
        <v>636</v>
      </c>
      <c r="E541" s="48" t="s">
        <v>279</v>
      </c>
      <c r="F541" s="48" t="s">
        <v>280</v>
      </c>
      <c r="G541" s="48" t="s">
        <v>281</v>
      </c>
      <c r="H541" s="48" t="s">
        <v>64</v>
      </c>
      <c r="I541" s="48" t="s">
        <v>103</v>
      </c>
      <c r="J541" s="49">
        <v>19</v>
      </c>
      <c r="K541" s="50">
        <v>940</v>
      </c>
      <c r="L541" s="50">
        <v>908.64</v>
      </c>
      <c r="M541" s="48" t="s">
        <v>276</v>
      </c>
      <c r="N541" s="51">
        <v>0.79</v>
      </c>
      <c r="O541" s="51">
        <v>0.79100000000000004</v>
      </c>
      <c r="P541" s="52">
        <v>992.6</v>
      </c>
      <c r="Q541" s="52">
        <v>992.6</v>
      </c>
      <c r="R541" s="53" t="str">
        <f>INDEX(SKU_Master!$D$5:$D$34,MATCH($I541,SKU_Master!$A$5:$A$34,0))</f>
        <v>Laptop</v>
      </c>
      <c r="S541" s="54">
        <f t="shared" si="112"/>
        <v>3.3361702127659543E-2</v>
      </c>
      <c r="T541" s="55">
        <f t="shared" si="113"/>
        <v>22607.594936708861</v>
      </c>
      <c r="U541" s="55">
        <f t="shared" si="114"/>
        <v>21853.367088607592</v>
      </c>
      <c r="V541" s="55">
        <f t="shared" si="115"/>
        <v>-754.22784810126905</v>
      </c>
      <c r="W541" s="55">
        <f t="shared" si="116"/>
        <v>21825.739570164347</v>
      </c>
      <c r="X541" s="55">
        <f t="shared" si="117"/>
        <v>-27.627518443245208</v>
      </c>
      <c r="Y541" s="55">
        <f t="shared" si="118"/>
        <v>18859.400000000001</v>
      </c>
      <c r="Z541" s="55">
        <f t="shared" si="119"/>
        <v>18859.400000000001</v>
      </c>
      <c r="AA541" s="55">
        <f t="shared" si="120"/>
        <v>0</v>
      </c>
      <c r="AB541" s="55">
        <f t="shared" si="121"/>
        <v>2966.3395701643458</v>
      </c>
      <c r="AC541" s="54">
        <f t="shared" si="122"/>
        <v>0.13591015143511168</v>
      </c>
      <c r="AD541" s="56">
        <f>INDEX(Assumptions!$B$14:$B$16,MATCH($R541,Assumptions!$A$14:$A$16,0))</f>
        <v>0.12</v>
      </c>
      <c r="AE541" s="56">
        <f>INDEX(Assumptions!$C$14:$C$16,MATCH($R541,Assumptions!$A$14:$A$16,0))</f>
        <v>0.08</v>
      </c>
      <c r="AF541" s="49">
        <f t="shared" si="123"/>
        <v>0</v>
      </c>
      <c r="AG541" s="49">
        <f t="shared" si="124"/>
        <v>0</v>
      </c>
      <c r="AH541" s="55">
        <f t="shared" si="125"/>
        <v>0</v>
      </c>
    </row>
    <row r="542" spans="1:34" x14ac:dyDescent="0.2">
      <c r="A542" s="48" t="s">
        <v>663</v>
      </c>
      <c r="B542" s="48">
        <v>2</v>
      </c>
      <c r="C542" s="48" t="s">
        <v>664</v>
      </c>
      <c r="D542" s="48" t="s">
        <v>636</v>
      </c>
      <c r="E542" s="48" t="s">
        <v>279</v>
      </c>
      <c r="F542" s="48" t="s">
        <v>280</v>
      </c>
      <c r="G542" s="48" t="s">
        <v>281</v>
      </c>
      <c r="H542" s="48" t="s">
        <v>64</v>
      </c>
      <c r="I542" s="48" t="s">
        <v>138</v>
      </c>
      <c r="J542" s="49">
        <v>19</v>
      </c>
      <c r="K542" s="50">
        <v>400</v>
      </c>
      <c r="L542" s="50">
        <v>395.56</v>
      </c>
      <c r="M542" s="48" t="s">
        <v>276</v>
      </c>
      <c r="N542" s="51">
        <v>0.79</v>
      </c>
      <c r="O542" s="51">
        <v>0.79100000000000004</v>
      </c>
      <c r="P542" s="52">
        <v>388.2</v>
      </c>
      <c r="Q542" s="52">
        <v>388.2</v>
      </c>
      <c r="R542" s="53" t="str">
        <f>INDEX(SKU_Master!$D$5:$D$34,MATCH($I542,SKU_Master!$A$5:$A$34,0))</f>
        <v>Monitor</v>
      </c>
      <c r="S542" s="54">
        <f t="shared" si="112"/>
        <v>1.1099999999999999E-2</v>
      </c>
      <c r="T542" s="55">
        <f t="shared" si="113"/>
        <v>9620.2531645569616</v>
      </c>
      <c r="U542" s="55">
        <f t="shared" si="114"/>
        <v>9513.4683544303789</v>
      </c>
      <c r="V542" s="55">
        <f t="shared" si="115"/>
        <v>-106.78481012658267</v>
      </c>
      <c r="W542" s="55">
        <f t="shared" si="116"/>
        <v>9501.441213653603</v>
      </c>
      <c r="X542" s="55">
        <f t="shared" si="117"/>
        <v>-12.027140776775923</v>
      </c>
      <c r="Y542" s="55">
        <f t="shared" si="118"/>
        <v>7375.8</v>
      </c>
      <c r="Z542" s="55">
        <f t="shared" si="119"/>
        <v>7375.8</v>
      </c>
      <c r="AA542" s="55">
        <f t="shared" si="120"/>
        <v>0</v>
      </c>
      <c r="AB542" s="55">
        <f t="shared" si="121"/>
        <v>2125.6412136536028</v>
      </c>
      <c r="AC542" s="54">
        <f t="shared" si="122"/>
        <v>0.22371776721609868</v>
      </c>
      <c r="AD542" s="56">
        <f>INDEX(Assumptions!$B$14:$B$16,MATCH($R542,Assumptions!$A$14:$A$16,0))</f>
        <v>0.18</v>
      </c>
      <c r="AE542" s="56">
        <f>INDEX(Assumptions!$C$14:$C$16,MATCH($R542,Assumptions!$A$14:$A$16,0))</f>
        <v>0.12</v>
      </c>
      <c r="AF542" s="49">
        <f t="shared" si="123"/>
        <v>0</v>
      </c>
      <c r="AG542" s="49">
        <f t="shared" si="124"/>
        <v>0</v>
      </c>
      <c r="AH542" s="55">
        <f t="shared" si="125"/>
        <v>0</v>
      </c>
    </row>
    <row r="543" spans="1:34" x14ac:dyDescent="0.2">
      <c r="A543" s="48" t="s">
        <v>665</v>
      </c>
      <c r="B543" s="48">
        <v>1</v>
      </c>
      <c r="C543" s="48" t="s">
        <v>666</v>
      </c>
      <c r="D543" s="48" t="s">
        <v>636</v>
      </c>
      <c r="E543" s="48" t="s">
        <v>336</v>
      </c>
      <c r="F543" s="48" t="s">
        <v>274</v>
      </c>
      <c r="G543" s="48" t="s">
        <v>288</v>
      </c>
      <c r="H543" s="48" t="s">
        <v>62</v>
      </c>
      <c r="I543" s="48" t="s">
        <v>110</v>
      </c>
      <c r="J543" s="49">
        <v>3</v>
      </c>
      <c r="K543" s="50">
        <v>1165</v>
      </c>
      <c r="L543" s="50">
        <v>1156.82</v>
      </c>
      <c r="M543" s="48" t="s">
        <v>276</v>
      </c>
      <c r="N543" s="51">
        <v>1</v>
      </c>
      <c r="O543" s="51">
        <v>1</v>
      </c>
      <c r="P543" s="52">
        <v>992.65</v>
      </c>
      <c r="Q543" s="52">
        <v>992.65</v>
      </c>
      <c r="R543" s="53" t="str">
        <f>INDEX(SKU_Master!$D$5:$D$34,MATCH($I543,SKU_Master!$A$5:$A$34,0))</f>
        <v>Laptop</v>
      </c>
      <c r="S543" s="54">
        <f t="shared" si="112"/>
        <v>7.0214592274678855E-3</v>
      </c>
      <c r="T543" s="55">
        <f t="shared" si="113"/>
        <v>3495</v>
      </c>
      <c r="U543" s="55">
        <f t="shared" si="114"/>
        <v>3470.46</v>
      </c>
      <c r="V543" s="55">
        <f t="shared" si="115"/>
        <v>-24.539999999999964</v>
      </c>
      <c r="W543" s="55">
        <f t="shared" si="116"/>
        <v>3470.46</v>
      </c>
      <c r="X543" s="55">
        <f t="shared" si="117"/>
        <v>0</v>
      </c>
      <c r="Y543" s="55">
        <f t="shared" si="118"/>
        <v>2977.95</v>
      </c>
      <c r="Z543" s="55">
        <f t="shared" si="119"/>
        <v>2977.95</v>
      </c>
      <c r="AA543" s="55">
        <f t="shared" si="120"/>
        <v>0</v>
      </c>
      <c r="AB543" s="55">
        <f t="shared" si="121"/>
        <v>492.51000000000022</v>
      </c>
      <c r="AC543" s="54">
        <f t="shared" si="122"/>
        <v>0.14191490465240925</v>
      </c>
      <c r="AD543" s="56">
        <f>INDEX(Assumptions!$B$14:$B$16,MATCH($R543,Assumptions!$A$14:$A$16,0))</f>
        <v>0.12</v>
      </c>
      <c r="AE543" s="56">
        <f>INDEX(Assumptions!$C$14:$C$16,MATCH($R543,Assumptions!$A$14:$A$16,0))</f>
        <v>0.08</v>
      </c>
      <c r="AF543" s="49">
        <f t="shared" si="123"/>
        <v>0</v>
      </c>
      <c r="AG543" s="49">
        <f t="shared" si="124"/>
        <v>0</v>
      </c>
      <c r="AH543" s="55">
        <f t="shared" si="125"/>
        <v>0</v>
      </c>
    </row>
    <row r="544" spans="1:34" x14ac:dyDescent="0.2">
      <c r="A544" s="48" t="s">
        <v>665</v>
      </c>
      <c r="B544" s="48">
        <v>2</v>
      </c>
      <c r="C544" s="48" t="s">
        <v>666</v>
      </c>
      <c r="D544" s="48" t="s">
        <v>636</v>
      </c>
      <c r="E544" s="48" t="s">
        <v>336</v>
      </c>
      <c r="F544" s="48" t="s">
        <v>274</v>
      </c>
      <c r="G544" s="48" t="s">
        <v>288</v>
      </c>
      <c r="H544" s="48" t="s">
        <v>62</v>
      </c>
      <c r="I544" s="48" t="s">
        <v>173</v>
      </c>
      <c r="J544" s="49">
        <v>3</v>
      </c>
      <c r="K544" s="50">
        <v>55</v>
      </c>
      <c r="L544" s="50">
        <v>54.46</v>
      </c>
      <c r="M544" s="48" t="s">
        <v>276</v>
      </c>
      <c r="N544" s="51">
        <v>1</v>
      </c>
      <c r="O544" s="51">
        <v>1</v>
      </c>
      <c r="P544" s="52">
        <v>34</v>
      </c>
      <c r="Q544" s="52">
        <v>34</v>
      </c>
      <c r="R544" s="53" t="str">
        <f>INDEX(SKU_Master!$D$5:$D$34,MATCH($I544,SKU_Master!$A$5:$A$34,0))</f>
        <v>Accessory</v>
      </c>
      <c r="S544" s="54">
        <f t="shared" si="112"/>
        <v>9.818181818181837E-3</v>
      </c>
      <c r="T544" s="55">
        <f t="shared" si="113"/>
        <v>165</v>
      </c>
      <c r="U544" s="55">
        <f t="shared" si="114"/>
        <v>163.38</v>
      </c>
      <c r="V544" s="55">
        <f t="shared" si="115"/>
        <v>-1.6200000000000045</v>
      </c>
      <c r="W544" s="55">
        <f t="shared" si="116"/>
        <v>163.38</v>
      </c>
      <c r="X544" s="55">
        <f t="shared" si="117"/>
        <v>0</v>
      </c>
      <c r="Y544" s="55">
        <f t="shared" si="118"/>
        <v>102</v>
      </c>
      <c r="Z544" s="55">
        <f t="shared" si="119"/>
        <v>102</v>
      </c>
      <c r="AA544" s="55">
        <f t="shared" si="120"/>
        <v>0</v>
      </c>
      <c r="AB544" s="55">
        <f t="shared" si="121"/>
        <v>61.379999999999995</v>
      </c>
      <c r="AC544" s="54">
        <f t="shared" si="122"/>
        <v>0.37568857877341166</v>
      </c>
      <c r="AD544" s="56">
        <f>INDEX(Assumptions!$B$14:$B$16,MATCH($R544,Assumptions!$A$14:$A$16,0))</f>
        <v>0.32</v>
      </c>
      <c r="AE544" s="56">
        <f>INDEX(Assumptions!$C$14:$C$16,MATCH($R544,Assumptions!$A$14:$A$16,0))</f>
        <v>0.22</v>
      </c>
      <c r="AF544" s="49">
        <f t="shared" si="123"/>
        <v>0</v>
      </c>
      <c r="AG544" s="49">
        <f t="shared" si="124"/>
        <v>0</v>
      </c>
      <c r="AH544" s="55">
        <f t="shared" si="125"/>
        <v>0</v>
      </c>
    </row>
    <row r="545" spans="1:34" x14ac:dyDescent="0.2">
      <c r="A545" s="48" t="s">
        <v>667</v>
      </c>
      <c r="B545" s="48">
        <v>1</v>
      </c>
      <c r="C545" s="48" t="s">
        <v>668</v>
      </c>
      <c r="D545" s="48" t="s">
        <v>636</v>
      </c>
      <c r="E545" s="48" t="s">
        <v>284</v>
      </c>
      <c r="F545" s="48" t="s">
        <v>274</v>
      </c>
      <c r="G545" s="48" t="s">
        <v>275</v>
      </c>
      <c r="H545" s="48" t="s">
        <v>64</v>
      </c>
      <c r="I545" s="48" t="s">
        <v>118</v>
      </c>
      <c r="J545" s="49">
        <v>4</v>
      </c>
      <c r="K545" s="50">
        <v>1120</v>
      </c>
      <c r="L545" s="50">
        <v>1101.56</v>
      </c>
      <c r="M545" s="48" t="s">
        <v>276</v>
      </c>
      <c r="N545" s="51">
        <v>0.79</v>
      </c>
      <c r="O545" s="51">
        <v>0.79100000000000004</v>
      </c>
      <c r="P545" s="52">
        <v>1186.5999999999999</v>
      </c>
      <c r="Q545" s="52">
        <v>1186.5999999999999</v>
      </c>
      <c r="R545" s="53" t="str">
        <f>INDEX(SKU_Master!$D$5:$D$34,MATCH($I545,SKU_Master!$A$5:$A$34,0))</f>
        <v>Laptop</v>
      </c>
      <c r="S545" s="54">
        <f t="shared" si="112"/>
        <v>1.6464285714285709E-2</v>
      </c>
      <c r="T545" s="55">
        <f t="shared" si="113"/>
        <v>5670.8860759493664</v>
      </c>
      <c r="U545" s="55">
        <f t="shared" si="114"/>
        <v>5577.5189873417712</v>
      </c>
      <c r="V545" s="55">
        <f t="shared" si="115"/>
        <v>-93.367088607595178</v>
      </c>
      <c r="W545" s="55">
        <f t="shared" si="116"/>
        <v>5570.4677623261687</v>
      </c>
      <c r="X545" s="55">
        <f t="shared" si="117"/>
        <v>-7.0512250156025402</v>
      </c>
      <c r="Y545" s="55">
        <f t="shared" si="118"/>
        <v>4746.3999999999996</v>
      </c>
      <c r="Z545" s="55">
        <f t="shared" si="119"/>
        <v>4746.3999999999996</v>
      </c>
      <c r="AA545" s="55">
        <f t="shared" si="120"/>
        <v>0</v>
      </c>
      <c r="AB545" s="55">
        <f t="shared" si="121"/>
        <v>824.06776232616903</v>
      </c>
      <c r="AC545" s="54">
        <f t="shared" si="122"/>
        <v>0.14793511020734226</v>
      </c>
      <c r="AD545" s="56">
        <f>INDEX(Assumptions!$B$14:$B$16,MATCH($R545,Assumptions!$A$14:$A$16,0))</f>
        <v>0.12</v>
      </c>
      <c r="AE545" s="56">
        <f>INDEX(Assumptions!$C$14:$C$16,MATCH($R545,Assumptions!$A$14:$A$16,0))</f>
        <v>0.08</v>
      </c>
      <c r="AF545" s="49">
        <f t="shared" si="123"/>
        <v>0</v>
      </c>
      <c r="AG545" s="49">
        <f t="shared" si="124"/>
        <v>0</v>
      </c>
      <c r="AH545" s="55">
        <f t="shared" si="125"/>
        <v>0</v>
      </c>
    </row>
    <row r="546" spans="1:34" x14ac:dyDescent="0.2">
      <c r="A546" s="48" t="s">
        <v>667</v>
      </c>
      <c r="B546" s="48">
        <v>2</v>
      </c>
      <c r="C546" s="48" t="s">
        <v>668</v>
      </c>
      <c r="D546" s="48" t="s">
        <v>636</v>
      </c>
      <c r="E546" s="48" t="s">
        <v>284</v>
      </c>
      <c r="F546" s="48" t="s">
        <v>274</v>
      </c>
      <c r="G546" s="48" t="s">
        <v>275</v>
      </c>
      <c r="H546" s="48" t="s">
        <v>64</v>
      </c>
      <c r="I546" s="48" t="s">
        <v>146</v>
      </c>
      <c r="J546" s="49">
        <v>4</v>
      </c>
      <c r="K546" s="50">
        <v>220</v>
      </c>
      <c r="L546" s="50">
        <v>215.78</v>
      </c>
      <c r="M546" s="48" t="s">
        <v>276</v>
      </c>
      <c r="N546" s="51">
        <v>0.79</v>
      </c>
      <c r="O546" s="51">
        <v>0.79100000000000004</v>
      </c>
      <c r="P546" s="52">
        <v>211.8</v>
      </c>
      <c r="Q546" s="52">
        <v>211.8</v>
      </c>
      <c r="R546" s="53" t="str">
        <f>INDEX(SKU_Master!$D$5:$D$34,MATCH($I546,SKU_Master!$A$5:$A$34,0))</f>
        <v>Monitor</v>
      </c>
      <c r="S546" s="54">
        <f t="shared" si="112"/>
        <v>1.9181818181818189E-2</v>
      </c>
      <c r="T546" s="55">
        <f t="shared" si="113"/>
        <v>1113.9240506329113</v>
      </c>
      <c r="U546" s="55">
        <f t="shared" si="114"/>
        <v>1092.5569620253164</v>
      </c>
      <c r="V546" s="55">
        <f t="shared" si="115"/>
        <v>-21.367088607594951</v>
      </c>
      <c r="W546" s="55">
        <f t="shared" si="116"/>
        <v>1091.1757269279392</v>
      </c>
      <c r="X546" s="55">
        <f t="shared" si="117"/>
        <v>-1.3812350973771572</v>
      </c>
      <c r="Y546" s="55">
        <f t="shared" si="118"/>
        <v>847.2</v>
      </c>
      <c r="Z546" s="55">
        <f t="shared" si="119"/>
        <v>847.2</v>
      </c>
      <c r="AA546" s="55">
        <f t="shared" si="120"/>
        <v>0</v>
      </c>
      <c r="AB546" s="55">
        <f t="shared" si="121"/>
        <v>243.97572692793915</v>
      </c>
      <c r="AC546" s="54">
        <f t="shared" si="122"/>
        <v>0.22358976735563987</v>
      </c>
      <c r="AD546" s="56">
        <f>INDEX(Assumptions!$B$14:$B$16,MATCH($R546,Assumptions!$A$14:$A$16,0))</f>
        <v>0.18</v>
      </c>
      <c r="AE546" s="56">
        <f>INDEX(Assumptions!$C$14:$C$16,MATCH($R546,Assumptions!$A$14:$A$16,0))</f>
        <v>0.12</v>
      </c>
      <c r="AF546" s="49">
        <f t="shared" si="123"/>
        <v>0</v>
      </c>
      <c r="AG546" s="49">
        <f t="shared" si="124"/>
        <v>0</v>
      </c>
      <c r="AH546" s="55">
        <f t="shared" si="125"/>
        <v>0</v>
      </c>
    </row>
    <row r="547" spans="1:34" x14ac:dyDescent="0.2">
      <c r="A547" s="48" t="s">
        <v>667</v>
      </c>
      <c r="B547" s="48">
        <v>3</v>
      </c>
      <c r="C547" s="48" t="s">
        <v>668</v>
      </c>
      <c r="D547" s="48" t="s">
        <v>636</v>
      </c>
      <c r="E547" s="48" t="s">
        <v>284</v>
      </c>
      <c r="F547" s="48" t="s">
        <v>274</v>
      </c>
      <c r="G547" s="48" t="s">
        <v>275</v>
      </c>
      <c r="H547" s="48" t="s">
        <v>64</v>
      </c>
      <c r="I547" s="48" t="s">
        <v>157</v>
      </c>
      <c r="J547" s="49">
        <v>4</v>
      </c>
      <c r="K547" s="50">
        <v>115</v>
      </c>
      <c r="L547" s="50">
        <v>113.69</v>
      </c>
      <c r="M547" s="48" t="s">
        <v>276</v>
      </c>
      <c r="N547" s="51">
        <v>0.79</v>
      </c>
      <c r="O547" s="51">
        <v>0.79100000000000004</v>
      </c>
      <c r="P547" s="52">
        <v>92</v>
      </c>
      <c r="Q547" s="52">
        <v>92</v>
      </c>
      <c r="R547" s="53" t="str">
        <f>INDEX(SKU_Master!$D$5:$D$34,MATCH($I547,SKU_Master!$A$5:$A$34,0))</f>
        <v>Accessory</v>
      </c>
      <c r="S547" s="54">
        <f t="shared" si="112"/>
        <v>1.1391304347826092E-2</v>
      </c>
      <c r="T547" s="55">
        <f t="shared" si="113"/>
        <v>582.27848101265818</v>
      </c>
      <c r="U547" s="55">
        <f t="shared" si="114"/>
        <v>575.64556962025313</v>
      </c>
      <c r="V547" s="55">
        <f t="shared" si="115"/>
        <v>-6.6329113924050489</v>
      </c>
      <c r="W547" s="55">
        <f t="shared" si="116"/>
        <v>574.91782553729456</v>
      </c>
      <c r="X547" s="55">
        <f t="shared" si="117"/>
        <v>-0.72774408295856574</v>
      </c>
      <c r="Y547" s="55">
        <f t="shared" si="118"/>
        <v>368</v>
      </c>
      <c r="Z547" s="55">
        <f t="shared" si="119"/>
        <v>368</v>
      </c>
      <c r="AA547" s="55">
        <f t="shared" si="120"/>
        <v>0</v>
      </c>
      <c r="AB547" s="55">
        <f t="shared" si="121"/>
        <v>206.91782553729456</v>
      </c>
      <c r="AC547" s="54">
        <f t="shared" si="122"/>
        <v>0.3599085231770604</v>
      </c>
      <c r="AD547" s="56">
        <f>INDEX(Assumptions!$B$14:$B$16,MATCH($R547,Assumptions!$A$14:$A$16,0))</f>
        <v>0.32</v>
      </c>
      <c r="AE547" s="56">
        <f>INDEX(Assumptions!$C$14:$C$16,MATCH($R547,Assumptions!$A$14:$A$16,0))</f>
        <v>0.22</v>
      </c>
      <c r="AF547" s="49">
        <f t="shared" si="123"/>
        <v>0</v>
      </c>
      <c r="AG547" s="49">
        <f t="shared" si="124"/>
        <v>0</v>
      </c>
      <c r="AH547" s="55">
        <f t="shared" si="125"/>
        <v>0</v>
      </c>
    </row>
    <row r="548" spans="1:34" x14ac:dyDescent="0.2">
      <c r="A548" s="48" t="s">
        <v>669</v>
      </c>
      <c r="B548" s="48">
        <v>1</v>
      </c>
      <c r="C548" s="48" t="s">
        <v>670</v>
      </c>
      <c r="D548" s="48" t="s">
        <v>636</v>
      </c>
      <c r="E548" s="48" t="s">
        <v>395</v>
      </c>
      <c r="F548" s="48" t="s">
        <v>280</v>
      </c>
      <c r="G548" s="48" t="s">
        <v>281</v>
      </c>
      <c r="H548" s="48" t="s">
        <v>66</v>
      </c>
      <c r="I548" s="48" t="s">
        <v>98</v>
      </c>
      <c r="J548" s="49">
        <v>15</v>
      </c>
      <c r="K548" s="50">
        <v>1980</v>
      </c>
      <c r="L548" s="50">
        <v>1943.48</v>
      </c>
      <c r="M548" s="48" t="s">
        <v>276</v>
      </c>
      <c r="N548" s="51">
        <v>0.92</v>
      </c>
      <c r="O548" s="51">
        <v>0.91800000000000004</v>
      </c>
      <c r="P548" s="52">
        <v>1800.2</v>
      </c>
      <c r="Q548" s="52">
        <v>1800.2</v>
      </c>
      <c r="R548" s="53" t="str">
        <f>INDEX(SKU_Master!$D$5:$D$34,MATCH($I548,SKU_Master!$A$5:$A$34,0))</f>
        <v>Laptop</v>
      </c>
      <c r="S548" s="54">
        <f t="shared" si="112"/>
        <v>1.8444444444444485E-2</v>
      </c>
      <c r="T548" s="55">
        <f t="shared" si="113"/>
        <v>32282.608695652172</v>
      </c>
      <c r="U548" s="55">
        <f t="shared" si="114"/>
        <v>31687.173913043476</v>
      </c>
      <c r="V548" s="55">
        <f t="shared" si="115"/>
        <v>-595.43478260869597</v>
      </c>
      <c r="W548" s="55">
        <f t="shared" si="116"/>
        <v>31756.209150326798</v>
      </c>
      <c r="X548" s="55">
        <f t="shared" si="117"/>
        <v>69.035237283322203</v>
      </c>
      <c r="Y548" s="55">
        <f t="shared" si="118"/>
        <v>27003</v>
      </c>
      <c r="Z548" s="55">
        <f t="shared" si="119"/>
        <v>27003</v>
      </c>
      <c r="AA548" s="55">
        <f t="shared" si="120"/>
        <v>0</v>
      </c>
      <c r="AB548" s="55">
        <f t="shared" si="121"/>
        <v>4753.2091503267984</v>
      </c>
      <c r="AC548" s="54">
        <f t="shared" si="122"/>
        <v>0.14967810319632827</v>
      </c>
      <c r="AD548" s="56">
        <f>INDEX(Assumptions!$B$14:$B$16,MATCH($R548,Assumptions!$A$14:$A$16,0))</f>
        <v>0.12</v>
      </c>
      <c r="AE548" s="56">
        <f>INDEX(Assumptions!$C$14:$C$16,MATCH($R548,Assumptions!$A$14:$A$16,0))</f>
        <v>0.08</v>
      </c>
      <c r="AF548" s="49">
        <f t="shared" si="123"/>
        <v>0</v>
      </c>
      <c r="AG548" s="49">
        <f t="shared" si="124"/>
        <v>0</v>
      </c>
      <c r="AH548" s="55">
        <f t="shared" si="125"/>
        <v>0</v>
      </c>
    </row>
    <row r="549" spans="1:34" x14ac:dyDescent="0.2">
      <c r="A549" s="48" t="s">
        <v>669</v>
      </c>
      <c r="B549" s="48">
        <v>2</v>
      </c>
      <c r="C549" s="48" t="s">
        <v>670</v>
      </c>
      <c r="D549" s="48" t="s">
        <v>636</v>
      </c>
      <c r="E549" s="48" t="s">
        <v>395</v>
      </c>
      <c r="F549" s="48" t="s">
        <v>280</v>
      </c>
      <c r="G549" s="48" t="s">
        <v>281</v>
      </c>
      <c r="H549" s="48" t="s">
        <v>66</v>
      </c>
      <c r="I549" s="48" t="s">
        <v>151</v>
      </c>
      <c r="J549" s="49">
        <v>11</v>
      </c>
      <c r="K549" s="50">
        <v>325</v>
      </c>
      <c r="L549" s="50">
        <v>311.64999999999998</v>
      </c>
      <c r="M549" s="48" t="s">
        <v>276</v>
      </c>
      <c r="N549" s="51">
        <v>0.92</v>
      </c>
      <c r="O549" s="51">
        <v>0.91800000000000004</v>
      </c>
      <c r="P549" s="52">
        <v>221.7</v>
      </c>
      <c r="Q549" s="52">
        <v>221.7</v>
      </c>
      <c r="R549" s="53" t="str">
        <f>INDEX(SKU_Master!$D$5:$D$34,MATCH($I549,SKU_Master!$A$5:$A$34,0))</f>
        <v>Accessory</v>
      </c>
      <c r="S549" s="54">
        <f t="shared" si="112"/>
        <v>4.1076923076923122E-2</v>
      </c>
      <c r="T549" s="55">
        <f t="shared" si="113"/>
        <v>3885.869565217391</v>
      </c>
      <c r="U549" s="55">
        <f t="shared" si="114"/>
        <v>3726.2499999999995</v>
      </c>
      <c r="V549" s="55">
        <f t="shared" si="115"/>
        <v>-159.61956521739148</v>
      </c>
      <c r="W549" s="55">
        <f t="shared" si="116"/>
        <v>3734.3681917211325</v>
      </c>
      <c r="X549" s="55">
        <f t="shared" si="117"/>
        <v>8.1181917211329164</v>
      </c>
      <c r="Y549" s="55">
        <f t="shared" si="118"/>
        <v>2438.6999999999998</v>
      </c>
      <c r="Z549" s="55">
        <f t="shared" si="119"/>
        <v>2438.6999999999998</v>
      </c>
      <c r="AA549" s="55">
        <f t="shared" si="120"/>
        <v>0</v>
      </c>
      <c r="AB549" s="55">
        <f t="shared" si="121"/>
        <v>1295.6681917211326</v>
      </c>
      <c r="AC549" s="54">
        <f t="shared" si="122"/>
        <v>0.34695780523022618</v>
      </c>
      <c r="AD549" s="56">
        <f>INDEX(Assumptions!$B$14:$B$16,MATCH($R549,Assumptions!$A$14:$A$16,0))</f>
        <v>0.32</v>
      </c>
      <c r="AE549" s="56">
        <f>INDEX(Assumptions!$C$14:$C$16,MATCH($R549,Assumptions!$A$14:$A$16,0))</f>
        <v>0.22</v>
      </c>
      <c r="AF549" s="49">
        <f t="shared" si="123"/>
        <v>0</v>
      </c>
      <c r="AG549" s="49">
        <f t="shared" si="124"/>
        <v>0</v>
      </c>
      <c r="AH549" s="55">
        <f t="shared" si="125"/>
        <v>0</v>
      </c>
    </row>
    <row r="550" spans="1:34" x14ac:dyDescent="0.2">
      <c r="A550" s="48" t="s">
        <v>671</v>
      </c>
      <c r="B550" s="48">
        <v>1</v>
      </c>
      <c r="C550" s="48" t="s">
        <v>659</v>
      </c>
      <c r="D550" s="48" t="s">
        <v>636</v>
      </c>
      <c r="E550" s="48" t="s">
        <v>355</v>
      </c>
      <c r="F550" s="48" t="s">
        <v>280</v>
      </c>
      <c r="G550" s="48" t="s">
        <v>302</v>
      </c>
      <c r="H550" s="48" t="s">
        <v>62</v>
      </c>
      <c r="I550" s="48" t="s">
        <v>98</v>
      </c>
      <c r="J550" s="49">
        <v>11</v>
      </c>
      <c r="K550" s="50">
        <v>2085</v>
      </c>
      <c r="L550" s="50">
        <v>1917.57</v>
      </c>
      <c r="M550" s="48" t="s">
        <v>276</v>
      </c>
      <c r="N550" s="51">
        <v>1</v>
      </c>
      <c r="O550" s="51">
        <v>1</v>
      </c>
      <c r="P550" s="52">
        <v>1780.2</v>
      </c>
      <c r="Q550" s="52">
        <v>1780.2</v>
      </c>
      <c r="R550" s="53" t="str">
        <f>INDEX(SKU_Master!$D$5:$D$34,MATCH($I550,SKU_Master!$A$5:$A$34,0))</f>
        <v>Laptop</v>
      </c>
      <c r="S550" s="54">
        <f t="shared" si="112"/>
        <v>8.0302158273381274E-2</v>
      </c>
      <c r="T550" s="55">
        <f t="shared" si="113"/>
        <v>22935</v>
      </c>
      <c r="U550" s="55">
        <f t="shared" si="114"/>
        <v>21093.27</v>
      </c>
      <c r="V550" s="55">
        <f t="shared" si="115"/>
        <v>-1841.7299999999996</v>
      </c>
      <c r="W550" s="55">
        <f t="shared" si="116"/>
        <v>21093.27</v>
      </c>
      <c r="X550" s="55">
        <f t="shared" si="117"/>
        <v>0</v>
      </c>
      <c r="Y550" s="55">
        <f t="shared" si="118"/>
        <v>19582.2</v>
      </c>
      <c r="Z550" s="55">
        <f t="shared" si="119"/>
        <v>19582.2</v>
      </c>
      <c r="AA550" s="55">
        <f t="shared" si="120"/>
        <v>0</v>
      </c>
      <c r="AB550" s="55">
        <f t="shared" si="121"/>
        <v>1511.0699999999997</v>
      </c>
      <c r="AC550" s="54">
        <f t="shared" si="122"/>
        <v>7.1637541263161172E-2</v>
      </c>
      <c r="AD550" s="56">
        <f>INDEX(Assumptions!$B$14:$B$16,MATCH($R550,Assumptions!$A$14:$A$16,0))</f>
        <v>0.12</v>
      </c>
      <c r="AE550" s="56">
        <f>INDEX(Assumptions!$C$14:$C$16,MATCH($R550,Assumptions!$A$14:$A$16,0))</f>
        <v>0.08</v>
      </c>
      <c r="AF550" s="49">
        <f t="shared" si="123"/>
        <v>1</v>
      </c>
      <c r="AG550" s="49">
        <f t="shared" si="124"/>
        <v>1</v>
      </c>
      <c r="AH550" s="55">
        <f t="shared" si="125"/>
        <v>1020.1224000000002</v>
      </c>
    </row>
    <row r="551" spans="1:34" x14ac:dyDescent="0.2">
      <c r="A551" s="48" t="s">
        <v>671</v>
      </c>
      <c r="B551" s="48">
        <v>2</v>
      </c>
      <c r="C551" s="48" t="s">
        <v>659</v>
      </c>
      <c r="D551" s="48" t="s">
        <v>636</v>
      </c>
      <c r="E551" s="48" t="s">
        <v>355</v>
      </c>
      <c r="F551" s="48" t="s">
        <v>280</v>
      </c>
      <c r="G551" s="48" t="s">
        <v>302</v>
      </c>
      <c r="H551" s="48" t="s">
        <v>62</v>
      </c>
      <c r="I551" s="48" t="s">
        <v>138</v>
      </c>
      <c r="J551" s="49">
        <v>11</v>
      </c>
      <c r="K551" s="50">
        <v>455</v>
      </c>
      <c r="L551" s="50">
        <v>445.82</v>
      </c>
      <c r="M551" s="48" t="s">
        <v>276</v>
      </c>
      <c r="N551" s="51">
        <v>1</v>
      </c>
      <c r="O551" s="51">
        <v>1</v>
      </c>
      <c r="P551" s="52">
        <v>358.2</v>
      </c>
      <c r="Q551" s="52">
        <v>358.2</v>
      </c>
      <c r="R551" s="53" t="str">
        <f>INDEX(SKU_Master!$D$5:$D$34,MATCH($I551,SKU_Master!$A$5:$A$34,0))</f>
        <v>Monitor</v>
      </c>
      <c r="S551" s="54">
        <f t="shared" si="112"/>
        <v>2.0175824175824197E-2</v>
      </c>
      <c r="T551" s="55">
        <f t="shared" si="113"/>
        <v>5005</v>
      </c>
      <c r="U551" s="55">
        <f t="shared" si="114"/>
        <v>4904.0199999999995</v>
      </c>
      <c r="V551" s="55">
        <f t="shared" si="115"/>
        <v>-100.98000000000047</v>
      </c>
      <c r="W551" s="55">
        <f t="shared" si="116"/>
        <v>4904.0199999999995</v>
      </c>
      <c r="X551" s="55">
        <f t="shared" si="117"/>
        <v>0</v>
      </c>
      <c r="Y551" s="55">
        <f t="shared" si="118"/>
        <v>3940.2</v>
      </c>
      <c r="Z551" s="55">
        <f t="shared" si="119"/>
        <v>3940.2</v>
      </c>
      <c r="AA551" s="55">
        <f t="shared" si="120"/>
        <v>0</v>
      </c>
      <c r="AB551" s="55">
        <f t="shared" si="121"/>
        <v>963.81999999999971</v>
      </c>
      <c r="AC551" s="54">
        <f t="shared" si="122"/>
        <v>0.19653671885514329</v>
      </c>
      <c r="AD551" s="56">
        <f>INDEX(Assumptions!$B$14:$B$16,MATCH($R551,Assumptions!$A$14:$A$16,0))</f>
        <v>0.18</v>
      </c>
      <c r="AE551" s="56">
        <f>INDEX(Assumptions!$C$14:$C$16,MATCH($R551,Assumptions!$A$14:$A$16,0))</f>
        <v>0.12</v>
      </c>
      <c r="AF551" s="49">
        <f t="shared" si="123"/>
        <v>0</v>
      </c>
      <c r="AG551" s="49">
        <f t="shared" si="124"/>
        <v>0</v>
      </c>
      <c r="AH551" s="55">
        <f t="shared" si="125"/>
        <v>0</v>
      </c>
    </row>
    <row r="552" spans="1:34" x14ac:dyDescent="0.2">
      <c r="A552" s="48" t="s">
        <v>671</v>
      </c>
      <c r="B552" s="48">
        <v>3</v>
      </c>
      <c r="C552" s="48" t="s">
        <v>659</v>
      </c>
      <c r="D552" s="48" t="s">
        <v>636</v>
      </c>
      <c r="E552" s="48" t="s">
        <v>355</v>
      </c>
      <c r="F552" s="48" t="s">
        <v>280</v>
      </c>
      <c r="G552" s="48" t="s">
        <v>302</v>
      </c>
      <c r="H552" s="48" t="s">
        <v>62</v>
      </c>
      <c r="I552" s="48" t="s">
        <v>166</v>
      </c>
      <c r="J552" s="49">
        <v>11</v>
      </c>
      <c r="K552" s="50">
        <v>265</v>
      </c>
      <c r="L552" s="50">
        <v>256.19</v>
      </c>
      <c r="M552" s="48" t="s">
        <v>276</v>
      </c>
      <c r="N552" s="51">
        <v>1</v>
      </c>
      <c r="O552" s="51">
        <v>1</v>
      </c>
      <c r="P552" s="52">
        <v>169.35</v>
      </c>
      <c r="Q552" s="52">
        <v>169.35</v>
      </c>
      <c r="R552" s="53" t="str">
        <f>INDEX(SKU_Master!$D$5:$D$34,MATCH($I552,SKU_Master!$A$5:$A$34,0))</f>
        <v>Accessory</v>
      </c>
      <c r="S552" s="54">
        <f t="shared" si="112"/>
        <v>3.3245283018867977E-2</v>
      </c>
      <c r="T552" s="55">
        <f t="shared" si="113"/>
        <v>2915</v>
      </c>
      <c r="U552" s="55">
        <f t="shared" si="114"/>
        <v>2818.09</v>
      </c>
      <c r="V552" s="55">
        <f t="shared" si="115"/>
        <v>-96.909999999999854</v>
      </c>
      <c r="W552" s="55">
        <f t="shared" si="116"/>
        <v>2818.09</v>
      </c>
      <c r="X552" s="55">
        <f t="shared" si="117"/>
        <v>0</v>
      </c>
      <c r="Y552" s="55">
        <f t="shared" si="118"/>
        <v>1862.85</v>
      </c>
      <c r="Z552" s="55">
        <f t="shared" si="119"/>
        <v>1862.85</v>
      </c>
      <c r="AA552" s="55">
        <f t="shared" si="120"/>
        <v>0</v>
      </c>
      <c r="AB552" s="55">
        <f t="shared" si="121"/>
        <v>955.24000000000024</v>
      </c>
      <c r="AC552" s="54">
        <f t="shared" si="122"/>
        <v>0.33896717280143651</v>
      </c>
      <c r="AD552" s="56">
        <f>INDEX(Assumptions!$B$14:$B$16,MATCH($R552,Assumptions!$A$14:$A$16,0))</f>
        <v>0.32</v>
      </c>
      <c r="AE552" s="56">
        <f>INDEX(Assumptions!$C$14:$C$16,MATCH($R552,Assumptions!$A$14:$A$16,0))</f>
        <v>0.22</v>
      </c>
      <c r="AF552" s="49">
        <f t="shared" si="123"/>
        <v>0</v>
      </c>
      <c r="AG552" s="49">
        <f t="shared" si="124"/>
        <v>0</v>
      </c>
      <c r="AH552" s="55">
        <f t="shared" si="125"/>
        <v>0</v>
      </c>
    </row>
    <row r="553" spans="1:34" x14ac:dyDescent="0.2">
      <c r="A553" s="48" t="s">
        <v>672</v>
      </c>
      <c r="B553" s="48">
        <v>1</v>
      </c>
      <c r="C553" s="48" t="s">
        <v>664</v>
      </c>
      <c r="D553" s="48" t="s">
        <v>636</v>
      </c>
      <c r="E553" s="48" t="s">
        <v>360</v>
      </c>
      <c r="F553" s="48" t="s">
        <v>280</v>
      </c>
      <c r="G553" s="48" t="s">
        <v>275</v>
      </c>
      <c r="H553" s="48" t="s">
        <v>68</v>
      </c>
      <c r="I553" s="48" t="s">
        <v>113</v>
      </c>
      <c r="J553" s="49">
        <v>29</v>
      </c>
      <c r="K553" s="50">
        <v>2450</v>
      </c>
      <c r="L553" s="50">
        <v>2386.67</v>
      </c>
      <c r="M553" s="48" t="s">
        <v>276</v>
      </c>
      <c r="N553" s="51">
        <v>1.37</v>
      </c>
      <c r="O553" s="51">
        <v>1.3562000000000001</v>
      </c>
      <c r="P553" s="52">
        <v>1496.8</v>
      </c>
      <c r="Q553" s="52">
        <v>1496.8</v>
      </c>
      <c r="R553" s="53" t="str">
        <f>INDEX(SKU_Master!$D$5:$D$34,MATCH($I553,SKU_Master!$A$5:$A$34,0))</f>
        <v>Laptop</v>
      </c>
      <c r="S553" s="54">
        <f t="shared" si="112"/>
        <v>2.584897959183674E-2</v>
      </c>
      <c r="T553" s="55">
        <f t="shared" si="113"/>
        <v>51861.313868613135</v>
      </c>
      <c r="U553" s="55">
        <f t="shared" si="114"/>
        <v>50520.751824817518</v>
      </c>
      <c r="V553" s="55">
        <f t="shared" si="115"/>
        <v>-1340.5620437956168</v>
      </c>
      <c r="W553" s="55">
        <f t="shared" si="116"/>
        <v>51034.825247013716</v>
      </c>
      <c r="X553" s="55">
        <f t="shared" si="117"/>
        <v>514.0734221961975</v>
      </c>
      <c r="Y553" s="55">
        <f t="shared" si="118"/>
        <v>43407.199999999997</v>
      </c>
      <c r="Z553" s="55">
        <f t="shared" si="119"/>
        <v>43407.199999999997</v>
      </c>
      <c r="AA553" s="55">
        <f t="shared" si="120"/>
        <v>0</v>
      </c>
      <c r="AB553" s="55">
        <f t="shared" si="121"/>
        <v>7627.6252470137188</v>
      </c>
      <c r="AC553" s="54">
        <f t="shared" si="122"/>
        <v>0.14945922142566848</v>
      </c>
      <c r="AD553" s="56">
        <f>INDEX(Assumptions!$B$14:$B$16,MATCH($R553,Assumptions!$A$14:$A$16,0))</f>
        <v>0.12</v>
      </c>
      <c r="AE553" s="56">
        <f>INDEX(Assumptions!$C$14:$C$16,MATCH($R553,Assumptions!$A$14:$A$16,0))</f>
        <v>0.08</v>
      </c>
      <c r="AF553" s="49">
        <f t="shared" si="123"/>
        <v>0</v>
      </c>
      <c r="AG553" s="49">
        <f t="shared" si="124"/>
        <v>0</v>
      </c>
      <c r="AH553" s="55">
        <f t="shared" si="125"/>
        <v>0</v>
      </c>
    </row>
    <row r="554" spans="1:34" x14ac:dyDescent="0.2">
      <c r="A554" s="48" t="s">
        <v>672</v>
      </c>
      <c r="B554" s="48">
        <v>2</v>
      </c>
      <c r="C554" s="48" t="s">
        <v>664</v>
      </c>
      <c r="D554" s="48" t="s">
        <v>636</v>
      </c>
      <c r="E554" s="48" t="s">
        <v>360</v>
      </c>
      <c r="F554" s="48" t="s">
        <v>280</v>
      </c>
      <c r="G554" s="48" t="s">
        <v>275</v>
      </c>
      <c r="H554" s="48" t="s">
        <v>68</v>
      </c>
      <c r="I554" s="48" t="s">
        <v>146</v>
      </c>
      <c r="J554" s="49">
        <v>20</v>
      </c>
      <c r="K554" s="50">
        <v>350</v>
      </c>
      <c r="L554" s="50">
        <v>339.57</v>
      </c>
      <c r="M554" s="48" t="s">
        <v>276</v>
      </c>
      <c r="N554" s="51">
        <v>1.37</v>
      </c>
      <c r="O554" s="51">
        <v>1.3562000000000001</v>
      </c>
      <c r="P554" s="52">
        <v>196.8</v>
      </c>
      <c r="Q554" s="52">
        <v>196.8</v>
      </c>
      <c r="R554" s="53" t="str">
        <f>INDEX(SKU_Master!$D$5:$D$34,MATCH($I554,SKU_Master!$A$5:$A$34,0))</f>
        <v>Monitor</v>
      </c>
      <c r="S554" s="54">
        <f t="shared" si="112"/>
        <v>2.9800000000000049E-2</v>
      </c>
      <c r="T554" s="55">
        <f t="shared" si="113"/>
        <v>5109.4890510948899</v>
      </c>
      <c r="U554" s="55">
        <f t="shared" si="114"/>
        <v>4957.2262773722623</v>
      </c>
      <c r="V554" s="55">
        <f t="shared" si="115"/>
        <v>-152.26277372262757</v>
      </c>
      <c r="W554" s="55">
        <f t="shared" si="116"/>
        <v>5007.6684854741179</v>
      </c>
      <c r="X554" s="55">
        <f t="shared" si="117"/>
        <v>50.442208101855613</v>
      </c>
      <c r="Y554" s="55">
        <f t="shared" si="118"/>
        <v>3936</v>
      </c>
      <c r="Z554" s="55">
        <f t="shared" si="119"/>
        <v>3936</v>
      </c>
      <c r="AA554" s="55">
        <f t="shared" si="120"/>
        <v>0</v>
      </c>
      <c r="AB554" s="55">
        <f t="shared" si="121"/>
        <v>1071.6684854741179</v>
      </c>
      <c r="AC554" s="54">
        <f t="shared" si="122"/>
        <v>0.21400547751568144</v>
      </c>
      <c r="AD554" s="56">
        <f>INDEX(Assumptions!$B$14:$B$16,MATCH($R554,Assumptions!$A$14:$A$16,0))</f>
        <v>0.18</v>
      </c>
      <c r="AE554" s="56">
        <f>INDEX(Assumptions!$C$14:$C$16,MATCH($R554,Assumptions!$A$14:$A$16,0))</f>
        <v>0.12</v>
      </c>
      <c r="AF554" s="49">
        <f t="shared" si="123"/>
        <v>0</v>
      </c>
      <c r="AG554" s="49">
        <f t="shared" si="124"/>
        <v>0</v>
      </c>
      <c r="AH554" s="55">
        <f t="shared" si="125"/>
        <v>0</v>
      </c>
    </row>
    <row r="555" spans="1:34" x14ac:dyDescent="0.2">
      <c r="A555" s="48" t="s">
        <v>673</v>
      </c>
      <c r="B555" s="48">
        <v>1</v>
      </c>
      <c r="C555" s="48" t="s">
        <v>666</v>
      </c>
      <c r="D555" s="48" t="s">
        <v>636</v>
      </c>
      <c r="E555" s="48" t="s">
        <v>355</v>
      </c>
      <c r="F555" s="48" t="s">
        <v>280</v>
      </c>
      <c r="G555" s="48" t="s">
        <v>302</v>
      </c>
      <c r="H555" s="48" t="s">
        <v>62</v>
      </c>
      <c r="I555" s="48" t="s">
        <v>103</v>
      </c>
      <c r="J555" s="49">
        <v>22</v>
      </c>
      <c r="K555" s="50">
        <v>1135</v>
      </c>
      <c r="L555" s="50">
        <v>1063.74</v>
      </c>
      <c r="M555" s="48" t="s">
        <v>276</v>
      </c>
      <c r="N555" s="51">
        <v>1</v>
      </c>
      <c r="O555" s="51">
        <v>1</v>
      </c>
      <c r="P555" s="52">
        <v>968.6</v>
      </c>
      <c r="Q555" s="52">
        <v>968.6</v>
      </c>
      <c r="R555" s="53" t="str">
        <f>INDEX(SKU_Master!$D$5:$D$34,MATCH($I555,SKU_Master!$A$5:$A$34,0))</f>
        <v>Laptop</v>
      </c>
      <c r="S555" s="54">
        <f t="shared" si="112"/>
        <v>6.278414096916296E-2</v>
      </c>
      <c r="T555" s="55">
        <f t="shared" si="113"/>
        <v>24970</v>
      </c>
      <c r="U555" s="55">
        <f t="shared" si="114"/>
        <v>23402.28</v>
      </c>
      <c r="V555" s="55">
        <f t="shared" si="115"/>
        <v>-1567.7200000000012</v>
      </c>
      <c r="W555" s="55">
        <f t="shared" si="116"/>
        <v>23402.28</v>
      </c>
      <c r="X555" s="55">
        <f t="shared" si="117"/>
        <v>0</v>
      </c>
      <c r="Y555" s="55">
        <f t="shared" si="118"/>
        <v>21309.200000000001</v>
      </c>
      <c r="Z555" s="55">
        <f t="shared" si="119"/>
        <v>21309.200000000001</v>
      </c>
      <c r="AA555" s="55">
        <f t="shared" si="120"/>
        <v>0</v>
      </c>
      <c r="AB555" s="55">
        <f t="shared" si="121"/>
        <v>2093.0799999999981</v>
      </c>
      <c r="AC555" s="54">
        <f t="shared" si="122"/>
        <v>8.9439148664147178E-2</v>
      </c>
      <c r="AD555" s="56">
        <f>INDEX(Assumptions!$B$14:$B$16,MATCH($R555,Assumptions!$A$14:$A$16,0))</f>
        <v>0.12</v>
      </c>
      <c r="AE555" s="56">
        <f>INDEX(Assumptions!$C$14:$C$16,MATCH($R555,Assumptions!$A$14:$A$16,0))</f>
        <v>0.08</v>
      </c>
      <c r="AF555" s="49">
        <f t="shared" si="123"/>
        <v>0</v>
      </c>
      <c r="AG555" s="49">
        <f t="shared" si="124"/>
        <v>0</v>
      </c>
      <c r="AH555" s="55">
        <f t="shared" si="125"/>
        <v>715.19360000000142</v>
      </c>
    </row>
    <row r="556" spans="1:34" x14ac:dyDescent="0.2">
      <c r="A556" s="48" t="s">
        <v>673</v>
      </c>
      <c r="B556" s="48">
        <v>2</v>
      </c>
      <c r="C556" s="48" t="s">
        <v>666</v>
      </c>
      <c r="D556" s="48" t="s">
        <v>636</v>
      </c>
      <c r="E556" s="48" t="s">
        <v>355</v>
      </c>
      <c r="F556" s="48" t="s">
        <v>280</v>
      </c>
      <c r="G556" s="48" t="s">
        <v>302</v>
      </c>
      <c r="H556" s="48" t="s">
        <v>62</v>
      </c>
      <c r="I556" s="48" t="s">
        <v>146</v>
      </c>
      <c r="J556" s="49">
        <v>10</v>
      </c>
      <c r="K556" s="50">
        <v>235</v>
      </c>
      <c r="L556" s="50">
        <v>218.89</v>
      </c>
      <c r="M556" s="48" t="s">
        <v>276</v>
      </c>
      <c r="N556" s="51">
        <v>1</v>
      </c>
      <c r="O556" s="51">
        <v>1</v>
      </c>
      <c r="P556" s="52">
        <v>181.8</v>
      </c>
      <c r="Q556" s="52">
        <v>181.8</v>
      </c>
      <c r="R556" s="53" t="str">
        <f>INDEX(SKU_Master!$D$5:$D$34,MATCH($I556,SKU_Master!$A$5:$A$34,0))</f>
        <v>Monitor</v>
      </c>
      <c r="S556" s="54">
        <f t="shared" si="112"/>
        <v>6.8553191489361787E-2</v>
      </c>
      <c r="T556" s="55">
        <f t="shared" si="113"/>
        <v>2350</v>
      </c>
      <c r="U556" s="55">
        <f t="shared" si="114"/>
        <v>2188.8999999999996</v>
      </c>
      <c r="V556" s="55">
        <f t="shared" si="115"/>
        <v>-161.10000000000036</v>
      </c>
      <c r="W556" s="55">
        <f t="shared" si="116"/>
        <v>2188.8999999999996</v>
      </c>
      <c r="X556" s="55">
        <f t="shared" si="117"/>
        <v>0</v>
      </c>
      <c r="Y556" s="55">
        <f t="shared" si="118"/>
        <v>1818</v>
      </c>
      <c r="Z556" s="55">
        <f t="shared" si="119"/>
        <v>1818</v>
      </c>
      <c r="AA556" s="55">
        <f t="shared" si="120"/>
        <v>0</v>
      </c>
      <c r="AB556" s="55">
        <f t="shared" si="121"/>
        <v>370.89999999999964</v>
      </c>
      <c r="AC556" s="54">
        <f t="shared" si="122"/>
        <v>0.16944584037644464</v>
      </c>
      <c r="AD556" s="56">
        <f>INDEX(Assumptions!$B$14:$B$16,MATCH($R556,Assumptions!$A$14:$A$16,0))</f>
        <v>0.18</v>
      </c>
      <c r="AE556" s="56">
        <f>INDEX(Assumptions!$C$14:$C$16,MATCH($R556,Assumptions!$A$14:$A$16,0))</f>
        <v>0.12</v>
      </c>
      <c r="AF556" s="49">
        <f t="shared" si="123"/>
        <v>0</v>
      </c>
      <c r="AG556" s="49">
        <f t="shared" si="124"/>
        <v>0</v>
      </c>
      <c r="AH556" s="55">
        <f t="shared" si="125"/>
        <v>23.10200000000026</v>
      </c>
    </row>
    <row r="557" spans="1:34" x14ac:dyDescent="0.2">
      <c r="A557" s="48" t="s">
        <v>674</v>
      </c>
      <c r="B557" s="48">
        <v>1</v>
      </c>
      <c r="C557" s="48" t="s">
        <v>675</v>
      </c>
      <c r="D557" s="48" t="s">
        <v>636</v>
      </c>
      <c r="E557" s="48" t="s">
        <v>407</v>
      </c>
      <c r="F557" s="48" t="s">
        <v>274</v>
      </c>
      <c r="G557" s="48" t="s">
        <v>302</v>
      </c>
      <c r="H557" s="48" t="s">
        <v>62</v>
      </c>
      <c r="I557" s="48" t="s">
        <v>110</v>
      </c>
      <c r="J557" s="49">
        <v>5</v>
      </c>
      <c r="K557" s="50">
        <v>1165</v>
      </c>
      <c r="L557" s="50">
        <v>1101.44</v>
      </c>
      <c r="M557" s="48" t="s">
        <v>276</v>
      </c>
      <c r="N557" s="51">
        <v>1</v>
      </c>
      <c r="O557" s="51">
        <v>1</v>
      </c>
      <c r="P557" s="52">
        <v>992.65</v>
      </c>
      <c r="Q557" s="52">
        <v>992.65</v>
      </c>
      <c r="R557" s="53" t="str">
        <f>INDEX(SKU_Master!$D$5:$D$34,MATCH($I557,SKU_Master!$A$5:$A$34,0))</f>
        <v>Laptop</v>
      </c>
      <c r="S557" s="54">
        <f t="shared" si="112"/>
        <v>5.4557939914163023E-2</v>
      </c>
      <c r="T557" s="55">
        <f t="shared" si="113"/>
        <v>5825</v>
      </c>
      <c r="U557" s="55">
        <f t="shared" si="114"/>
        <v>5507.2000000000007</v>
      </c>
      <c r="V557" s="55">
        <f t="shared" si="115"/>
        <v>-317.79999999999927</v>
      </c>
      <c r="W557" s="55">
        <f t="shared" si="116"/>
        <v>5507.2000000000007</v>
      </c>
      <c r="X557" s="55">
        <f t="shared" si="117"/>
        <v>0</v>
      </c>
      <c r="Y557" s="55">
        <f t="shared" si="118"/>
        <v>4963.25</v>
      </c>
      <c r="Z557" s="55">
        <f t="shared" si="119"/>
        <v>4963.25</v>
      </c>
      <c r="AA557" s="55">
        <f t="shared" si="120"/>
        <v>0</v>
      </c>
      <c r="AB557" s="55">
        <f t="shared" si="121"/>
        <v>543.95000000000073</v>
      </c>
      <c r="AC557" s="54">
        <f t="shared" si="122"/>
        <v>9.8770700174317383E-2</v>
      </c>
      <c r="AD557" s="56">
        <f>INDEX(Assumptions!$B$14:$B$16,MATCH($R557,Assumptions!$A$14:$A$16,0))</f>
        <v>0.12</v>
      </c>
      <c r="AE557" s="56">
        <f>INDEX(Assumptions!$C$14:$C$16,MATCH($R557,Assumptions!$A$14:$A$16,0))</f>
        <v>0.08</v>
      </c>
      <c r="AF557" s="49">
        <f t="shared" si="123"/>
        <v>0</v>
      </c>
      <c r="AG557" s="49">
        <f t="shared" si="124"/>
        <v>0</v>
      </c>
      <c r="AH557" s="55">
        <f t="shared" si="125"/>
        <v>116.91399999999931</v>
      </c>
    </row>
    <row r="558" spans="1:34" x14ac:dyDescent="0.2">
      <c r="A558" s="48" t="s">
        <v>674</v>
      </c>
      <c r="B558" s="48">
        <v>2</v>
      </c>
      <c r="C558" s="48" t="s">
        <v>675</v>
      </c>
      <c r="D558" s="48" t="s">
        <v>636</v>
      </c>
      <c r="E558" s="48" t="s">
        <v>407</v>
      </c>
      <c r="F558" s="48" t="s">
        <v>274</v>
      </c>
      <c r="G558" s="48" t="s">
        <v>302</v>
      </c>
      <c r="H558" s="48" t="s">
        <v>62</v>
      </c>
      <c r="I558" s="48" t="s">
        <v>144</v>
      </c>
      <c r="J558" s="49">
        <v>3</v>
      </c>
      <c r="K558" s="50">
        <v>370</v>
      </c>
      <c r="L558" s="50">
        <v>364.08</v>
      </c>
      <c r="M558" s="48" t="s">
        <v>276</v>
      </c>
      <c r="N558" s="51">
        <v>1</v>
      </c>
      <c r="O558" s="51">
        <v>1</v>
      </c>
      <c r="P558" s="52">
        <v>289.60000000000002</v>
      </c>
      <c r="Q558" s="52">
        <v>289.60000000000002</v>
      </c>
      <c r="R558" s="53" t="str">
        <f>INDEX(SKU_Master!$D$5:$D$34,MATCH($I558,SKU_Master!$A$5:$A$34,0))</f>
        <v>Monitor</v>
      </c>
      <c r="S558" s="54">
        <f t="shared" si="112"/>
        <v>1.6000000000000014E-2</v>
      </c>
      <c r="T558" s="55">
        <f t="shared" si="113"/>
        <v>1110</v>
      </c>
      <c r="U558" s="55">
        <f t="shared" si="114"/>
        <v>1092.24</v>
      </c>
      <c r="V558" s="55">
        <f t="shared" si="115"/>
        <v>-17.759999999999991</v>
      </c>
      <c r="W558" s="55">
        <f t="shared" si="116"/>
        <v>1092.24</v>
      </c>
      <c r="X558" s="55">
        <f t="shared" si="117"/>
        <v>0</v>
      </c>
      <c r="Y558" s="55">
        <f t="shared" si="118"/>
        <v>868.80000000000007</v>
      </c>
      <c r="Z558" s="55">
        <f t="shared" si="119"/>
        <v>868.80000000000007</v>
      </c>
      <c r="AA558" s="55">
        <f t="shared" si="120"/>
        <v>0</v>
      </c>
      <c r="AB558" s="55">
        <f t="shared" si="121"/>
        <v>223.43999999999994</v>
      </c>
      <c r="AC558" s="54">
        <f t="shared" si="122"/>
        <v>0.20457042408261916</v>
      </c>
      <c r="AD558" s="56">
        <f>INDEX(Assumptions!$B$14:$B$16,MATCH($R558,Assumptions!$A$14:$A$16,0))</f>
        <v>0.18</v>
      </c>
      <c r="AE558" s="56">
        <f>INDEX(Assumptions!$C$14:$C$16,MATCH($R558,Assumptions!$A$14:$A$16,0))</f>
        <v>0.12</v>
      </c>
      <c r="AF558" s="49">
        <f t="shared" si="123"/>
        <v>0</v>
      </c>
      <c r="AG558" s="49">
        <f t="shared" si="124"/>
        <v>0</v>
      </c>
      <c r="AH558" s="55">
        <f t="shared" si="125"/>
        <v>0</v>
      </c>
    </row>
    <row r="559" spans="1:34" x14ac:dyDescent="0.2">
      <c r="A559" s="48" t="s">
        <v>674</v>
      </c>
      <c r="B559" s="48">
        <v>3</v>
      </c>
      <c r="C559" s="48" t="s">
        <v>675</v>
      </c>
      <c r="D559" s="48" t="s">
        <v>636</v>
      </c>
      <c r="E559" s="48" t="s">
        <v>407</v>
      </c>
      <c r="F559" s="48" t="s">
        <v>274</v>
      </c>
      <c r="G559" s="48" t="s">
        <v>302</v>
      </c>
      <c r="H559" s="48" t="s">
        <v>62</v>
      </c>
      <c r="I559" s="48" t="s">
        <v>151</v>
      </c>
      <c r="J559" s="49">
        <v>4</v>
      </c>
      <c r="K559" s="50">
        <v>335</v>
      </c>
      <c r="L559" s="50">
        <v>333.09</v>
      </c>
      <c r="M559" s="48" t="s">
        <v>276</v>
      </c>
      <c r="N559" s="51">
        <v>1</v>
      </c>
      <c r="O559" s="51">
        <v>1</v>
      </c>
      <c r="P559" s="52">
        <v>216.7</v>
      </c>
      <c r="Q559" s="52">
        <v>216.7</v>
      </c>
      <c r="R559" s="53" t="str">
        <f>INDEX(SKU_Master!$D$5:$D$34,MATCH($I559,SKU_Master!$A$5:$A$34,0))</f>
        <v>Accessory</v>
      </c>
      <c r="S559" s="54">
        <f t="shared" si="112"/>
        <v>5.7014925373135572E-3</v>
      </c>
      <c r="T559" s="55">
        <f t="shared" si="113"/>
        <v>1340</v>
      </c>
      <c r="U559" s="55">
        <f t="shared" si="114"/>
        <v>1332.36</v>
      </c>
      <c r="V559" s="55">
        <f t="shared" si="115"/>
        <v>-7.6400000000001</v>
      </c>
      <c r="W559" s="55">
        <f t="shared" si="116"/>
        <v>1332.36</v>
      </c>
      <c r="X559" s="55">
        <f t="shared" si="117"/>
        <v>0</v>
      </c>
      <c r="Y559" s="55">
        <f t="shared" si="118"/>
        <v>866.8</v>
      </c>
      <c r="Z559" s="55">
        <f t="shared" si="119"/>
        <v>866.8</v>
      </c>
      <c r="AA559" s="55">
        <f t="shared" si="120"/>
        <v>0</v>
      </c>
      <c r="AB559" s="55">
        <f t="shared" si="121"/>
        <v>465.55999999999995</v>
      </c>
      <c r="AC559" s="54">
        <f t="shared" si="122"/>
        <v>0.34942508030862529</v>
      </c>
      <c r="AD559" s="56">
        <f>INDEX(Assumptions!$B$14:$B$16,MATCH($R559,Assumptions!$A$14:$A$16,0))</f>
        <v>0.32</v>
      </c>
      <c r="AE559" s="56">
        <f>INDEX(Assumptions!$C$14:$C$16,MATCH($R559,Assumptions!$A$14:$A$16,0))</f>
        <v>0.22</v>
      </c>
      <c r="AF559" s="49">
        <f t="shared" si="123"/>
        <v>0</v>
      </c>
      <c r="AG559" s="49">
        <f t="shared" si="124"/>
        <v>0</v>
      </c>
      <c r="AH559" s="55">
        <f t="shared" si="125"/>
        <v>0</v>
      </c>
    </row>
    <row r="560" spans="1:34" x14ac:dyDescent="0.2">
      <c r="A560" s="48" t="s">
        <v>676</v>
      </c>
      <c r="B560" s="48">
        <v>1</v>
      </c>
      <c r="C560" s="48" t="s">
        <v>653</v>
      </c>
      <c r="D560" s="48" t="s">
        <v>636</v>
      </c>
      <c r="E560" s="48" t="s">
        <v>358</v>
      </c>
      <c r="F560" s="48" t="s">
        <v>274</v>
      </c>
      <c r="G560" s="48" t="s">
        <v>288</v>
      </c>
      <c r="H560" s="48" t="s">
        <v>62</v>
      </c>
      <c r="I560" s="48" t="s">
        <v>123</v>
      </c>
      <c r="J560" s="49">
        <v>5</v>
      </c>
      <c r="K560" s="50">
        <v>1465</v>
      </c>
      <c r="L560" s="50">
        <v>1453.83</v>
      </c>
      <c r="M560" s="48" t="s">
        <v>276</v>
      </c>
      <c r="N560" s="51">
        <v>1</v>
      </c>
      <c r="O560" s="51">
        <v>1</v>
      </c>
      <c r="P560" s="52">
        <v>1249.25</v>
      </c>
      <c r="Q560" s="52">
        <v>1249.25</v>
      </c>
      <c r="R560" s="53" t="str">
        <f>INDEX(SKU_Master!$D$5:$D$34,MATCH($I560,SKU_Master!$A$5:$A$34,0))</f>
        <v>Laptop</v>
      </c>
      <c r="S560" s="54">
        <f t="shared" si="112"/>
        <v>7.6245733788395942E-3</v>
      </c>
      <c r="T560" s="55">
        <f t="shared" si="113"/>
        <v>7325</v>
      </c>
      <c r="U560" s="55">
        <f t="shared" si="114"/>
        <v>7269.15</v>
      </c>
      <c r="V560" s="55">
        <f t="shared" si="115"/>
        <v>-55.850000000000364</v>
      </c>
      <c r="W560" s="55">
        <f t="shared" si="116"/>
        <v>7269.15</v>
      </c>
      <c r="X560" s="55">
        <f t="shared" si="117"/>
        <v>0</v>
      </c>
      <c r="Y560" s="55">
        <f t="shared" si="118"/>
        <v>6246.25</v>
      </c>
      <c r="Z560" s="55">
        <f t="shared" si="119"/>
        <v>6246.25</v>
      </c>
      <c r="AA560" s="55">
        <f t="shared" si="120"/>
        <v>0</v>
      </c>
      <c r="AB560" s="55">
        <f t="shared" si="121"/>
        <v>1022.8999999999996</v>
      </c>
      <c r="AC560" s="54">
        <f t="shared" si="122"/>
        <v>0.14071796564935374</v>
      </c>
      <c r="AD560" s="56">
        <f>INDEX(Assumptions!$B$14:$B$16,MATCH($R560,Assumptions!$A$14:$A$16,0))</f>
        <v>0.12</v>
      </c>
      <c r="AE560" s="56">
        <f>INDEX(Assumptions!$C$14:$C$16,MATCH($R560,Assumptions!$A$14:$A$16,0))</f>
        <v>0.08</v>
      </c>
      <c r="AF560" s="49">
        <f t="shared" si="123"/>
        <v>0</v>
      </c>
      <c r="AG560" s="49">
        <f t="shared" si="124"/>
        <v>0</v>
      </c>
      <c r="AH560" s="55">
        <f t="shared" si="125"/>
        <v>0</v>
      </c>
    </row>
    <row r="561" spans="1:34" x14ac:dyDescent="0.2">
      <c r="A561" s="48" t="s">
        <v>676</v>
      </c>
      <c r="B561" s="48">
        <v>2</v>
      </c>
      <c r="C561" s="48" t="s">
        <v>653</v>
      </c>
      <c r="D561" s="48" t="s">
        <v>636</v>
      </c>
      <c r="E561" s="48" t="s">
        <v>358</v>
      </c>
      <c r="F561" s="48" t="s">
        <v>274</v>
      </c>
      <c r="G561" s="48" t="s">
        <v>288</v>
      </c>
      <c r="H561" s="48" t="s">
        <v>62</v>
      </c>
      <c r="I561" s="48" t="s">
        <v>173</v>
      </c>
      <c r="J561" s="49">
        <v>5</v>
      </c>
      <c r="K561" s="50">
        <v>55</v>
      </c>
      <c r="L561" s="50">
        <v>54.04</v>
      </c>
      <c r="M561" s="48" t="s">
        <v>276</v>
      </c>
      <c r="N561" s="51">
        <v>1</v>
      </c>
      <c r="O561" s="51">
        <v>1</v>
      </c>
      <c r="P561" s="52">
        <v>34</v>
      </c>
      <c r="Q561" s="52">
        <v>34</v>
      </c>
      <c r="R561" s="53" t="str">
        <f>INDEX(SKU_Master!$D$5:$D$34,MATCH($I561,SKU_Master!$A$5:$A$34,0))</f>
        <v>Accessory</v>
      </c>
      <c r="S561" s="54">
        <f t="shared" si="112"/>
        <v>1.74545454545455E-2</v>
      </c>
      <c r="T561" s="55">
        <f t="shared" si="113"/>
        <v>275</v>
      </c>
      <c r="U561" s="55">
        <f t="shared" si="114"/>
        <v>270.2</v>
      </c>
      <c r="V561" s="55">
        <f t="shared" si="115"/>
        <v>-4.8000000000000114</v>
      </c>
      <c r="W561" s="55">
        <f t="shared" si="116"/>
        <v>270.2</v>
      </c>
      <c r="X561" s="55">
        <f t="shared" si="117"/>
        <v>0</v>
      </c>
      <c r="Y561" s="55">
        <f t="shared" si="118"/>
        <v>170</v>
      </c>
      <c r="Z561" s="55">
        <f t="shared" si="119"/>
        <v>170</v>
      </c>
      <c r="AA561" s="55">
        <f t="shared" si="120"/>
        <v>0</v>
      </c>
      <c r="AB561" s="55">
        <f t="shared" si="121"/>
        <v>100.19999999999999</v>
      </c>
      <c r="AC561" s="54">
        <f t="shared" si="122"/>
        <v>0.37083641746854179</v>
      </c>
      <c r="AD561" s="56">
        <f>INDEX(Assumptions!$B$14:$B$16,MATCH($R561,Assumptions!$A$14:$A$16,0))</f>
        <v>0.32</v>
      </c>
      <c r="AE561" s="56">
        <f>INDEX(Assumptions!$C$14:$C$16,MATCH($R561,Assumptions!$A$14:$A$16,0))</f>
        <v>0.22</v>
      </c>
      <c r="AF561" s="49">
        <f t="shared" si="123"/>
        <v>0</v>
      </c>
      <c r="AG561" s="49">
        <f t="shared" si="124"/>
        <v>0</v>
      </c>
      <c r="AH561" s="55">
        <f t="shared" si="125"/>
        <v>0</v>
      </c>
    </row>
    <row r="562" spans="1:34" x14ac:dyDescent="0.2">
      <c r="A562" s="48" t="s">
        <v>677</v>
      </c>
      <c r="B562" s="48">
        <v>1</v>
      </c>
      <c r="C562" s="48" t="s">
        <v>678</v>
      </c>
      <c r="D562" s="48" t="s">
        <v>636</v>
      </c>
      <c r="E562" s="48" t="s">
        <v>366</v>
      </c>
      <c r="F562" s="48" t="s">
        <v>297</v>
      </c>
      <c r="G562" s="48" t="s">
        <v>302</v>
      </c>
      <c r="H562" s="48" t="s">
        <v>66</v>
      </c>
      <c r="I562" s="48" t="s">
        <v>103</v>
      </c>
      <c r="J562" s="49">
        <v>25</v>
      </c>
      <c r="K562" s="50">
        <v>1090</v>
      </c>
      <c r="L562" s="50">
        <v>1044.47</v>
      </c>
      <c r="M562" s="48" t="s">
        <v>276</v>
      </c>
      <c r="N562" s="51">
        <v>0.92</v>
      </c>
      <c r="O562" s="51">
        <v>0.91800000000000004</v>
      </c>
      <c r="P562" s="52">
        <v>988.6</v>
      </c>
      <c r="Q562" s="52">
        <v>988.6</v>
      </c>
      <c r="R562" s="53" t="str">
        <f>INDEX(SKU_Master!$D$5:$D$34,MATCH($I562,SKU_Master!$A$5:$A$34,0))</f>
        <v>Laptop</v>
      </c>
      <c r="S562" s="54">
        <f t="shared" si="112"/>
        <v>4.1770642201834796E-2</v>
      </c>
      <c r="T562" s="55">
        <f t="shared" si="113"/>
        <v>29619.565217391304</v>
      </c>
      <c r="U562" s="55">
        <f t="shared" si="114"/>
        <v>28382.336956521736</v>
      </c>
      <c r="V562" s="55">
        <f t="shared" si="115"/>
        <v>-1237.2282608695677</v>
      </c>
      <c r="W562" s="55">
        <f t="shared" si="116"/>
        <v>28444.172113289758</v>
      </c>
      <c r="X562" s="55">
        <f t="shared" si="117"/>
        <v>61.835156768021989</v>
      </c>
      <c r="Y562" s="55">
        <f t="shared" si="118"/>
        <v>24715</v>
      </c>
      <c r="Z562" s="55">
        <f t="shared" si="119"/>
        <v>24715</v>
      </c>
      <c r="AA562" s="55">
        <f t="shared" si="120"/>
        <v>0</v>
      </c>
      <c r="AB562" s="55">
        <f t="shared" si="121"/>
        <v>3729.1721132897583</v>
      </c>
      <c r="AC562" s="54">
        <f t="shared" si="122"/>
        <v>0.13110496232538985</v>
      </c>
      <c r="AD562" s="56">
        <f>INDEX(Assumptions!$B$14:$B$16,MATCH($R562,Assumptions!$A$14:$A$16,0))</f>
        <v>0.12</v>
      </c>
      <c r="AE562" s="56">
        <f>INDEX(Assumptions!$C$14:$C$16,MATCH($R562,Assumptions!$A$14:$A$16,0))</f>
        <v>0.08</v>
      </c>
      <c r="AF562" s="49">
        <f t="shared" si="123"/>
        <v>0</v>
      </c>
      <c r="AG562" s="49">
        <f t="shared" si="124"/>
        <v>0</v>
      </c>
      <c r="AH562" s="55">
        <f t="shared" si="125"/>
        <v>0</v>
      </c>
    </row>
    <row r="563" spans="1:34" x14ac:dyDescent="0.2">
      <c r="A563" s="48" t="s">
        <v>677</v>
      </c>
      <c r="B563" s="48">
        <v>2</v>
      </c>
      <c r="C563" s="48" t="s">
        <v>678</v>
      </c>
      <c r="D563" s="48" t="s">
        <v>636</v>
      </c>
      <c r="E563" s="48" t="s">
        <v>366</v>
      </c>
      <c r="F563" s="48" t="s">
        <v>297</v>
      </c>
      <c r="G563" s="48" t="s">
        <v>302</v>
      </c>
      <c r="H563" s="48" t="s">
        <v>66</v>
      </c>
      <c r="I563" s="48" t="s">
        <v>161</v>
      </c>
      <c r="J563" s="49">
        <v>17</v>
      </c>
      <c r="K563" s="50">
        <v>120</v>
      </c>
      <c r="L563" s="50">
        <v>115.16</v>
      </c>
      <c r="M563" s="48" t="s">
        <v>276</v>
      </c>
      <c r="N563" s="51">
        <v>0.92</v>
      </c>
      <c r="O563" s="51">
        <v>0.91800000000000004</v>
      </c>
      <c r="P563" s="52">
        <v>81</v>
      </c>
      <c r="Q563" s="52">
        <v>81</v>
      </c>
      <c r="R563" s="53" t="str">
        <f>INDEX(SKU_Master!$D$5:$D$34,MATCH($I563,SKU_Master!$A$5:$A$34,0))</f>
        <v>Accessory</v>
      </c>
      <c r="S563" s="54">
        <f t="shared" si="112"/>
        <v>4.0333333333333332E-2</v>
      </c>
      <c r="T563" s="55">
        <f t="shared" si="113"/>
        <v>2217.391304347826</v>
      </c>
      <c r="U563" s="55">
        <f t="shared" si="114"/>
        <v>2127.9565217391305</v>
      </c>
      <c r="V563" s="55">
        <f t="shared" si="115"/>
        <v>-89.434782608695514</v>
      </c>
      <c r="W563" s="55">
        <f t="shared" si="116"/>
        <v>2132.5925925925926</v>
      </c>
      <c r="X563" s="55">
        <f t="shared" si="117"/>
        <v>4.6360708534621153</v>
      </c>
      <c r="Y563" s="55">
        <f t="shared" si="118"/>
        <v>1377</v>
      </c>
      <c r="Z563" s="55">
        <f t="shared" si="119"/>
        <v>1377</v>
      </c>
      <c r="AA563" s="55">
        <f t="shared" si="120"/>
        <v>0</v>
      </c>
      <c r="AB563" s="55">
        <f t="shared" si="121"/>
        <v>755.59259259259261</v>
      </c>
      <c r="AC563" s="54">
        <f t="shared" si="122"/>
        <v>0.35430705105939564</v>
      </c>
      <c r="AD563" s="56">
        <f>INDEX(Assumptions!$B$14:$B$16,MATCH($R563,Assumptions!$A$14:$A$16,0))</f>
        <v>0.32</v>
      </c>
      <c r="AE563" s="56">
        <f>INDEX(Assumptions!$C$14:$C$16,MATCH($R563,Assumptions!$A$14:$A$16,0))</f>
        <v>0.22</v>
      </c>
      <c r="AF563" s="49">
        <f t="shared" si="123"/>
        <v>0</v>
      </c>
      <c r="AG563" s="49">
        <f t="shared" si="124"/>
        <v>0</v>
      </c>
      <c r="AH563" s="55">
        <f t="shared" si="125"/>
        <v>0</v>
      </c>
    </row>
    <row r="564" spans="1:34" x14ac:dyDescent="0.2">
      <c r="A564" s="48" t="s">
        <v>679</v>
      </c>
      <c r="B564" s="48">
        <v>1</v>
      </c>
      <c r="C564" s="48" t="s">
        <v>680</v>
      </c>
      <c r="D564" s="48" t="s">
        <v>636</v>
      </c>
      <c r="E564" s="48" t="s">
        <v>349</v>
      </c>
      <c r="F564" s="48" t="s">
        <v>274</v>
      </c>
      <c r="G564" s="48" t="s">
        <v>275</v>
      </c>
      <c r="H564" s="48" t="s">
        <v>66</v>
      </c>
      <c r="I564" s="48" t="s">
        <v>110</v>
      </c>
      <c r="J564" s="49">
        <v>4</v>
      </c>
      <c r="K564" s="50">
        <v>1115</v>
      </c>
      <c r="L564" s="50">
        <v>1093.32</v>
      </c>
      <c r="M564" s="48" t="s">
        <v>276</v>
      </c>
      <c r="N564" s="51">
        <v>0.92</v>
      </c>
      <c r="O564" s="51">
        <v>0.91800000000000004</v>
      </c>
      <c r="P564" s="52">
        <v>1012.65</v>
      </c>
      <c r="Q564" s="52">
        <v>1012.65</v>
      </c>
      <c r="R564" s="53" t="str">
        <f>INDEX(SKU_Master!$D$5:$D$34,MATCH($I564,SKU_Master!$A$5:$A$34,0))</f>
        <v>Laptop</v>
      </c>
      <c r="S564" s="54">
        <f t="shared" si="112"/>
        <v>1.9443946188340888E-2</v>
      </c>
      <c r="T564" s="55">
        <f t="shared" si="113"/>
        <v>4847.826086956522</v>
      </c>
      <c r="U564" s="55">
        <f t="shared" si="114"/>
        <v>4753.565217391304</v>
      </c>
      <c r="V564" s="55">
        <f t="shared" si="115"/>
        <v>-94.260869565217945</v>
      </c>
      <c r="W564" s="55">
        <f t="shared" si="116"/>
        <v>4763.9215686274501</v>
      </c>
      <c r="X564" s="55">
        <f t="shared" si="117"/>
        <v>10.356351236146111</v>
      </c>
      <c r="Y564" s="55">
        <f t="shared" si="118"/>
        <v>4050.6</v>
      </c>
      <c r="Z564" s="55">
        <f t="shared" si="119"/>
        <v>4050.6</v>
      </c>
      <c r="AA564" s="55">
        <f t="shared" si="120"/>
        <v>0</v>
      </c>
      <c r="AB564" s="55">
        <f t="shared" si="121"/>
        <v>713.32156862745023</v>
      </c>
      <c r="AC564" s="54">
        <f t="shared" si="122"/>
        <v>0.14973411261112926</v>
      </c>
      <c r="AD564" s="56">
        <f>INDEX(Assumptions!$B$14:$B$16,MATCH($R564,Assumptions!$A$14:$A$16,0))</f>
        <v>0.12</v>
      </c>
      <c r="AE564" s="56">
        <f>INDEX(Assumptions!$C$14:$C$16,MATCH($R564,Assumptions!$A$14:$A$16,0))</f>
        <v>0.08</v>
      </c>
      <c r="AF564" s="49">
        <f t="shared" si="123"/>
        <v>0</v>
      </c>
      <c r="AG564" s="49">
        <f t="shared" si="124"/>
        <v>0</v>
      </c>
      <c r="AH564" s="55">
        <f t="shared" si="125"/>
        <v>0</v>
      </c>
    </row>
    <row r="565" spans="1:34" x14ac:dyDescent="0.2">
      <c r="A565" s="48" t="s">
        <v>679</v>
      </c>
      <c r="B565" s="48">
        <v>2</v>
      </c>
      <c r="C565" s="48" t="s">
        <v>680</v>
      </c>
      <c r="D565" s="48" t="s">
        <v>636</v>
      </c>
      <c r="E565" s="48" t="s">
        <v>349</v>
      </c>
      <c r="F565" s="48" t="s">
        <v>274</v>
      </c>
      <c r="G565" s="48" t="s">
        <v>275</v>
      </c>
      <c r="H565" s="48" t="s">
        <v>66</v>
      </c>
      <c r="I565" s="48" t="s">
        <v>157</v>
      </c>
      <c r="J565" s="49">
        <v>2</v>
      </c>
      <c r="K565" s="50">
        <v>135</v>
      </c>
      <c r="L565" s="50">
        <v>134.62</v>
      </c>
      <c r="M565" s="48" t="s">
        <v>276</v>
      </c>
      <c r="N565" s="51">
        <v>0.92</v>
      </c>
      <c r="O565" s="51">
        <v>0.91800000000000004</v>
      </c>
      <c r="P565" s="52">
        <v>91</v>
      </c>
      <c r="Q565" s="52">
        <v>91</v>
      </c>
      <c r="R565" s="53" t="str">
        <f>INDEX(SKU_Master!$D$5:$D$34,MATCH($I565,SKU_Master!$A$5:$A$34,0))</f>
        <v>Accessory</v>
      </c>
      <c r="S565" s="54">
        <f t="shared" si="112"/>
        <v>2.8148148148148255E-3</v>
      </c>
      <c r="T565" s="55">
        <f t="shared" si="113"/>
        <v>293.47826086956519</v>
      </c>
      <c r="U565" s="55">
        <f t="shared" si="114"/>
        <v>292.6521739130435</v>
      </c>
      <c r="V565" s="55">
        <f t="shared" si="115"/>
        <v>-0.82608695652169217</v>
      </c>
      <c r="W565" s="55">
        <f t="shared" si="116"/>
        <v>293.28976034858385</v>
      </c>
      <c r="X565" s="55">
        <f t="shared" si="117"/>
        <v>0.63758643554035643</v>
      </c>
      <c r="Y565" s="55">
        <f t="shared" si="118"/>
        <v>182</v>
      </c>
      <c r="Z565" s="55">
        <f t="shared" si="119"/>
        <v>182</v>
      </c>
      <c r="AA565" s="55">
        <f t="shared" si="120"/>
        <v>0</v>
      </c>
      <c r="AB565" s="55">
        <f t="shared" si="121"/>
        <v>111.28976034858385</v>
      </c>
      <c r="AC565" s="54">
        <f t="shared" si="122"/>
        <v>0.37945327588768379</v>
      </c>
      <c r="AD565" s="56">
        <f>INDEX(Assumptions!$B$14:$B$16,MATCH($R565,Assumptions!$A$14:$A$16,0))</f>
        <v>0.32</v>
      </c>
      <c r="AE565" s="56">
        <f>INDEX(Assumptions!$C$14:$C$16,MATCH($R565,Assumptions!$A$14:$A$16,0))</f>
        <v>0.22</v>
      </c>
      <c r="AF565" s="49">
        <f t="shared" si="123"/>
        <v>0</v>
      </c>
      <c r="AG565" s="49">
        <f t="shared" si="124"/>
        <v>0</v>
      </c>
      <c r="AH565" s="55">
        <f t="shared" si="125"/>
        <v>0</v>
      </c>
    </row>
    <row r="566" spans="1:34" x14ac:dyDescent="0.2">
      <c r="A566" s="48" t="s">
        <v>681</v>
      </c>
      <c r="B566" s="48">
        <v>1</v>
      </c>
      <c r="C566" s="48" t="s">
        <v>642</v>
      </c>
      <c r="D566" s="48" t="s">
        <v>636</v>
      </c>
      <c r="E566" s="48" t="s">
        <v>293</v>
      </c>
      <c r="F566" s="48" t="s">
        <v>274</v>
      </c>
      <c r="G566" s="48" t="s">
        <v>275</v>
      </c>
      <c r="H566" s="48" t="s">
        <v>66</v>
      </c>
      <c r="I566" s="48" t="s">
        <v>132</v>
      </c>
      <c r="J566" s="49">
        <v>8</v>
      </c>
      <c r="K566" s="50">
        <v>1005</v>
      </c>
      <c r="L566" s="50">
        <v>1004.76</v>
      </c>
      <c r="M566" s="48" t="s">
        <v>276</v>
      </c>
      <c r="N566" s="51">
        <v>0.92</v>
      </c>
      <c r="O566" s="51">
        <v>0.91800000000000004</v>
      </c>
      <c r="P566" s="52">
        <v>911</v>
      </c>
      <c r="Q566" s="52">
        <v>911</v>
      </c>
      <c r="R566" s="53" t="str">
        <f>INDEX(SKU_Master!$D$5:$D$34,MATCH($I566,SKU_Master!$A$5:$A$34,0))</f>
        <v>Laptop</v>
      </c>
      <c r="S566" s="54">
        <f t="shared" si="112"/>
        <v>2.3880597014924732E-4</v>
      </c>
      <c r="T566" s="55">
        <f t="shared" si="113"/>
        <v>8739.1304347826081</v>
      </c>
      <c r="U566" s="55">
        <f t="shared" si="114"/>
        <v>8737.04347826087</v>
      </c>
      <c r="V566" s="55">
        <f t="shared" si="115"/>
        <v>-2.0869565217381023</v>
      </c>
      <c r="W566" s="55">
        <f t="shared" si="116"/>
        <v>8756.0784313725489</v>
      </c>
      <c r="X566" s="55">
        <f t="shared" si="117"/>
        <v>19.034953111678988</v>
      </c>
      <c r="Y566" s="55">
        <f t="shared" si="118"/>
        <v>7288</v>
      </c>
      <c r="Z566" s="55">
        <f t="shared" si="119"/>
        <v>7288</v>
      </c>
      <c r="AA566" s="55">
        <f t="shared" si="120"/>
        <v>0</v>
      </c>
      <c r="AB566" s="55">
        <f t="shared" si="121"/>
        <v>1468.0784313725489</v>
      </c>
      <c r="AC566" s="54">
        <f t="shared" si="122"/>
        <v>0.16766391974202793</v>
      </c>
      <c r="AD566" s="56">
        <f>INDEX(Assumptions!$B$14:$B$16,MATCH($R566,Assumptions!$A$14:$A$16,0))</f>
        <v>0.12</v>
      </c>
      <c r="AE566" s="56">
        <f>INDEX(Assumptions!$C$14:$C$16,MATCH($R566,Assumptions!$A$14:$A$16,0))</f>
        <v>0.08</v>
      </c>
      <c r="AF566" s="49">
        <f t="shared" si="123"/>
        <v>0</v>
      </c>
      <c r="AG566" s="49">
        <f t="shared" si="124"/>
        <v>0</v>
      </c>
      <c r="AH566" s="55">
        <f t="shared" si="125"/>
        <v>0</v>
      </c>
    </row>
    <row r="567" spans="1:34" x14ac:dyDescent="0.2">
      <c r="A567" s="48" t="s">
        <v>681</v>
      </c>
      <c r="B567" s="48">
        <v>2</v>
      </c>
      <c r="C567" s="48" t="s">
        <v>642</v>
      </c>
      <c r="D567" s="48" t="s">
        <v>636</v>
      </c>
      <c r="E567" s="48" t="s">
        <v>293</v>
      </c>
      <c r="F567" s="48" t="s">
        <v>274</v>
      </c>
      <c r="G567" s="48" t="s">
        <v>275</v>
      </c>
      <c r="H567" s="48" t="s">
        <v>66</v>
      </c>
      <c r="I567" s="48" t="s">
        <v>138</v>
      </c>
      <c r="J567" s="49">
        <v>6</v>
      </c>
      <c r="K567" s="50">
        <v>460</v>
      </c>
      <c r="L567" s="50">
        <v>452.57</v>
      </c>
      <c r="M567" s="48" t="s">
        <v>276</v>
      </c>
      <c r="N567" s="51">
        <v>0.92</v>
      </c>
      <c r="O567" s="51">
        <v>0.91800000000000004</v>
      </c>
      <c r="P567" s="52">
        <v>383.2</v>
      </c>
      <c r="Q567" s="52">
        <v>383.2</v>
      </c>
      <c r="R567" s="53" t="str">
        <f>INDEX(SKU_Master!$D$5:$D$34,MATCH($I567,SKU_Master!$A$5:$A$34,0))</f>
        <v>Monitor</v>
      </c>
      <c r="S567" s="54">
        <f t="shared" si="112"/>
        <v>1.6152173913043466E-2</v>
      </c>
      <c r="T567" s="55">
        <f t="shared" si="113"/>
        <v>3000</v>
      </c>
      <c r="U567" s="55">
        <f t="shared" si="114"/>
        <v>2951.5434782608695</v>
      </c>
      <c r="V567" s="55">
        <f t="shared" si="115"/>
        <v>-48.456521739130494</v>
      </c>
      <c r="W567" s="55">
        <f t="shared" si="116"/>
        <v>2957.9738562091502</v>
      </c>
      <c r="X567" s="55">
        <f t="shared" si="117"/>
        <v>6.4303779482806931</v>
      </c>
      <c r="Y567" s="55">
        <f t="shared" si="118"/>
        <v>2299.1999999999998</v>
      </c>
      <c r="Z567" s="55">
        <f t="shared" si="119"/>
        <v>2299.1999999999998</v>
      </c>
      <c r="AA567" s="55">
        <f t="shared" si="120"/>
        <v>0</v>
      </c>
      <c r="AB567" s="55">
        <f t="shared" si="121"/>
        <v>658.77385620915038</v>
      </c>
      <c r="AC567" s="54">
        <f t="shared" si="122"/>
        <v>0.2227111828004508</v>
      </c>
      <c r="AD567" s="56">
        <f>INDEX(Assumptions!$B$14:$B$16,MATCH($R567,Assumptions!$A$14:$A$16,0))</f>
        <v>0.18</v>
      </c>
      <c r="AE567" s="56">
        <f>INDEX(Assumptions!$C$14:$C$16,MATCH($R567,Assumptions!$A$14:$A$16,0))</f>
        <v>0.12</v>
      </c>
      <c r="AF567" s="49">
        <f t="shared" si="123"/>
        <v>0</v>
      </c>
      <c r="AG567" s="49">
        <f t="shared" si="124"/>
        <v>0</v>
      </c>
      <c r="AH567" s="55">
        <f t="shared" si="125"/>
        <v>0</v>
      </c>
    </row>
    <row r="568" spans="1:34" x14ac:dyDescent="0.2">
      <c r="A568" s="48" t="s">
        <v>681</v>
      </c>
      <c r="B568" s="48">
        <v>3</v>
      </c>
      <c r="C568" s="48" t="s">
        <v>642</v>
      </c>
      <c r="D568" s="48" t="s">
        <v>636</v>
      </c>
      <c r="E568" s="48" t="s">
        <v>293</v>
      </c>
      <c r="F568" s="48" t="s">
        <v>274</v>
      </c>
      <c r="G568" s="48" t="s">
        <v>275</v>
      </c>
      <c r="H568" s="48" t="s">
        <v>66</v>
      </c>
      <c r="I568" s="48" t="s">
        <v>157</v>
      </c>
      <c r="J568" s="49">
        <v>5</v>
      </c>
      <c r="K568" s="50">
        <v>135</v>
      </c>
      <c r="L568" s="50">
        <v>134.55000000000001</v>
      </c>
      <c r="M568" s="48" t="s">
        <v>276</v>
      </c>
      <c r="N568" s="51">
        <v>0.92</v>
      </c>
      <c r="O568" s="51">
        <v>0.91800000000000004</v>
      </c>
      <c r="P568" s="52">
        <v>91</v>
      </c>
      <c r="Q568" s="52">
        <v>91</v>
      </c>
      <c r="R568" s="53" t="str">
        <f>INDEX(SKU_Master!$D$5:$D$34,MATCH($I568,SKU_Master!$A$5:$A$34,0))</f>
        <v>Accessory</v>
      </c>
      <c r="S568" s="54">
        <f t="shared" si="112"/>
        <v>3.3333333333332993E-3</v>
      </c>
      <c r="T568" s="55">
        <f t="shared" si="113"/>
        <v>733.695652173913</v>
      </c>
      <c r="U568" s="55">
        <f t="shared" si="114"/>
        <v>731.25</v>
      </c>
      <c r="V568" s="55">
        <f t="shared" si="115"/>
        <v>-2.4456521739130039</v>
      </c>
      <c r="W568" s="55">
        <f t="shared" si="116"/>
        <v>732.84313725490188</v>
      </c>
      <c r="X568" s="55">
        <f t="shared" si="117"/>
        <v>1.5931372549018761</v>
      </c>
      <c r="Y568" s="55">
        <f t="shared" si="118"/>
        <v>455</v>
      </c>
      <c r="Z568" s="55">
        <f t="shared" si="119"/>
        <v>455</v>
      </c>
      <c r="AA568" s="55">
        <f t="shared" si="120"/>
        <v>0</v>
      </c>
      <c r="AB568" s="55">
        <f t="shared" si="121"/>
        <v>277.84313725490188</v>
      </c>
      <c r="AC568" s="54">
        <f t="shared" si="122"/>
        <v>0.37913043478260861</v>
      </c>
      <c r="AD568" s="56">
        <f>INDEX(Assumptions!$B$14:$B$16,MATCH($R568,Assumptions!$A$14:$A$16,0))</f>
        <v>0.32</v>
      </c>
      <c r="AE568" s="56">
        <f>INDEX(Assumptions!$C$14:$C$16,MATCH($R568,Assumptions!$A$14:$A$16,0))</f>
        <v>0.22</v>
      </c>
      <c r="AF568" s="49">
        <f t="shared" si="123"/>
        <v>0</v>
      </c>
      <c r="AG568" s="49">
        <f t="shared" si="124"/>
        <v>0</v>
      </c>
      <c r="AH568" s="55">
        <f t="shared" si="125"/>
        <v>0</v>
      </c>
    </row>
    <row r="569" spans="1:34" x14ac:dyDescent="0.2">
      <c r="A569" s="48" t="s">
        <v>682</v>
      </c>
      <c r="B569" s="48">
        <v>1</v>
      </c>
      <c r="C569" s="48" t="s">
        <v>683</v>
      </c>
      <c r="D569" s="48" t="s">
        <v>636</v>
      </c>
      <c r="E569" s="48" t="s">
        <v>317</v>
      </c>
      <c r="F569" s="48" t="s">
        <v>280</v>
      </c>
      <c r="G569" s="48" t="s">
        <v>306</v>
      </c>
      <c r="H569" s="48" t="s">
        <v>62</v>
      </c>
      <c r="I569" s="48" t="s">
        <v>118</v>
      </c>
      <c r="J569" s="49">
        <v>8</v>
      </c>
      <c r="K569" s="50">
        <v>1365</v>
      </c>
      <c r="L569" s="50">
        <v>1351.22</v>
      </c>
      <c r="M569" s="48" t="s">
        <v>276</v>
      </c>
      <c r="N569" s="51">
        <v>1</v>
      </c>
      <c r="O569" s="51">
        <v>1</v>
      </c>
      <c r="P569" s="52">
        <v>1162.5999999999999</v>
      </c>
      <c r="Q569" s="52">
        <v>1162.5999999999999</v>
      </c>
      <c r="R569" s="53" t="str">
        <f>INDEX(SKU_Master!$D$5:$D$34,MATCH($I569,SKU_Master!$A$5:$A$34,0))</f>
        <v>Laptop</v>
      </c>
      <c r="S569" s="54">
        <f t="shared" si="112"/>
        <v>1.0095238095238046E-2</v>
      </c>
      <c r="T569" s="55">
        <f t="shared" si="113"/>
        <v>10920</v>
      </c>
      <c r="U569" s="55">
        <f t="shared" si="114"/>
        <v>10809.76</v>
      </c>
      <c r="V569" s="55">
        <f t="shared" si="115"/>
        <v>-110.23999999999978</v>
      </c>
      <c r="W569" s="55">
        <f t="shared" si="116"/>
        <v>10809.76</v>
      </c>
      <c r="X569" s="55">
        <f t="shared" si="117"/>
        <v>0</v>
      </c>
      <c r="Y569" s="55">
        <f t="shared" si="118"/>
        <v>9300.7999999999993</v>
      </c>
      <c r="Z569" s="55">
        <f t="shared" si="119"/>
        <v>9300.7999999999993</v>
      </c>
      <c r="AA569" s="55">
        <f t="shared" si="120"/>
        <v>0</v>
      </c>
      <c r="AB569" s="55">
        <f t="shared" si="121"/>
        <v>1508.9600000000009</v>
      </c>
      <c r="AC569" s="54">
        <f t="shared" si="122"/>
        <v>0.13959236837820643</v>
      </c>
      <c r="AD569" s="56">
        <f>INDEX(Assumptions!$B$14:$B$16,MATCH($R569,Assumptions!$A$14:$A$16,0))</f>
        <v>0.12</v>
      </c>
      <c r="AE569" s="56">
        <f>INDEX(Assumptions!$C$14:$C$16,MATCH($R569,Assumptions!$A$14:$A$16,0))</f>
        <v>0.08</v>
      </c>
      <c r="AF569" s="49">
        <f t="shared" si="123"/>
        <v>0</v>
      </c>
      <c r="AG569" s="49">
        <f t="shared" si="124"/>
        <v>0</v>
      </c>
      <c r="AH569" s="55">
        <f t="shared" si="125"/>
        <v>0</v>
      </c>
    </row>
    <row r="570" spans="1:34" x14ac:dyDescent="0.2">
      <c r="A570" s="48" t="s">
        <v>682</v>
      </c>
      <c r="B570" s="48">
        <v>2</v>
      </c>
      <c r="C570" s="48" t="s">
        <v>683</v>
      </c>
      <c r="D570" s="48" t="s">
        <v>636</v>
      </c>
      <c r="E570" s="48" t="s">
        <v>317</v>
      </c>
      <c r="F570" s="48" t="s">
        <v>280</v>
      </c>
      <c r="G570" s="48" t="s">
        <v>306</v>
      </c>
      <c r="H570" s="48" t="s">
        <v>62</v>
      </c>
      <c r="I570" s="48" t="s">
        <v>157</v>
      </c>
      <c r="J570" s="49">
        <v>6</v>
      </c>
      <c r="K570" s="50">
        <v>135</v>
      </c>
      <c r="L570" s="50">
        <v>132.07</v>
      </c>
      <c r="M570" s="48" t="s">
        <v>276</v>
      </c>
      <c r="N570" s="51">
        <v>1</v>
      </c>
      <c r="O570" s="51">
        <v>1</v>
      </c>
      <c r="P570" s="52">
        <v>86</v>
      </c>
      <c r="Q570" s="52">
        <v>86</v>
      </c>
      <c r="R570" s="53" t="str">
        <f>INDEX(SKU_Master!$D$5:$D$34,MATCH($I570,SKU_Master!$A$5:$A$34,0))</f>
        <v>Accessory</v>
      </c>
      <c r="S570" s="54">
        <f t="shared" si="112"/>
        <v>2.1703703703703781E-2</v>
      </c>
      <c r="T570" s="55">
        <f t="shared" si="113"/>
        <v>810</v>
      </c>
      <c r="U570" s="55">
        <f t="shared" si="114"/>
        <v>792.42</v>
      </c>
      <c r="V570" s="55">
        <f t="shared" si="115"/>
        <v>-17.580000000000041</v>
      </c>
      <c r="W570" s="55">
        <f t="shared" si="116"/>
        <v>792.42</v>
      </c>
      <c r="X570" s="55">
        <f t="shared" si="117"/>
        <v>0</v>
      </c>
      <c r="Y570" s="55">
        <f t="shared" si="118"/>
        <v>516</v>
      </c>
      <c r="Z570" s="55">
        <f t="shared" si="119"/>
        <v>516</v>
      </c>
      <c r="AA570" s="55">
        <f t="shared" si="120"/>
        <v>0</v>
      </c>
      <c r="AB570" s="55">
        <f t="shared" si="121"/>
        <v>276.41999999999996</v>
      </c>
      <c r="AC570" s="54">
        <f t="shared" si="122"/>
        <v>0.34883016582115539</v>
      </c>
      <c r="AD570" s="56">
        <f>INDEX(Assumptions!$B$14:$B$16,MATCH($R570,Assumptions!$A$14:$A$16,0))</f>
        <v>0.32</v>
      </c>
      <c r="AE570" s="56">
        <f>INDEX(Assumptions!$C$14:$C$16,MATCH($R570,Assumptions!$A$14:$A$16,0))</f>
        <v>0.22</v>
      </c>
      <c r="AF570" s="49">
        <f t="shared" si="123"/>
        <v>0</v>
      </c>
      <c r="AG570" s="49">
        <f t="shared" si="124"/>
        <v>0</v>
      </c>
      <c r="AH570" s="55">
        <f t="shared" si="125"/>
        <v>0</v>
      </c>
    </row>
    <row r="571" spans="1:34" x14ac:dyDescent="0.2">
      <c r="A571" s="48" t="s">
        <v>684</v>
      </c>
      <c r="B571" s="48">
        <v>1</v>
      </c>
      <c r="C571" s="48" t="s">
        <v>675</v>
      </c>
      <c r="D571" s="48" t="s">
        <v>636</v>
      </c>
      <c r="E571" s="48" t="s">
        <v>407</v>
      </c>
      <c r="F571" s="48" t="s">
        <v>274</v>
      </c>
      <c r="G571" s="48" t="s">
        <v>302</v>
      </c>
      <c r="H571" s="48" t="s">
        <v>62</v>
      </c>
      <c r="I571" s="48" t="s">
        <v>108</v>
      </c>
      <c r="J571" s="49">
        <v>4</v>
      </c>
      <c r="K571" s="50">
        <v>1345</v>
      </c>
      <c r="L571" s="50">
        <v>1295.33</v>
      </c>
      <c r="M571" s="48" t="s">
        <v>276</v>
      </c>
      <c r="N571" s="51">
        <v>1</v>
      </c>
      <c r="O571" s="51">
        <v>1</v>
      </c>
      <c r="P571" s="52">
        <v>1145</v>
      </c>
      <c r="Q571" s="52">
        <v>1145</v>
      </c>
      <c r="R571" s="53" t="str">
        <f>INDEX(SKU_Master!$D$5:$D$34,MATCH($I571,SKU_Master!$A$5:$A$34,0))</f>
        <v>Laptop</v>
      </c>
      <c r="S571" s="54">
        <f t="shared" si="112"/>
        <v>3.6929368029739784E-2</v>
      </c>
      <c r="T571" s="55">
        <f t="shared" si="113"/>
        <v>5380</v>
      </c>
      <c r="U571" s="55">
        <f t="shared" si="114"/>
        <v>5181.32</v>
      </c>
      <c r="V571" s="55">
        <f t="shared" si="115"/>
        <v>-198.68000000000029</v>
      </c>
      <c r="W571" s="55">
        <f t="shared" si="116"/>
        <v>5181.32</v>
      </c>
      <c r="X571" s="55">
        <f t="shared" si="117"/>
        <v>0</v>
      </c>
      <c r="Y571" s="55">
        <f t="shared" si="118"/>
        <v>4580</v>
      </c>
      <c r="Z571" s="55">
        <f t="shared" si="119"/>
        <v>4580</v>
      </c>
      <c r="AA571" s="55">
        <f t="shared" si="120"/>
        <v>0</v>
      </c>
      <c r="AB571" s="55">
        <f t="shared" si="121"/>
        <v>601.31999999999971</v>
      </c>
      <c r="AC571" s="54">
        <f t="shared" si="122"/>
        <v>0.11605536813012896</v>
      </c>
      <c r="AD571" s="56">
        <f>INDEX(Assumptions!$B$14:$B$16,MATCH($R571,Assumptions!$A$14:$A$16,0))</f>
        <v>0.12</v>
      </c>
      <c r="AE571" s="56">
        <f>INDEX(Assumptions!$C$14:$C$16,MATCH($R571,Assumptions!$A$14:$A$16,0))</f>
        <v>0.08</v>
      </c>
      <c r="AF571" s="49">
        <f t="shared" si="123"/>
        <v>0</v>
      </c>
      <c r="AG571" s="49">
        <f t="shared" si="124"/>
        <v>0</v>
      </c>
      <c r="AH571" s="55">
        <f t="shared" si="125"/>
        <v>20.438400000000229</v>
      </c>
    </row>
    <row r="572" spans="1:34" x14ac:dyDescent="0.2">
      <c r="A572" s="48" t="s">
        <v>684</v>
      </c>
      <c r="B572" s="48">
        <v>2</v>
      </c>
      <c r="C572" s="48" t="s">
        <v>675</v>
      </c>
      <c r="D572" s="48" t="s">
        <v>636</v>
      </c>
      <c r="E572" s="48" t="s">
        <v>407</v>
      </c>
      <c r="F572" s="48" t="s">
        <v>274</v>
      </c>
      <c r="G572" s="48" t="s">
        <v>302</v>
      </c>
      <c r="H572" s="48" t="s">
        <v>62</v>
      </c>
      <c r="I572" s="48" t="s">
        <v>146</v>
      </c>
      <c r="J572" s="49">
        <v>2</v>
      </c>
      <c r="K572" s="50">
        <v>235</v>
      </c>
      <c r="L572" s="50">
        <v>221.19</v>
      </c>
      <c r="M572" s="48" t="s">
        <v>276</v>
      </c>
      <c r="N572" s="51">
        <v>1</v>
      </c>
      <c r="O572" s="51">
        <v>1</v>
      </c>
      <c r="P572" s="52">
        <v>181.8</v>
      </c>
      <c r="Q572" s="52">
        <v>181.8</v>
      </c>
      <c r="R572" s="53" t="str">
        <f>INDEX(SKU_Master!$D$5:$D$34,MATCH($I572,SKU_Master!$A$5:$A$34,0))</f>
        <v>Monitor</v>
      </c>
      <c r="S572" s="54">
        <f t="shared" si="112"/>
        <v>5.876595744680857E-2</v>
      </c>
      <c r="T572" s="55">
        <f t="shared" si="113"/>
        <v>470</v>
      </c>
      <c r="U572" s="55">
        <f t="shared" si="114"/>
        <v>442.38</v>
      </c>
      <c r="V572" s="55">
        <f t="shared" si="115"/>
        <v>-27.620000000000005</v>
      </c>
      <c r="W572" s="55">
        <f t="shared" si="116"/>
        <v>442.38</v>
      </c>
      <c r="X572" s="55">
        <f t="shared" si="117"/>
        <v>0</v>
      </c>
      <c r="Y572" s="55">
        <f t="shared" si="118"/>
        <v>363.6</v>
      </c>
      <c r="Z572" s="55">
        <f t="shared" si="119"/>
        <v>363.6</v>
      </c>
      <c r="AA572" s="55">
        <f t="shared" si="120"/>
        <v>0</v>
      </c>
      <c r="AB572" s="55">
        <f t="shared" si="121"/>
        <v>78.779999999999973</v>
      </c>
      <c r="AC572" s="54">
        <f t="shared" si="122"/>
        <v>0.17808219178082185</v>
      </c>
      <c r="AD572" s="56">
        <f>INDEX(Assumptions!$B$14:$B$16,MATCH($R572,Assumptions!$A$14:$A$16,0))</f>
        <v>0.18</v>
      </c>
      <c r="AE572" s="56">
        <f>INDEX(Assumptions!$C$14:$C$16,MATCH($R572,Assumptions!$A$14:$A$16,0))</f>
        <v>0.12</v>
      </c>
      <c r="AF572" s="49">
        <f t="shared" si="123"/>
        <v>0</v>
      </c>
      <c r="AG572" s="49">
        <f t="shared" si="124"/>
        <v>0</v>
      </c>
      <c r="AH572" s="55">
        <f t="shared" si="125"/>
        <v>0.84840000000002647</v>
      </c>
    </row>
    <row r="573" spans="1:34" x14ac:dyDescent="0.2">
      <c r="A573" s="48" t="s">
        <v>684</v>
      </c>
      <c r="B573" s="48">
        <v>3</v>
      </c>
      <c r="C573" s="48" t="s">
        <v>675</v>
      </c>
      <c r="D573" s="48" t="s">
        <v>636</v>
      </c>
      <c r="E573" s="48" t="s">
        <v>407</v>
      </c>
      <c r="F573" s="48" t="s">
        <v>274</v>
      </c>
      <c r="G573" s="48" t="s">
        <v>302</v>
      </c>
      <c r="H573" s="48" t="s">
        <v>62</v>
      </c>
      <c r="I573" s="48" t="s">
        <v>151</v>
      </c>
      <c r="J573" s="49">
        <v>2</v>
      </c>
      <c r="K573" s="50">
        <v>335</v>
      </c>
      <c r="L573" s="50">
        <v>322.70999999999998</v>
      </c>
      <c r="M573" s="48" t="s">
        <v>276</v>
      </c>
      <c r="N573" s="51">
        <v>1</v>
      </c>
      <c r="O573" s="51">
        <v>1</v>
      </c>
      <c r="P573" s="52">
        <v>216.7</v>
      </c>
      <c r="Q573" s="52">
        <v>216.7</v>
      </c>
      <c r="R573" s="53" t="str">
        <f>INDEX(SKU_Master!$D$5:$D$34,MATCH($I573,SKU_Master!$A$5:$A$34,0))</f>
        <v>Accessory</v>
      </c>
      <c r="S573" s="54">
        <f t="shared" si="112"/>
        <v>3.6686567164179174E-2</v>
      </c>
      <c r="T573" s="55">
        <f t="shared" si="113"/>
        <v>670</v>
      </c>
      <c r="U573" s="55">
        <f t="shared" si="114"/>
        <v>645.41999999999996</v>
      </c>
      <c r="V573" s="55">
        <f t="shared" si="115"/>
        <v>-24.580000000000041</v>
      </c>
      <c r="W573" s="55">
        <f t="shared" si="116"/>
        <v>645.41999999999996</v>
      </c>
      <c r="X573" s="55">
        <f t="shared" si="117"/>
        <v>0</v>
      </c>
      <c r="Y573" s="55">
        <f t="shared" si="118"/>
        <v>433.4</v>
      </c>
      <c r="Z573" s="55">
        <f t="shared" si="119"/>
        <v>433.4</v>
      </c>
      <c r="AA573" s="55">
        <f t="shared" si="120"/>
        <v>0</v>
      </c>
      <c r="AB573" s="55">
        <f t="shared" si="121"/>
        <v>212.01999999999998</v>
      </c>
      <c r="AC573" s="54">
        <f t="shared" si="122"/>
        <v>0.32849927179201138</v>
      </c>
      <c r="AD573" s="56">
        <f>INDEX(Assumptions!$B$14:$B$16,MATCH($R573,Assumptions!$A$14:$A$16,0))</f>
        <v>0.32</v>
      </c>
      <c r="AE573" s="56">
        <f>INDEX(Assumptions!$C$14:$C$16,MATCH($R573,Assumptions!$A$14:$A$16,0))</f>
        <v>0.22</v>
      </c>
      <c r="AF573" s="49">
        <f t="shared" si="123"/>
        <v>0</v>
      </c>
      <c r="AG573" s="49">
        <f t="shared" si="124"/>
        <v>0</v>
      </c>
      <c r="AH573" s="55">
        <f t="shared" si="125"/>
        <v>0</v>
      </c>
    </row>
    <row r="574" spans="1:34" x14ac:dyDescent="0.2">
      <c r="A574" s="48" t="s">
        <v>685</v>
      </c>
      <c r="B574" s="48">
        <v>1</v>
      </c>
      <c r="C574" s="48" t="s">
        <v>683</v>
      </c>
      <c r="D574" s="48" t="s">
        <v>636</v>
      </c>
      <c r="E574" s="48" t="s">
        <v>588</v>
      </c>
      <c r="F574" s="48" t="s">
        <v>274</v>
      </c>
      <c r="G574" s="48" t="s">
        <v>281</v>
      </c>
      <c r="H574" s="48" t="s">
        <v>62</v>
      </c>
      <c r="I574" s="48" t="s">
        <v>115</v>
      </c>
      <c r="J574" s="49">
        <v>6</v>
      </c>
      <c r="K574" s="50">
        <v>850</v>
      </c>
      <c r="L574" s="50">
        <v>835.22</v>
      </c>
      <c r="M574" s="48" t="s">
        <v>276</v>
      </c>
      <c r="N574" s="51">
        <v>1</v>
      </c>
      <c r="O574" s="51">
        <v>1</v>
      </c>
      <c r="P574" s="52">
        <v>723.6</v>
      </c>
      <c r="Q574" s="52">
        <v>723.6</v>
      </c>
      <c r="R574" s="53" t="str">
        <f>INDEX(SKU_Master!$D$5:$D$34,MATCH($I574,SKU_Master!$A$5:$A$34,0))</f>
        <v>Laptop</v>
      </c>
      <c r="S574" s="54">
        <f t="shared" si="112"/>
        <v>1.7388235294117593E-2</v>
      </c>
      <c r="T574" s="55">
        <f t="shared" si="113"/>
        <v>5100</v>
      </c>
      <c r="U574" s="55">
        <f t="shared" si="114"/>
        <v>5011.32</v>
      </c>
      <c r="V574" s="55">
        <f t="shared" si="115"/>
        <v>-88.680000000000291</v>
      </c>
      <c r="W574" s="55">
        <f t="shared" si="116"/>
        <v>5011.32</v>
      </c>
      <c r="X574" s="55">
        <f t="shared" si="117"/>
        <v>0</v>
      </c>
      <c r="Y574" s="55">
        <f t="shared" si="118"/>
        <v>4341.6000000000004</v>
      </c>
      <c r="Z574" s="55">
        <f t="shared" si="119"/>
        <v>4341.6000000000004</v>
      </c>
      <c r="AA574" s="55">
        <f t="shared" si="120"/>
        <v>0</v>
      </c>
      <c r="AB574" s="55">
        <f t="shared" si="121"/>
        <v>669.71999999999935</v>
      </c>
      <c r="AC574" s="54">
        <f t="shared" si="122"/>
        <v>0.13364143578937274</v>
      </c>
      <c r="AD574" s="56">
        <f>INDEX(Assumptions!$B$14:$B$16,MATCH($R574,Assumptions!$A$14:$A$16,0))</f>
        <v>0.12</v>
      </c>
      <c r="AE574" s="56">
        <f>INDEX(Assumptions!$C$14:$C$16,MATCH($R574,Assumptions!$A$14:$A$16,0))</f>
        <v>0.08</v>
      </c>
      <c r="AF574" s="49">
        <f t="shared" si="123"/>
        <v>0</v>
      </c>
      <c r="AG574" s="49">
        <f t="shared" si="124"/>
        <v>0</v>
      </c>
      <c r="AH574" s="55">
        <f t="shared" si="125"/>
        <v>0</v>
      </c>
    </row>
    <row r="575" spans="1:34" x14ac:dyDescent="0.2">
      <c r="A575" s="48" t="s">
        <v>685</v>
      </c>
      <c r="B575" s="48">
        <v>2</v>
      </c>
      <c r="C575" s="48" t="s">
        <v>683</v>
      </c>
      <c r="D575" s="48" t="s">
        <v>636</v>
      </c>
      <c r="E575" s="48" t="s">
        <v>588</v>
      </c>
      <c r="F575" s="48" t="s">
        <v>274</v>
      </c>
      <c r="G575" s="48" t="s">
        <v>281</v>
      </c>
      <c r="H575" s="48" t="s">
        <v>62</v>
      </c>
      <c r="I575" s="48" t="s">
        <v>166</v>
      </c>
      <c r="J575" s="49">
        <v>5</v>
      </c>
      <c r="K575" s="50">
        <v>265</v>
      </c>
      <c r="L575" s="50">
        <v>262.22000000000003</v>
      </c>
      <c r="M575" s="48" t="s">
        <v>276</v>
      </c>
      <c r="N575" s="51">
        <v>1</v>
      </c>
      <c r="O575" s="51">
        <v>1</v>
      </c>
      <c r="P575" s="52">
        <v>169.35</v>
      </c>
      <c r="Q575" s="52">
        <v>169.35</v>
      </c>
      <c r="R575" s="53" t="str">
        <f>INDEX(SKU_Master!$D$5:$D$34,MATCH($I575,SKU_Master!$A$5:$A$34,0))</f>
        <v>Accessory</v>
      </c>
      <c r="S575" s="54">
        <f t="shared" si="112"/>
        <v>1.0490566037735793E-2</v>
      </c>
      <c r="T575" s="55">
        <f t="shared" si="113"/>
        <v>1325</v>
      </c>
      <c r="U575" s="55">
        <f t="shared" si="114"/>
        <v>1311.1000000000001</v>
      </c>
      <c r="V575" s="55">
        <f t="shared" si="115"/>
        <v>-13.899999999999864</v>
      </c>
      <c r="W575" s="55">
        <f t="shared" si="116"/>
        <v>1311.1000000000001</v>
      </c>
      <c r="X575" s="55">
        <f t="shared" si="117"/>
        <v>0</v>
      </c>
      <c r="Y575" s="55">
        <f t="shared" si="118"/>
        <v>846.75</v>
      </c>
      <c r="Z575" s="55">
        <f t="shared" si="119"/>
        <v>846.75</v>
      </c>
      <c r="AA575" s="55">
        <f t="shared" si="120"/>
        <v>0</v>
      </c>
      <c r="AB575" s="55">
        <f t="shared" si="121"/>
        <v>464.35000000000014</v>
      </c>
      <c r="AC575" s="54">
        <f t="shared" si="122"/>
        <v>0.35416825566318366</v>
      </c>
      <c r="AD575" s="56">
        <f>INDEX(Assumptions!$B$14:$B$16,MATCH($R575,Assumptions!$A$14:$A$16,0))</f>
        <v>0.32</v>
      </c>
      <c r="AE575" s="56">
        <f>INDEX(Assumptions!$C$14:$C$16,MATCH($R575,Assumptions!$A$14:$A$16,0))</f>
        <v>0.22</v>
      </c>
      <c r="AF575" s="49">
        <f t="shared" si="123"/>
        <v>0</v>
      </c>
      <c r="AG575" s="49">
        <f t="shared" si="124"/>
        <v>0</v>
      </c>
      <c r="AH575" s="55">
        <f t="shared" si="125"/>
        <v>0</v>
      </c>
    </row>
    <row r="576" spans="1:34" x14ac:dyDescent="0.2">
      <c r="A576" s="48" t="s">
        <v>686</v>
      </c>
      <c r="B576" s="48">
        <v>1</v>
      </c>
      <c r="C576" s="48" t="s">
        <v>687</v>
      </c>
      <c r="D576" s="48" t="s">
        <v>636</v>
      </c>
      <c r="E576" s="48" t="s">
        <v>325</v>
      </c>
      <c r="F576" s="48" t="s">
        <v>274</v>
      </c>
      <c r="G576" s="48" t="s">
        <v>298</v>
      </c>
      <c r="H576" s="48" t="s">
        <v>62</v>
      </c>
      <c r="I576" s="48" t="s">
        <v>101</v>
      </c>
      <c r="J576" s="49">
        <v>7</v>
      </c>
      <c r="K576" s="50">
        <v>3440</v>
      </c>
      <c r="L576" s="50">
        <v>3435.02</v>
      </c>
      <c r="M576" s="48" t="s">
        <v>276</v>
      </c>
      <c r="N576" s="51">
        <v>1</v>
      </c>
      <c r="O576" s="51">
        <v>1</v>
      </c>
      <c r="P576" s="52">
        <v>2938.5</v>
      </c>
      <c r="Q576" s="52">
        <v>2938.5</v>
      </c>
      <c r="R576" s="53" t="str">
        <f>INDEX(SKU_Master!$D$5:$D$34,MATCH($I576,SKU_Master!$A$5:$A$34,0))</f>
        <v>Laptop</v>
      </c>
      <c r="S576" s="54">
        <f t="shared" si="112"/>
        <v>1.4476744186046053E-3</v>
      </c>
      <c r="T576" s="55">
        <f t="shared" si="113"/>
        <v>24080</v>
      </c>
      <c r="U576" s="55">
        <f t="shared" si="114"/>
        <v>24045.14</v>
      </c>
      <c r="V576" s="55">
        <f t="shared" si="115"/>
        <v>-34.860000000000582</v>
      </c>
      <c r="W576" s="55">
        <f t="shared" si="116"/>
        <v>24045.14</v>
      </c>
      <c r="X576" s="55">
        <f t="shared" si="117"/>
        <v>0</v>
      </c>
      <c r="Y576" s="55">
        <f t="shared" si="118"/>
        <v>20569.5</v>
      </c>
      <c r="Z576" s="55">
        <f t="shared" si="119"/>
        <v>20569.5</v>
      </c>
      <c r="AA576" s="55">
        <f t="shared" si="120"/>
        <v>0</v>
      </c>
      <c r="AB576" s="55">
        <f t="shared" si="121"/>
        <v>3475.6399999999994</v>
      </c>
      <c r="AC576" s="54">
        <f t="shared" si="122"/>
        <v>0.1445464655227626</v>
      </c>
      <c r="AD576" s="56">
        <f>INDEX(Assumptions!$B$14:$B$16,MATCH($R576,Assumptions!$A$14:$A$16,0))</f>
        <v>0.12</v>
      </c>
      <c r="AE576" s="56">
        <f>INDEX(Assumptions!$C$14:$C$16,MATCH($R576,Assumptions!$A$14:$A$16,0))</f>
        <v>0.08</v>
      </c>
      <c r="AF576" s="49">
        <f t="shared" si="123"/>
        <v>0</v>
      </c>
      <c r="AG576" s="49">
        <f t="shared" si="124"/>
        <v>0</v>
      </c>
      <c r="AH576" s="55">
        <f t="shared" si="125"/>
        <v>0</v>
      </c>
    </row>
    <row r="577" spans="1:34" x14ac:dyDescent="0.2">
      <c r="A577" s="48" t="s">
        <v>686</v>
      </c>
      <c r="B577" s="48">
        <v>2</v>
      </c>
      <c r="C577" s="48" t="s">
        <v>687</v>
      </c>
      <c r="D577" s="48" t="s">
        <v>636</v>
      </c>
      <c r="E577" s="48" t="s">
        <v>325</v>
      </c>
      <c r="F577" s="48" t="s">
        <v>274</v>
      </c>
      <c r="G577" s="48" t="s">
        <v>298</v>
      </c>
      <c r="H577" s="48" t="s">
        <v>62</v>
      </c>
      <c r="I577" s="48" t="s">
        <v>177</v>
      </c>
      <c r="J577" s="49">
        <v>5</v>
      </c>
      <c r="K577" s="50">
        <v>70</v>
      </c>
      <c r="L577" s="50">
        <v>69.05</v>
      </c>
      <c r="M577" s="48" t="s">
        <v>276</v>
      </c>
      <c r="N577" s="51">
        <v>1</v>
      </c>
      <c r="O577" s="51">
        <v>1</v>
      </c>
      <c r="P577" s="52">
        <v>44</v>
      </c>
      <c r="Q577" s="52">
        <v>44</v>
      </c>
      <c r="R577" s="53" t="str">
        <f>INDEX(SKU_Master!$D$5:$D$34,MATCH($I577,SKU_Master!$A$5:$A$34,0))</f>
        <v>Accessory</v>
      </c>
      <c r="S577" s="54">
        <f t="shared" si="112"/>
        <v>1.3571428571428568E-2</v>
      </c>
      <c r="T577" s="55">
        <f t="shared" si="113"/>
        <v>350</v>
      </c>
      <c r="U577" s="55">
        <f t="shared" si="114"/>
        <v>345.25</v>
      </c>
      <c r="V577" s="55">
        <f t="shared" si="115"/>
        <v>-4.75</v>
      </c>
      <c r="W577" s="55">
        <f t="shared" si="116"/>
        <v>345.25</v>
      </c>
      <c r="X577" s="55">
        <f t="shared" si="117"/>
        <v>0</v>
      </c>
      <c r="Y577" s="55">
        <f t="shared" si="118"/>
        <v>220</v>
      </c>
      <c r="Z577" s="55">
        <f t="shared" si="119"/>
        <v>220</v>
      </c>
      <c r="AA577" s="55">
        <f t="shared" si="120"/>
        <v>0</v>
      </c>
      <c r="AB577" s="55">
        <f t="shared" si="121"/>
        <v>125.25</v>
      </c>
      <c r="AC577" s="54">
        <f t="shared" si="122"/>
        <v>0.36278059377262856</v>
      </c>
      <c r="AD577" s="56">
        <f>INDEX(Assumptions!$B$14:$B$16,MATCH($R577,Assumptions!$A$14:$A$16,0))</f>
        <v>0.32</v>
      </c>
      <c r="AE577" s="56">
        <f>INDEX(Assumptions!$C$14:$C$16,MATCH($R577,Assumptions!$A$14:$A$16,0))</f>
        <v>0.22</v>
      </c>
      <c r="AF577" s="49">
        <f t="shared" si="123"/>
        <v>0</v>
      </c>
      <c r="AG577" s="49">
        <f t="shared" si="124"/>
        <v>0</v>
      </c>
      <c r="AH577" s="55">
        <f t="shared" si="125"/>
        <v>0</v>
      </c>
    </row>
    <row r="578" spans="1:34" x14ac:dyDescent="0.2">
      <c r="A578" s="48" t="s">
        <v>688</v>
      </c>
      <c r="B578" s="48">
        <v>1</v>
      </c>
      <c r="C578" s="48" t="s">
        <v>689</v>
      </c>
      <c r="D578" s="48" t="s">
        <v>636</v>
      </c>
      <c r="E578" s="48" t="s">
        <v>368</v>
      </c>
      <c r="F578" s="48" t="s">
        <v>274</v>
      </c>
      <c r="G578" s="48" t="s">
        <v>288</v>
      </c>
      <c r="H578" s="48" t="s">
        <v>68</v>
      </c>
      <c r="I578" s="48" t="s">
        <v>118</v>
      </c>
      <c r="J578" s="49">
        <v>4</v>
      </c>
      <c r="K578" s="50">
        <v>1925</v>
      </c>
      <c r="L578" s="50">
        <v>1923.12</v>
      </c>
      <c r="M578" s="48" t="s">
        <v>276</v>
      </c>
      <c r="N578" s="51">
        <v>1.37</v>
      </c>
      <c r="O578" s="51">
        <v>1.3562000000000001</v>
      </c>
      <c r="P578" s="52">
        <v>1174.5999999999999</v>
      </c>
      <c r="Q578" s="52">
        <v>1174.5999999999999</v>
      </c>
      <c r="R578" s="53" t="str">
        <f>INDEX(SKU_Master!$D$5:$D$34,MATCH($I578,SKU_Master!$A$5:$A$34,0))</f>
        <v>Laptop</v>
      </c>
      <c r="S578" s="54">
        <f t="shared" si="112"/>
        <v>9.7662337662340892E-4</v>
      </c>
      <c r="T578" s="55">
        <f t="shared" si="113"/>
        <v>5620.4379562043787</v>
      </c>
      <c r="U578" s="55">
        <f t="shared" si="114"/>
        <v>5614.9489051094879</v>
      </c>
      <c r="V578" s="55">
        <f t="shared" si="115"/>
        <v>-5.4890510948907831</v>
      </c>
      <c r="W578" s="55">
        <f t="shared" si="116"/>
        <v>5672.083763456717</v>
      </c>
      <c r="X578" s="55">
        <f t="shared" si="117"/>
        <v>57.134858347229056</v>
      </c>
      <c r="Y578" s="55">
        <f t="shared" si="118"/>
        <v>4698.3999999999996</v>
      </c>
      <c r="Z578" s="55">
        <f t="shared" si="119"/>
        <v>4698.3999999999996</v>
      </c>
      <c r="AA578" s="55">
        <f t="shared" si="120"/>
        <v>0</v>
      </c>
      <c r="AB578" s="55">
        <f t="shared" si="121"/>
        <v>973.68376345671732</v>
      </c>
      <c r="AC578" s="54">
        <f t="shared" si="122"/>
        <v>0.17166244436124631</v>
      </c>
      <c r="AD578" s="56">
        <f>INDEX(Assumptions!$B$14:$B$16,MATCH($R578,Assumptions!$A$14:$A$16,0))</f>
        <v>0.12</v>
      </c>
      <c r="AE578" s="56">
        <f>INDEX(Assumptions!$C$14:$C$16,MATCH($R578,Assumptions!$A$14:$A$16,0))</f>
        <v>0.08</v>
      </c>
      <c r="AF578" s="49">
        <f t="shared" si="123"/>
        <v>0</v>
      </c>
      <c r="AG578" s="49">
        <f t="shared" si="124"/>
        <v>0</v>
      </c>
      <c r="AH578" s="55">
        <f t="shared" si="125"/>
        <v>0</v>
      </c>
    </row>
    <row r="579" spans="1:34" x14ac:dyDescent="0.2">
      <c r="A579" s="48" t="s">
        <v>688</v>
      </c>
      <c r="B579" s="48">
        <v>2</v>
      </c>
      <c r="C579" s="48" t="s">
        <v>689</v>
      </c>
      <c r="D579" s="48" t="s">
        <v>636</v>
      </c>
      <c r="E579" s="48" t="s">
        <v>368</v>
      </c>
      <c r="F579" s="48" t="s">
        <v>274</v>
      </c>
      <c r="G579" s="48" t="s">
        <v>288</v>
      </c>
      <c r="H579" s="48" t="s">
        <v>68</v>
      </c>
      <c r="I579" s="48" t="s">
        <v>166</v>
      </c>
      <c r="J579" s="49">
        <v>2</v>
      </c>
      <c r="K579" s="50">
        <v>375</v>
      </c>
      <c r="L579" s="50">
        <v>370.14</v>
      </c>
      <c r="M579" s="48" t="s">
        <v>276</v>
      </c>
      <c r="N579" s="51">
        <v>1.37</v>
      </c>
      <c r="O579" s="51">
        <v>1.3562000000000001</v>
      </c>
      <c r="P579" s="52">
        <v>172.35</v>
      </c>
      <c r="Q579" s="52">
        <v>172.35</v>
      </c>
      <c r="R579" s="53" t="str">
        <f>INDEX(SKU_Master!$D$5:$D$34,MATCH($I579,SKU_Master!$A$5:$A$34,0))</f>
        <v>Accessory</v>
      </c>
      <c r="S579" s="54">
        <f t="shared" si="112"/>
        <v>1.2960000000000083E-2</v>
      </c>
      <c r="T579" s="55">
        <f t="shared" si="113"/>
        <v>547.44525547445255</v>
      </c>
      <c r="U579" s="55">
        <f t="shared" si="114"/>
        <v>540.35036496350358</v>
      </c>
      <c r="V579" s="55">
        <f t="shared" si="115"/>
        <v>-7.0948905109489715</v>
      </c>
      <c r="W579" s="55">
        <f t="shared" si="116"/>
        <v>545.84869488276058</v>
      </c>
      <c r="X579" s="55">
        <f t="shared" si="117"/>
        <v>5.498329919257003</v>
      </c>
      <c r="Y579" s="55">
        <f t="shared" si="118"/>
        <v>344.7</v>
      </c>
      <c r="Z579" s="55">
        <f t="shared" si="119"/>
        <v>344.7</v>
      </c>
      <c r="AA579" s="55">
        <f t="shared" si="120"/>
        <v>0</v>
      </c>
      <c r="AB579" s="55">
        <f t="shared" si="121"/>
        <v>201.14869488276059</v>
      </c>
      <c r="AC579" s="54">
        <f t="shared" si="122"/>
        <v>0.36850632193224181</v>
      </c>
      <c r="AD579" s="56">
        <f>INDEX(Assumptions!$B$14:$B$16,MATCH($R579,Assumptions!$A$14:$A$16,0))</f>
        <v>0.32</v>
      </c>
      <c r="AE579" s="56">
        <f>INDEX(Assumptions!$C$14:$C$16,MATCH($R579,Assumptions!$A$14:$A$16,0))</f>
        <v>0.22</v>
      </c>
      <c r="AF579" s="49">
        <f t="shared" si="123"/>
        <v>0</v>
      </c>
      <c r="AG579" s="49">
        <f t="shared" si="124"/>
        <v>0</v>
      </c>
      <c r="AH579" s="55">
        <f t="shared" si="125"/>
        <v>0</v>
      </c>
    </row>
    <row r="580" spans="1:34" x14ac:dyDescent="0.2">
      <c r="A580" s="48" t="s">
        <v>690</v>
      </c>
      <c r="B580" s="48">
        <v>1</v>
      </c>
      <c r="C580" s="48" t="s">
        <v>675</v>
      </c>
      <c r="D580" s="48" t="s">
        <v>636</v>
      </c>
      <c r="E580" s="48" t="s">
        <v>384</v>
      </c>
      <c r="F580" s="48" t="s">
        <v>297</v>
      </c>
      <c r="G580" s="48" t="s">
        <v>281</v>
      </c>
      <c r="H580" s="48" t="s">
        <v>70</v>
      </c>
      <c r="I580" s="48" t="s">
        <v>93</v>
      </c>
      <c r="J580" s="49">
        <v>48</v>
      </c>
      <c r="K580" s="50">
        <v>134750</v>
      </c>
      <c r="L580" s="50">
        <v>131706.93</v>
      </c>
      <c r="M580" s="48" t="s">
        <v>276</v>
      </c>
      <c r="N580" s="51">
        <v>83.5</v>
      </c>
      <c r="O580" s="51">
        <v>83.985900000000001</v>
      </c>
      <c r="P580" s="52">
        <v>1351.7</v>
      </c>
      <c r="Q580" s="52">
        <v>1371.7</v>
      </c>
      <c r="R580" s="53" t="str">
        <f>INDEX(SKU_Master!$D$5:$D$34,MATCH($I580,SKU_Master!$A$5:$A$34,0))</f>
        <v>Laptop</v>
      </c>
      <c r="S580" s="54">
        <f t="shared" si="112"/>
        <v>2.2583079777365511E-2</v>
      </c>
      <c r="T580" s="55">
        <f t="shared" si="113"/>
        <v>77461.077844311381</v>
      </c>
      <c r="U580" s="55">
        <f t="shared" si="114"/>
        <v>75711.768143712572</v>
      </c>
      <c r="V580" s="55">
        <f t="shared" si="115"/>
        <v>-1749.3097005988093</v>
      </c>
      <c r="W580" s="55">
        <f t="shared" si="116"/>
        <v>75273.738091751104</v>
      </c>
      <c r="X580" s="55">
        <f t="shared" si="117"/>
        <v>-438.03005196146842</v>
      </c>
      <c r="Y580" s="55">
        <f t="shared" si="118"/>
        <v>64881.600000000006</v>
      </c>
      <c r="Z580" s="55">
        <f t="shared" si="119"/>
        <v>65841.600000000006</v>
      </c>
      <c r="AA580" s="55">
        <f t="shared" si="120"/>
        <v>-960</v>
      </c>
      <c r="AB580" s="55">
        <f t="shared" si="121"/>
        <v>9432.1380917510978</v>
      </c>
      <c r="AC580" s="54">
        <f t="shared" si="122"/>
        <v>0.12530449969489055</v>
      </c>
      <c r="AD580" s="56">
        <f>INDEX(Assumptions!$B$14:$B$16,MATCH($R580,Assumptions!$A$14:$A$16,0))</f>
        <v>0.12</v>
      </c>
      <c r="AE580" s="56">
        <f>INDEX(Assumptions!$C$14:$C$16,MATCH($R580,Assumptions!$A$14:$A$16,0))</f>
        <v>0.08</v>
      </c>
      <c r="AF580" s="49">
        <f t="shared" si="123"/>
        <v>0</v>
      </c>
      <c r="AG580" s="49">
        <f t="shared" si="124"/>
        <v>0</v>
      </c>
      <c r="AH580" s="55">
        <f t="shared" si="125"/>
        <v>0</v>
      </c>
    </row>
    <row r="581" spans="1:34" x14ac:dyDescent="0.2">
      <c r="A581" s="48" t="s">
        <v>690</v>
      </c>
      <c r="B581" s="48">
        <v>2</v>
      </c>
      <c r="C581" s="48" t="s">
        <v>675</v>
      </c>
      <c r="D581" s="48" t="s">
        <v>636</v>
      </c>
      <c r="E581" s="48" t="s">
        <v>384</v>
      </c>
      <c r="F581" s="48" t="s">
        <v>297</v>
      </c>
      <c r="G581" s="48" t="s">
        <v>281</v>
      </c>
      <c r="H581" s="48" t="s">
        <v>70</v>
      </c>
      <c r="I581" s="48" t="s">
        <v>141</v>
      </c>
      <c r="J581" s="49">
        <v>32</v>
      </c>
      <c r="K581" s="50">
        <v>46735</v>
      </c>
      <c r="L581" s="50">
        <v>45547.19</v>
      </c>
      <c r="M581" s="48" t="s">
        <v>276</v>
      </c>
      <c r="N581" s="51">
        <v>83.5</v>
      </c>
      <c r="O581" s="51">
        <v>83.985900000000001</v>
      </c>
      <c r="P581" s="52">
        <v>432.64</v>
      </c>
      <c r="Q581" s="52">
        <v>452.64</v>
      </c>
      <c r="R581" s="53" t="str">
        <f>INDEX(SKU_Master!$D$5:$D$34,MATCH($I581,SKU_Master!$A$5:$A$34,0))</f>
        <v>Monitor</v>
      </c>
      <c r="S581" s="54">
        <f t="shared" ref="S581:S644" si="126">IF(K581=0,0,1-L581/K581)</f>
        <v>2.5415855354659178E-2</v>
      </c>
      <c r="T581" s="55">
        <f t="shared" ref="T581:T644" si="127">J581*K581/N581</f>
        <v>17910.419161676647</v>
      </c>
      <c r="U581" s="55">
        <f t="shared" ref="U581:U644" si="128">J581*L581/N581</f>
        <v>17455.210538922158</v>
      </c>
      <c r="V581" s="55">
        <f t="shared" ref="V581:V644" si="129">U581-T581</f>
        <v>-455.20862275448962</v>
      </c>
      <c r="W581" s="55">
        <f t="shared" ref="W581:W644" si="130">J581*L581/O581</f>
        <v>17354.223506564795</v>
      </c>
      <c r="X581" s="55">
        <f t="shared" ref="X581:X644" si="131">W581-U581</f>
        <v>-100.9870323573632</v>
      </c>
      <c r="Y581" s="55">
        <f t="shared" ref="Y581:Y644" si="132">J581*P581</f>
        <v>13844.48</v>
      </c>
      <c r="Z581" s="55">
        <f t="shared" ref="Z581:Z644" si="133">J581*Q581</f>
        <v>14484.48</v>
      </c>
      <c r="AA581" s="55">
        <f t="shared" ref="AA581:AA644" si="134">Y581-Z581</f>
        <v>-640</v>
      </c>
      <c r="AB581" s="55">
        <f t="shared" ref="AB581:AB644" si="135">W581-Z581</f>
        <v>2869.7435065647951</v>
      </c>
      <c r="AC581" s="54">
        <f t="shared" ref="AC581:AC644" si="136">IF(W581=0,0,AB581/W581)</f>
        <v>0.16536282971573013</v>
      </c>
      <c r="AD581" s="56">
        <f>INDEX(Assumptions!$B$14:$B$16,MATCH($R581,Assumptions!$A$14:$A$16,0))</f>
        <v>0.18</v>
      </c>
      <c r="AE581" s="56">
        <f>INDEX(Assumptions!$C$14:$C$16,MATCH($R581,Assumptions!$A$14:$A$16,0))</f>
        <v>0.12</v>
      </c>
      <c r="AF581" s="49">
        <f t="shared" ref="AF581:AF644" si="137">IF(AC581&lt;AE581,1,0)</f>
        <v>0</v>
      </c>
      <c r="AG581" s="49">
        <f t="shared" ref="AG581:AG644" si="138">IF(AND(AF581=1,M581="N"),1,0)</f>
        <v>0</v>
      </c>
      <c r="AH581" s="55">
        <f t="shared" ref="AH581:AH644" si="139">MAX(0,W581*AD581-AB581)</f>
        <v>254.01672461686803</v>
      </c>
    </row>
    <row r="582" spans="1:34" x14ac:dyDescent="0.2">
      <c r="A582" s="48" t="s">
        <v>690</v>
      </c>
      <c r="B582" s="48">
        <v>3</v>
      </c>
      <c r="C582" s="48" t="s">
        <v>675</v>
      </c>
      <c r="D582" s="48" t="s">
        <v>636</v>
      </c>
      <c r="E582" s="48" t="s">
        <v>384</v>
      </c>
      <c r="F582" s="48" t="s">
        <v>297</v>
      </c>
      <c r="G582" s="48" t="s">
        <v>281</v>
      </c>
      <c r="H582" s="48" t="s">
        <v>70</v>
      </c>
      <c r="I582" s="48" t="s">
        <v>166</v>
      </c>
      <c r="J582" s="49">
        <v>45</v>
      </c>
      <c r="K582" s="50">
        <v>25820</v>
      </c>
      <c r="L582" s="50">
        <v>24955.57</v>
      </c>
      <c r="M582" s="48" t="s">
        <v>276</v>
      </c>
      <c r="N582" s="51">
        <v>83.5</v>
      </c>
      <c r="O582" s="51">
        <v>83.985900000000001</v>
      </c>
      <c r="P582" s="52">
        <v>196.32</v>
      </c>
      <c r="Q582" s="52">
        <v>201.32</v>
      </c>
      <c r="R582" s="53" t="str">
        <f>INDEX(SKU_Master!$D$5:$D$34,MATCH($I582,SKU_Master!$A$5:$A$34,0))</f>
        <v>Accessory</v>
      </c>
      <c r="S582" s="54">
        <f t="shared" si="126"/>
        <v>3.3479085979860601E-2</v>
      </c>
      <c r="T582" s="55">
        <f t="shared" si="127"/>
        <v>13914.970059880239</v>
      </c>
      <c r="U582" s="55">
        <f t="shared" si="128"/>
        <v>13449.109580838322</v>
      </c>
      <c r="V582" s="55">
        <f t="shared" si="129"/>
        <v>-465.86047904191764</v>
      </c>
      <c r="W582" s="55">
        <f t="shared" si="130"/>
        <v>13371.299825327822</v>
      </c>
      <c r="X582" s="55">
        <f t="shared" si="131"/>
        <v>-77.809755510499599</v>
      </c>
      <c r="Y582" s="55">
        <f t="shared" si="132"/>
        <v>8834.4</v>
      </c>
      <c r="Z582" s="55">
        <f t="shared" si="133"/>
        <v>9059.4</v>
      </c>
      <c r="AA582" s="55">
        <f t="shared" si="134"/>
        <v>-225</v>
      </c>
      <c r="AB582" s="55">
        <f t="shared" si="135"/>
        <v>4311.8998253278223</v>
      </c>
      <c r="AC582" s="54">
        <f t="shared" si="136"/>
        <v>0.32247424570947486</v>
      </c>
      <c r="AD582" s="56">
        <f>INDEX(Assumptions!$B$14:$B$16,MATCH($R582,Assumptions!$A$14:$A$16,0))</f>
        <v>0.32</v>
      </c>
      <c r="AE582" s="56">
        <f>INDEX(Assumptions!$C$14:$C$16,MATCH($R582,Assumptions!$A$14:$A$16,0))</f>
        <v>0.22</v>
      </c>
      <c r="AF582" s="49">
        <f t="shared" si="137"/>
        <v>0</v>
      </c>
      <c r="AG582" s="49">
        <f t="shared" si="138"/>
        <v>0</v>
      </c>
      <c r="AH582" s="55">
        <f t="shared" si="139"/>
        <v>0</v>
      </c>
    </row>
    <row r="583" spans="1:34" x14ac:dyDescent="0.2">
      <c r="A583" s="48" t="s">
        <v>691</v>
      </c>
      <c r="B583" s="48">
        <v>1</v>
      </c>
      <c r="C583" s="48" t="s">
        <v>655</v>
      </c>
      <c r="D583" s="48" t="s">
        <v>636</v>
      </c>
      <c r="E583" s="48" t="s">
        <v>314</v>
      </c>
      <c r="F583" s="48" t="s">
        <v>274</v>
      </c>
      <c r="G583" s="48" t="s">
        <v>298</v>
      </c>
      <c r="H583" s="48" t="s">
        <v>68</v>
      </c>
      <c r="I583" s="48" t="s">
        <v>113</v>
      </c>
      <c r="J583" s="49">
        <v>7</v>
      </c>
      <c r="K583" s="50">
        <v>2450</v>
      </c>
      <c r="L583" s="50">
        <v>2401.5700000000002</v>
      </c>
      <c r="M583" s="48" t="s">
        <v>276</v>
      </c>
      <c r="N583" s="51">
        <v>1.37</v>
      </c>
      <c r="O583" s="51">
        <v>1.3562000000000001</v>
      </c>
      <c r="P583" s="52">
        <v>1496.8</v>
      </c>
      <c r="Q583" s="52">
        <v>1496.8</v>
      </c>
      <c r="R583" s="53" t="str">
        <f>INDEX(SKU_Master!$D$5:$D$34,MATCH($I583,SKU_Master!$A$5:$A$34,0))</f>
        <v>Laptop</v>
      </c>
      <c r="S583" s="54">
        <f t="shared" si="126"/>
        <v>1.9767346938775465E-2</v>
      </c>
      <c r="T583" s="55">
        <f t="shared" si="127"/>
        <v>12518.248175182482</v>
      </c>
      <c r="U583" s="55">
        <f t="shared" si="128"/>
        <v>12270.795620437957</v>
      </c>
      <c r="V583" s="55">
        <f t="shared" si="129"/>
        <v>-247.4525547445246</v>
      </c>
      <c r="W583" s="55">
        <f t="shared" si="130"/>
        <v>12395.656982745908</v>
      </c>
      <c r="X583" s="55">
        <f t="shared" si="131"/>
        <v>124.86136230795091</v>
      </c>
      <c r="Y583" s="55">
        <f t="shared" si="132"/>
        <v>10477.6</v>
      </c>
      <c r="Z583" s="55">
        <f t="shared" si="133"/>
        <v>10477.6</v>
      </c>
      <c r="AA583" s="55">
        <f t="shared" si="134"/>
        <v>0</v>
      </c>
      <c r="AB583" s="55">
        <f t="shared" si="135"/>
        <v>1918.0569827459076</v>
      </c>
      <c r="AC583" s="54">
        <f t="shared" si="136"/>
        <v>0.15473621006258406</v>
      </c>
      <c r="AD583" s="56">
        <f>INDEX(Assumptions!$B$14:$B$16,MATCH($R583,Assumptions!$A$14:$A$16,0))</f>
        <v>0.12</v>
      </c>
      <c r="AE583" s="56">
        <f>INDEX(Assumptions!$C$14:$C$16,MATCH($R583,Assumptions!$A$14:$A$16,0))</f>
        <v>0.08</v>
      </c>
      <c r="AF583" s="49">
        <f t="shared" si="137"/>
        <v>0</v>
      </c>
      <c r="AG583" s="49">
        <f t="shared" si="138"/>
        <v>0</v>
      </c>
      <c r="AH583" s="55">
        <f t="shared" si="139"/>
        <v>0</v>
      </c>
    </row>
    <row r="584" spans="1:34" x14ac:dyDescent="0.2">
      <c r="A584" s="48" t="s">
        <v>691</v>
      </c>
      <c r="B584" s="48">
        <v>2</v>
      </c>
      <c r="C584" s="48" t="s">
        <v>655</v>
      </c>
      <c r="D584" s="48" t="s">
        <v>636</v>
      </c>
      <c r="E584" s="48" t="s">
        <v>314</v>
      </c>
      <c r="F584" s="48" t="s">
        <v>274</v>
      </c>
      <c r="G584" s="48" t="s">
        <v>298</v>
      </c>
      <c r="H584" s="48" t="s">
        <v>68</v>
      </c>
      <c r="I584" s="48" t="s">
        <v>146</v>
      </c>
      <c r="J584" s="49">
        <v>6</v>
      </c>
      <c r="K584" s="50">
        <v>350</v>
      </c>
      <c r="L584" s="50">
        <v>345.61</v>
      </c>
      <c r="M584" s="48" t="s">
        <v>276</v>
      </c>
      <c r="N584" s="51">
        <v>1.37</v>
      </c>
      <c r="O584" s="51">
        <v>1.3562000000000001</v>
      </c>
      <c r="P584" s="52">
        <v>196.8</v>
      </c>
      <c r="Q584" s="52">
        <v>196.8</v>
      </c>
      <c r="R584" s="53" t="str">
        <f>INDEX(SKU_Master!$D$5:$D$34,MATCH($I584,SKU_Master!$A$5:$A$34,0))</f>
        <v>Monitor</v>
      </c>
      <c r="S584" s="54">
        <f t="shared" si="126"/>
        <v>1.2542857142857078E-2</v>
      </c>
      <c r="T584" s="55">
        <f t="shared" si="127"/>
        <v>1532.8467153284671</v>
      </c>
      <c r="U584" s="55">
        <f t="shared" si="128"/>
        <v>1513.6204379562041</v>
      </c>
      <c r="V584" s="55">
        <f t="shared" si="129"/>
        <v>-19.226277372262984</v>
      </c>
      <c r="W584" s="55">
        <f t="shared" si="130"/>
        <v>1529.0222681020496</v>
      </c>
      <c r="X584" s="55">
        <f t="shared" si="131"/>
        <v>15.401830145845452</v>
      </c>
      <c r="Y584" s="55">
        <f t="shared" si="132"/>
        <v>1180.8000000000002</v>
      </c>
      <c r="Z584" s="55">
        <f t="shared" si="133"/>
        <v>1180.8000000000002</v>
      </c>
      <c r="AA584" s="55">
        <f t="shared" si="134"/>
        <v>0</v>
      </c>
      <c r="AB584" s="55">
        <f t="shared" si="135"/>
        <v>348.22226810204938</v>
      </c>
      <c r="AC584" s="54">
        <f t="shared" si="136"/>
        <v>0.22774178987876481</v>
      </c>
      <c r="AD584" s="56">
        <f>INDEX(Assumptions!$B$14:$B$16,MATCH($R584,Assumptions!$A$14:$A$16,0))</f>
        <v>0.18</v>
      </c>
      <c r="AE584" s="56">
        <f>INDEX(Assumptions!$C$14:$C$16,MATCH($R584,Assumptions!$A$14:$A$16,0))</f>
        <v>0.12</v>
      </c>
      <c r="AF584" s="49">
        <f t="shared" si="137"/>
        <v>0</v>
      </c>
      <c r="AG584" s="49">
        <f t="shared" si="138"/>
        <v>0</v>
      </c>
      <c r="AH584" s="55">
        <f t="shared" si="139"/>
        <v>0</v>
      </c>
    </row>
    <row r="585" spans="1:34" x14ac:dyDescent="0.2">
      <c r="A585" s="48" t="s">
        <v>692</v>
      </c>
      <c r="B585" s="48">
        <v>1</v>
      </c>
      <c r="C585" s="48" t="s">
        <v>689</v>
      </c>
      <c r="D585" s="48" t="s">
        <v>636</v>
      </c>
      <c r="E585" s="48" t="s">
        <v>498</v>
      </c>
      <c r="F585" s="48" t="s">
        <v>280</v>
      </c>
      <c r="G585" s="48" t="s">
        <v>302</v>
      </c>
      <c r="H585" s="48" t="s">
        <v>66</v>
      </c>
      <c r="I585" s="48" t="s">
        <v>132</v>
      </c>
      <c r="J585" s="49">
        <v>13</v>
      </c>
      <c r="K585" s="50">
        <v>1005</v>
      </c>
      <c r="L585" s="50">
        <v>939.56</v>
      </c>
      <c r="M585" s="48" t="s">
        <v>276</v>
      </c>
      <c r="N585" s="51">
        <v>0.92</v>
      </c>
      <c r="O585" s="51">
        <v>0.91800000000000004</v>
      </c>
      <c r="P585" s="52">
        <v>911</v>
      </c>
      <c r="Q585" s="52">
        <v>911</v>
      </c>
      <c r="R585" s="53" t="str">
        <f>INDEX(SKU_Master!$D$5:$D$34,MATCH($I585,SKU_Master!$A$5:$A$34,0))</f>
        <v>Laptop</v>
      </c>
      <c r="S585" s="54">
        <f t="shared" si="126"/>
        <v>6.5114427860696544E-2</v>
      </c>
      <c r="T585" s="55">
        <f t="shared" si="127"/>
        <v>14201.086956521738</v>
      </c>
      <c r="U585" s="55">
        <f t="shared" si="128"/>
        <v>13276.391304347824</v>
      </c>
      <c r="V585" s="55">
        <f t="shared" si="129"/>
        <v>-924.69565217391391</v>
      </c>
      <c r="W585" s="55">
        <f t="shared" si="130"/>
        <v>13305.315904139432</v>
      </c>
      <c r="X585" s="55">
        <f t="shared" si="131"/>
        <v>28.924599791607761</v>
      </c>
      <c r="Y585" s="55">
        <f t="shared" si="132"/>
        <v>11843</v>
      </c>
      <c r="Z585" s="55">
        <f t="shared" si="133"/>
        <v>11843</v>
      </c>
      <c r="AA585" s="55">
        <f t="shared" si="134"/>
        <v>0</v>
      </c>
      <c r="AB585" s="55">
        <f t="shared" si="135"/>
        <v>1462.315904139432</v>
      </c>
      <c r="AC585" s="54">
        <f t="shared" si="136"/>
        <v>0.10990463621269519</v>
      </c>
      <c r="AD585" s="56">
        <f>INDEX(Assumptions!$B$14:$B$16,MATCH($R585,Assumptions!$A$14:$A$16,0))</f>
        <v>0.12</v>
      </c>
      <c r="AE585" s="56">
        <f>INDEX(Assumptions!$C$14:$C$16,MATCH($R585,Assumptions!$A$14:$A$16,0))</f>
        <v>0.08</v>
      </c>
      <c r="AF585" s="49">
        <f t="shared" si="137"/>
        <v>0</v>
      </c>
      <c r="AG585" s="49">
        <f t="shared" si="138"/>
        <v>0</v>
      </c>
      <c r="AH585" s="55">
        <f t="shared" si="139"/>
        <v>134.32200435729987</v>
      </c>
    </row>
    <row r="586" spans="1:34" x14ac:dyDescent="0.2">
      <c r="A586" s="48" t="s">
        <v>693</v>
      </c>
      <c r="B586" s="48">
        <v>1</v>
      </c>
      <c r="C586" s="48" t="s">
        <v>666</v>
      </c>
      <c r="D586" s="48" t="s">
        <v>636</v>
      </c>
      <c r="E586" s="48" t="s">
        <v>273</v>
      </c>
      <c r="F586" s="48" t="s">
        <v>274</v>
      </c>
      <c r="G586" s="48" t="s">
        <v>275</v>
      </c>
      <c r="H586" s="48" t="s">
        <v>66</v>
      </c>
      <c r="I586" s="48" t="s">
        <v>98</v>
      </c>
      <c r="J586" s="49">
        <v>6</v>
      </c>
      <c r="K586" s="50">
        <v>1980</v>
      </c>
      <c r="L586" s="50">
        <v>1973.44</v>
      </c>
      <c r="M586" s="48" t="s">
        <v>276</v>
      </c>
      <c r="N586" s="51">
        <v>0.92</v>
      </c>
      <c r="O586" s="51">
        <v>0.91800000000000004</v>
      </c>
      <c r="P586" s="52">
        <v>1800.2</v>
      </c>
      <c r="Q586" s="52">
        <v>1800.2</v>
      </c>
      <c r="R586" s="53" t="str">
        <f>INDEX(SKU_Master!$D$5:$D$34,MATCH($I586,SKU_Master!$A$5:$A$34,0))</f>
        <v>Laptop</v>
      </c>
      <c r="S586" s="54">
        <f t="shared" si="126"/>
        <v>3.3131313131312679E-3</v>
      </c>
      <c r="T586" s="55">
        <f t="shared" si="127"/>
        <v>12913.043478260868</v>
      </c>
      <c r="U586" s="55">
        <f t="shared" si="128"/>
        <v>12870.260869565216</v>
      </c>
      <c r="V586" s="55">
        <f t="shared" si="129"/>
        <v>-42.782608695652016</v>
      </c>
      <c r="W586" s="55">
        <f t="shared" si="130"/>
        <v>12898.30065359477</v>
      </c>
      <c r="X586" s="55">
        <f t="shared" si="131"/>
        <v>28.03978402955363</v>
      </c>
      <c r="Y586" s="55">
        <f t="shared" si="132"/>
        <v>10801.2</v>
      </c>
      <c r="Z586" s="55">
        <f t="shared" si="133"/>
        <v>10801.2</v>
      </c>
      <c r="AA586" s="55">
        <f t="shared" si="134"/>
        <v>0</v>
      </c>
      <c r="AB586" s="55">
        <f t="shared" si="135"/>
        <v>2097.100653594769</v>
      </c>
      <c r="AC586" s="54">
        <f t="shared" si="136"/>
        <v>0.16258736014269484</v>
      </c>
      <c r="AD586" s="56">
        <f>INDEX(Assumptions!$B$14:$B$16,MATCH($R586,Assumptions!$A$14:$A$16,0))</f>
        <v>0.12</v>
      </c>
      <c r="AE586" s="56">
        <f>INDEX(Assumptions!$C$14:$C$16,MATCH($R586,Assumptions!$A$14:$A$16,0))</f>
        <v>0.08</v>
      </c>
      <c r="AF586" s="49">
        <f t="shared" si="137"/>
        <v>0</v>
      </c>
      <c r="AG586" s="49">
        <f t="shared" si="138"/>
        <v>0</v>
      </c>
      <c r="AH586" s="55">
        <f t="shared" si="139"/>
        <v>0</v>
      </c>
    </row>
    <row r="587" spans="1:34" x14ac:dyDescent="0.2">
      <c r="A587" s="48" t="s">
        <v>693</v>
      </c>
      <c r="B587" s="48">
        <v>2</v>
      </c>
      <c r="C587" s="48" t="s">
        <v>666</v>
      </c>
      <c r="D587" s="48" t="s">
        <v>636</v>
      </c>
      <c r="E587" s="48" t="s">
        <v>273</v>
      </c>
      <c r="F587" s="48" t="s">
        <v>274</v>
      </c>
      <c r="G587" s="48" t="s">
        <v>275</v>
      </c>
      <c r="H587" s="48" t="s">
        <v>66</v>
      </c>
      <c r="I587" s="48" t="s">
        <v>135</v>
      </c>
      <c r="J587" s="49">
        <v>6</v>
      </c>
      <c r="K587" s="50">
        <v>255</v>
      </c>
      <c r="L587" s="50">
        <v>251.46</v>
      </c>
      <c r="M587" s="48" t="s">
        <v>276</v>
      </c>
      <c r="N587" s="51">
        <v>0.92</v>
      </c>
      <c r="O587" s="51">
        <v>0.91800000000000004</v>
      </c>
      <c r="P587" s="52">
        <v>211.7</v>
      </c>
      <c r="Q587" s="52">
        <v>211.7</v>
      </c>
      <c r="R587" s="53" t="str">
        <f>INDEX(SKU_Master!$D$5:$D$34,MATCH($I587,SKU_Master!$A$5:$A$34,0))</f>
        <v>Monitor</v>
      </c>
      <c r="S587" s="54">
        <f t="shared" si="126"/>
        <v>1.3882352941176457E-2</v>
      </c>
      <c r="T587" s="55">
        <f t="shared" si="127"/>
        <v>1663.0434782608695</v>
      </c>
      <c r="U587" s="55">
        <f t="shared" si="128"/>
        <v>1639.9565217391303</v>
      </c>
      <c r="V587" s="55">
        <f t="shared" si="129"/>
        <v>-23.086956521739239</v>
      </c>
      <c r="W587" s="55">
        <f t="shared" si="130"/>
        <v>1643.5294117647059</v>
      </c>
      <c r="X587" s="55">
        <f t="shared" si="131"/>
        <v>3.5728900255755889</v>
      </c>
      <c r="Y587" s="55">
        <f t="shared" si="132"/>
        <v>1270.1999999999998</v>
      </c>
      <c r="Z587" s="55">
        <f t="shared" si="133"/>
        <v>1270.1999999999998</v>
      </c>
      <c r="AA587" s="55">
        <f t="shared" si="134"/>
        <v>0</v>
      </c>
      <c r="AB587" s="55">
        <f t="shared" si="135"/>
        <v>373.32941176470604</v>
      </c>
      <c r="AC587" s="54">
        <f t="shared" si="136"/>
        <v>0.2271510379384396</v>
      </c>
      <c r="AD587" s="56">
        <f>INDEX(Assumptions!$B$14:$B$16,MATCH($R587,Assumptions!$A$14:$A$16,0))</f>
        <v>0.18</v>
      </c>
      <c r="AE587" s="56">
        <f>INDEX(Assumptions!$C$14:$C$16,MATCH($R587,Assumptions!$A$14:$A$16,0))</f>
        <v>0.12</v>
      </c>
      <c r="AF587" s="49">
        <f t="shared" si="137"/>
        <v>0</v>
      </c>
      <c r="AG587" s="49">
        <f t="shared" si="138"/>
        <v>0</v>
      </c>
      <c r="AH587" s="55">
        <f t="shared" si="139"/>
        <v>0</v>
      </c>
    </row>
    <row r="588" spans="1:34" x14ac:dyDescent="0.2">
      <c r="A588" s="48" t="s">
        <v>693</v>
      </c>
      <c r="B588" s="48">
        <v>3</v>
      </c>
      <c r="C588" s="48" t="s">
        <v>666</v>
      </c>
      <c r="D588" s="48" t="s">
        <v>636</v>
      </c>
      <c r="E588" s="48" t="s">
        <v>273</v>
      </c>
      <c r="F588" s="48" t="s">
        <v>274</v>
      </c>
      <c r="G588" s="48" t="s">
        <v>275</v>
      </c>
      <c r="H588" s="48" t="s">
        <v>66</v>
      </c>
      <c r="I588" s="48" t="s">
        <v>151</v>
      </c>
      <c r="J588" s="49">
        <v>2</v>
      </c>
      <c r="K588" s="50">
        <v>325</v>
      </c>
      <c r="L588" s="50">
        <v>321.37</v>
      </c>
      <c r="M588" s="48" t="s">
        <v>276</v>
      </c>
      <c r="N588" s="51">
        <v>0.92</v>
      </c>
      <c r="O588" s="51">
        <v>0.91800000000000004</v>
      </c>
      <c r="P588" s="52">
        <v>221.7</v>
      </c>
      <c r="Q588" s="52">
        <v>221.7</v>
      </c>
      <c r="R588" s="53" t="str">
        <f>INDEX(SKU_Master!$D$5:$D$34,MATCH($I588,SKU_Master!$A$5:$A$34,0))</f>
        <v>Accessory</v>
      </c>
      <c r="S588" s="54">
        <f t="shared" si="126"/>
        <v>1.1169230769230709E-2</v>
      </c>
      <c r="T588" s="55">
        <f t="shared" si="127"/>
        <v>706.52173913043475</v>
      </c>
      <c r="U588" s="55">
        <f t="shared" si="128"/>
        <v>698.63043478260863</v>
      </c>
      <c r="V588" s="55">
        <f t="shared" si="129"/>
        <v>-7.8913043478261216</v>
      </c>
      <c r="W588" s="55">
        <f t="shared" si="130"/>
        <v>700.15250544662308</v>
      </c>
      <c r="X588" s="55">
        <f t="shared" si="131"/>
        <v>1.5220706640144499</v>
      </c>
      <c r="Y588" s="55">
        <f t="shared" si="132"/>
        <v>443.4</v>
      </c>
      <c r="Z588" s="55">
        <f t="shared" si="133"/>
        <v>443.4</v>
      </c>
      <c r="AA588" s="55">
        <f t="shared" si="134"/>
        <v>0</v>
      </c>
      <c r="AB588" s="55">
        <f t="shared" si="135"/>
        <v>256.7525054466231</v>
      </c>
      <c r="AC588" s="54">
        <f t="shared" si="136"/>
        <v>0.36670940037962474</v>
      </c>
      <c r="AD588" s="56">
        <f>INDEX(Assumptions!$B$14:$B$16,MATCH($R588,Assumptions!$A$14:$A$16,0))</f>
        <v>0.32</v>
      </c>
      <c r="AE588" s="56">
        <f>INDEX(Assumptions!$C$14:$C$16,MATCH($R588,Assumptions!$A$14:$A$16,0))</f>
        <v>0.22</v>
      </c>
      <c r="AF588" s="49">
        <f t="shared" si="137"/>
        <v>0</v>
      </c>
      <c r="AG588" s="49">
        <f t="shared" si="138"/>
        <v>0</v>
      </c>
      <c r="AH588" s="55">
        <f t="shared" si="139"/>
        <v>0</v>
      </c>
    </row>
    <row r="589" spans="1:34" x14ac:dyDescent="0.2">
      <c r="A589" s="48" t="s">
        <v>694</v>
      </c>
      <c r="B589" s="48">
        <v>1</v>
      </c>
      <c r="C589" s="48" t="s">
        <v>695</v>
      </c>
      <c r="D589" s="48" t="s">
        <v>636</v>
      </c>
      <c r="E589" s="48" t="s">
        <v>296</v>
      </c>
      <c r="F589" s="48" t="s">
        <v>297</v>
      </c>
      <c r="G589" s="48" t="s">
        <v>298</v>
      </c>
      <c r="H589" s="48" t="s">
        <v>66</v>
      </c>
      <c r="I589" s="48" t="s">
        <v>121</v>
      </c>
      <c r="J589" s="49">
        <v>33</v>
      </c>
      <c r="K589" s="50">
        <v>885</v>
      </c>
      <c r="L589" s="50">
        <v>860.93</v>
      </c>
      <c r="M589" s="48" t="s">
        <v>276</v>
      </c>
      <c r="N589" s="51">
        <v>0.92</v>
      </c>
      <c r="O589" s="51">
        <v>0.91800000000000004</v>
      </c>
      <c r="P589" s="52">
        <v>802.4</v>
      </c>
      <c r="Q589" s="52">
        <v>802.4</v>
      </c>
      <c r="R589" s="53" t="str">
        <f>INDEX(SKU_Master!$D$5:$D$34,MATCH($I589,SKU_Master!$A$5:$A$34,0))</f>
        <v>Laptop</v>
      </c>
      <c r="S589" s="54">
        <f t="shared" si="126"/>
        <v>2.7197740112994362E-2</v>
      </c>
      <c r="T589" s="55">
        <f t="shared" si="127"/>
        <v>31744.565217391304</v>
      </c>
      <c r="U589" s="55">
        <f t="shared" si="128"/>
        <v>30881.184782608692</v>
      </c>
      <c r="V589" s="55">
        <f t="shared" si="129"/>
        <v>-863.3804347826117</v>
      </c>
      <c r="W589" s="55">
        <f t="shared" si="130"/>
        <v>30948.464052287578</v>
      </c>
      <c r="X589" s="55">
        <f t="shared" si="131"/>
        <v>67.279269678885612</v>
      </c>
      <c r="Y589" s="55">
        <f t="shared" si="132"/>
        <v>26479.200000000001</v>
      </c>
      <c r="Z589" s="55">
        <f t="shared" si="133"/>
        <v>26479.200000000001</v>
      </c>
      <c r="AA589" s="55">
        <f t="shared" si="134"/>
        <v>0</v>
      </c>
      <c r="AB589" s="55">
        <f t="shared" si="135"/>
        <v>4469.2640522875772</v>
      </c>
      <c r="AC589" s="54">
        <f t="shared" si="136"/>
        <v>0.14440988233654292</v>
      </c>
      <c r="AD589" s="56">
        <f>INDEX(Assumptions!$B$14:$B$16,MATCH($R589,Assumptions!$A$14:$A$16,0))</f>
        <v>0.12</v>
      </c>
      <c r="AE589" s="56">
        <f>INDEX(Assumptions!$C$14:$C$16,MATCH($R589,Assumptions!$A$14:$A$16,0))</f>
        <v>0.08</v>
      </c>
      <c r="AF589" s="49">
        <f t="shared" si="137"/>
        <v>0</v>
      </c>
      <c r="AG589" s="49">
        <f t="shared" si="138"/>
        <v>0</v>
      </c>
      <c r="AH589" s="55">
        <f t="shared" si="139"/>
        <v>0</v>
      </c>
    </row>
    <row r="590" spans="1:34" x14ac:dyDescent="0.2">
      <c r="A590" s="48" t="s">
        <v>694</v>
      </c>
      <c r="B590" s="48">
        <v>2</v>
      </c>
      <c r="C590" s="48" t="s">
        <v>695</v>
      </c>
      <c r="D590" s="48" t="s">
        <v>636</v>
      </c>
      <c r="E590" s="48" t="s">
        <v>296</v>
      </c>
      <c r="F590" s="48" t="s">
        <v>297</v>
      </c>
      <c r="G590" s="48" t="s">
        <v>298</v>
      </c>
      <c r="H590" s="48" t="s">
        <v>66</v>
      </c>
      <c r="I590" s="48" t="s">
        <v>166</v>
      </c>
      <c r="J590" s="49">
        <v>14</v>
      </c>
      <c r="K590" s="50">
        <v>255</v>
      </c>
      <c r="L590" s="50">
        <v>243.81</v>
      </c>
      <c r="M590" s="48" t="s">
        <v>276</v>
      </c>
      <c r="N590" s="51">
        <v>0.92</v>
      </c>
      <c r="O590" s="51">
        <v>0.91800000000000004</v>
      </c>
      <c r="P590" s="52">
        <v>174.35</v>
      </c>
      <c r="Q590" s="52">
        <v>174.35</v>
      </c>
      <c r="R590" s="53" t="str">
        <f>INDEX(SKU_Master!$D$5:$D$34,MATCH($I590,SKU_Master!$A$5:$A$34,0))</f>
        <v>Accessory</v>
      </c>
      <c r="S590" s="54">
        <f t="shared" si="126"/>
        <v>4.3882352941176483E-2</v>
      </c>
      <c r="T590" s="55">
        <f t="shared" si="127"/>
        <v>3880.4347826086955</v>
      </c>
      <c r="U590" s="55">
        <f t="shared" si="128"/>
        <v>3710.1521739130435</v>
      </c>
      <c r="V590" s="55">
        <f t="shared" si="129"/>
        <v>-170.28260869565202</v>
      </c>
      <c r="W590" s="55">
        <f t="shared" si="130"/>
        <v>3718.2352941176468</v>
      </c>
      <c r="X590" s="55">
        <f t="shared" si="131"/>
        <v>8.0831202046033468</v>
      </c>
      <c r="Y590" s="55">
        <f t="shared" si="132"/>
        <v>2440.9</v>
      </c>
      <c r="Z590" s="55">
        <f t="shared" si="133"/>
        <v>2440.9</v>
      </c>
      <c r="AA590" s="55">
        <f t="shared" si="134"/>
        <v>0</v>
      </c>
      <c r="AB590" s="55">
        <f t="shared" si="135"/>
        <v>1277.3352941176468</v>
      </c>
      <c r="AC590" s="54">
        <f t="shared" si="136"/>
        <v>0.34353266888150602</v>
      </c>
      <c r="AD590" s="56">
        <f>INDEX(Assumptions!$B$14:$B$16,MATCH($R590,Assumptions!$A$14:$A$16,0))</f>
        <v>0.32</v>
      </c>
      <c r="AE590" s="56">
        <f>INDEX(Assumptions!$C$14:$C$16,MATCH($R590,Assumptions!$A$14:$A$16,0))</f>
        <v>0.22</v>
      </c>
      <c r="AF590" s="49">
        <f t="shared" si="137"/>
        <v>0</v>
      </c>
      <c r="AG590" s="49">
        <f t="shared" si="138"/>
        <v>0</v>
      </c>
      <c r="AH590" s="55">
        <f t="shared" si="139"/>
        <v>0</v>
      </c>
    </row>
    <row r="591" spans="1:34" x14ac:dyDescent="0.2">
      <c r="A591" s="48" t="s">
        <v>696</v>
      </c>
      <c r="B591" s="48">
        <v>1</v>
      </c>
      <c r="C591" s="48" t="s">
        <v>661</v>
      </c>
      <c r="D591" s="48" t="s">
        <v>636</v>
      </c>
      <c r="E591" s="48" t="s">
        <v>336</v>
      </c>
      <c r="F591" s="48" t="s">
        <v>274</v>
      </c>
      <c r="G591" s="48" t="s">
        <v>288</v>
      </c>
      <c r="H591" s="48" t="s">
        <v>62</v>
      </c>
      <c r="I591" s="48" t="s">
        <v>115</v>
      </c>
      <c r="J591" s="49">
        <v>3</v>
      </c>
      <c r="K591" s="50">
        <v>850</v>
      </c>
      <c r="L591" s="50">
        <v>837.48</v>
      </c>
      <c r="M591" s="48" t="s">
        <v>276</v>
      </c>
      <c r="N591" s="51">
        <v>1</v>
      </c>
      <c r="O591" s="51">
        <v>1</v>
      </c>
      <c r="P591" s="52">
        <v>723.6</v>
      </c>
      <c r="Q591" s="52">
        <v>723.6</v>
      </c>
      <c r="R591" s="53" t="str">
        <f>INDEX(SKU_Master!$D$5:$D$34,MATCH($I591,SKU_Master!$A$5:$A$34,0))</f>
        <v>Laptop</v>
      </c>
      <c r="S591" s="54">
        <f t="shared" si="126"/>
        <v>1.472941176470588E-2</v>
      </c>
      <c r="T591" s="55">
        <f t="shared" si="127"/>
        <v>2550</v>
      </c>
      <c r="U591" s="55">
        <f t="shared" si="128"/>
        <v>2512.44</v>
      </c>
      <c r="V591" s="55">
        <f t="shared" si="129"/>
        <v>-37.559999999999945</v>
      </c>
      <c r="W591" s="55">
        <f t="shared" si="130"/>
        <v>2512.44</v>
      </c>
      <c r="X591" s="55">
        <f t="shared" si="131"/>
        <v>0</v>
      </c>
      <c r="Y591" s="55">
        <f t="shared" si="132"/>
        <v>2170.8000000000002</v>
      </c>
      <c r="Z591" s="55">
        <f t="shared" si="133"/>
        <v>2170.8000000000002</v>
      </c>
      <c r="AA591" s="55">
        <f t="shared" si="134"/>
        <v>0</v>
      </c>
      <c r="AB591" s="55">
        <f t="shared" si="135"/>
        <v>341.63999999999987</v>
      </c>
      <c r="AC591" s="54">
        <f t="shared" si="136"/>
        <v>0.13597936667144284</v>
      </c>
      <c r="AD591" s="56">
        <f>INDEX(Assumptions!$B$14:$B$16,MATCH($R591,Assumptions!$A$14:$A$16,0))</f>
        <v>0.12</v>
      </c>
      <c r="AE591" s="56">
        <f>INDEX(Assumptions!$C$14:$C$16,MATCH($R591,Assumptions!$A$14:$A$16,0))</f>
        <v>0.08</v>
      </c>
      <c r="AF591" s="49">
        <f t="shared" si="137"/>
        <v>0</v>
      </c>
      <c r="AG591" s="49">
        <f t="shared" si="138"/>
        <v>0</v>
      </c>
      <c r="AH591" s="55">
        <f t="shared" si="139"/>
        <v>0</v>
      </c>
    </row>
    <row r="592" spans="1:34" x14ac:dyDescent="0.2">
      <c r="A592" s="48" t="s">
        <v>696</v>
      </c>
      <c r="B592" s="48">
        <v>2</v>
      </c>
      <c r="C592" s="48" t="s">
        <v>661</v>
      </c>
      <c r="D592" s="48" t="s">
        <v>636</v>
      </c>
      <c r="E592" s="48" t="s">
        <v>336</v>
      </c>
      <c r="F592" s="48" t="s">
        <v>274</v>
      </c>
      <c r="G592" s="48" t="s">
        <v>288</v>
      </c>
      <c r="H592" s="48" t="s">
        <v>62</v>
      </c>
      <c r="I592" s="48" t="s">
        <v>154</v>
      </c>
      <c r="J592" s="49">
        <v>2</v>
      </c>
      <c r="K592" s="50">
        <v>475</v>
      </c>
      <c r="L592" s="50">
        <v>470.6</v>
      </c>
      <c r="M592" s="48" t="s">
        <v>276</v>
      </c>
      <c r="N592" s="51">
        <v>1</v>
      </c>
      <c r="O592" s="51">
        <v>1</v>
      </c>
      <c r="P592" s="52">
        <v>306</v>
      </c>
      <c r="Q592" s="52">
        <v>306</v>
      </c>
      <c r="R592" s="53" t="str">
        <f>INDEX(SKU_Master!$D$5:$D$34,MATCH($I592,SKU_Master!$A$5:$A$34,0))</f>
        <v>Accessory</v>
      </c>
      <c r="S592" s="54">
        <f t="shared" si="126"/>
        <v>9.263157894736751E-3</v>
      </c>
      <c r="T592" s="55">
        <f t="shared" si="127"/>
        <v>950</v>
      </c>
      <c r="U592" s="55">
        <f t="shared" si="128"/>
        <v>941.2</v>
      </c>
      <c r="V592" s="55">
        <f t="shared" si="129"/>
        <v>-8.7999999999999545</v>
      </c>
      <c r="W592" s="55">
        <f t="shared" si="130"/>
        <v>941.2</v>
      </c>
      <c r="X592" s="55">
        <f t="shared" si="131"/>
        <v>0</v>
      </c>
      <c r="Y592" s="55">
        <f t="shared" si="132"/>
        <v>612</v>
      </c>
      <c r="Z592" s="55">
        <f t="shared" si="133"/>
        <v>612</v>
      </c>
      <c r="AA592" s="55">
        <f t="shared" si="134"/>
        <v>0</v>
      </c>
      <c r="AB592" s="55">
        <f t="shared" si="135"/>
        <v>329.20000000000005</v>
      </c>
      <c r="AC592" s="54">
        <f t="shared" si="136"/>
        <v>0.34976625584360393</v>
      </c>
      <c r="AD592" s="56">
        <f>INDEX(Assumptions!$B$14:$B$16,MATCH($R592,Assumptions!$A$14:$A$16,0))</f>
        <v>0.32</v>
      </c>
      <c r="AE592" s="56">
        <f>INDEX(Assumptions!$C$14:$C$16,MATCH($R592,Assumptions!$A$14:$A$16,0))</f>
        <v>0.22</v>
      </c>
      <c r="AF592" s="49">
        <f t="shared" si="137"/>
        <v>0</v>
      </c>
      <c r="AG592" s="49">
        <f t="shared" si="138"/>
        <v>0</v>
      </c>
      <c r="AH592" s="55">
        <f t="shared" si="139"/>
        <v>0</v>
      </c>
    </row>
    <row r="593" spans="1:34" x14ac:dyDescent="0.2">
      <c r="A593" s="48" t="s">
        <v>697</v>
      </c>
      <c r="B593" s="48">
        <v>1</v>
      </c>
      <c r="C593" s="48" t="s">
        <v>649</v>
      </c>
      <c r="D593" s="48" t="s">
        <v>636</v>
      </c>
      <c r="E593" s="48" t="s">
        <v>558</v>
      </c>
      <c r="F593" s="48" t="s">
        <v>280</v>
      </c>
      <c r="G593" s="48" t="s">
        <v>288</v>
      </c>
      <c r="H593" s="48" t="s">
        <v>62</v>
      </c>
      <c r="I593" s="48" t="s">
        <v>110</v>
      </c>
      <c r="J593" s="49">
        <v>25</v>
      </c>
      <c r="K593" s="50">
        <v>1165</v>
      </c>
      <c r="L593" s="50">
        <v>1142.32</v>
      </c>
      <c r="M593" s="48" t="s">
        <v>276</v>
      </c>
      <c r="N593" s="51">
        <v>1</v>
      </c>
      <c r="O593" s="51">
        <v>1</v>
      </c>
      <c r="P593" s="52">
        <v>992.65</v>
      </c>
      <c r="Q593" s="52">
        <v>992.65</v>
      </c>
      <c r="R593" s="53" t="str">
        <f>INDEX(SKU_Master!$D$5:$D$34,MATCH($I593,SKU_Master!$A$5:$A$34,0))</f>
        <v>Laptop</v>
      </c>
      <c r="S593" s="54">
        <f t="shared" si="126"/>
        <v>1.9467811158798365E-2</v>
      </c>
      <c r="T593" s="55">
        <f t="shared" si="127"/>
        <v>29125</v>
      </c>
      <c r="U593" s="55">
        <f t="shared" si="128"/>
        <v>28558</v>
      </c>
      <c r="V593" s="55">
        <f t="shared" si="129"/>
        <v>-567</v>
      </c>
      <c r="W593" s="55">
        <f t="shared" si="130"/>
        <v>28558</v>
      </c>
      <c r="X593" s="55">
        <f t="shared" si="131"/>
        <v>0</v>
      </c>
      <c r="Y593" s="55">
        <f t="shared" si="132"/>
        <v>24816.25</v>
      </c>
      <c r="Z593" s="55">
        <f t="shared" si="133"/>
        <v>24816.25</v>
      </c>
      <c r="AA593" s="55">
        <f t="shared" si="134"/>
        <v>0</v>
      </c>
      <c r="AB593" s="55">
        <f t="shared" si="135"/>
        <v>3741.75</v>
      </c>
      <c r="AC593" s="54">
        <f t="shared" si="136"/>
        <v>0.1310228307304433</v>
      </c>
      <c r="AD593" s="56">
        <f>INDEX(Assumptions!$B$14:$B$16,MATCH($R593,Assumptions!$A$14:$A$16,0))</f>
        <v>0.12</v>
      </c>
      <c r="AE593" s="56">
        <f>INDEX(Assumptions!$C$14:$C$16,MATCH($R593,Assumptions!$A$14:$A$16,0))</f>
        <v>0.08</v>
      </c>
      <c r="AF593" s="49">
        <f t="shared" si="137"/>
        <v>0</v>
      </c>
      <c r="AG593" s="49">
        <f t="shared" si="138"/>
        <v>0</v>
      </c>
      <c r="AH593" s="55">
        <f t="shared" si="139"/>
        <v>0</v>
      </c>
    </row>
    <row r="594" spans="1:34" x14ac:dyDescent="0.2">
      <c r="A594" s="48" t="s">
        <v>697</v>
      </c>
      <c r="B594" s="48">
        <v>2</v>
      </c>
      <c r="C594" s="48" t="s">
        <v>649</v>
      </c>
      <c r="D594" s="48" t="s">
        <v>636</v>
      </c>
      <c r="E594" s="48" t="s">
        <v>558</v>
      </c>
      <c r="F594" s="48" t="s">
        <v>280</v>
      </c>
      <c r="G594" s="48" t="s">
        <v>288</v>
      </c>
      <c r="H594" s="48" t="s">
        <v>62</v>
      </c>
      <c r="I594" s="48" t="s">
        <v>157</v>
      </c>
      <c r="J594" s="49">
        <v>10</v>
      </c>
      <c r="K594" s="50">
        <v>135</v>
      </c>
      <c r="L594" s="50">
        <v>129.93</v>
      </c>
      <c r="M594" s="48" t="s">
        <v>276</v>
      </c>
      <c r="N594" s="51">
        <v>1</v>
      </c>
      <c r="O594" s="51">
        <v>1</v>
      </c>
      <c r="P594" s="52">
        <v>86</v>
      </c>
      <c r="Q594" s="52">
        <v>86</v>
      </c>
      <c r="R594" s="53" t="str">
        <f>INDEX(SKU_Master!$D$5:$D$34,MATCH($I594,SKU_Master!$A$5:$A$34,0))</f>
        <v>Accessory</v>
      </c>
      <c r="S594" s="54">
        <f t="shared" si="126"/>
        <v>3.7555555555555453E-2</v>
      </c>
      <c r="T594" s="55">
        <f t="shared" si="127"/>
        <v>1350</v>
      </c>
      <c r="U594" s="55">
        <f t="shared" si="128"/>
        <v>1299.3000000000002</v>
      </c>
      <c r="V594" s="55">
        <f t="shared" si="129"/>
        <v>-50.699999999999818</v>
      </c>
      <c r="W594" s="55">
        <f t="shared" si="130"/>
        <v>1299.3000000000002</v>
      </c>
      <c r="X594" s="55">
        <f t="shared" si="131"/>
        <v>0</v>
      </c>
      <c r="Y594" s="55">
        <f t="shared" si="132"/>
        <v>860</v>
      </c>
      <c r="Z594" s="55">
        <f t="shared" si="133"/>
        <v>860</v>
      </c>
      <c r="AA594" s="55">
        <f t="shared" si="134"/>
        <v>0</v>
      </c>
      <c r="AB594" s="55">
        <f t="shared" si="135"/>
        <v>439.30000000000018</v>
      </c>
      <c r="AC594" s="54">
        <f t="shared" si="136"/>
        <v>0.33810513353344118</v>
      </c>
      <c r="AD594" s="56">
        <f>INDEX(Assumptions!$B$14:$B$16,MATCH($R594,Assumptions!$A$14:$A$16,0))</f>
        <v>0.32</v>
      </c>
      <c r="AE594" s="56">
        <f>INDEX(Assumptions!$C$14:$C$16,MATCH($R594,Assumptions!$A$14:$A$16,0))</f>
        <v>0.22</v>
      </c>
      <c r="AF594" s="49">
        <f t="shared" si="137"/>
        <v>0</v>
      </c>
      <c r="AG594" s="49">
        <f t="shared" si="138"/>
        <v>0</v>
      </c>
      <c r="AH594" s="55">
        <f t="shared" si="139"/>
        <v>0</v>
      </c>
    </row>
    <row r="595" spans="1:34" x14ac:dyDescent="0.2">
      <c r="A595" s="48" t="s">
        <v>698</v>
      </c>
      <c r="B595" s="48">
        <v>1</v>
      </c>
      <c r="C595" s="48" t="s">
        <v>687</v>
      </c>
      <c r="D595" s="48" t="s">
        <v>636</v>
      </c>
      <c r="E595" s="48" t="s">
        <v>407</v>
      </c>
      <c r="F595" s="48" t="s">
        <v>274</v>
      </c>
      <c r="G595" s="48" t="s">
        <v>302</v>
      </c>
      <c r="H595" s="48" t="s">
        <v>62</v>
      </c>
      <c r="I595" s="48" t="s">
        <v>110</v>
      </c>
      <c r="J595" s="49">
        <v>8</v>
      </c>
      <c r="K595" s="50">
        <v>1165</v>
      </c>
      <c r="L595" s="50">
        <v>1109.46</v>
      </c>
      <c r="M595" s="48" t="s">
        <v>276</v>
      </c>
      <c r="N595" s="51">
        <v>1</v>
      </c>
      <c r="O595" s="51">
        <v>1</v>
      </c>
      <c r="P595" s="52">
        <v>992.65</v>
      </c>
      <c r="Q595" s="52">
        <v>992.65</v>
      </c>
      <c r="R595" s="53" t="str">
        <f>INDEX(SKU_Master!$D$5:$D$34,MATCH($I595,SKU_Master!$A$5:$A$34,0))</f>
        <v>Laptop</v>
      </c>
      <c r="S595" s="54">
        <f t="shared" si="126"/>
        <v>4.7673819742489187E-2</v>
      </c>
      <c r="T595" s="55">
        <f t="shared" si="127"/>
        <v>9320</v>
      </c>
      <c r="U595" s="55">
        <f t="shared" si="128"/>
        <v>8875.68</v>
      </c>
      <c r="V595" s="55">
        <f t="shared" si="129"/>
        <v>-444.31999999999971</v>
      </c>
      <c r="W595" s="55">
        <f t="shared" si="130"/>
        <v>8875.68</v>
      </c>
      <c r="X595" s="55">
        <f t="shared" si="131"/>
        <v>0</v>
      </c>
      <c r="Y595" s="55">
        <f t="shared" si="132"/>
        <v>7941.2</v>
      </c>
      <c r="Z595" s="55">
        <f t="shared" si="133"/>
        <v>7941.2</v>
      </c>
      <c r="AA595" s="55">
        <f t="shared" si="134"/>
        <v>0</v>
      </c>
      <c r="AB595" s="55">
        <f t="shared" si="135"/>
        <v>934.48000000000047</v>
      </c>
      <c r="AC595" s="54">
        <f t="shared" si="136"/>
        <v>0.10528545418491884</v>
      </c>
      <c r="AD595" s="56">
        <f>INDEX(Assumptions!$B$14:$B$16,MATCH($R595,Assumptions!$A$14:$A$16,0))</f>
        <v>0.12</v>
      </c>
      <c r="AE595" s="56">
        <f>INDEX(Assumptions!$C$14:$C$16,MATCH($R595,Assumptions!$A$14:$A$16,0))</f>
        <v>0.08</v>
      </c>
      <c r="AF595" s="49">
        <f t="shared" si="137"/>
        <v>0</v>
      </c>
      <c r="AG595" s="49">
        <f t="shared" si="138"/>
        <v>0</v>
      </c>
      <c r="AH595" s="55">
        <f t="shared" si="139"/>
        <v>130.60159999999951</v>
      </c>
    </row>
    <row r="596" spans="1:34" x14ac:dyDescent="0.2">
      <c r="A596" s="48" t="s">
        <v>698</v>
      </c>
      <c r="B596" s="48">
        <v>2</v>
      </c>
      <c r="C596" s="48" t="s">
        <v>687</v>
      </c>
      <c r="D596" s="48" t="s">
        <v>636</v>
      </c>
      <c r="E596" s="48" t="s">
        <v>407</v>
      </c>
      <c r="F596" s="48" t="s">
        <v>274</v>
      </c>
      <c r="G596" s="48" t="s">
        <v>302</v>
      </c>
      <c r="H596" s="48" t="s">
        <v>62</v>
      </c>
      <c r="I596" s="48" t="s">
        <v>138</v>
      </c>
      <c r="J596" s="49">
        <v>5</v>
      </c>
      <c r="K596" s="50">
        <v>455</v>
      </c>
      <c r="L596" s="50">
        <v>451.08</v>
      </c>
      <c r="M596" s="48" t="s">
        <v>276</v>
      </c>
      <c r="N596" s="51">
        <v>1</v>
      </c>
      <c r="O596" s="51">
        <v>1</v>
      </c>
      <c r="P596" s="52">
        <v>358.2</v>
      </c>
      <c r="Q596" s="52">
        <v>358.2</v>
      </c>
      <c r="R596" s="53" t="str">
        <f>INDEX(SKU_Master!$D$5:$D$34,MATCH($I596,SKU_Master!$A$5:$A$34,0))</f>
        <v>Monitor</v>
      </c>
      <c r="S596" s="54">
        <f t="shared" si="126"/>
        <v>8.6153846153846914E-3</v>
      </c>
      <c r="T596" s="55">
        <f t="shared" si="127"/>
        <v>2275</v>
      </c>
      <c r="U596" s="55">
        <f t="shared" si="128"/>
        <v>2255.4</v>
      </c>
      <c r="V596" s="55">
        <f t="shared" si="129"/>
        <v>-19.599999999999909</v>
      </c>
      <c r="W596" s="55">
        <f t="shared" si="130"/>
        <v>2255.4</v>
      </c>
      <c r="X596" s="55">
        <f t="shared" si="131"/>
        <v>0</v>
      </c>
      <c r="Y596" s="55">
        <f t="shared" si="132"/>
        <v>1791</v>
      </c>
      <c r="Z596" s="55">
        <f t="shared" si="133"/>
        <v>1791</v>
      </c>
      <c r="AA596" s="55">
        <f t="shared" si="134"/>
        <v>0</v>
      </c>
      <c r="AB596" s="55">
        <f t="shared" si="135"/>
        <v>464.40000000000009</v>
      </c>
      <c r="AC596" s="54">
        <f t="shared" si="136"/>
        <v>0.20590582601755789</v>
      </c>
      <c r="AD596" s="56">
        <f>INDEX(Assumptions!$B$14:$B$16,MATCH($R596,Assumptions!$A$14:$A$16,0))</f>
        <v>0.18</v>
      </c>
      <c r="AE596" s="56">
        <f>INDEX(Assumptions!$C$14:$C$16,MATCH($R596,Assumptions!$A$14:$A$16,0))</f>
        <v>0.12</v>
      </c>
      <c r="AF596" s="49">
        <f t="shared" si="137"/>
        <v>0</v>
      </c>
      <c r="AG596" s="49">
        <f t="shared" si="138"/>
        <v>0</v>
      </c>
      <c r="AH596" s="55">
        <f t="shared" si="139"/>
        <v>0</v>
      </c>
    </row>
    <row r="597" spans="1:34" x14ac:dyDescent="0.2">
      <c r="A597" s="48" t="s">
        <v>698</v>
      </c>
      <c r="B597" s="48">
        <v>3</v>
      </c>
      <c r="C597" s="48" t="s">
        <v>687</v>
      </c>
      <c r="D597" s="48" t="s">
        <v>636</v>
      </c>
      <c r="E597" s="48" t="s">
        <v>407</v>
      </c>
      <c r="F597" s="48" t="s">
        <v>274</v>
      </c>
      <c r="G597" s="48" t="s">
        <v>302</v>
      </c>
      <c r="H597" s="48" t="s">
        <v>62</v>
      </c>
      <c r="I597" s="48" t="s">
        <v>157</v>
      </c>
      <c r="J597" s="49">
        <v>8</v>
      </c>
      <c r="K597" s="50">
        <v>135</v>
      </c>
      <c r="L597" s="50">
        <v>132.46</v>
      </c>
      <c r="M597" s="48" t="s">
        <v>276</v>
      </c>
      <c r="N597" s="51">
        <v>1</v>
      </c>
      <c r="O597" s="51">
        <v>1</v>
      </c>
      <c r="P597" s="52">
        <v>86</v>
      </c>
      <c r="Q597" s="52">
        <v>86</v>
      </c>
      <c r="R597" s="53" t="str">
        <f>INDEX(SKU_Master!$D$5:$D$34,MATCH($I597,SKU_Master!$A$5:$A$34,0))</f>
        <v>Accessory</v>
      </c>
      <c r="S597" s="54">
        <f t="shared" si="126"/>
        <v>1.8814814814814729E-2</v>
      </c>
      <c r="T597" s="55">
        <f t="shared" si="127"/>
        <v>1080</v>
      </c>
      <c r="U597" s="55">
        <f t="shared" si="128"/>
        <v>1059.68</v>
      </c>
      <c r="V597" s="55">
        <f t="shared" si="129"/>
        <v>-20.319999999999936</v>
      </c>
      <c r="W597" s="55">
        <f t="shared" si="130"/>
        <v>1059.68</v>
      </c>
      <c r="X597" s="55">
        <f t="shared" si="131"/>
        <v>0</v>
      </c>
      <c r="Y597" s="55">
        <f t="shared" si="132"/>
        <v>688</v>
      </c>
      <c r="Z597" s="55">
        <f t="shared" si="133"/>
        <v>688</v>
      </c>
      <c r="AA597" s="55">
        <f t="shared" si="134"/>
        <v>0</v>
      </c>
      <c r="AB597" s="55">
        <f t="shared" si="135"/>
        <v>371.68000000000006</v>
      </c>
      <c r="AC597" s="54">
        <f t="shared" si="136"/>
        <v>0.35074739544013289</v>
      </c>
      <c r="AD597" s="56">
        <f>INDEX(Assumptions!$B$14:$B$16,MATCH($R597,Assumptions!$A$14:$A$16,0))</f>
        <v>0.32</v>
      </c>
      <c r="AE597" s="56">
        <f>INDEX(Assumptions!$C$14:$C$16,MATCH($R597,Assumptions!$A$14:$A$16,0))</f>
        <v>0.22</v>
      </c>
      <c r="AF597" s="49">
        <f t="shared" si="137"/>
        <v>0</v>
      </c>
      <c r="AG597" s="49">
        <f t="shared" si="138"/>
        <v>0</v>
      </c>
      <c r="AH597" s="55">
        <f t="shared" si="139"/>
        <v>0</v>
      </c>
    </row>
    <row r="598" spans="1:34" x14ac:dyDescent="0.2">
      <c r="A598" s="48" t="s">
        <v>699</v>
      </c>
      <c r="B598" s="48">
        <v>1</v>
      </c>
      <c r="C598" s="48" t="s">
        <v>700</v>
      </c>
      <c r="D598" s="48" t="s">
        <v>636</v>
      </c>
      <c r="E598" s="48" t="s">
        <v>558</v>
      </c>
      <c r="F598" s="48" t="s">
        <v>280</v>
      </c>
      <c r="G598" s="48" t="s">
        <v>288</v>
      </c>
      <c r="H598" s="48" t="s">
        <v>62</v>
      </c>
      <c r="I598" s="48" t="s">
        <v>103</v>
      </c>
      <c r="J598" s="49">
        <v>15</v>
      </c>
      <c r="K598" s="50">
        <v>1135</v>
      </c>
      <c r="L598" s="50">
        <v>1102.78</v>
      </c>
      <c r="M598" s="48" t="s">
        <v>276</v>
      </c>
      <c r="N598" s="51">
        <v>1</v>
      </c>
      <c r="O598" s="51">
        <v>1</v>
      </c>
      <c r="P598" s="52">
        <v>968.6</v>
      </c>
      <c r="Q598" s="52">
        <v>968.6</v>
      </c>
      <c r="R598" s="53" t="str">
        <f>INDEX(SKU_Master!$D$5:$D$34,MATCH($I598,SKU_Master!$A$5:$A$34,0))</f>
        <v>Laptop</v>
      </c>
      <c r="S598" s="54">
        <f t="shared" si="126"/>
        <v>2.8387665198237877E-2</v>
      </c>
      <c r="T598" s="55">
        <f t="shared" si="127"/>
        <v>17025</v>
      </c>
      <c r="U598" s="55">
        <f t="shared" si="128"/>
        <v>16541.7</v>
      </c>
      <c r="V598" s="55">
        <f t="shared" si="129"/>
        <v>-483.29999999999927</v>
      </c>
      <c r="W598" s="55">
        <f t="shared" si="130"/>
        <v>16541.7</v>
      </c>
      <c r="X598" s="55">
        <f t="shared" si="131"/>
        <v>0</v>
      </c>
      <c r="Y598" s="55">
        <f t="shared" si="132"/>
        <v>14529</v>
      </c>
      <c r="Z598" s="55">
        <f t="shared" si="133"/>
        <v>14529</v>
      </c>
      <c r="AA598" s="55">
        <f t="shared" si="134"/>
        <v>0</v>
      </c>
      <c r="AB598" s="55">
        <f t="shared" si="135"/>
        <v>2012.7000000000007</v>
      </c>
      <c r="AC598" s="54">
        <f t="shared" si="136"/>
        <v>0.12167431400642018</v>
      </c>
      <c r="AD598" s="56">
        <f>INDEX(Assumptions!$B$14:$B$16,MATCH($R598,Assumptions!$A$14:$A$16,0))</f>
        <v>0.12</v>
      </c>
      <c r="AE598" s="56">
        <f>INDEX(Assumptions!$C$14:$C$16,MATCH($R598,Assumptions!$A$14:$A$16,0))</f>
        <v>0.08</v>
      </c>
      <c r="AF598" s="49">
        <f t="shared" si="137"/>
        <v>0</v>
      </c>
      <c r="AG598" s="49">
        <f t="shared" si="138"/>
        <v>0</v>
      </c>
      <c r="AH598" s="55">
        <f t="shared" si="139"/>
        <v>0</v>
      </c>
    </row>
    <row r="599" spans="1:34" x14ac:dyDescent="0.2">
      <c r="A599" s="48" t="s">
        <v>699</v>
      </c>
      <c r="B599" s="48">
        <v>2</v>
      </c>
      <c r="C599" s="48" t="s">
        <v>700</v>
      </c>
      <c r="D599" s="48" t="s">
        <v>636</v>
      </c>
      <c r="E599" s="48" t="s">
        <v>558</v>
      </c>
      <c r="F599" s="48" t="s">
        <v>280</v>
      </c>
      <c r="G599" s="48" t="s">
        <v>288</v>
      </c>
      <c r="H599" s="48" t="s">
        <v>62</v>
      </c>
      <c r="I599" s="48" t="s">
        <v>157</v>
      </c>
      <c r="J599" s="49">
        <v>7</v>
      </c>
      <c r="K599" s="50">
        <v>135</v>
      </c>
      <c r="L599" s="50">
        <v>131.69</v>
      </c>
      <c r="M599" s="48" t="s">
        <v>276</v>
      </c>
      <c r="N599" s="51">
        <v>1</v>
      </c>
      <c r="O599" s="51">
        <v>1</v>
      </c>
      <c r="P599" s="52">
        <v>86</v>
      </c>
      <c r="Q599" s="52">
        <v>86</v>
      </c>
      <c r="R599" s="53" t="str">
        <f>INDEX(SKU_Master!$D$5:$D$34,MATCH($I599,SKU_Master!$A$5:$A$34,0))</f>
        <v>Accessory</v>
      </c>
      <c r="S599" s="54">
        <f t="shared" si="126"/>
        <v>2.4518518518518495E-2</v>
      </c>
      <c r="T599" s="55">
        <f t="shared" si="127"/>
        <v>945</v>
      </c>
      <c r="U599" s="55">
        <f t="shared" si="128"/>
        <v>921.82999999999993</v>
      </c>
      <c r="V599" s="55">
        <f t="shared" si="129"/>
        <v>-23.170000000000073</v>
      </c>
      <c r="W599" s="55">
        <f t="shared" si="130"/>
        <v>921.82999999999993</v>
      </c>
      <c r="X599" s="55">
        <f t="shared" si="131"/>
        <v>0</v>
      </c>
      <c r="Y599" s="55">
        <f t="shared" si="132"/>
        <v>602</v>
      </c>
      <c r="Z599" s="55">
        <f t="shared" si="133"/>
        <v>602</v>
      </c>
      <c r="AA599" s="55">
        <f t="shared" si="134"/>
        <v>0</v>
      </c>
      <c r="AB599" s="55">
        <f t="shared" si="135"/>
        <v>319.82999999999993</v>
      </c>
      <c r="AC599" s="54">
        <f t="shared" si="136"/>
        <v>0.34695117320981089</v>
      </c>
      <c r="AD599" s="56">
        <f>INDEX(Assumptions!$B$14:$B$16,MATCH($R599,Assumptions!$A$14:$A$16,0))</f>
        <v>0.32</v>
      </c>
      <c r="AE599" s="56">
        <f>INDEX(Assumptions!$C$14:$C$16,MATCH($R599,Assumptions!$A$14:$A$16,0))</f>
        <v>0.22</v>
      </c>
      <c r="AF599" s="49">
        <f t="shared" si="137"/>
        <v>0</v>
      </c>
      <c r="AG599" s="49">
        <f t="shared" si="138"/>
        <v>0</v>
      </c>
      <c r="AH599" s="55">
        <f t="shared" si="139"/>
        <v>0</v>
      </c>
    </row>
    <row r="600" spans="1:34" x14ac:dyDescent="0.2">
      <c r="A600" s="48" t="s">
        <v>701</v>
      </c>
      <c r="B600" s="48">
        <v>1</v>
      </c>
      <c r="C600" s="48" t="s">
        <v>666</v>
      </c>
      <c r="D600" s="48" t="s">
        <v>636</v>
      </c>
      <c r="E600" s="48" t="s">
        <v>437</v>
      </c>
      <c r="F600" s="48" t="s">
        <v>274</v>
      </c>
      <c r="G600" s="48" t="s">
        <v>302</v>
      </c>
      <c r="H600" s="48" t="s">
        <v>62</v>
      </c>
      <c r="I600" s="48" t="s">
        <v>93</v>
      </c>
      <c r="J600" s="49">
        <v>4</v>
      </c>
      <c r="K600" s="50">
        <v>1390</v>
      </c>
      <c r="L600" s="50">
        <v>1344.08</v>
      </c>
      <c r="M600" s="48" t="s">
        <v>276</v>
      </c>
      <c r="N600" s="51">
        <v>1</v>
      </c>
      <c r="O600" s="51">
        <v>1</v>
      </c>
      <c r="P600" s="52">
        <v>1186.2</v>
      </c>
      <c r="Q600" s="52">
        <v>1186.2</v>
      </c>
      <c r="R600" s="53" t="str">
        <f>INDEX(SKU_Master!$D$5:$D$34,MATCH($I600,SKU_Master!$A$5:$A$34,0))</f>
        <v>Laptop</v>
      </c>
      <c r="S600" s="54">
        <f t="shared" si="126"/>
        <v>3.3035971223021598E-2</v>
      </c>
      <c r="T600" s="55">
        <f t="shared" si="127"/>
        <v>5560</v>
      </c>
      <c r="U600" s="55">
        <f t="shared" si="128"/>
        <v>5376.32</v>
      </c>
      <c r="V600" s="55">
        <f t="shared" si="129"/>
        <v>-183.68000000000029</v>
      </c>
      <c r="W600" s="55">
        <f t="shared" si="130"/>
        <v>5376.32</v>
      </c>
      <c r="X600" s="55">
        <f t="shared" si="131"/>
        <v>0</v>
      </c>
      <c r="Y600" s="55">
        <f t="shared" si="132"/>
        <v>4744.8</v>
      </c>
      <c r="Z600" s="55">
        <f t="shared" si="133"/>
        <v>4744.8</v>
      </c>
      <c r="AA600" s="55">
        <f t="shared" si="134"/>
        <v>0</v>
      </c>
      <c r="AB600" s="55">
        <f t="shared" si="135"/>
        <v>631.51999999999953</v>
      </c>
      <c r="AC600" s="54">
        <f t="shared" si="136"/>
        <v>0.11746324623534306</v>
      </c>
      <c r="AD600" s="56">
        <f>INDEX(Assumptions!$B$14:$B$16,MATCH($R600,Assumptions!$A$14:$A$16,0))</f>
        <v>0.12</v>
      </c>
      <c r="AE600" s="56">
        <f>INDEX(Assumptions!$C$14:$C$16,MATCH($R600,Assumptions!$A$14:$A$16,0))</f>
        <v>0.08</v>
      </c>
      <c r="AF600" s="49">
        <f t="shared" si="137"/>
        <v>0</v>
      </c>
      <c r="AG600" s="49">
        <f t="shared" si="138"/>
        <v>0</v>
      </c>
      <c r="AH600" s="55">
        <f t="shared" si="139"/>
        <v>13.638400000000388</v>
      </c>
    </row>
    <row r="601" spans="1:34" x14ac:dyDescent="0.2">
      <c r="A601" s="48" t="s">
        <v>701</v>
      </c>
      <c r="B601" s="48">
        <v>2</v>
      </c>
      <c r="C601" s="48" t="s">
        <v>666</v>
      </c>
      <c r="D601" s="48" t="s">
        <v>636</v>
      </c>
      <c r="E601" s="48" t="s">
        <v>437</v>
      </c>
      <c r="F601" s="48" t="s">
        <v>274</v>
      </c>
      <c r="G601" s="48" t="s">
        <v>302</v>
      </c>
      <c r="H601" s="48" t="s">
        <v>62</v>
      </c>
      <c r="I601" s="48" t="s">
        <v>135</v>
      </c>
      <c r="J601" s="49">
        <v>1</v>
      </c>
      <c r="K601" s="50">
        <v>240</v>
      </c>
      <c r="L601" s="50">
        <v>231.27</v>
      </c>
      <c r="M601" s="48" t="s">
        <v>276</v>
      </c>
      <c r="N601" s="51">
        <v>1</v>
      </c>
      <c r="O601" s="51">
        <v>1</v>
      </c>
      <c r="P601" s="52">
        <v>186.7</v>
      </c>
      <c r="Q601" s="52">
        <v>186.7</v>
      </c>
      <c r="R601" s="53" t="str">
        <f>INDEX(SKU_Master!$D$5:$D$34,MATCH($I601,SKU_Master!$A$5:$A$34,0))</f>
        <v>Monitor</v>
      </c>
      <c r="S601" s="54">
        <f t="shared" si="126"/>
        <v>3.6374999999999935E-2</v>
      </c>
      <c r="T601" s="55">
        <f t="shared" si="127"/>
        <v>240</v>
      </c>
      <c r="U601" s="55">
        <f t="shared" si="128"/>
        <v>231.27</v>
      </c>
      <c r="V601" s="55">
        <f t="shared" si="129"/>
        <v>-8.7299999999999898</v>
      </c>
      <c r="W601" s="55">
        <f t="shared" si="130"/>
        <v>231.27</v>
      </c>
      <c r="X601" s="55">
        <f t="shared" si="131"/>
        <v>0</v>
      </c>
      <c r="Y601" s="55">
        <f t="shared" si="132"/>
        <v>186.7</v>
      </c>
      <c r="Z601" s="55">
        <f t="shared" si="133"/>
        <v>186.7</v>
      </c>
      <c r="AA601" s="55">
        <f t="shared" si="134"/>
        <v>0</v>
      </c>
      <c r="AB601" s="55">
        <f t="shared" si="135"/>
        <v>44.570000000000022</v>
      </c>
      <c r="AC601" s="54">
        <f t="shared" si="136"/>
        <v>0.19271846759199213</v>
      </c>
      <c r="AD601" s="56">
        <f>INDEX(Assumptions!$B$14:$B$16,MATCH($R601,Assumptions!$A$14:$A$16,0))</f>
        <v>0.18</v>
      </c>
      <c r="AE601" s="56">
        <f>INDEX(Assumptions!$C$14:$C$16,MATCH($R601,Assumptions!$A$14:$A$16,0))</f>
        <v>0.12</v>
      </c>
      <c r="AF601" s="49">
        <f t="shared" si="137"/>
        <v>0</v>
      </c>
      <c r="AG601" s="49">
        <f t="shared" si="138"/>
        <v>0</v>
      </c>
      <c r="AH601" s="55">
        <f t="shared" si="139"/>
        <v>0</v>
      </c>
    </row>
    <row r="602" spans="1:34" x14ac:dyDescent="0.2">
      <c r="A602" s="48" t="s">
        <v>701</v>
      </c>
      <c r="B602" s="48">
        <v>3</v>
      </c>
      <c r="C602" s="48" t="s">
        <v>666</v>
      </c>
      <c r="D602" s="48" t="s">
        <v>636</v>
      </c>
      <c r="E602" s="48" t="s">
        <v>437</v>
      </c>
      <c r="F602" s="48" t="s">
        <v>274</v>
      </c>
      <c r="G602" s="48" t="s">
        <v>302</v>
      </c>
      <c r="H602" s="48" t="s">
        <v>62</v>
      </c>
      <c r="I602" s="48" t="s">
        <v>161</v>
      </c>
      <c r="J602" s="49">
        <v>1</v>
      </c>
      <c r="K602" s="50">
        <v>120</v>
      </c>
      <c r="L602" s="50">
        <v>115.23</v>
      </c>
      <c r="M602" s="48" t="s">
        <v>276</v>
      </c>
      <c r="N602" s="51">
        <v>1</v>
      </c>
      <c r="O602" s="51">
        <v>1</v>
      </c>
      <c r="P602" s="52">
        <v>76</v>
      </c>
      <c r="Q602" s="52">
        <v>76</v>
      </c>
      <c r="R602" s="53" t="str">
        <f>INDEX(SKU_Master!$D$5:$D$34,MATCH($I602,SKU_Master!$A$5:$A$34,0))</f>
        <v>Accessory</v>
      </c>
      <c r="S602" s="54">
        <f t="shared" si="126"/>
        <v>3.9749999999999952E-2</v>
      </c>
      <c r="T602" s="55">
        <f t="shared" si="127"/>
        <v>120</v>
      </c>
      <c r="U602" s="55">
        <f t="shared" si="128"/>
        <v>115.23</v>
      </c>
      <c r="V602" s="55">
        <f t="shared" si="129"/>
        <v>-4.769999999999996</v>
      </c>
      <c r="W602" s="55">
        <f t="shared" si="130"/>
        <v>115.23</v>
      </c>
      <c r="X602" s="55">
        <f t="shared" si="131"/>
        <v>0</v>
      </c>
      <c r="Y602" s="55">
        <f t="shared" si="132"/>
        <v>76</v>
      </c>
      <c r="Z602" s="55">
        <f t="shared" si="133"/>
        <v>76</v>
      </c>
      <c r="AA602" s="55">
        <f t="shared" si="134"/>
        <v>0</v>
      </c>
      <c r="AB602" s="55">
        <f t="shared" si="135"/>
        <v>39.230000000000004</v>
      </c>
      <c r="AC602" s="54">
        <f t="shared" si="136"/>
        <v>0.34044953571118636</v>
      </c>
      <c r="AD602" s="56">
        <f>INDEX(Assumptions!$B$14:$B$16,MATCH($R602,Assumptions!$A$14:$A$16,0))</f>
        <v>0.32</v>
      </c>
      <c r="AE602" s="56">
        <f>INDEX(Assumptions!$C$14:$C$16,MATCH($R602,Assumptions!$A$14:$A$16,0))</f>
        <v>0.22</v>
      </c>
      <c r="AF602" s="49">
        <f t="shared" si="137"/>
        <v>0</v>
      </c>
      <c r="AG602" s="49">
        <f t="shared" si="138"/>
        <v>0</v>
      </c>
      <c r="AH602" s="55">
        <f t="shared" si="139"/>
        <v>0</v>
      </c>
    </row>
    <row r="603" spans="1:34" x14ac:dyDescent="0.2">
      <c r="A603" s="48" t="s">
        <v>702</v>
      </c>
      <c r="B603" s="48">
        <v>1</v>
      </c>
      <c r="C603" s="48" t="s">
        <v>703</v>
      </c>
      <c r="D603" s="48" t="s">
        <v>636</v>
      </c>
      <c r="E603" s="48" t="s">
        <v>374</v>
      </c>
      <c r="F603" s="48" t="s">
        <v>274</v>
      </c>
      <c r="G603" s="48" t="s">
        <v>281</v>
      </c>
      <c r="H603" s="48" t="s">
        <v>62</v>
      </c>
      <c r="I603" s="48" t="s">
        <v>93</v>
      </c>
      <c r="J603" s="49">
        <v>4</v>
      </c>
      <c r="K603" s="50">
        <v>1390</v>
      </c>
      <c r="L603" s="50">
        <v>1363.83</v>
      </c>
      <c r="M603" s="48" t="s">
        <v>276</v>
      </c>
      <c r="N603" s="51">
        <v>1</v>
      </c>
      <c r="O603" s="51">
        <v>1</v>
      </c>
      <c r="P603" s="52">
        <v>1186.2</v>
      </c>
      <c r="Q603" s="52">
        <v>1186.2</v>
      </c>
      <c r="R603" s="53" t="str">
        <f>INDEX(SKU_Master!$D$5:$D$34,MATCH($I603,SKU_Master!$A$5:$A$34,0))</f>
        <v>Laptop</v>
      </c>
      <c r="S603" s="54">
        <f t="shared" si="126"/>
        <v>1.882733812949644E-2</v>
      </c>
      <c r="T603" s="55">
        <f t="shared" si="127"/>
        <v>5560</v>
      </c>
      <c r="U603" s="55">
        <f t="shared" si="128"/>
        <v>5455.32</v>
      </c>
      <c r="V603" s="55">
        <f t="shared" si="129"/>
        <v>-104.68000000000029</v>
      </c>
      <c r="W603" s="55">
        <f t="shared" si="130"/>
        <v>5455.32</v>
      </c>
      <c r="X603" s="55">
        <f t="shared" si="131"/>
        <v>0</v>
      </c>
      <c r="Y603" s="55">
        <f t="shared" si="132"/>
        <v>4744.8</v>
      </c>
      <c r="Z603" s="55">
        <f t="shared" si="133"/>
        <v>4744.8</v>
      </c>
      <c r="AA603" s="55">
        <f t="shared" si="134"/>
        <v>0</v>
      </c>
      <c r="AB603" s="55">
        <f t="shared" si="135"/>
        <v>710.51999999999953</v>
      </c>
      <c r="AC603" s="54">
        <f t="shared" si="136"/>
        <v>0.13024350542222995</v>
      </c>
      <c r="AD603" s="56">
        <f>INDEX(Assumptions!$B$14:$B$16,MATCH($R603,Assumptions!$A$14:$A$16,0))</f>
        <v>0.12</v>
      </c>
      <c r="AE603" s="56">
        <f>INDEX(Assumptions!$C$14:$C$16,MATCH($R603,Assumptions!$A$14:$A$16,0))</f>
        <v>0.08</v>
      </c>
      <c r="AF603" s="49">
        <f t="shared" si="137"/>
        <v>0</v>
      </c>
      <c r="AG603" s="49">
        <f t="shared" si="138"/>
        <v>0</v>
      </c>
      <c r="AH603" s="55">
        <f t="shared" si="139"/>
        <v>0</v>
      </c>
    </row>
    <row r="604" spans="1:34" x14ac:dyDescent="0.2">
      <c r="A604" s="48" t="s">
        <v>702</v>
      </c>
      <c r="B604" s="48">
        <v>2</v>
      </c>
      <c r="C604" s="48" t="s">
        <v>703</v>
      </c>
      <c r="D604" s="48" t="s">
        <v>636</v>
      </c>
      <c r="E604" s="48" t="s">
        <v>374</v>
      </c>
      <c r="F604" s="48" t="s">
        <v>274</v>
      </c>
      <c r="G604" s="48" t="s">
        <v>281</v>
      </c>
      <c r="H604" s="48" t="s">
        <v>62</v>
      </c>
      <c r="I604" s="48" t="s">
        <v>135</v>
      </c>
      <c r="J604" s="49">
        <v>2</v>
      </c>
      <c r="K604" s="50">
        <v>240</v>
      </c>
      <c r="L604" s="50">
        <v>239.3</v>
      </c>
      <c r="M604" s="48" t="s">
        <v>276</v>
      </c>
      <c r="N604" s="51">
        <v>1</v>
      </c>
      <c r="O604" s="51">
        <v>1</v>
      </c>
      <c r="P604" s="52">
        <v>186.7</v>
      </c>
      <c r="Q604" s="52">
        <v>186.7</v>
      </c>
      <c r="R604" s="53" t="str">
        <f>INDEX(SKU_Master!$D$5:$D$34,MATCH($I604,SKU_Master!$A$5:$A$34,0))</f>
        <v>Monitor</v>
      </c>
      <c r="S604" s="54">
        <f t="shared" si="126"/>
        <v>2.9166666666665675E-3</v>
      </c>
      <c r="T604" s="55">
        <f t="shared" si="127"/>
        <v>480</v>
      </c>
      <c r="U604" s="55">
        <f t="shared" si="128"/>
        <v>478.6</v>
      </c>
      <c r="V604" s="55">
        <f t="shared" si="129"/>
        <v>-1.3999999999999773</v>
      </c>
      <c r="W604" s="55">
        <f t="shared" si="130"/>
        <v>478.6</v>
      </c>
      <c r="X604" s="55">
        <f t="shared" si="131"/>
        <v>0</v>
      </c>
      <c r="Y604" s="55">
        <f t="shared" si="132"/>
        <v>373.4</v>
      </c>
      <c r="Z604" s="55">
        <f t="shared" si="133"/>
        <v>373.4</v>
      </c>
      <c r="AA604" s="55">
        <f t="shared" si="134"/>
        <v>0</v>
      </c>
      <c r="AB604" s="55">
        <f t="shared" si="135"/>
        <v>105.20000000000005</v>
      </c>
      <c r="AC604" s="54">
        <f t="shared" si="136"/>
        <v>0.21980777267028842</v>
      </c>
      <c r="AD604" s="56">
        <f>INDEX(Assumptions!$B$14:$B$16,MATCH($R604,Assumptions!$A$14:$A$16,0))</f>
        <v>0.18</v>
      </c>
      <c r="AE604" s="56">
        <f>INDEX(Assumptions!$C$14:$C$16,MATCH($R604,Assumptions!$A$14:$A$16,0))</f>
        <v>0.12</v>
      </c>
      <c r="AF604" s="49">
        <f t="shared" si="137"/>
        <v>0</v>
      </c>
      <c r="AG604" s="49">
        <f t="shared" si="138"/>
        <v>0</v>
      </c>
      <c r="AH604" s="55">
        <f t="shared" si="139"/>
        <v>0</v>
      </c>
    </row>
    <row r="605" spans="1:34" x14ac:dyDescent="0.2">
      <c r="A605" s="48" t="s">
        <v>702</v>
      </c>
      <c r="B605" s="48">
        <v>3</v>
      </c>
      <c r="C605" s="48" t="s">
        <v>703</v>
      </c>
      <c r="D605" s="48" t="s">
        <v>636</v>
      </c>
      <c r="E605" s="48" t="s">
        <v>374</v>
      </c>
      <c r="F605" s="48" t="s">
        <v>274</v>
      </c>
      <c r="G605" s="48" t="s">
        <v>281</v>
      </c>
      <c r="H605" s="48" t="s">
        <v>62</v>
      </c>
      <c r="I605" s="48" t="s">
        <v>177</v>
      </c>
      <c r="J605" s="49">
        <v>3</v>
      </c>
      <c r="K605" s="50">
        <v>70</v>
      </c>
      <c r="L605" s="50">
        <v>69.150000000000006</v>
      </c>
      <c r="M605" s="48" t="s">
        <v>276</v>
      </c>
      <c r="N605" s="51">
        <v>1</v>
      </c>
      <c r="O605" s="51">
        <v>1</v>
      </c>
      <c r="P605" s="52">
        <v>44</v>
      </c>
      <c r="Q605" s="52">
        <v>44</v>
      </c>
      <c r="R605" s="53" t="str">
        <f>INDEX(SKU_Master!$D$5:$D$34,MATCH($I605,SKU_Master!$A$5:$A$34,0))</f>
        <v>Accessory</v>
      </c>
      <c r="S605" s="54">
        <f t="shared" si="126"/>
        <v>1.2142857142857011E-2</v>
      </c>
      <c r="T605" s="55">
        <f t="shared" si="127"/>
        <v>210</v>
      </c>
      <c r="U605" s="55">
        <f t="shared" si="128"/>
        <v>207.45000000000002</v>
      </c>
      <c r="V605" s="55">
        <f t="shared" si="129"/>
        <v>-2.5499999999999829</v>
      </c>
      <c r="W605" s="55">
        <f t="shared" si="130"/>
        <v>207.45000000000002</v>
      </c>
      <c r="X605" s="55">
        <f t="shared" si="131"/>
        <v>0</v>
      </c>
      <c r="Y605" s="55">
        <f t="shared" si="132"/>
        <v>132</v>
      </c>
      <c r="Z605" s="55">
        <f t="shared" si="133"/>
        <v>132</v>
      </c>
      <c r="AA605" s="55">
        <f t="shared" si="134"/>
        <v>0</v>
      </c>
      <c r="AB605" s="55">
        <f t="shared" si="135"/>
        <v>75.450000000000017</v>
      </c>
      <c r="AC605" s="54">
        <f t="shared" si="136"/>
        <v>0.36370209689081712</v>
      </c>
      <c r="AD605" s="56">
        <f>INDEX(Assumptions!$B$14:$B$16,MATCH($R605,Assumptions!$A$14:$A$16,0))</f>
        <v>0.32</v>
      </c>
      <c r="AE605" s="56">
        <f>INDEX(Assumptions!$C$14:$C$16,MATCH($R605,Assumptions!$A$14:$A$16,0))</f>
        <v>0.22</v>
      </c>
      <c r="AF605" s="49">
        <f t="shared" si="137"/>
        <v>0</v>
      </c>
      <c r="AG605" s="49">
        <f t="shared" si="138"/>
        <v>0</v>
      </c>
      <c r="AH605" s="55">
        <f t="shared" si="139"/>
        <v>0</v>
      </c>
    </row>
    <row r="606" spans="1:34" x14ac:dyDescent="0.2">
      <c r="A606" s="48" t="s">
        <v>704</v>
      </c>
      <c r="B606" s="48">
        <v>1</v>
      </c>
      <c r="C606" s="48" t="s">
        <v>661</v>
      </c>
      <c r="D606" s="48" t="s">
        <v>636</v>
      </c>
      <c r="E606" s="48" t="s">
        <v>355</v>
      </c>
      <c r="F606" s="48" t="s">
        <v>280</v>
      </c>
      <c r="G606" s="48" t="s">
        <v>302</v>
      </c>
      <c r="H606" s="48" t="s">
        <v>62</v>
      </c>
      <c r="I606" s="48" t="s">
        <v>110</v>
      </c>
      <c r="J606" s="49">
        <v>15</v>
      </c>
      <c r="K606" s="50">
        <v>1165</v>
      </c>
      <c r="L606" s="50">
        <v>1080.3699999999999</v>
      </c>
      <c r="M606" s="48" t="s">
        <v>276</v>
      </c>
      <c r="N606" s="51">
        <v>1</v>
      </c>
      <c r="O606" s="51">
        <v>1</v>
      </c>
      <c r="P606" s="52">
        <v>992.65</v>
      </c>
      <c r="Q606" s="52">
        <v>992.65</v>
      </c>
      <c r="R606" s="53" t="str">
        <f>INDEX(SKU_Master!$D$5:$D$34,MATCH($I606,SKU_Master!$A$5:$A$34,0))</f>
        <v>Laptop</v>
      </c>
      <c r="S606" s="54">
        <f t="shared" si="126"/>
        <v>7.2643776824034445E-2</v>
      </c>
      <c r="T606" s="55">
        <f t="shared" si="127"/>
        <v>17475</v>
      </c>
      <c r="U606" s="55">
        <f t="shared" si="128"/>
        <v>16205.55</v>
      </c>
      <c r="V606" s="55">
        <f t="shared" si="129"/>
        <v>-1269.4500000000007</v>
      </c>
      <c r="W606" s="55">
        <f t="shared" si="130"/>
        <v>16205.55</v>
      </c>
      <c r="X606" s="55">
        <f t="shared" si="131"/>
        <v>0</v>
      </c>
      <c r="Y606" s="55">
        <f t="shared" si="132"/>
        <v>14889.75</v>
      </c>
      <c r="Z606" s="55">
        <f t="shared" si="133"/>
        <v>14889.75</v>
      </c>
      <c r="AA606" s="55">
        <f t="shared" si="134"/>
        <v>0</v>
      </c>
      <c r="AB606" s="55">
        <f t="shared" si="135"/>
        <v>1315.7999999999993</v>
      </c>
      <c r="AC606" s="54">
        <f t="shared" si="136"/>
        <v>8.1194405620296714E-2</v>
      </c>
      <c r="AD606" s="56">
        <f>INDEX(Assumptions!$B$14:$B$16,MATCH($R606,Assumptions!$A$14:$A$16,0))</f>
        <v>0.12</v>
      </c>
      <c r="AE606" s="56">
        <f>INDEX(Assumptions!$C$14:$C$16,MATCH($R606,Assumptions!$A$14:$A$16,0))</f>
        <v>0.08</v>
      </c>
      <c r="AF606" s="49">
        <f t="shared" si="137"/>
        <v>0</v>
      </c>
      <c r="AG606" s="49">
        <f t="shared" si="138"/>
        <v>0</v>
      </c>
      <c r="AH606" s="55">
        <f t="shared" si="139"/>
        <v>628.86600000000067</v>
      </c>
    </row>
    <row r="607" spans="1:34" x14ac:dyDescent="0.2">
      <c r="A607" s="48" t="s">
        <v>704</v>
      </c>
      <c r="B607" s="48">
        <v>2</v>
      </c>
      <c r="C607" s="48" t="s">
        <v>661</v>
      </c>
      <c r="D607" s="48" t="s">
        <v>636</v>
      </c>
      <c r="E607" s="48" t="s">
        <v>355</v>
      </c>
      <c r="F607" s="48" t="s">
        <v>280</v>
      </c>
      <c r="G607" s="48" t="s">
        <v>302</v>
      </c>
      <c r="H607" s="48" t="s">
        <v>62</v>
      </c>
      <c r="I607" s="48" t="s">
        <v>135</v>
      </c>
      <c r="J607" s="49">
        <v>17</v>
      </c>
      <c r="K607" s="50">
        <v>240</v>
      </c>
      <c r="L607" s="50">
        <v>234.42</v>
      </c>
      <c r="M607" s="48" t="s">
        <v>276</v>
      </c>
      <c r="N607" s="51">
        <v>1</v>
      </c>
      <c r="O607" s="51">
        <v>1</v>
      </c>
      <c r="P607" s="52">
        <v>186.7</v>
      </c>
      <c r="Q607" s="52">
        <v>186.7</v>
      </c>
      <c r="R607" s="53" t="str">
        <f>INDEX(SKU_Master!$D$5:$D$34,MATCH($I607,SKU_Master!$A$5:$A$34,0))</f>
        <v>Monitor</v>
      </c>
      <c r="S607" s="54">
        <f t="shared" si="126"/>
        <v>2.3250000000000104E-2</v>
      </c>
      <c r="T607" s="55">
        <f t="shared" si="127"/>
        <v>4080</v>
      </c>
      <c r="U607" s="55">
        <f t="shared" si="128"/>
        <v>3985.14</v>
      </c>
      <c r="V607" s="55">
        <f t="shared" si="129"/>
        <v>-94.860000000000127</v>
      </c>
      <c r="W607" s="55">
        <f t="shared" si="130"/>
        <v>3985.14</v>
      </c>
      <c r="X607" s="55">
        <f t="shared" si="131"/>
        <v>0</v>
      </c>
      <c r="Y607" s="55">
        <f t="shared" si="132"/>
        <v>3173.8999999999996</v>
      </c>
      <c r="Z607" s="55">
        <f t="shared" si="133"/>
        <v>3173.8999999999996</v>
      </c>
      <c r="AA607" s="55">
        <f t="shared" si="134"/>
        <v>0</v>
      </c>
      <c r="AB607" s="55">
        <f t="shared" si="135"/>
        <v>811.24000000000024</v>
      </c>
      <c r="AC607" s="54">
        <f t="shared" si="136"/>
        <v>0.20356624861359959</v>
      </c>
      <c r="AD607" s="56">
        <f>INDEX(Assumptions!$B$14:$B$16,MATCH($R607,Assumptions!$A$14:$A$16,0))</f>
        <v>0.18</v>
      </c>
      <c r="AE607" s="56">
        <f>INDEX(Assumptions!$C$14:$C$16,MATCH($R607,Assumptions!$A$14:$A$16,0))</f>
        <v>0.12</v>
      </c>
      <c r="AF607" s="49">
        <f t="shared" si="137"/>
        <v>0</v>
      </c>
      <c r="AG607" s="49">
        <f t="shared" si="138"/>
        <v>0</v>
      </c>
      <c r="AH607" s="55">
        <f t="shared" si="139"/>
        <v>0</v>
      </c>
    </row>
    <row r="608" spans="1:34" x14ac:dyDescent="0.2">
      <c r="A608" s="48" t="s">
        <v>705</v>
      </c>
      <c r="B608" s="48">
        <v>1</v>
      </c>
      <c r="C608" s="48" t="s">
        <v>703</v>
      </c>
      <c r="D608" s="48" t="s">
        <v>636</v>
      </c>
      <c r="E608" s="48" t="s">
        <v>558</v>
      </c>
      <c r="F608" s="48" t="s">
        <v>280</v>
      </c>
      <c r="G608" s="48" t="s">
        <v>288</v>
      </c>
      <c r="H608" s="48" t="s">
        <v>62</v>
      </c>
      <c r="I608" s="48" t="s">
        <v>108</v>
      </c>
      <c r="J608" s="49">
        <v>29</v>
      </c>
      <c r="K608" s="50">
        <v>1345</v>
      </c>
      <c r="L608" s="50">
        <v>1298.3900000000001</v>
      </c>
      <c r="M608" s="48" t="s">
        <v>276</v>
      </c>
      <c r="N608" s="51">
        <v>1</v>
      </c>
      <c r="O608" s="51">
        <v>1</v>
      </c>
      <c r="P608" s="52">
        <v>1145</v>
      </c>
      <c r="Q608" s="52">
        <v>1145</v>
      </c>
      <c r="R608" s="53" t="str">
        <f>INDEX(SKU_Master!$D$5:$D$34,MATCH($I608,SKU_Master!$A$5:$A$34,0))</f>
        <v>Laptop</v>
      </c>
      <c r="S608" s="54">
        <f t="shared" si="126"/>
        <v>3.4654275092936726E-2</v>
      </c>
      <c r="T608" s="55">
        <f t="shared" si="127"/>
        <v>39005</v>
      </c>
      <c r="U608" s="55">
        <f t="shared" si="128"/>
        <v>37653.310000000005</v>
      </c>
      <c r="V608" s="55">
        <f t="shared" si="129"/>
        <v>-1351.6899999999951</v>
      </c>
      <c r="W608" s="55">
        <f t="shared" si="130"/>
        <v>37653.310000000005</v>
      </c>
      <c r="X608" s="55">
        <f t="shared" si="131"/>
        <v>0</v>
      </c>
      <c r="Y608" s="55">
        <f t="shared" si="132"/>
        <v>33205</v>
      </c>
      <c r="Z608" s="55">
        <f t="shared" si="133"/>
        <v>33205</v>
      </c>
      <c r="AA608" s="55">
        <f t="shared" si="134"/>
        <v>0</v>
      </c>
      <c r="AB608" s="55">
        <f t="shared" si="135"/>
        <v>4448.3100000000049</v>
      </c>
      <c r="AC608" s="54">
        <f t="shared" si="136"/>
        <v>0.11813861782669317</v>
      </c>
      <c r="AD608" s="56">
        <f>INDEX(Assumptions!$B$14:$B$16,MATCH($R608,Assumptions!$A$14:$A$16,0))</f>
        <v>0.12</v>
      </c>
      <c r="AE608" s="56">
        <f>INDEX(Assumptions!$C$14:$C$16,MATCH($R608,Assumptions!$A$14:$A$16,0))</f>
        <v>0.08</v>
      </c>
      <c r="AF608" s="49">
        <f t="shared" si="137"/>
        <v>0</v>
      </c>
      <c r="AG608" s="49">
        <f t="shared" si="138"/>
        <v>0</v>
      </c>
      <c r="AH608" s="55">
        <f t="shared" si="139"/>
        <v>70.087199999995391</v>
      </c>
    </row>
    <row r="609" spans="1:34" x14ac:dyDescent="0.2">
      <c r="A609" s="48" t="s">
        <v>705</v>
      </c>
      <c r="B609" s="48">
        <v>2</v>
      </c>
      <c r="C609" s="48" t="s">
        <v>703</v>
      </c>
      <c r="D609" s="48" t="s">
        <v>636</v>
      </c>
      <c r="E609" s="48" t="s">
        <v>558</v>
      </c>
      <c r="F609" s="48" t="s">
        <v>280</v>
      </c>
      <c r="G609" s="48" t="s">
        <v>288</v>
      </c>
      <c r="H609" s="48" t="s">
        <v>62</v>
      </c>
      <c r="I609" s="48" t="s">
        <v>135</v>
      </c>
      <c r="J609" s="49">
        <v>23</v>
      </c>
      <c r="K609" s="50">
        <v>240</v>
      </c>
      <c r="L609" s="50">
        <v>231.94</v>
      </c>
      <c r="M609" s="48" t="s">
        <v>276</v>
      </c>
      <c r="N609" s="51">
        <v>1</v>
      </c>
      <c r="O609" s="51">
        <v>1</v>
      </c>
      <c r="P609" s="52">
        <v>186.7</v>
      </c>
      <c r="Q609" s="52">
        <v>186.7</v>
      </c>
      <c r="R609" s="53" t="str">
        <f>INDEX(SKU_Master!$D$5:$D$34,MATCH($I609,SKU_Master!$A$5:$A$34,0))</f>
        <v>Monitor</v>
      </c>
      <c r="S609" s="54">
        <f t="shared" si="126"/>
        <v>3.3583333333333298E-2</v>
      </c>
      <c r="T609" s="55">
        <f t="shared" si="127"/>
        <v>5520</v>
      </c>
      <c r="U609" s="55">
        <f t="shared" si="128"/>
        <v>5334.62</v>
      </c>
      <c r="V609" s="55">
        <f t="shared" si="129"/>
        <v>-185.38000000000011</v>
      </c>
      <c r="W609" s="55">
        <f t="shared" si="130"/>
        <v>5334.62</v>
      </c>
      <c r="X609" s="55">
        <f t="shared" si="131"/>
        <v>0</v>
      </c>
      <c r="Y609" s="55">
        <f t="shared" si="132"/>
        <v>4294.0999999999995</v>
      </c>
      <c r="Z609" s="55">
        <f t="shared" si="133"/>
        <v>4294.0999999999995</v>
      </c>
      <c r="AA609" s="55">
        <f t="shared" si="134"/>
        <v>0</v>
      </c>
      <c r="AB609" s="55">
        <f t="shared" si="135"/>
        <v>1040.5200000000004</v>
      </c>
      <c r="AC609" s="54">
        <f t="shared" si="136"/>
        <v>0.1950504440803657</v>
      </c>
      <c r="AD609" s="56">
        <f>INDEX(Assumptions!$B$14:$B$16,MATCH($R609,Assumptions!$A$14:$A$16,0))</f>
        <v>0.18</v>
      </c>
      <c r="AE609" s="56">
        <f>INDEX(Assumptions!$C$14:$C$16,MATCH($R609,Assumptions!$A$14:$A$16,0))</f>
        <v>0.12</v>
      </c>
      <c r="AF609" s="49">
        <f t="shared" si="137"/>
        <v>0</v>
      </c>
      <c r="AG609" s="49">
        <f t="shared" si="138"/>
        <v>0</v>
      </c>
      <c r="AH609" s="55">
        <f t="shared" si="139"/>
        <v>0</v>
      </c>
    </row>
    <row r="610" spans="1:34" x14ac:dyDescent="0.2">
      <c r="A610" s="48" t="s">
        <v>706</v>
      </c>
      <c r="B610" s="48">
        <v>1</v>
      </c>
      <c r="C610" s="48" t="s">
        <v>680</v>
      </c>
      <c r="D610" s="48" t="s">
        <v>636</v>
      </c>
      <c r="E610" s="48" t="s">
        <v>346</v>
      </c>
      <c r="F610" s="48" t="s">
        <v>297</v>
      </c>
      <c r="G610" s="48" t="s">
        <v>302</v>
      </c>
      <c r="H610" s="48" t="s">
        <v>62</v>
      </c>
      <c r="I610" s="48" t="s">
        <v>93</v>
      </c>
      <c r="J610" s="49">
        <v>31</v>
      </c>
      <c r="K610" s="50">
        <v>1390</v>
      </c>
      <c r="L610" s="50">
        <v>1337.57</v>
      </c>
      <c r="M610" s="48" t="s">
        <v>276</v>
      </c>
      <c r="N610" s="51">
        <v>1</v>
      </c>
      <c r="O610" s="51">
        <v>1</v>
      </c>
      <c r="P610" s="52">
        <v>1186.2</v>
      </c>
      <c r="Q610" s="52">
        <v>1186.2</v>
      </c>
      <c r="R610" s="53" t="str">
        <f>INDEX(SKU_Master!$D$5:$D$34,MATCH($I610,SKU_Master!$A$5:$A$34,0))</f>
        <v>Laptop</v>
      </c>
      <c r="S610" s="54">
        <f t="shared" si="126"/>
        <v>3.771942446043175E-2</v>
      </c>
      <c r="T610" s="55">
        <f t="shared" si="127"/>
        <v>43090</v>
      </c>
      <c r="U610" s="55">
        <f t="shared" si="128"/>
        <v>41464.67</v>
      </c>
      <c r="V610" s="55">
        <f t="shared" si="129"/>
        <v>-1625.3300000000017</v>
      </c>
      <c r="W610" s="55">
        <f t="shared" si="130"/>
        <v>41464.67</v>
      </c>
      <c r="X610" s="55">
        <f t="shared" si="131"/>
        <v>0</v>
      </c>
      <c r="Y610" s="55">
        <f t="shared" si="132"/>
        <v>36772.200000000004</v>
      </c>
      <c r="Z610" s="55">
        <f t="shared" si="133"/>
        <v>36772.200000000004</v>
      </c>
      <c r="AA610" s="55">
        <f t="shared" si="134"/>
        <v>0</v>
      </c>
      <c r="AB610" s="55">
        <f t="shared" si="135"/>
        <v>4692.4699999999939</v>
      </c>
      <c r="AC610" s="54">
        <f t="shared" si="136"/>
        <v>0.11316790896925007</v>
      </c>
      <c r="AD610" s="56">
        <f>INDEX(Assumptions!$B$14:$B$16,MATCH($R610,Assumptions!$A$14:$A$16,0))</f>
        <v>0.12</v>
      </c>
      <c r="AE610" s="56">
        <f>INDEX(Assumptions!$C$14:$C$16,MATCH($R610,Assumptions!$A$14:$A$16,0))</f>
        <v>0.08</v>
      </c>
      <c r="AF610" s="49">
        <f t="shared" si="137"/>
        <v>0</v>
      </c>
      <c r="AG610" s="49">
        <f t="shared" si="138"/>
        <v>0</v>
      </c>
      <c r="AH610" s="55">
        <f t="shared" si="139"/>
        <v>283.29040000000532</v>
      </c>
    </row>
    <row r="611" spans="1:34" x14ac:dyDescent="0.2">
      <c r="A611" s="48" t="s">
        <v>706</v>
      </c>
      <c r="B611" s="48">
        <v>2</v>
      </c>
      <c r="C611" s="48" t="s">
        <v>680</v>
      </c>
      <c r="D611" s="48" t="s">
        <v>636</v>
      </c>
      <c r="E611" s="48" t="s">
        <v>346</v>
      </c>
      <c r="F611" s="48" t="s">
        <v>297</v>
      </c>
      <c r="G611" s="48" t="s">
        <v>302</v>
      </c>
      <c r="H611" s="48" t="s">
        <v>62</v>
      </c>
      <c r="I611" s="48" t="s">
        <v>135</v>
      </c>
      <c r="J611" s="49">
        <v>16</v>
      </c>
      <c r="K611" s="50">
        <v>240</v>
      </c>
      <c r="L611" s="50">
        <v>222.11</v>
      </c>
      <c r="M611" s="48" t="s">
        <v>276</v>
      </c>
      <c r="N611" s="51">
        <v>1</v>
      </c>
      <c r="O611" s="51">
        <v>1</v>
      </c>
      <c r="P611" s="52">
        <v>186.7</v>
      </c>
      <c r="Q611" s="52">
        <v>186.7</v>
      </c>
      <c r="R611" s="53" t="str">
        <f>INDEX(SKU_Master!$D$5:$D$34,MATCH($I611,SKU_Master!$A$5:$A$34,0))</f>
        <v>Monitor</v>
      </c>
      <c r="S611" s="54">
        <f t="shared" si="126"/>
        <v>7.4541666666666617E-2</v>
      </c>
      <c r="T611" s="55">
        <f t="shared" si="127"/>
        <v>3840</v>
      </c>
      <c r="U611" s="55">
        <f t="shared" si="128"/>
        <v>3553.76</v>
      </c>
      <c r="V611" s="55">
        <f t="shared" si="129"/>
        <v>-286.23999999999978</v>
      </c>
      <c r="W611" s="55">
        <f t="shared" si="130"/>
        <v>3553.76</v>
      </c>
      <c r="X611" s="55">
        <f t="shared" si="131"/>
        <v>0</v>
      </c>
      <c r="Y611" s="55">
        <f t="shared" si="132"/>
        <v>2987.2</v>
      </c>
      <c r="Z611" s="55">
        <f t="shared" si="133"/>
        <v>2987.2</v>
      </c>
      <c r="AA611" s="55">
        <f t="shared" si="134"/>
        <v>0</v>
      </c>
      <c r="AB611" s="55">
        <f t="shared" si="135"/>
        <v>566.5600000000004</v>
      </c>
      <c r="AC611" s="54">
        <f t="shared" si="136"/>
        <v>0.15942550988249077</v>
      </c>
      <c r="AD611" s="56">
        <f>INDEX(Assumptions!$B$14:$B$16,MATCH($R611,Assumptions!$A$14:$A$16,0))</f>
        <v>0.18</v>
      </c>
      <c r="AE611" s="56">
        <f>INDEX(Assumptions!$C$14:$C$16,MATCH($R611,Assumptions!$A$14:$A$16,0))</f>
        <v>0.12</v>
      </c>
      <c r="AF611" s="49">
        <f t="shared" si="137"/>
        <v>0</v>
      </c>
      <c r="AG611" s="49">
        <f t="shared" si="138"/>
        <v>0</v>
      </c>
      <c r="AH611" s="55">
        <f t="shared" si="139"/>
        <v>73.116799999999671</v>
      </c>
    </row>
    <row r="612" spans="1:34" x14ac:dyDescent="0.2">
      <c r="A612" s="48" t="s">
        <v>706</v>
      </c>
      <c r="B612" s="48">
        <v>3</v>
      </c>
      <c r="C612" s="48" t="s">
        <v>680</v>
      </c>
      <c r="D612" s="48" t="s">
        <v>636</v>
      </c>
      <c r="E612" s="48" t="s">
        <v>346</v>
      </c>
      <c r="F612" s="48" t="s">
        <v>297</v>
      </c>
      <c r="G612" s="48" t="s">
        <v>302</v>
      </c>
      <c r="H612" s="48" t="s">
        <v>62</v>
      </c>
      <c r="I612" s="48" t="s">
        <v>166</v>
      </c>
      <c r="J612" s="49">
        <v>26</v>
      </c>
      <c r="K612" s="50">
        <v>265</v>
      </c>
      <c r="L612" s="50">
        <v>257.27999999999997</v>
      </c>
      <c r="M612" s="48" t="s">
        <v>276</v>
      </c>
      <c r="N612" s="51">
        <v>1</v>
      </c>
      <c r="O612" s="51">
        <v>1</v>
      </c>
      <c r="P612" s="52">
        <v>169.35</v>
      </c>
      <c r="Q612" s="52">
        <v>169.35</v>
      </c>
      <c r="R612" s="53" t="str">
        <f>INDEX(SKU_Master!$D$5:$D$34,MATCH($I612,SKU_Master!$A$5:$A$34,0))</f>
        <v>Accessory</v>
      </c>
      <c r="S612" s="54">
        <f t="shared" si="126"/>
        <v>2.9132075471698271E-2</v>
      </c>
      <c r="T612" s="55">
        <f t="shared" si="127"/>
        <v>6890</v>
      </c>
      <c r="U612" s="55">
        <f t="shared" si="128"/>
        <v>6689.2799999999988</v>
      </c>
      <c r="V612" s="55">
        <f t="shared" si="129"/>
        <v>-200.72000000000116</v>
      </c>
      <c r="W612" s="55">
        <f t="shared" si="130"/>
        <v>6689.2799999999988</v>
      </c>
      <c r="X612" s="55">
        <f t="shared" si="131"/>
        <v>0</v>
      </c>
      <c r="Y612" s="55">
        <f t="shared" si="132"/>
        <v>4403.0999999999995</v>
      </c>
      <c r="Z612" s="55">
        <f t="shared" si="133"/>
        <v>4403.0999999999995</v>
      </c>
      <c r="AA612" s="55">
        <f t="shared" si="134"/>
        <v>0</v>
      </c>
      <c r="AB612" s="55">
        <f t="shared" si="135"/>
        <v>2286.1799999999994</v>
      </c>
      <c r="AC612" s="54">
        <f t="shared" si="136"/>
        <v>0.34176772388059701</v>
      </c>
      <c r="AD612" s="56">
        <f>INDEX(Assumptions!$B$14:$B$16,MATCH($R612,Assumptions!$A$14:$A$16,0))</f>
        <v>0.32</v>
      </c>
      <c r="AE612" s="56">
        <f>INDEX(Assumptions!$C$14:$C$16,MATCH($R612,Assumptions!$A$14:$A$16,0))</f>
        <v>0.22</v>
      </c>
      <c r="AF612" s="49">
        <f t="shared" si="137"/>
        <v>0</v>
      </c>
      <c r="AG612" s="49">
        <f t="shared" si="138"/>
        <v>0</v>
      </c>
      <c r="AH612" s="55">
        <f t="shared" si="139"/>
        <v>0</v>
      </c>
    </row>
    <row r="613" spans="1:34" x14ac:dyDescent="0.2">
      <c r="A613" s="48" t="s">
        <v>707</v>
      </c>
      <c r="B613" s="48">
        <v>1</v>
      </c>
      <c r="C613" s="48" t="s">
        <v>708</v>
      </c>
      <c r="D613" s="48" t="s">
        <v>636</v>
      </c>
      <c r="E613" s="48" t="s">
        <v>305</v>
      </c>
      <c r="F613" s="48" t="s">
        <v>274</v>
      </c>
      <c r="G613" s="48" t="s">
        <v>306</v>
      </c>
      <c r="H613" s="48" t="s">
        <v>62</v>
      </c>
      <c r="I613" s="48" t="s">
        <v>118</v>
      </c>
      <c r="J613" s="49">
        <v>6</v>
      </c>
      <c r="K613" s="50">
        <v>1365</v>
      </c>
      <c r="L613" s="50">
        <v>1346.8</v>
      </c>
      <c r="M613" s="48" t="s">
        <v>276</v>
      </c>
      <c r="N613" s="51">
        <v>1</v>
      </c>
      <c r="O613" s="51">
        <v>1</v>
      </c>
      <c r="P613" s="52">
        <v>1162.5999999999999</v>
      </c>
      <c r="Q613" s="52">
        <v>1162.5999999999999</v>
      </c>
      <c r="R613" s="53" t="str">
        <f>INDEX(SKU_Master!$D$5:$D$34,MATCH($I613,SKU_Master!$A$5:$A$34,0))</f>
        <v>Laptop</v>
      </c>
      <c r="S613" s="54">
        <f t="shared" si="126"/>
        <v>1.3333333333333419E-2</v>
      </c>
      <c r="T613" s="55">
        <f t="shared" si="127"/>
        <v>8190</v>
      </c>
      <c r="U613" s="55">
        <f t="shared" si="128"/>
        <v>8080.7999999999993</v>
      </c>
      <c r="V613" s="55">
        <f t="shared" si="129"/>
        <v>-109.20000000000073</v>
      </c>
      <c r="W613" s="55">
        <f t="shared" si="130"/>
        <v>8080.7999999999993</v>
      </c>
      <c r="X613" s="55">
        <f t="shared" si="131"/>
        <v>0</v>
      </c>
      <c r="Y613" s="55">
        <f t="shared" si="132"/>
        <v>6975.5999999999995</v>
      </c>
      <c r="Z613" s="55">
        <f t="shared" si="133"/>
        <v>6975.5999999999995</v>
      </c>
      <c r="AA613" s="55">
        <f t="shared" si="134"/>
        <v>0</v>
      </c>
      <c r="AB613" s="55">
        <f t="shared" si="135"/>
        <v>1105.1999999999998</v>
      </c>
      <c r="AC613" s="54">
        <f t="shared" si="136"/>
        <v>0.13676863676863676</v>
      </c>
      <c r="AD613" s="56">
        <f>INDEX(Assumptions!$B$14:$B$16,MATCH($R613,Assumptions!$A$14:$A$16,0))</f>
        <v>0.12</v>
      </c>
      <c r="AE613" s="56">
        <f>INDEX(Assumptions!$C$14:$C$16,MATCH($R613,Assumptions!$A$14:$A$16,0))</f>
        <v>0.08</v>
      </c>
      <c r="AF613" s="49">
        <f t="shared" si="137"/>
        <v>0</v>
      </c>
      <c r="AG613" s="49">
        <f t="shared" si="138"/>
        <v>0</v>
      </c>
      <c r="AH613" s="55">
        <f t="shared" si="139"/>
        <v>0</v>
      </c>
    </row>
    <row r="614" spans="1:34" x14ac:dyDescent="0.2">
      <c r="A614" s="48" t="s">
        <v>707</v>
      </c>
      <c r="B614" s="48">
        <v>2</v>
      </c>
      <c r="C614" s="48" t="s">
        <v>708</v>
      </c>
      <c r="D614" s="48" t="s">
        <v>636</v>
      </c>
      <c r="E614" s="48" t="s">
        <v>305</v>
      </c>
      <c r="F614" s="48" t="s">
        <v>274</v>
      </c>
      <c r="G614" s="48" t="s">
        <v>306</v>
      </c>
      <c r="H614" s="48" t="s">
        <v>62</v>
      </c>
      <c r="I614" s="48" t="s">
        <v>138</v>
      </c>
      <c r="J614" s="49">
        <v>3</v>
      </c>
      <c r="K614" s="50">
        <v>455</v>
      </c>
      <c r="L614" s="50">
        <v>454.22</v>
      </c>
      <c r="M614" s="48" t="s">
        <v>276</v>
      </c>
      <c r="N614" s="51">
        <v>1</v>
      </c>
      <c r="O614" s="51">
        <v>1</v>
      </c>
      <c r="P614" s="52">
        <v>358.2</v>
      </c>
      <c r="Q614" s="52">
        <v>358.2</v>
      </c>
      <c r="R614" s="53" t="str">
        <f>INDEX(SKU_Master!$D$5:$D$34,MATCH($I614,SKU_Master!$A$5:$A$34,0))</f>
        <v>Monitor</v>
      </c>
      <c r="S614" s="54">
        <f t="shared" si="126"/>
        <v>1.7142857142856682E-3</v>
      </c>
      <c r="T614" s="55">
        <f t="shared" si="127"/>
        <v>1365</v>
      </c>
      <c r="U614" s="55">
        <f t="shared" si="128"/>
        <v>1362.66</v>
      </c>
      <c r="V614" s="55">
        <f t="shared" si="129"/>
        <v>-2.3399999999999181</v>
      </c>
      <c r="W614" s="55">
        <f t="shared" si="130"/>
        <v>1362.66</v>
      </c>
      <c r="X614" s="55">
        <f t="shared" si="131"/>
        <v>0</v>
      </c>
      <c r="Y614" s="55">
        <f t="shared" si="132"/>
        <v>1074.5999999999999</v>
      </c>
      <c r="Z614" s="55">
        <f t="shared" si="133"/>
        <v>1074.5999999999999</v>
      </c>
      <c r="AA614" s="55">
        <f t="shared" si="134"/>
        <v>0</v>
      </c>
      <c r="AB614" s="55">
        <f t="shared" si="135"/>
        <v>288.06000000000017</v>
      </c>
      <c r="AC614" s="54">
        <f t="shared" si="136"/>
        <v>0.2113953590770993</v>
      </c>
      <c r="AD614" s="56">
        <f>INDEX(Assumptions!$B$14:$B$16,MATCH($R614,Assumptions!$A$14:$A$16,0))</f>
        <v>0.18</v>
      </c>
      <c r="AE614" s="56">
        <f>INDEX(Assumptions!$C$14:$C$16,MATCH($R614,Assumptions!$A$14:$A$16,0))</f>
        <v>0.12</v>
      </c>
      <c r="AF614" s="49">
        <f t="shared" si="137"/>
        <v>0</v>
      </c>
      <c r="AG614" s="49">
        <f t="shared" si="138"/>
        <v>0</v>
      </c>
      <c r="AH614" s="55">
        <f t="shared" si="139"/>
        <v>0</v>
      </c>
    </row>
    <row r="615" spans="1:34" x14ac:dyDescent="0.2">
      <c r="A615" s="48" t="s">
        <v>707</v>
      </c>
      <c r="B615" s="48">
        <v>3</v>
      </c>
      <c r="C615" s="48" t="s">
        <v>708</v>
      </c>
      <c r="D615" s="48" t="s">
        <v>636</v>
      </c>
      <c r="E615" s="48" t="s">
        <v>305</v>
      </c>
      <c r="F615" s="48" t="s">
        <v>274</v>
      </c>
      <c r="G615" s="48" t="s">
        <v>306</v>
      </c>
      <c r="H615" s="48" t="s">
        <v>62</v>
      </c>
      <c r="I615" s="48" t="s">
        <v>157</v>
      </c>
      <c r="J615" s="49">
        <v>2</v>
      </c>
      <c r="K615" s="50">
        <v>135</v>
      </c>
      <c r="L615" s="50">
        <v>132.34</v>
      </c>
      <c r="M615" s="48" t="s">
        <v>276</v>
      </c>
      <c r="N615" s="51">
        <v>1</v>
      </c>
      <c r="O615" s="51">
        <v>1</v>
      </c>
      <c r="P615" s="52">
        <v>86</v>
      </c>
      <c r="Q615" s="52">
        <v>86</v>
      </c>
      <c r="R615" s="53" t="str">
        <f>INDEX(SKU_Master!$D$5:$D$34,MATCH($I615,SKU_Master!$A$5:$A$34,0))</f>
        <v>Accessory</v>
      </c>
      <c r="S615" s="54">
        <f t="shared" si="126"/>
        <v>1.9703703703703668E-2</v>
      </c>
      <c r="T615" s="55">
        <f t="shared" si="127"/>
        <v>270</v>
      </c>
      <c r="U615" s="55">
        <f t="shared" si="128"/>
        <v>264.68</v>
      </c>
      <c r="V615" s="55">
        <f t="shared" si="129"/>
        <v>-5.3199999999999932</v>
      </c>
      <c r="W615" s="55">
        <f t="shared" si="130"/>
        <v>264.68</v>
      </c>
      <c r="X615" s="55">
        <f t="shared" si="131"/>
        <v>0</v>
      </c>
      <c r="Y615" s="55">
        <f t="shared" si="132"/>
        <v>172</v>
      </c>
      <c r="Z615" s="55">
        <f t="shared" si="133"/>
        <v>172</v>
      </c>
      <c r="AA615" s="55">
        <f t="shared" si="134"/>
        <v>0</v>
      </c>
      <c r="AB615" s="55">
        <f t="shared" si="135"/>
        <v>92.68</v>
      </c>
      <c r="AC615" s="54">
        <f t="shared" si="136"/>
        <v>0.35015868218225782</v>
      </c>
      <c r="AD615" s="56">
        <f>INDEX(Assumptions!$B$14:$B$16,MATCH($R615,Assumptions!$A$14:$A$16,0))</f>
        <v>0.32</v>
      </c>
      <c r="AE615" s="56">
        <f>INDEX(Assumptions!$C$14:$C$16,MATCH($R615,Assumptions!$A$14:$A$16,0))</f>
        <v>0.22</v>
      </c>
      <c r="AF615" s="49">
        <f t="shared" si="137"/>
        <v>0</v>
      </c>
      <c r="AG615" s="49">
        <f t="shared" si="138"/>
        <v>0</v>
      </c>
      <c r="AH615" s="55">
        <f t="shared" si="139"/>
        <v>0</v>
      </c>
    </row>
    <row r="616" spans="1:34" x14ac:dyDescent="0.2">
      <c r="A616" s="48" t="s">
        <v>709</v>
      </c>
      <c r="B616" s="48">
        <v>1</v>
      </c>
      <c r="C616" s="48" t="s">
        <v>649</v>
      </c>
      <c r="D616" s="48" t="s">
        <v>636</v>
      </c>
      <c r="E616" s="48" t="s">
        <v>437</v>
      </c>
      <c r="F616" s="48" t="s">
        <v>274</v>
      </c>
      <c r="G616" s="48" t="s">
        <v>302</v>
      </c>
      <c r="H616" s="48" t="s">
        <v>62</v>
      </c>
      <c r="I616" s="48" t="s">
        <v>103</v>
      </c>
      <c r="J616" s="49">
        <v>7</v>
      </c>
      <c r="K616" s="50">
        <v>1135</v>
      </c>
      <c r="L616" s="50">
        <v>1127.6400000000001</v>
      </c>
      <c r="M616" s="48" t="s">
        <v>276</v>
      </c>
      <c r="N616" s="51">
        <v>1</v>
      </c>
      <c r="O616" s="51">
        <v>1</v>
      </c>
      <c r="P616" s="52">
        <v>968.6</v>
      </c>
      <c r="Q616" s="52">
        <v>968.6</v>
      </c>
      <c r="R616" s="53" t="str">
        <f>INDEX(SKU_Master!$D$5:$D$34,MATCH($I616,SKU_Master!$A$5:$A$34,0))</f>
        <v>Laptop</v>
      </c>
      <c r="S616" s="54">
        <f t="shared" si="126"/>
        <v>6.4845814977972926E-3</v>
      </c>
      <c r="T616" s="55">
        <f t="shared" si="127"/>
        <v>7945</v>
      </c>
      <c r="U616" s="55">
        <f t="shared" si="128"/>
        <v>7893.4800000000005</v>
      </c>
      <c r="V616" s="55">
        <f t="shared" si="129"/>
        <v>-51.519999999999527</v>
      </c>
      <c r="W616" s="55">
        <f t="shared" si="130"/>
        <v>7893.4800000000005</v>
      </c>
      <c r="X616" s="55">
        <f t="shared" si="131"/>
        <v>0</v>
      </c>
      <c r="Y616" s="55">
        <f t="shared" si="132"/>
        <v>6780.2</v>
      </c>
      <c r="Z616" s="55">
        <f t="shared" si="133"/>
        <v>6780.2</v>
      </c>
      <c r="AA616" s="55">
        <f t="shared" si="134"/>
        <v>0</v>
      </c>
      <c r="AB616" s="55">
        <f t="shared" si="135"/>
        <v>1113.2800000000007</v>
      </c>
      <c r="AC616" s="54">
        <f t="shared" si="136"/>
        <v>0.14103791990351539</v>
      </c>
      <c r="AD616" s="56">
        <f>INDEX(Assumptions!$B$14:$B$16,MATCH($R616,Assumptions!$A$14:$A$16,0))</f>
        <v>0.12</v>
      </c>
      <c r="AE616" s="56">
        <f>INDEX(Assumptions!$C$14:$C$16,MATCH($R616,Assumptions!$A$14:$A$16,0))</f>
        <v>0.08</v>
      </c>
      <c r="AF616" s="49">
        <f t="shared" si="137"/>
        <v>0</v>
      </c>
      <c r="AG616" s="49">
        <f t="shared" si="138"/>
        <v>0</v>
      </c>
      <c r="AH616" s="55">
        <f t="shared" si="139"/>
        <v>0</v>
      </c>
    </row>
    <row r="617" spans="1:34" x14ac:dyDescent="0.2">
      <c r="A617" s="48" t="s">
        <v>709</v>
      </c>
      <c r="B617" s="48">
        <v>2</v>
      </c>
      <c r="C617" s="48" t="s">
        <v>649</v>
      </c>
      <c r="D617" s="48" t="s">
        <v>636</v>
      </c>
      <c r="E617" s="48" t="s">
        <v>437</v>
      </c>
      <c r="F617" s="48" t="s">
        <v>274</v>
      </c>
      <c r="G617" s="48" t="s">
        <v>302</v>
      </c>
      <c r="H617" s="48" t="s">
        <v>62</v>
      </c>
      <c r="I617" s="48" t="s">
        <v>177</v>
      </c>
      <c r="J617" s="49">
        <v>7</v>
      </c>
      <c r="K617" s="50">
        <v>70</v>
      </c>
      <c r="L617" s="50">
        <v>69.78</v>
      </c>
      <c r="M617" s="48" t="s">
        <v>276</v>
      </c>
      <c r="N617" s="51">
        <v>1</v>
      </c>
      <c r="O617" s="51">
        <v>1</v>
      </c>
      <c r="P617" s="52">
        <v>44</v>
      </c>
      <c r="Q617" s="52">
        <v>44</v>
      </c>
      <c r="R617" s="53" t="str">
        <f>INDEX(SKU_Master!$D$5:$D$34,MATCH($I617,SKU_Master!$A$5:$A$34,0))</f>
        <v>Accessory</v>
      </c>
      <c r="S617" s="54">
        <f t="shared" si="126"/>
        <v>3.1428571428571139E-3</v>
      </c>
      <c r="T617" s="55">
        <f t="shared" si="127"/>
        <v>490</v>
      </c>
      <c r="U617" s="55">
        <f t="shared" si="128"/>
        <v>488.46000000000004</v>
      </c>
      <c r="V617" s="55">
        <f t="shared" si="129"/>
        <v>-1.5399999999999636</v>
      </c>
      <c r="W617" s="55">
        <f t="shared" si="130"/>
        <v>488.46000000000004</v>
      </c>
      <c r="X617" s="55">
        <f t="shared" si="131"/>
        <v>0</v>
      </c>
      <c r="Y617" s="55">
        <f t="shared" si="132"/>
        <v>308</v>
      </c>
      <c r="Z617" s="55">
        <f t="shared" si="133"/>
        <v>308</v>
      </c>
      <c r="AA617" s="55">
        <f t="shared" si="134"/>
        <v>0</v>
      </c>
      <c r="AB617" s="55">
        <f t="shared" si="135"/>
        <v>180.46000000000004</v>
      </c>
      <c r="AC617" s="54">
        <f t="shared" si="136"/>
        <v>0.36944683290341079</v>
      </c>
      <c r="AD617" s="56">
        <f>INDEX(Assumptions!$B$14:$B$16,MATCH($R617,Assumptions!$A$14:$A$16,0))</f>
        <v>0.32</v>
      </c>
      <c r="AE617" s="56">
        <f>INDEX(Assumptions!$C$14:$C$16,MATCH($R617,Assumptions!$A$14:$A$16,0))</f>
        <v>0.22</v>
      </c>
      <c r="AF617" s="49">
        <f t="shared" si="137"/>
        <v>0</v>
      </c>
      <c r="AG617" s="49">
        <f t="shared" si="138"/>
        <v>0</v>
      </c>
      <c r="AH617" s="55">
        <f t="shared" si="139"/>
        <v>0</v>
      </c>
    </row>
    <row r="618" spans="1:34" x14ac:dyDescent="0.2">
      <c r="A618" s="48" t="s">
        <v>710</v>
      </c>
      <c r="B618" s="48">
        <v>1</v>
      </c>
      <c r="C618" s="48" t="s">
        <v>678</v>
      </c>
      <c r="D618" s="48" t="s">
        <v>636</v>
      </c>
      <c r="E618" s="48" t="s">
        <v>333</v>
      </c>
      <c r="F618" s="48" t="s">
        <v>297</v>
      </c>
      <c r="G618" s="48" t="s">
        <v>302</v>
      </c>
      <c r="H618" s="48" t="s">
        <v>70</v>
      </c>
      <c r="I618" s="48" t="s">
        <v>103</v>
      </c>
      <c r="J618" s="49">
        <v>24</v>
      </c>
      <c r="K618" s="50">
        <v>110670</v>
      </c>
      <c r="L618" s="50">
        <v>104985.54</v>
      </c>
      <c r="M618" s="48" t="s">
        <v>276</v>
      </c>
      <c r="N618" s="51">
        <v>83.5</v>
      </c>
      <c r="O618" s="51">
        <v>83.985900000000001</v>
      </c>
      <c r="P618" s="52">
        <v>1110.17</v>
      </c>
      <c r="Q618" s="52">
        <v>1130.17</v>
      </c>
      <c r="R618" s="53" t="str">
        <f>INDEX(SKU_Master!$D$5:$D$34,MATCH($I618,SKU_Master!$A$5:$A$34,0))</f>
        <v>Laptop</v>
      </c>
      <c r="S618" s="54">
        <f t="shared" si="126"/>
        <v>5.1364055299539246E-2</v>
      </c>
      <c r="T618" s="55">
        <f t="shared" si="127"/>
        <v>31809.34131736527</v>
      </c>
      <c r="U618" s="55">
        <f t="shared" si="128"/>
        <v>30175.484550898203</v>
      </c>
      <c r="V618" s="55">
        <f t="shared" si="129"/>
        <v>-1633.8567664670663</v>
      </c>
      <c r="W618" s="55">
        <f t="shared" si="130"/>
        <v>30000.904437530586</v>
      </c>
      <c r="X618" s="55">
        <f t="shared" si="131"/>
        <v>-174.58011336761774</v>
      </c>
      <c r="Y618" s="55">
        <f t="shared" si="132"/>
        <v>26644.080000000002</v>
      </c>
      <c r="Z618" s="55">
        <f t="shared" si="133"/>
        <v>27124.080000000002</v>
      </c>
      <c r="AA618" s="55">
        <f t="shared" si="134"/>
        <v>-480</v>
      </c>
      <c r="AB618" s="55">
        <f t="shared" si="135"/>
        <v>2876.824437530584</v>
      </c>
      <c r="AC618" s="54">
        <f t="shared" si="136"/>
        <v>9.5891256995963389E-2</v>
      </c>
      <c r="AD618" s="56">
        <f>INDEX(Assumptions!$B$14:$B$16,MATCH($R618,Assumptions!$A$14:$A$16,0))</f>
        <v>0.12</v>
      </c>
      <c r="AE618" s="56">
        <f>INDEX(Assumptions!$C$14:$C$16,MATCH($R618,Assumptions!$A$14:$A$16,0))</f>
        <v>0.08</v>
      </c>
      <c r="AF618" s="49">
        <f t="shared" si="137"/>
        <v>0</v>
      </c>
      <c r="AG618" s="49">
        <f t="shared" si="138"/>
        <v>0</v>
      </c>
      <c r="AH618" s="55">
        <f t="shared" si="139"/>
        <v>723.28409497308621</v>
      </c>
    </row>
    <row r="619" spans="1:34" x14ac:dyDescent="0.2">
      <c r="A619" s="48" t="s">
        <v>710</v>
      </c>
      <c r="B619" s="48">
        <v>2</v>
      </c>
      <c r="C619" s="48" t="s">
        <v>678</v>
      </c>
      <c r="D619" s="48" t="s">
        <v>636</v>
      </c>
      <c r="E619" s="48" t="s">
        <v>333</v>
      </c>
      <c r="F619" s="48" t="s">
        <v>297</v>
      </c>
      <c r="G619" s="48" t="s">
        <v>302</v>
      </c>
      <c r="H619" s="48" t="s">
        <v>70</v>
      </c>
      <c r="I619" s="48" t="s">
        <v>173</v>
      </c>
      <c r="J619" s="49">
        <v>24</v>
      </c>
      <c r="K619" s="50">
        <v>6065</v>
      </c>
      <c r="L619" s="50">
        <v>5567.61</v>
      </c>
      <c r="M619" s="48" t="s">
        <v>276</v>
      </c>
      <c r="N619" s="51">
        <v>83.5</v>
      </c>
      <c r="O619" s="51">
        <v>83.985900000000001</v>
      </c>
      <c r="P619" s="52">
        <v>46.08</v>
      </c>
      <c r="Q619" s="52">
        <v>51.08</v>
      </c>
      <c r="R619" s="53" t="str">
        <f>INDEX(SKU_Master!$D$5:$D$34,MATCH($I619,SKU_Master!$A$5:$A$34,0))</f>
        <v>Accessory</v>
      </c>
      <c r="S619" s="54">
        <f t="shared" si="126"/>
        <v>8.2009892827699993E-2</v>
      </c>
      <c r="T619" s="55">
        <f t="shared" si="127"/>
        <v>1743.2335329341317</v>
      </c>
      <c r="U619" s="55">
        <f t="shared" si="128"/>
        <v>1600.2711377245507</v>
      </c>
      <c r="V619" s="55">
        <f t="shared" si="129"/>
        <v>-142.96239520958102</v>
      </c>
      <c r="W619" s="55">
        <f t="shared" si="130"/>
        <v>1591.0127771447349</v>
      </c>
      <c r="X619" s="55">
        <f t="shared" si="131"/>
        <v>-9.2583605798158715</v>
      </c>
      <c r="Y619" s="55">
        <f t="shared" si="132"/>
        <v>1105.92</v>
      </c>
      <c r="Z619" s="55">
        <f t="shared" si="133"/>
        <v>1225.92</v>
      </c>
      <c r="AA619" s="55">
        <f t="shared" si="134"/>
        <v>-120</v>
      </c>
      <c r="AB619" s="55">
        <f t="shared" si="135"/>
        <v>365.09277714473478</v>
      </c>
      <c r="AC619" s="54">
        <f t="shared" si="136"/>
        <v>0.22947193284012338</v>
      </c>
      <c r="AD619" s="56">
        <f>INDEX(Assumptions!$B$14:$B$16,MATCH($R619,Assumptions!$A$14:$A$16,0))</f>
        <v>0.32</v>
      </c>
      <c r="AE619" s="56">
        <f>INDEX(Assumptions!$C$14:$C$16,MATCH($R619,Assumptions!$A$14:$A$16,0))</f>
        <v>0.22</v>
      </c>
      <c r="AF619" s="49">
        <f t="shared" si="137"/>
        <v>0</v>
      </c>
      <c r="AG619" s="49">
        <f t="shared" si="138"/>
        <v>0</v>
      </c>
      <c r="AH619" s="55">
        <f t="shared" si="139"/>
        <v>144.03131154158041</v>
      </c>
    </row>
    <row r="620" spans="1:34" x14ac:dyDescent="0.2">
      <c r="A620" s="48" t="s">
        <v>711</v>
      </c>
      <c r="B620" s="48">
        <v>1</v>
      </c>
      <c r="C620" s="48" t="s">
        <v>653</v>
      </c>
      <c r="D620" s="48" t="s">
        <v>636</v>
      </c>
      <c r="E620" s="48" t="s">
        <v>346</v>
      </c>
      <c r="F620" s="48" t="s">
        <v>297</v>
      </c>
      <c r="G620" s="48" t="s">
        <v>302</v>
      </c>
      <c r="H620" s="48" t="s">
        <v>62</v>
      </c>
      <c r="I620" s="48" t="s">
        <v>110</v>
      </c>
      <c r="J620" s="49">
        <v>69</v>
      </c>
      <c r="K620" s="50">
        <v>1165</v>
      </c>
      <c r="L620" s="50">
        <v>1090.31</v>
      </c>
      <c r="M620" s="48" t="s">
        <v>276</v>
      </c>
      <c r="N620" s="51">
        <v>1</v>
      </c>
      <c r="O620" s="51">
        <v>1</v>
      </c>
      <c r="P620" s="52">
        <v>992.65</v>
      </c>
      <c r="Q620" s="52">
        <v>992.65</v>
      </c>
      <c r="R620" s="53" t="str">
        <f>INDEX(SKU_Master!$D$5:$D$34,MATCH($I620,SKU_Master!$A$5:$A$34,0))</f>
        <v>Laptop</v>
      </c>
      <c r="S620" s="54">
        <f t="shared" si="126"/>
        <v>6.4111587982832674E-2</v>
      </c>
      <c r="T620" s="55">
        <f t="shared" si="127"/>
        <v>80385</v>
      </c>
      <c r="U620" s="55">
        <f t="shared" si="128"/>
        <v>75231.39</v>
      </c>
      <c r="V620" s="55">
        <f t="shared" si="129"/>
        <v>-5153.6100000000006</v>
      </c>
      <c r="W620" s="55">
        <f t="shared" si="130"/>
        <v>75231.39</v>
      </c>
      <c r="X620" s="55">
        <f t="shared" si="131"/>
        <v>0</v>
      </c>
      <c r="Y620" s="55">
        <f t="shared" si="132"/>
        <v>68492.849999999991</v>
      </c>
      <c r="Z620" s="55">
        <f t="shared" si="133"/>
        <v>68492.849999999991</v>
      </c>
      <c r="AA620" s="55">
        <f t="shared" si="134"/>
        <v>0</v>
      </c>
      <c r="AB620" s="55">
        <f t="shared" si="135"/>
        <v>6738.5400000000081</v>
      </c>
      <c r="AC620" s="54">
        <f t="shared" si="136"/>
        <v>8.9570855995084075E-2</v>
      </c>
      <c r="AD620" s="56">
        <f>INDEX(Assumptions!$B$14:$B$16,MATCH($R620,Assumptions!$A$14:$A$16,0))</f>
        <v>0.12</v>
      </c>
      <c r="AE620" s="56">
        <f>INDEX(Assumptions!$C$14:$C$16,MATCH($R620,Assumptions!$A$14:$A$16,0))</f>
        <v>0.08</v>
      </c>
      <c r="AF620" s="49">
        <f t="shared" si="137"/>
        <v>0</v>
      </c>
      <c r="AG620" s="49">
        <f t="shared" si="138"/>
        <v>0</v>
      </c>
      <c r="AH620" s="55">
        <f t="shared" si="139"/>
        <v>2289.2267999999913</v>
      </c>
    </row>
    <row r="621" spans="1:34" x14ac:dyDescent="0.2">
      <c r="A621" s="48" t="s">
        <v>711</v>
      </c>
      <c r="B621" s="48">
        <v>2</v>
      </c>
      <c r="C621" s="48" t="s">
        <v>653</v>
      </c>
      <c r="D621" s="48" t="s">
        <v>636</v>
      </c>
      <c r="E621" s="48" t="s">
        <v>346</v>
      </c>
      <c r="F621" s="48" t="s">
        <v>297</v>
      </c>
      <c r="G621" s="48" t="s">
        <v>302</v>
      </c>
      <c r="H621" s="48" t="s">
        <v>62</v>
      </c>
      <c r="I621" s="48" t="s">
        <v>135</v>
      </c>
      <c r="J621" s="49">
        <v>78</v>
      </c>
      <c r="K621" s="50">
        <v>240</v>
      </c>
      <c r="L621" s="50">
        <v>232.17</v>
      </c>
      <c r="M621" s="48" t="s">
        <v>276</v>
      </c>
      <c r="N621" s="51">
        <v>1</v>
      </c>
      <c r="O621" s="51">
        <v>1</v>
      </c>
      <c r="P621" s="52">
        <v>186.7</v>
      </c>
      <c r="Q621" s="52">
        <v>186.7</v>
      </c>
      <c r="R621" s="53" t="str">
        <f>INDEX(SKU_Master!$D$5:$D$34,MATCH($I621,SKU_Master!$A$5:$A$34,0))</f>
        <v>Monitor</v>
      </c>
      <c r="S621" s="54">
        <f t="shared" si="126"/>
        <v>3.2625000000000015E-2</v>
      </c>
      <c r="T621" s="55">
        <f t="shared" si="127"/>
        <v>18720</v>
      </c>
      <c r="U621" s="55">
        <f t="shared" si="128"/>
        <v>18109.259999999998</v>
      </c>
      <c r="V621" s="55">
        <f t="shared" si="129"/>
        <v>-610.7400000000016</v>
      </c>
      <c r="W621" s="55">
        <f t="shared" si="130"/>
        <v>18109.259999999998</v>
      </c>
      <c r="X621" s="55">
        <f t="shared" si="131"/>
        <v>0</v>
      </c>
      <c r="Y621" s="55">
        <f t="shared" si="132"/>
        <v>14562.599999999999</v>
      </c>
      <c r="Z621" s="55">
        <f t="shared" si="133"/>
        <v>14562.599999999999</v>
      </c>
      <c r="AA621" s="55">
        <f t="shared" si="134"/>
        <v>0</v>
      </c>
      <c r="AB621" s="55">
        <f t="shared" si="135"/>
        <v>3546.66</v>
      </c>
      <c r="AC621" s="54">
        <f t="shared" si="136"/>
        <v>0.19584787009518889</v>
      </c>
      <c r="AD621" s="56">
        <f>INDEX(Assumptions!$B$14:$B$16,MATCH($R621,Assumptions!$A$14:$A$16,0))</f>
        <v>0.18</v>
      </c>
      <c r="AE621" s="56">
        <f>INDEX(Assumptions!$C$14:$C$16,MATCH($R621,Assumptions!$A$14:$A$16,0))</f>
        <v>0.12</v>
      </c>
      <c r="AF621" s="49">
        <f t="shared" si="137"/>
        <v>0</v>
      </c>
      <c r="AG621" s="49">
        <f t="shared" si="138"/>
        <v>0</v>
      </c>
      <c r="AH621" s="55">
        <f t="shared" si="139"/>
        <v>0</v>
      </c>
    </row>
    <row r="622" spans="1:34" x14ac:dyDescent="0.2">
      <c r="A622" s="48" t="s">
        <v>711</v>
      </c>
      <c r="B622" s="48">
        <v>3</v>
      </c>
      <c r="C622" s="48" t="s">
        <v>653</v>
      </c>
      <c r="D622" s="48" t="s">
        <v>636</v>
      </c>
      <c r="E622" s="48" t="s">
        <v>346</v>
      </c>
      <c r="F622" s="48" t="s">
        <v>297</v>
      </c>
      <c r="G622" s="48" t="s">
        <v>302</v>
      </c>
      <c r="H622" s="48" t="s">
        <v>62</v>
      </c>
      <c r="I622" s="48" t="s">
        <v>164</v>
      </c>
      <c r="J622" s="49">
        <v>66</v>
      </c>
      <c r="K622" s="50">
        <v>190</v>
      </c>
      <c r="L622" s="50">
        <v>182.8</v>
      </c>
      <c r="M622" s="48" t="s">
        <v>276</v>
      </c>
      <c r="N622" s="51">
        <v>1</v>
      </c>
      <c r="O622" s="51">
        <v>1</v>
      </c>
      <c r="P622" s="52">
        <v>121</v>
      </c>
      <c r="Q622" s="52">
        <v>121</v>
      </c>
      <c r="R622" s="53" t="str">
        <f>INDEX(SKU_Master!$D$5:$D$34,MATCH($I622,SKU_Master!$A$5:$A$34,0))</f>
        <v>Accessory</v>
      </c>
      <c r="S622" s="54">
        <f t="shared" si="126"/>
        <v>3.7894736842105203E-2</v>
      </c>
      <c r="T622" s="55">
        <f t="shared" si="127"/>
        <v>12540</v>
      </c>
      <c r="U622" s="55">
        <f t="shared" si="128"/>
        <v>12064.800000000001</v>
      </c>
      <c r="V622" s="55">
        <f t="shared" si="129"/>
        <v>-475.19999999999891</v>
      </c>
      <c r="W622" s="55">
        <f t="shared" si="130"/>
        <v>12064.800000000001</v>
      </c>
      <c r="X622" s="55">
        <f t="shared" si="131"/>
        <v>0</v>
      </c>
      <c r="Y622" s="55">
        <f t="shared" si="132"/>
        <v>7986</v>
      </c>
      <c r="Z622" s="55">
        <f t="shared" si="133"/>
        <v>7986</v>
      </c>
      <c r="AA622" s="55">
        <f t="shared" si="134"/>
        <v>0</v>
      </c>
      <c r="AB622" s="55">
        <f t="shared" si="135"/>
        <v>4078.8000000000011</v>
      </c>
      <c r="AC622" s="54">
        <f t="shared" si="136"/>
        <v>0.33807439824945301</v>
      </c>
      <c r="AD622" s="56">
        <f>INDEX(Assumptions!$B$14:$B$16,MATCH($R622,Assumptions!$A$14:$A$16,0))</f>
        <v>0.32</v>
      </c>
      <c r="AE622" s="56">
        <f>INDEX(Assumptions!$C$14:$C$16,MATCH($R622,Assumptions!$A$14:$A$16,0))</f>
        <v>0.22</v>
      </c>
      <c r="AF622" s="49">
        <f t="shared" si="137"/>
        <v>0</v>
      </c>
      <c r="AG622" s="49">
        <f t="shared" si="138"/>
        <v>0</v>
      </c>
      <c r="AH622" s="55">
        <f t="shared" si="139"/>
        <v>0</v>
      </c>
    </row>
    <row r="623" spans="1:34" x14ac:dyDescent="0.2">
      <c r="A623" s="48" t="s">
        <v>712</v>
      </c>
      <c r="B623" s="48">
        <v>1</v>
      </c>
      <c r="C623" s="48" t="s">
        <v>678</v>
      </c>
      <c r="D623" s="48" t="s">
        <v>636</v>
      </c>
      <c r="E623" s="48" t="s">
        <v>333</v>
      </c>
      <c r="F623" s="48" t="s">
        <v>297</v>
      </c>
      <c r="G623" s="48" t="s">
        <v>302</v>
      </c>
      <c r="H623" s="48" t="s">
        <v>70</v>
      </c>
      <c r="I623" s="48" t="s">
        <v>110</v>
      </c>
      <c r="J623" s="49">
        <v>54</v>
      </c>
      <c r="K623" s="50">
        <v>113335</v>
      </c>
      <c r="L623" s="50">
        <v>108407.19</v>
      </c>
      <c r="M623" s="48" t="s">
        <v>276</v>
      </c>
      <c r="N623" s="51">
        <v>83.5</v>
      </c>
      <c r="O623" s="51">
        <v>83.985900000000001</v>
      </c>
      <c r="P623" s="52">
        <v>1136.8599999999999</v>
      </c>
      <c r="Q623" s="52">
        <v>1156.8599999999999</v>
      </c>
      <c r="R623" s="53" t="str">
        <f>INDEX(SKU_Master!$D$5:$D$34,MATCH($I623,SKU_Master!$A$5:$A$34,0))</f>
        <v>Laptop</v>
      </c>
      <c r="S623" s="54">
        <f t="shared" si="126"/>
        <v>4.348003705827852E-2</v>
      </c>
      <c r="T623" s="55">
        <f t="shared" si="127"/>
        <v>73294.491017964072</v>
      </c>
      <c r="U623" s="55">
        <f t="shared" si="128"/>
        <v>70107.643832335321</v>
      </c>
      <c r="V623" s="55">
        <f t="shared" si="129"/>
        <v>-3186.8471856287506</v>
      </c>
      <c r="W623" s="55">
        <f t="shared" si="130"/>
        <v>69702.036413255075</v>
      </c>
      <c r="X623" s="55">
        <f t="shared" si="131"/>
        <v>-405.60741908024647</v>
      </c>
      <c r="Y623" s="55">
        <f t="shared" si="132"/>
        <v>61390.439999999995</v>
      </c>
      <c r="Z623" s="55">
        <f t="shared" si="133"/>
        <v>62470.439999999995</v>
      </c>
      <c r="AA623" s="55">
        <f t="shared" si="134"/>
        <v>-1080</v>
      </c>
      <c r="AB623" s="55">
        <f t="shared" si="135"/>
        <v>7231.5964132550798</v>
      </c>
      <c r="AC623" s="54">
        <f t="shared" si="136"/>
        <v>0.10375014541009686</v>
      </c>
      <c r="AD623" s="56">
        <f>INDEX(Assumptions!$B$14:$B$16,MATCH($R623,Assumptions!$A$14:$A$16,0))</f>
        <v>0.12</v>
      </c>
      <c r="AE623" s="56">
        <f>INDEX(Assumptions!$C$14:$C$16,MATCH($R623,Assumptions!$A$14:$A$16,0))</f>
        <v>0.08</v>
      </c>
      <c r="AF623" s="49">
        <f t="shared" si="137"/>
        <v>0</v>
      </c>
      <c r="AG623" s="49">
        <f t="shared" si="138"/>
        <v>0</v>
      </c>
      <c r="AH623" s="55">
        <f t="shared" si="139"/>
        <v>1132.6479563355297</v>
      </c>
    </row>
    <row r="624" spans="1:34" x14ac:dyDescent="0.2">
      <c r="A624" s="48" t="s">
        <v>712</v>
      </c>
      <c r="B624" s="48">
        <v>2</v>
      </c>
      <c r="C624" s="48" t="s">
        <v>678</v>
      </c>
      <c r="D624" s="48" t="s">
        <v>636</v>
      </c>
      <c r="E624" s="48" t="s">
        <v>333</v>
      </c>
      <c r="F624" s="48" t="s">
        <v>297</v>
      </c>
      <c r="G624" s="48" t="s">
        <v>302</v>
      </c>
      <c r="H624" s="48" t="s">
        <v>70</v>
      </c>
      <c r="I624" s="48" t="s">
        <v>138</v>
      </c>
      <c r="J624" s="49">
        <v>28</v>
      </c>
      <c r="K624" s="50">
        <v>47515</v>
      </c>
      <c r="L624" s="50">
        <v>45839.61</v>
      </c>
      <c r="M624" s="48" t="s">
        <v>276</v>
      </c>
      <c r="N624" s="51">
        <v>83.5</v>
      </c>
      <c r="O624" s="51">
        <v>83.985900000000001</v>
      </c>
      <c r="P624" s="52">
        <v>439.85</v>
      </c>
      <c r="Q624" s="52">
        <v>459.85</v>
      </c>
      <c r="R624" s="53" t="str">
        <f>INDEX(SKU_Master!$D$5:$D$34,MATCH($I624,SKU_Master!$A$5:$A$34,0))</f>
        <v>Monitor</v>
      </c>
      <c r="S624" s="54">
        <f t="shared" si="126"/>
        <v>3.526023361043884E-2</v>
      </c>
      <c r="T624" s="55">
        <f t="shared" si="127"/>
        <v>15933.173652694612</v>
      </c>
      <c r="U624" s="55">
        <f t="shared" si="128"/>
        <v>15371.366227544911</v>
      </c>
      <c r="V624" s="55">
        <f t="shared" si="129"/>
        <v>-561.80742514970007</v>
      </c>
      <c r="W624" s="55">
        <f t="shared" si="130"/>
        <v>15282.435265919637</v>
      </c>
      <c r="X624" s="55">
        <f t="shared" si="131"/>
        <v>-88.930961625273994</v>
      </c>
      <c r="Y624" s="55">
        <f t="shared" si="132"/>
        <v>12315.800000000001</v>
      </c>
      <c r="Z624" s="55">
        <f t="shared" si="133"/>
        <v>12875.800000000001</v>
      </c>
      <c r="AA624" s="55">
        <f t="shared" si="134"/>
        <v>-560</v>
      </c>
      <c r="AB624" s="55">
        <f t="shared" si="135"/>
        <v>2406.6352659196364</v>
      </c>
      <c r="AC624" s="54">
        <f t="shared" si="136"/>
        <v>0.15747720988463906</v>
      </c>
      <c r="AD624" s="56">
        <f>INDEX(Assumptions!$B$14:$B$16,MATCH($R624,Assumptions!$A$14:$A$16,0))</f>
        <v>0.18</v>
      </c>
      <c r="AE624" s="56">
        <f>INDEX(Assumptions!$C$14:$C$16,MATCH($R624,Assumptions!$A$14:$A$16,0))</f>
        <v>0.12</v>
      </c>
      <c r="AF624" s="49">
        <f t="shared" si="137"/>
        <v>0</v>
      </c>
      <c r="AG624" s="49">
        <f t="shared" si="138"/>
        <v>0</v>
      </c>
      <c r="AH624" s="55">
        <f t="shared" si="139"/>
        <v>344.20308194589825</v>
      </c>
    </row>
    <row r="625" spans="1:34" x14ac:dyDescent="0.2">
      <c r="A625" s="48" t="s">
        <v>712</v>
      </c>
      <c r="B625" s="48">
        <v>3</v>
      </c>
      <c r="C625" s="48" t="s">
        <v>678</v>
      </c>
      <c r="D625" s="48" t="s">
        <v>636</v>
      </c>
      <c r="E625" s="48" t="s">
        <v>333</v>
      </c>
      <c r="F625" s="48" t="s">
        <v>297</v>
      </c>
      <c r="G625" s="48" t="s">
        <v>302</v>
      </c>
      <c r="H625" s="48" t="s">
        <v>70</v>
      </c>
      <c r="I625" s="48" t="s">
        <v>173</v>
      </c>
      <c r="J625" s="49">
        <v>34</v>
      </c>
      <c r="K625" s="50">
        <v>6065</v>
      </c>
      <c r="L625" s="50">
        <v>5653.12</v>
      </c>
      <c r="M625" s="48" t="s">
        <v>276</v>
      </c>
      <c r="N625" s="51">
        <v>83.5</v>
      </c>
      <c r="O625" s="51">
        <v>83.985900000000001</v>
      </c>
      <c r="P625" s="52">
        <v>46.08</v>
      </c>
      <c r="Q625" s="52">
        <v>51.08</v>
      </c>
      <c r="R625" s="53" t="str">
        <f>INDEX(SKU_Master!$D$5:$D$34,MATCH($I625,SKU_Master!$A$5:$A$34,0))</f>
        <v>Accessory</v>
      </c>
      <c r="S625" s="54">
        <f t="shared" si="126"/>
        <v>6.7910964550700781E-2</v>
      </c>
      <c r="T625" s="55">
        <f t="shared" si="127"/>
        <v>2469.5808383233534</v>
      </c>
      <c r="U625" s="55">
        <f t="shared" si="128"/>
        <v>2301.8692215568863</v>
      </c>
      <c r="V625" s="55">
        <f t="shared" si="129"/>
        <v>-167.71161676646716</v>
      </c>
      <c r="W625" s="55">
        <f t="shared" si="130"/>
        <v>2288.5517688088116</v>
      </c>
      <c r="X625" s="55">
        <f t="shared" si="131"/>
        <v>-13.317452748074629</v>
      </c>
      <c r="Y625" s="55">
        <f t="shared" si="132"/>
        <v>1566.72</v>
      </c>
      <c r="Z625" s="55">
        <f t="shared" si="133"/>
        <v>1736.72</v>
      </c>
      <c r="AA625" s="55">
        <f t="shared" si="134"/>
        <v>-170</v>
      </c>
      <c r="AB625" s="55">
        <f t="shared" si="135"/>
        <v>551.8317688088116</v>
      </c>
      <c r="AC625" s="54">
        <f t="shared" si="136"/>
        <v>0.24112706399298076</v>
      </c>
      <c r="AD625" s="56">
        <f>INDEX(Assumptions!$B$14:$B$16,MATCH($R625,Assumptions!$A$14:$A$16,0))</f>
        <v>0.32</v>
      </c>
      <c r="AE625" s="56">
        <f>INDEX(Assumptions!$C$14:$C$16,MATCH($R625,Assumptions!$A$14:$A$16,0))</f>
        <v>0.22</v>
      </c>
      <c r="AF625" s="49">
        <f t="shared" si="137"/>
        <v>0</v>
      </c>
      <c r="AG625" s="49">
        <f t="shared" si="138"/>
        <v>0</v>
      </c>
      <c r="AH625" s="55">
        <f t="shared" si="139"/>
        <v>180.50479721000818</v>
      </c>
    </row>
    <row r="626" spans="1:34" x14ac:dyDescent="0.2">
      <c r="A626" s="48" t="s">
        <v>713</v>
      </c>
      <c r="B626" s="48">
        <v>1</v>
      </c>
      <c r="C626" s="48" t="s">
        <v>638</v>
      </c>
      <c r="D626" s="48" t="s">
        <v>636</v>
      </c>
      <c r="E626" s="48" t="s">
        <v>322</v>
      </c>
      <c r="F626" s="48" t="s">
        <v>274</v>
      </c>
      <c r="G626" s="48" t="s">
        <v>288</v>
      </c>
      <c r="H626" s="48" t="s">
        <v>62</v>
      </c>
      <c r="I626" s="48" t="s">
        <v>118</v>
      </c>
      <c r="J626" s="49">
        <v>8</v>
      </c>
      <c r="K626" s="50">
        <v>1365</v>
      </c>
      <c r="L626" s="50">
        <v>1348.78</v>
      </c>
      <c r="M626" s="48" t="s">
        <v>276</v>
      </c>
      <c r="N626" s="51">
        <v>1</v>
      </c>
      <c r="O626" s="51">
        <v>1</v>
      </c>
      <c r="P626" s="52">
        <v>1162.5999999999999</v>
      </c>
      <c r="Q626" s="52">
        <v>1162.5999999999999</v>
      </c>
      <c r="R626" s="53" t="str">
        <f>INDEX(SKU_Master!$D$5:$D$34,MATCH($I626,SKU_Master!$A$5:$A$34,0))</f>
        <v>Laptop</v>
      </c>
      <c r="S626" s="54">
        <f t="shared" si="126"/>
        <v>1.1882783882783854E-2</v>
      </c>
      <c r="T626" s="55">
        <f t="shared" si="127"/>
        <v>10920</v>
      </c>
      <c r="U626" s="55">
        <f t="shared" si="128"/>
        <v>10790.24</v>
      </c>
      <c r="V626" s="55">
        <f t="shared" si="129"/>
        <v>-129.76000000000022</v>
      </c>
      <c r="W626" s="55">
        <f t="shared" si="130"/>
        <v>10790.24</v>
      </c>
      <c r="X626" s="55">
        <f t="shared" si="131"/>
        <v>0</v>
      </c>
      <c r="Y626" s="55">
        <f t="shared" si="132"/>
        <v>9300.7999999999993</v>
      </c>
      <c r="Z626" s="55">
        <f t="shared" si="133"/>
        <v>9300.7999999999993</v>
      </c>
      <c r="AA626" s="55">
        <f t="shared" si="134"/>
        <v>0</v>
      </c>
      <c r="AB626" s="55">
        <f t="shared" si="135"/>
        <v>1489.4400000000005</v>
      </c>
      <c r="AC626" s="54">
        <f t="shared" si="136"/>
        <v>0.13803585462417894</v>
      </c>
      <c r="AD626" s="56">
        <f>INDEX(Assumptions!$B$14:$B$16,MATCH($R626,Assumptions!$A$14:$A$16,0))</f>
        <v>0.12</v>
      </c>
      <c r="AE626" s="56">
        <f>INDEX(Assumptions!$C$14:$C$16,MATCH($R626,Assumptions!$A$14:$A$16,0))</f>
        <v>0.08</v>
      </c>
      <c r="AF626" s="49">
        <f t="shared" si="137"/>
        <v>0</v>
      </c>
      <c r="AG626" s="49">
        <f t="shared" si="138"/>
        <v>0</v>
      </c>
      <c r="AH626" s="55">
        <f t="shared" si="139"/>
        <v>0</v>
      </c>
    </row>
    <row r="627" spans="1:34" x14ac:dyDescent="0.2">
      <c r="A627" s="48" t="s">
        <v>713</v>
      </c>
      <c r="B627" s="48">
        <v>2</v>
      </c>
      <c r="C627" s="48" t="s">
        <v>638</v>
      </c>
      <c r="D627" s="48" t="s">
        <v>636</v>
      </c>
      <c r="E627" s="48" t="s">
        <v>322</v>
      </c>
      <c r="F627" s="48" t="s">
        <v>274</v>
      </c>
      <c r="G627" s="48" t="s">
        <v>288</v>
      </c>
      <c r="H627" s="48" t="s">
        <v>62</v>
      </c>
      <c r="I627" s="48" t="s">
        <v>135</v>
      </c>
      <c r="J627" s="49">
        <v>7</v>
      </c>
      <c r="K627" s="50">
        <v>240</v>
      </c>
      <c r="L627" s="50">
        <v>239.59</v>
      </c>
      <c r="M627" s="48" t="s">
        <v>276</v>
      </c>
      <c r="N627" s="51">
        <v>1</v>
      </c>
      <c r="O627" s="51">
        <v>1</v>
      </c>
      <c r="P627" s="52">
        <v>186.7</v>
      </c>
      <c r="Q627" s="52">
        <v>186.7</v>
      </c>
      <c r="R627" s="53" t="str">
        <f>INDEX(SKU_Master!$D$5:$D$34,MATCH($I627,SKU_Master!$A$5:$A$34,0))</f>
        <v>Monitor</v>
      </c>
      <c r="S627" s="54">
        <f t="shared" si="126"/>
        <v>1.7083333333333117E-3</v>
      </c>
      <c r="T627" s="55">
        <f t="shared" si="127"/>
        <v>1680</v>
      </c>
      <c r="U627" s="55">
        <f t="shared" si="128"/>
        <v>1677.13</v>
      </c>
      <c r="V627" s="55">
        <f t="shared" si="129"/>
        <v>-2.8699999999998909</v>
      </c>
      <c r="W627" s="55">
        <f t="shared" si="130"/>
        <v>1677.13</v>
      </c>
      <c r="X627" s="55">
        <f t="shared" si="131"/>
        <v>0</v>
      </c>
      <c r="Y627" s="55">
        <f t="shared" si="132"/>
        <v>1306.8999999999999</v>
      </c>
      <c r="Z627" s="55">
        <f t="shared" si="133"/>
        <v>1306.8999999999999</v>
      </c>
      <c r="AA627" s="55">
        <f t="shared" si="134"/>
        <v>0</v>
      </c>
      <c r="AB627" s="55">
        <f t="shared" si="135"/>
        <v>370.23000000000025</v>
      </c>
      <c r="AC627" s="54">
        <f t="shared" si="136"/>
        <v>0.22075211820192842</v>
      </c>
      <c r="AD627" s="56">
        <f>INDEX(Assumptions!$B$14:$B$16,MATCH($R627,Assumptions!$A$14:$A$16,0))</f>
        <v>0.18</v>
      </c>
      <c r="AE627" s="56">
        <f>INDEX(Assumptions!$C$14:$C$16,MATCH($R627,Assumptions!$A$14:$A$16,0))</f>
        <v>0.12</v>
      </c>
      <c r="AF627" s="49">
        <f t="shared" si="137"/>
        <v>0</v>
      </c>
      <c r="AG627" s="49">
        <f t="shared" si="138"/>
        <v>0</v>
      </c>
      <c r="AH627" s="55">
        <f t="shared" si="139"/>
        <v>0</v>
      </c>
    </row>
    <row r="628" spans="1:34" x14ac:dyDescent="0.2">
      <c r="A628" s="48" t="s">
        <v>714</v>
      </c>
      <c r="B628" s="48">
        <v>1</v>
      </c>
      <c r="C628" s="48" t="s">
        <v>640</v>
      </c>
      <c r="D628" s="48" t="s">
        <v>636</v>
      </c>
      <c r="E628" s="48" t="s">
        <v>498</v>
      </c>
      <c r="F628" s="48" t="s">
        <v>280</v>
      </c>
      <c r="G628" s="48" t="s">
        <v>302</v>
      </c>
      <c r="H628" s="48" t="s">
        <v>66</v>
      </c>
      <c r="I628" s="48" t="s">
        <v>93</v>
      </c>
      <c r="J628" s="49">
        <v>24</v>
      </c>
      <c r="K628" s="50">
        <v>1325</v>
      </c>
      <c r="L628" s="50">
        <v>1215.08</v>
      </c>
      <c r="M628" s="48" t="s">
        <v>276</v>
      </c>
      <c r="N628" s="51">
        <v>0.92</v>
      </c>
      <c r="O628" s="51">
        <v>0.91800000000000004</v>
      </c>
      <c r="P628" s="52">
        <v>1206.2</v>
      </c>
      <c r="Q628" s="52">
        <v>1206.2</v>
      </c>
      <c r="R628" s="53" t="str">
        <f>INDEX(SKU_Master!$D$5:$D$34,MATCH($I628,SKU_Master!$A$5:$A$34,0))</f>
        <v>Laptop</v>
      </c>
      <c r="S628" s="54">
        <f t="shared" si="126"/>
        <v>8.2958490566037768E-2</v>
      </c>
      <c r="T628" s="55">
        <f t="shared" si="127"/>
        <v>34565.217391304344</v>
      </c>
      <c r="U628" s="55">
        <f t="shared" si="128"/>
        <v>31697.73913043478</v>
      </c>
      <c r="V628" s="55">
        <f t="shared" si="129"/>
        <v>-2867.4782608695641</v>
      </c>
      <c r="W628" s="55">
        <f t="shared" si="130"/>
        <v>31766.79738562091</v>
      </c>
      <c r="X628" s="55">
        <f t="shared" si="131"/>
        <v>69.058255186129827</v>
      </c>
      <c r="Y628" s="55">
        <f t="shared" si="132"/>
        <v>28948.800000000003</v>
      </c>
      <c r="Z628" s="55">
        <f t="shared" si="133"/>
        <v>28948.800000000003</v>
      </c>
      <c r="AA628" s="55">
        <f t="shared" si="134"/>
        <v>0</v>
      </c>
      <c r="AB628" s="55">
        <f t="shared" si="135"/>
        <v>2817.9973856209072</v>
      </c>
      <c r="AC628" s="54">
        <f t="shared" si="136"/>
        <v>8.8708891595614875E-2</v>
      </c>
      <c r="AD628" s="56">
        <f>INDEX(Assumptions!$B$14:$B$16,MATCH($R628,Assumptions!$A$14:$A$16,0))</f>
        <v>0.12</v>
      </c>
      <c r="AE628" s="56">
        <f>INDEX(Assumptions!$C$14:$C$16,MATCH($R628,Assumptions!$A$14:$A$16,0))</f>
        <v>0.08</v>
      </c>
      <c r="AF628" s="49">
        <f t="shared" si="137"/>
        <v>0</v>
      </c>
      <c r="AG628" s="49">
        <f t="shared" si="138"/>
        <v>0</v>
      </c>
      <c r="AH628" s="55">
        <f t="shared" si="139"/>
        <v>994.01830065360173</v>
      </c>
    </row>
    <row r="629" spans="1:34" x14ac:dyDescent="0.2">
      <c r="A629" s="48" t="s">
        <v>714</v>
      </c>
      <c r="B629" s="48">
        <v>2</v>
      </c>
      <c r="C629" s="48" t="s">
        <v>640</v>
      </c>
      <c r="D629" s="48" t="s">
        <v>636</v>
      </c>
      <c r="E629" s="48" t="s">
        <v>498</v>
      </c>
      <c r="F629" s="48" t="s">
        <v>280</v>
      </c>
      <c r="G629" s="48" t="s">
        <v>302</v>
      </c>
      <c r="H629" s="48" t="s">
        <v>66</v>
      </c>
      <c r="I629" s="48" t="s">
        <v>166</v>
      </c>
      <c r="J629" s="49">
        <v>14</v>
      </c>
      <c r="K629" s="50">
        <v>255</v>
      </c>
      <c r="L629" s="50">
        <v>246.12</v>
      </c>
      <c r="M629" s="48" t="s">
        <v>276</v>
      </c>
      <c r="N629" s="51">
        <v>0.92</v>
      </c>
      <c r="O629" s="51">
        <v>0.91800000000000004</v>
      </c>
      <c r="P629" s="52">
        <v>174.35</v>
      </c>
      <c r="Q629" s="52">
        <v>174.35</v>
      </c>
      <c r="R629" s="53" t="str">
        <f>INDEX(SKU_Master!$D$5:$D$34,MATCH($I629,SKU_Master!$A$5:$A$34,0))</f>
        <v>Accessory</v>
      </c>
      <c r="S629" s="54">
        <f t="shared" si="126"/>
        <v>3.4823529411764698E-2</v>
      </c>
      <c r="T629" s="55">
        <f t="shared" si="127"/>
        <v>3880.4347826086955</v>
      </c>
      <c r="U629" s="55">
        <f t="shared" si="128"/>
        <v>3745.304347826087</v>
      </c>
      <c r="V629" s="55">
        <f t="shared" si="129"/>
        <v>-135.13043478260852</v>
      </c>
      <c r="W629" s="55">
        <f t="shared" si="130"/>
        <v>3753.464052287582</v>
      </c>
      <c r="X629" s="55">
        <f t="shared" si="131"/>
        <v>8.1597044614950391</v>
      </c>
      <c r="Y629" s="55">
        <f t="shared" si="132"/>
        <v>2440.9</v>
      </c>
      <c r="Z629" s="55">
        <f t="shared" si="133"/>
        <v>2440.9</v>
      </c>
      <c r="AA629" s="55">
        <f t="shared" si="134"/>
        <v>0</v>
      </c>
      <c r="AB629" s="55">
        <f t="shared" si="135"/>
        <v>1312.5640522875819</v>
      </c>
      <c r="AC629" s="54">
        <f t="shared" si="136"/>
        <v>0.34969405168210632</v>
      </c>
      <c r="AD629" s="56">
        <f>INDEX(Assumptions!$B$14:$B$16,MATCH($R629,Assumptions!$A$14:$A$16,0))</f>
        <v>0.32</v>
      </c>
      <c r="AE629" s="56">
        <f>INDEX(Assumptions!$C$14:$C$16,MATCH($R629,Assumptions!$A$14:$A$16,0))</f>
        <v>0.22</v>
      </c>
      <c r="AF629" s="49">
        <f t="shared" si="137"/>
        <v>0</v>
      </c>
      <c r="AG629" s="49">
        <f t="shared" si="138"/>
        <v>0</v>
      </c>
      <c r="AH629" s="55">
        <f t="shared" si="139"/>
        <v>0</v>
      </c>
    </row>
    <row r="630" spans="1:34" x14ac:dyDescent="0.2">
      <c r="A630" s="48" t="s">
        <v>715</v>
      </c>
      <c r="B630" s="48">
        <v>1</v>
      </c>
      <c r="C630" s="48" t="s">
        <v>664</v>
      </c>
      <c r="D630" s="48" t="s">
        <v>636</v>
      </c>
      <c r="E630" s="48" t="s">
        <v>301</v>
      </c>
      <c r="F630" s="48" t="s">
        <v>274</v>
      </c>
      <c r="G630" s="48" t="s">
        <v>302</v>
      </c>
      <c r="H630" s="48" t="s">
        <v>62</v>
      </c>
      <c r="I630" s="48" t="s">
        <v>113</v>
      </c>
      <c r="J630" s="49">
        <v>5</v>
      </c>
      <c r="K630" s="50">
        <v>1740</v>
      </c>
      <c r="L630" s="50">
        <v>1672.3</v>
      </c>
      <c r="M630" s="48" t="s">
        <v>276</v>
      </c>
      <c r="N630" s="51">
        <v>1</v>
      </c>
      <c r="O630" s="51">
        <v>1</v>
      </c>
      <c r="P630" s="52">
        <v>1484.8</v>
      </c>
      <c r="Q630" s="52">
        <v>1484.8</v>
      </c>
      <c r="R630" s="53" t="str">
        <f>INDEX(SKU_Master!$D$5:$D$34,MATCH($I630,SKU_Master!$A$5:$A$34,0))</f>
        <v>Laptop</v>
      </c>
      <c r="S630" s="54">
        <f t="shared" si="126"/>
        <v>3.8908045977011474E-2</v>
      </c>
      <c r="T630" s="55">
        <f t="shared" si="127"/>
        <v>8700</v>
      </c>
      <c r="U630" s="55">
        <f t="shared" si="128"/>
        <v>8361.5</v>
      </c>
      <c r="V630" s="55">
        <f t="shared" si="129"/>
        <v>-338.5</v>
      </c>
      <c r="W630" s="55">
        <f t="shared" si="130"/>
        <v>8361.5</v>
      </c>
      <c r="X630" s="55">
        <f t="shared" si="131"/>
        <v>0</v>
      </c>
      <c r="Y630" s="55">
        <f t="shared" si="132"/>
        <v>7424</v>
      </c>
      <c r="Z630" s="55">
        <f t="shared" si="133"/>
        <v>7424</v>
      </c>
      <c r="AA630" s="55">
        <f t="shared" si="134"/>
        <v>0</v>
      </c>
      <c r="AB630" s="55">
        <f t="shared" si="135"/>
        <v>937.5</v>
      </c>
      <c r="AC630" s="54">
        <f t="shared" si="136"/>
        <v>0.11212103091550558</v>
      </c>
      <c r="AD630" s="56">
        <f>INDEX(Assumptions!$B$14:$B$16,MATCH($R630,Assumptions!$A$14:$A$16,0))</f>
        <v>0.12</v>
      </c>
      <c r="AE630" s="56">
        <f>INDEX(Assumptions!$C$14:$C$16,MATCH($R630,Assumptions!$A$14:$A$16,0))</f>
        <v>0.08</v>
      </c>
      <c r="AF630" s="49">
        <f t="shared" si="137"/>
        <v>0</v>
      </c>
      <c r="AG630" s="49">
        <f t="shared" si="138"/>
        <v>0</v>
      </c>
      <c r="AH630" s="55">
        <f t="shared" si="139"/>
        <v>65.88</v>
      </c>
    </row>
    <row r="631" spans="1:34" x14ac:dyDescent="0.2">
      <c r="A631" s="48" t="s">
        <v>715</v>
      </c>
      <c r="B631" s="48">
        <v>2</v>
      </c>
      <c r="C631" s="48" t="s">
        <v>664</v>
      </c>
      <c r="D631" s="48" t="s">
        <v>636</v>
      </c>
      <c r="E631" s="48" t="s">
        <v>301</v>
      </c>
      <c r="F631" s="48" t="s">
        <v>274</v>
      </c>
      <c r="G631" s="48" t="s">
        <v>302</v>
      </c>
      <c r="H631" s="48" t="s">
        <v>62</v>
      </c>
      <c r="I631" s="48" t="s">
        <v>135</v>
      </c>
      <c r="J631" s="49">
        <v>3</v>
      </c>
      <c r="K631" s="50">
        <v>240</v>
      </c>
      <c r="L631" s="50">
        <v>235.87</v>
      </c>
      <c r="M631" s="48" t="s">
        <v>276</v>
      </c>
      <c r="N631" s="51">
        <v>1</v>
      </c>
      <c r="O631" s="51">
        <v>1</v>
      </c>
      <c r="P631" s="52">
        <v>186.7</v>
      </c>
      <c r="Q631" s="52">
        <v>186.7</v>
      </c>
      <c r="R631" s="53" t="str">
        <f>INDEX(SKU_Master!$D$5:$D$34,MATCH($I631,SKU_Master!$A$5:$A$34,0))</f>
        <v>Monitor</v>
      </c>
      <c r="S631" s="54">
        <f t="shared" si="126"/>
        <v>1.720833333333327E-2</v>
      </c>
      <c r="T631" s="55">
        <f t="shared" si="127"/>
        <v>720</v>
      </c>
      <c r="U631" s="55">
        <f t="shared" si="128"/>
        <v>707.61</v>
      </c>
      <c r="V631" s="55">
        <f t="shared" si="129"/>
        <v>-12.389999999999986</v>
      </c>
      <c r="W631" s="55">
        <f t="shared" si="130"/>
        <v>707.61</v>
      </c>
      <c r="X631" s="55">
        <f t="shared" si="131"/>
        <v>0</v>
      </c>
      <c r="Y631" s="55">
        <f t="shared" si="132"/>
        <v>560.09999999999991</v>
      </c>
      <c r="Z631" s="55">
        <f t="shared" si="133"/>
        <v>560.09999999999991</v>
      </c>
      <c r="AA631" s="55">
        <f t="shared" si="134"/>
        <v>0</v>
      </c>
      <c r="AB631" s="55">
        <f t="shared" si="135"/>
        <v>147.5100000000001</v>
      </c>
      <c r="AC631" s="54">
        <f t="shared" si="136"/>
        <v>0.20846228854877702</v>
      </c>
      <c r="AD631" s="56">
        <f>INDEX(Assumptions!$B$14:$B$16,MATCH($R631,Assumptions!$A$14:$A$16,0))</f>
        <v>0.18</v>
      </c>
      <c r="AE631" s="56">
        <f>INDEX(Assumptions!$C$14:$C$16,MATCH($R631,Assumptions!$A$14:$A$16,0))</f>
        <v>0.12</v>
      </c>
      <c r="AF631" s="49">
        <f t="shared" si="137"/>
        <v>0</v>
      </c>
      <c r="AG631" s="49">
        <f t="shared" si="138"/>
        <v>0</v>
      </c>
      <c r="AH631" s="55">
        <f t="shared" si="139"/>
        <v>0</v>
      </c>
    </row>
    <row r="632" spans="1:34" x14ac:dyDescent="0.2">
      <c r="A632" s="48" t="s">
        <v>715</v>
      </c>
      <c r="B632" s="48">
        <v>3</v>
      </c>
      <c r="C632" s="48" t="s">
        <v>664</v>
      </c>
      <c r="D632" s="48" t="s">
        <v>636</v>
      </c>
      <c r="E632" s="48" t="s">
        <v>301</v>
      </c>
      <c r="F632" s="48" t="s">
        <v>274</v>
      </c>
      <c r="G632" s="48" t="s">
        <v>302</v>
      </c>
      <c r="H632" s="48" t="s">
        <v>62</v>
      </c>
      <c r="I632" s="48" t="s">
        <v>157</v>
      </c>
      <c r="J632" s="49">
        <v>5</v>
      </c>
      <c r="K632" s="50">
        <v>135</v>
      </c>
      <c r="L632" s="50">
        <v>131.19</v>
      </c>
      <c r="M632" s="48" t="s">
        <v>276</v>
      </c>
      <c r="N632" s="51">
        <v>1</v>
      </c>
      <c r="O632" s="51">
        <v>1</v>
      </c>
      <c r="P632" s="52">
        <v>86</v>
      </c>
      <c r="Q632" s="52">
        <v>86</v>
      </c>
      <c r="R632" s="53" t="str">
        <f>INDEX(SKU_Master!$D$5:$D$34,MATCH($I632,SKU_Master!$A$5:$A$34,0))</f>
        <v>Accessory</v>
      </c>
      <c r="S632" s="54">
        <f t="shared" si="126"/>
        <v>2.822222222222226E-2</v>
      </c>
      <c r="T632" s="55">
        <f t="shared" si="127"/>
        <v>675</v>
      </c>
      <c r="U632" s="55">
        <f t="shared" si="128"/>
        <v>655.95</v>
      </c>
      <c r="V632" s="55">
        <f t="shared" si="129"/>
        <v>-19.049999999999955</v>
      </c>
      <c r="W632" s="55">
        <f t="shared" si="130"/>
        <v>655.95</v>
      </c>
      <c r="X632" s="55">
        <f t="shared" si="131"/>
        <v>0</v>
      </c>
      <c r="Y632" s="55">
        <f t="shared" si="132"/>
        <v>430</v>
      </c>
      <c r="Z632" s="55">
        <f t="shared" si="133"/>
        <v>430</v>
      </c>
      <c r="AA632" s="55">
        <f t="shared" si="134"/>
        <v>0</v>
      </c>
      <c r="AB632" s="55">
        <f t="shared" si="135"/>
        <v>225.95000000000005</v>
      </c>
      <c r="AC632" s="54">
        <f t="shared" si="136"/>
        <v>0.34446223035292328</v>
      </c>
      <c r="AD632" s="56">
        <f>INDEX(Assumptions!$B$14:$B$16,MATCH($R632,Assumptions!$A$14:$A$16,0))</f>
        <v>0.32</v>
      </c>
      <c r="AE632" s="56">
        <f>INDEX(Assumptions!$C$14:$C$16,MATCH($R632,Assumptions!$A$14:$A$16,0))</f>
        <v>0.22</v>
      </c>
      <c r="AF632" s="49">
        <f t="shared" si="137"/>
        <v>0</v>
      </c>
      <c r="AG632" s="49">
        <f t="shared" si="138"/>
        <v>0</v>
      </c>
      <c r="AH632" s="55">
        <f t="shared" si="139"/>
        <v>0</v>
      </c>
    </row>
    <row r="633" spans="1:34" x14ac:dyDescent="0.2">
      <c r="A633" s="48" t="s">
        <v>716</v>
      </c>
      <c r="B633" s="48">
        <v>1</v>
      </c>
      <c r="C633" s="48" t="s">
        <v>670</v>
      </c>
      <c r="D633" s="48" t="s">
        <v>636</v>
      </c>
      <c r="E633" s="48" t="s">
        <v>407</v>
      </c>
      <c r="F633" s="48" t="s">
        <v>274</v>
      </c>
      <c r="G633" s="48" t="s">
        <v>302</v>
      </c>
      <c r="H633" s="48" t="s">
        <v>62</v>
      </c>
      <c r="I633" s="48" t="s">
        <v>93</v>
      </c>
      <c r="J633" s="49">
        <v>9</v>
      </c>
      <c r="K633" s="50">
        <v>1390</v>
      </c>
      <c r="L633" s="50">
        <v>1384.88</v>
      </c>
      <c r="M633" s="48" t="s">
        <v>276</v>
      </c>
      <c r="N633" s="51">
        <v>1</v>
      </c>
      <c r="O633" s="51">
        <v>1</v>
      </c>
      <c r="P633" s="52">
        <v>1186.2</v>
      </c>
      <c r="Q633" s="52">
        <v>1186.2</v>
      </c>
      <c r="R633" s="53" t="str">
        <f>INDEX(SKU_Master!$D$5:$D$34,MATCH($I633,SKU_Master!$A$5:$A$34,0))</f>
        <v>Laptop</v>
      </c>
      <c r="S633" s="54">
        <f t="shared" si="126"/>
        <v>3.6834532374100393E-3</v>
      </c>
      <c r="T633" s="55">
        <f t="shared" si="127"/>
        <v>12510</v>
      </c>
      <c r="U633" s="55">
        <f t="shared" si="128"/>
        <v>12463.920000000002</v>
      </c>
      <c r="V633" s="55">
        <f t="shared" si="129"/>
        <v>-46.079999999998108</v>
      </c>
      <c r="W633" s="55">
        <f t="shared" si="130"/>
        <v>12463.920000000002</v>
      </c>
      <c r="X633" s="55">
        <f t="shared" si="131"/>
        <v>0</v>
      </c>
      <c r="Y633" s="55">
        <f t="shared" si="132"/>
        <v>10675.800000000001</v>
      </c>
      <c r="Z633" s="55">
        <f t="shared" si="133"/>
        <v>10675.800000000001</v>
      </c>
      <c r="AA633" s="55">
        <f t="shared" si="134"/>
        <v>0</v>
      </c>
      <c r="AB633" s="55">
        <f t="shared" si="135"/>
        <v>1788.1200000000008</v>
      </c>
      <c r="AC633" s="54">
        <f t="shared" si="136"/>
        <v>0.14346369360522215</v>
      </c>
      <c r="AD633" s="56">
        <f>INDEX(Assumptions!$B$14:$B$16,MATCH($R633,Assumptions!$A$14:$A$16,0))</f>
        <v>0.12</v>
      </c>
      <c r="AE633" s="56">
        <f>INDEX(Assumptions!$C$14:$C$16,MATCH($R633,Assumptions!$A$14:$A$16,0))</f>
        <v>0.08</v>
      </c>
      <c r="AF633" s="49">
        <f t="shared" si="137"/>
        <v>0</v>
      </c>
      <c r="AG633" s="49">
        <f t="shared" si="138"/>
        <v>0</v>
      </c>
      <c r="AH633" s="55">
        <f t="shared" si="139"/>
        <v>0</v>
      </c>
    </row>
    <row r="634" spans="1:34" x14ac:dyDescent="0.2">
      <c r="A634" s="48" t="s">
        <v>716</v>
      </c>
      <c r="B634" s="48">
        <v>2</v>
      </c>
      <c r="C634" s="48" t="s">
        <v>670</v>
      </c>
      <c r="D634" s="48" t="s">
        <v>636</v>
      </c>
      <c r="E634" s="48" t="s">
        <v>407</v>
      </c>
      <c r="F634" s="48" t="s">
        <v>274</v>
      </c>
      <c r="G634" s="48" t="s">
        <v>302</v>
      </c>
      <c r="H634" s="48" t="s">
        <v>62</v>
      </c>
      <c r="I634" s="48" t="s">
        <v>157</v>
      </c>
      <c r="J634" s="49">
        <v>10</v>
      </c>
      <c r="K634" s="50">
        <v>135</v>
      </c>
      <c r="L634" s="50">
        <v>127.2</v>
      </c>
      <c r="M634" s="48" t="s">
        <v>276</v>
      </c>
      <c r="N634" s="51">
        <v>1</v>
      </c>
      <c r="O634" s="51">
        <v>1</v>
      </c>
      <c r="P634" s="52">
        <v>86</v>
      </c>
      <c r="Q634" s="52">
        <v>86</v>
      </c>
      <c r="R634" s="53" t="str">
        <f>INDEX(SKU_Master!$D$5:$D$34,MATCH($I634,SKU_Master!$A$5:$A$34,0))</f>
        <v>Accessory</v>
      </c>
      <c r="S634" s="54">
        <f t="shared" si="126"/>
        <v>5.7777777777777706E-2</v>
      </c>
      <c r="T634" s="55">
        <f t="shared" si="127"/>
        <v>1350</v>
      </c>
      <c r="U634" s="55">
        <f t="shared" si="128"/>
        <v>1272</v>
      </c>
      <c r="V634" s="55">
        <f t="shared" si="129"/>
        <v>-78</v>
      </c>
      <c r="W634" s="55">
        <f t="shared" si="130"/>
        <v>1272</v>
      </c>
      <c r="X634" s="55">
        <f t="shared" si="131"/>
        <v>0</v>
      </c>
      <c r="Y634" s="55">
        <f t="shared" si="132"/>
        <v>860</v>
      </c>
      <c r="Z634" s="55">
        <f t="shared" si="133"/>
        <v>860</v>
      </c>
      <c r="AA634" s="55">
        <f t="shared" si="134"/>
        <v>0</v>
      </c>
      <c r="AB634" s="55">
        <f t="shared" si="135"/>
        <v>412</v>
      </c>
      <c r="AC634" s="54">
        <f t="shared" si="136"/>
        <v>0.32389937106918237</v>
      </c>
      <c r="AD634" s="56">
        <f>INDEX(Assumptions!$B$14:$B$16,MATCH($R634,Assumptions!$A$14:$A$16,0))</f>
        <v>0.32</v>
      </c>
      <c r="AE634" s="56">
        <f>INDEX(Assumptions!$C$14:$C$16,MATCH($R634,Assumptions!$A$14:$A$16,0))</f>
        <v>0.22</v>
      </c>
      <c r="AF634" s="49">
        <f t="shared" si="137"/>
        <v>0</v>
      </c>
      <c r="AG634" s="49">
        <f t="shared" si="138"/>
        <v>0</v>
      </c>
      <c r="AH634" s="55">
        <f t="shared" si="139"/>
        <v>0</v>
      </c>
    </row>
    <row r="635" spans="1:34" x14ac:dyDescent="0.2">
      <c r="A635" s="48" t="s">
        <v>717</v>
      </c>
      <c r="B635" s="48">
        <v>1</v>
      </c>
      <c r="C635" s="48" t="s">
        <v>661</v>
      </c>
      <c r="D635" s="48" t="s">
        <v>636</v>
      </c>
      <c r="E635" s="48" t="s">
        <v>558</v>
      </c>
      <c r="F635" s="48" t="s">
        <v>280</v>
      </c>
      <c r="G635" s="48" t="s">
        <v>288</v>
      </c>
      <c r="H635" s="48" t="s">
        <v>62</v>
      </c>
      <c r="I635" s="48" t="s">
        <v>98</v>
      </c>
      <c r="J635" s="49">
        <v>22</v>
      </c>
      <c r="K635" s="50">
        <v>2085</v>
      </c>
      <c r="L635" s="50">
        <v>1999.45</v>
      </c>
      <c r="M635" s="48" t="s">
        <v>276</v>
      </c>
      <c r="N635" s="51">
        <v>1</v>
      </c>
      <c r="O635" s="51">
        <v>1</v>
      </c>
      <c r="P635" s="52">
        <v>1780.2</v>
      </c>
      <c r="Q635" s="52">
        <v>1780.2</v>
      </c>
      <c r="R635" s="53" t="str">
        <f>INDEX(SKU_Master!$D$5:$D$34,MATCH($I635,SKU_Master!$A$5:$A$34,0))</f>
        <v>Laptop</v>
      </c>
      <c r="S635" s="54">
        <f t="shared" si="126"/>
        <v>4.1031175059952019E-2</v>
      </c>
      <c r="T635" s="55">
        <f t="shared" si="127"/>
        <v>45870</v>
      </c>
      <c r="U635" s="55">
        <f t="shared" si="128"/>
        <v>43987.9</v>
      </c>
      <c r="V635" s="55">
        <f t="shared" si="129"/>
        <v>-1882.0999999999985</v>
      </c>
      <c r="W635" s="55">
        <f t="shared" si="130"/>
        <v>43987.9</v>
      </c>
      <c r="X635" s="55">
        <f t="shared" si="131"/>
        <v>0</v>
      </c>
      <c r="Y635" s="55">
        <f t="shared" si="132"/>
        <v>39164.400000000001</v>
      </c>
      <c r="Z635" s="55">
        <f t="shared" si="133"/>
        <v>39164.400000000001</v>
      </c>
      <c r="AA635" s="55">
        <f t="shared" si="134"/>
        <v>0</v>
      </c>
      <c r="AB635" s="55">
        <f t="shared" si="135"/>
        <v>4823.5</v>
      </c>
      <c r="AC635" s="54">
        <f t="shared" si="136"/>
        <v>0.1096551551676711</v>
      </c>
      <c r="AD635" s="56">
        <f>INDEX(Assumptions!$B$14:$B$16,MATCH($R635,Assumptions!$A$14:$A$16,0))</f>
        <v>0.12</v>
      </c>
      <c r="AE635" s="56">
        <f>INDEX(Assumptions!$C$14:$C$16,MATCH($R635,Assumptions!$A$14:$A$16,0))</f>
        <v>0.08</v>
      </c>
      <c r="AF635" s="49">
        <f t="shared" si="137"/>
        <v>0</v>
      </c>
      <c r="AG635" s="49">
        <f t="shared" si="138"/>
        <v>0</v>
      </c>
      <c r="AH635" s="55">
        <f t="shared" si="139"/>
        <v>455.04799999999977</v>
      </c>
    </row>
    <row r="636" spans="1:34" x14ac:dyDescent="0.2">
      <c r="A636" s="48" t="s">
        <v>717</v>
      </c>
      <c r="B636" s="48">
        <v>2</v>
      </c>
      <c r="C636" s="48" t="s">
        <v>661</v>
      </c>
      <c r="D636" s="48" t="s">
        <v>636</v>
      </c>
      <c r="E636" s="48" t="s">
        <v>558</v>
      </c>
      <c r="F636" s="48" t="s">
        <v>280</v>
      </c>
      <c r="G636" s="48" t="s">
        <v>288</v>
      </c>
      <c r="H636" s="48" t="s">
        <v>62</v>
      </c>
      <c r="I636" s="48" t="s">
        <v>135</v>
      </c>
      <c r="J636" s="49">
        <v>20</v>
      </c>
      <c r="K636" s="50">
        <v>240</v>
      </c>
      <c r="L636" s="50">
        <v>231.02</v>
      </c>
      <c r="M636" s="48" t="s">
        <v>276</v>
      </c>
      <c r="N636" s="51">
        <v>1</v>
      </c>
      <c r="O636" s="51">
        <v>1</v>
      </c>
      <c r="P636" s="52">
        <v>186.7</v>
      </c>
      <c r="Q636" s="52">
        <v>186.7</v>
      </c>
      <c r="R636" s="53" t="str">
        <f>INDEX(SKU_Master!$D$5:$D$34,MATCH($I636,SKU_Master!$A$5:$A$34,0))</f>
        <v>Monitor</v>
      </c>
      <c r="S636" s="54">
        <f t="shared" si="126"/>
        <v>3.7416666666666654E-2</v>
      </c>
      <c r="T636" s="55">
        <f t="shared" si="127"/>
        <v>4800</v>
      </c>
      <c r="U636" s="55">
        <f t="shared" si="128"/>
        <v>4620.4000000000005</v>
      </c>
      <c r="V636" s="55">
        <f t="shared" si="129"/>
        <v>-179.59999999999945</v>
      </c>
      <c r="W636" s="55">
        <f t="shared" si="130"/>
        <v>4620.4000000000005</v>
      </c>
      <c r="X636" s="55">
        <f t="shared" si="131"/>
        <v>0</v>
      </c>
      <c r="Y636" s="55">
        <f t="shared" si="132"/>
        <v>3734</v>
      </c>
      <c r="Z636" s="55">
        <f t="shared" si="133"/>
        <v>3734</v>
      </c>
      <c r="AA636" s="55">
        <f t="shared" si="134"/>
        <v>0</v>
      </c>
      <c r="AB636" s="55">
        <f t="shared" si="135"/>
        <v>886.40000000000055</v>
      </c>
      <c r="AC636" s="54">
        <f t="shared" si="136"/>
        <v>0.19184486191671726</v>
      </c>
      <c r="AD636" s="56">
        <f>INDEX(Assumptions!$B$14:$B$16,MATCH($R636,Assumptions!$A$14:$A$16,0))</f>
        <v>0.18</v>
      </c>
      <c r="AE636" s="56">
        <f>INDEX(Assumptions!$C$14:$C$16,MATCH($R636,Assumptions!$A$14:$A$16,0))</f>
        <v>0.12</v>
      </c>
      <c r="AF636" s="49">
        <f t="shared" si="137"/>
        <v>0</v>
      </c>
      <c r="AG636" s="49">
        <f t="shared" si="138"/>
        <v>0</v>
      </c>
      <c r="AH636" s="55">
        <f t="shared" si="139"/>
        <v>0</v>
      </c>
    </row>
    <row r="637" spans="1:34" x14ac:dyDescent="0.2">
      <c r="A637" s="48" t="s">
        <v>717</v>
      </c>
      <c r="B637" s="48">
        <v>3</v>
      </c>
      <c r="C637" s="48" t="s">
        <v>661</v>
      </c>
      <c r="D637" s="48" t="s">
        <v>636</v>
      </c>
      <c r="E637" s="48" t="s">
        <v>558</v>
      </c>
      <c r="F637" s="48" t="s">
        <v>280</v>
      </c>
      <c r="G637" s="48" t="s">
        <v>288</v>
      </c>
      <c r="H637" s="48" t="s">
        <v>62</v>
      </c>
      <c r="I637" s="48" t="s">
        <v>164</v>
      </c>
      <c r="J637" s="49">
        <v>17</v>
      </c>
      <c r="K637" s="50">
        <v>190</v>
      </c>
      <c r="L637" s="50">
        <v>183.99</v>
      </c>
      <c r="M637" s="48" t="s">
        <v>276</v>
      </c>
      <c r="N637" s="51">
        <v>1</v>
      </c>
      <c r="O637" s="51">
        <v>1</v>
      </c>
      <c r="P637" s="52">
        <v>121</v>
      </c>
      <c r="Q637" s="52">
        <v>121</v>
      </c>
      <c r="R637" s="53" t="str">
        <f>INDEX(SKU_Master!$D$5:$D$34,MATCH($I637,SKU_Master!$A$5:$A$34,0))</f>
        <v>Accessory</v>
      </c>
      <c r="S637" s="54">
        <f t="shared" si="126"/>
        <v>3.1631578947368344E-2</v>
      </c>
      <c r="T637" s="55">
        <f t="shared" si="127"/>
        <v>3230</v>
      </c>
      <c r="U637" s="55">
        <f t="shared" si="128"/>
        <v>3127.83</v>
      </c>
      <c r="V637" s="55">
        <f t="shared" si="129"/>
        <v>-102.17000000000007</v>
      </c>
      <c r="W637" s="55">
        <f t="shared" si="130"/>
        <v>3127.83</v>
      </c>
      <c r="X637" s="55">
        <f t="shared" si="131"/>
        <v>0</v>
      </c>
      <c r="Y637" s="55">
        <f t="shared" si="132"/>
        <v>2057</v>
      </c>
      <c r="Z637" s="55">
        <f t="shared" si="133"/>
        <v>2057</v>
      </c>
      <c r="AA637" s="55">
        <f t="shared" si="134"/>
        <v>0</v>
      </c>
      <c r="AB637" s="55">
        <f t="shared" si="135"/>
        <v>1070.83</v>
      </c>
      <c r="AC637" s="54">
        <f t="shared" si="136"/>
        <v>0.34235556280232621</v>
      </c>
      <c r="AD637" s="56">
        <f>INDEX(Assumptions!$B$14:$B$16,MATCH($R637,Assumptions!$A$14:$A$16,0))</f>
        <v>0.32</v>
      </c>
      <c r="AE637" s="56">
        <f>INDEX(Assumptions!$C$14:$C$16,MATCH($R637,Assumptions!$A$14:$A$16,0))</f>
        <v>0.22</v>
      </c>
      <c r="AF637" s="49">
        <f t="shared" si="137"/>
        <v>0</v>
      </c>
      <c r="AG637" s="49">
        <f t="shared" si="138"/>
        <v>0</v>
      </c>
      <c r="AH637" s="55">
        <f t="shared" si="139"/>
        <v>0</v>
      </c>
    </row>
    <row r="638" spans="1:34" x14ac:dyDescent="0.2">
      <c r="A638" s="48" t="s">
        <v>718</v>
      </c>
      <c r="B638" s="48">
        <v>1</v>
      </c>
      <c r="C638" s="48" t="s">
        <v>649</v>
      </c>
      <c r="D638" s="48" t="s">
        <v>636</v>
      </c>
      <c r="E638" s="48" t="s">
        <v>362</v>
      </c>
      <c r="F638" s="48" t="s">
        <v>280</v>
      </c>
      <c r="G638" s="48" t="s">
        <v>275</v>
      </c>
      <c r="H638" s="48" t="s">
        <v>62</v>
      </c>
      <c r="I638" s="48" t="s">
        <v>110</v>
      </c>
      <c r="J638" s="49">
        <v>8</v>
      </c>
      <c r="K638" s="50">
        <v>1165</v>
      </c>
      <c r="L638" s="50">
        <v>1135.33</v>
      </c>
      <c r="M638" s="48" t="s">
        <v>276</v>
      </c>
      <c r="N638" s="51">
        <v>1</v>
      </c>
      <c r="O638" s="51">
        <v>1</v>
      </c>
      <c r="P638" s="52">
        <v>992.65</v>
      </c>
      <c r="Q638" s="52">
        <v>992.65</v>
      </c>
      <c r="R638" s="53" t="str">
        <f>INDEX(SKU_Master!$D$5:$D$34,MATCH($I638,SKU_Master!$A$5:$A$34,0))</f>
        <v>Laptop</v>
      </c>
      <c r="S638" s="54">
        <f t="shared" si="126"/>
        <v>2.546781115879837E-2</v>
      </c>
      <c r="T638" s="55">
        <f t="shared" si="127"/>
        <v>9320</v>
      </c>
      <c r="U638" s="55">
        <f t="shared" si="128"/>
        <v>9082.64</v>
      </c>
      <c r="V638" s="55">
        <f t="shared" si="129"/>
        <v>-237.36000000000058</v>
      </c>
      <c r="W638" s="55">
        <f t="shared" si="130"/>
        <v>9082.64</v>
      </c>
      <c r="X638" s="55">
        <f t="shared" si="131"/>
        <v>0</v>
      </c>
      <c r="Y638" s="55">
        <f t="shared" si="132"/>
        <v>7941.2</v>
      </c>
      <c r="Z638" s="55">
        <f t="shared" si="133"/>
        <v>7941.2</v>
      </c>
      <c r="AA638" s="55">
        <f t="shared" si="134"/>
        <v>0</v>
      </c>
      <c r="AB638" s="55">
        <f t="shared" si="135"/>
        <v>1141.4399999999996</v>
      </c>
      <c r="AC638" s="54">
        <f t="shared" si="136"/>
        <v>0.12567271189874307</v>
      </c>
      <c r="AD638" s="56">
        <f>INDEX(Assumptions!$B$14:$B$16,MATCH($R638,Assumptions!$A$14:$A$16,0))</f>
        <v>0.12</v>
      </c>
      <c r="AE638" s="56">
        <f>INDEX(Assumptions!$C$14:$C$16,MATCH($R638,Assumptions!$A$14:$A$16,0))</f>
        <v>0.08</v>
      </c>
      <c r="AF638" s="49">
        <f t="shared" si="137"/>
        <v>0</v>
      </c>
      <c r="AG638" s="49">
        <f t="shared" si="138"/>
        <v>0</v>
      </c>
      <c r="AH638" s="55">
        <f t="shared" si="139"/>
        <v>0</v>
      </c>
    </row>
    <row r="639" spans="1:34" x14ac:dyDescent="0.2">
      <c r="A639" s="48" t="s">
        <v>718</v>
      </c>
      <c r="B639" s="48">
        <v>2</v>
      </c>
      <c r="C639" s="48" t="s">
        <v>649</v>
      </c>
      <c r="D639" s="48" t="s">
        <v>636</v>
      </c>
      <c r="E639" s="48" t="s">
        <v>362</v>
      </c>
      <c r="F639" s="48" t="s">
        <v>280</v>
      </c>
      <c r="G639" s="48" t="s">
        <v>275</v>
      </c>
      <c r="H639" s="48" t="s">
        <v>62</v>
      </c>
      <c r="I639" s="48" t="s">
        <v>135</v>
      </c>
      <c r="J639" s="49">
        <v>8</v>
      </c>
      <c r="K639" s="50">
        <v>240</v>
      </c>
      <c r="L639" s="50">
        <v>234.46</v>
      </c>
      <c r="M639" s="48" t="s">
        <v>276</v>
      </c>
      <c r="N639" s="51">
        <v>1</v>
      </c>
      <c r="O639" s="51">
        <v>1</v>
      </c>
      <c r="P639" s="52">
        <v>186.7</v>
      </c>
      <c r="Q639" s="52">
        <v>186.7</v>
      </c>
      <c r="R639" s="53" t="str">
        <f>INDEX(SKU_Master!$D$5:$D$34,MATCH($I639,SKU_Master!$A$5:$A$34,0))</f>
        <v>Monitor</v>
      </c>
      <c r="S639" s="54">
        <f t="shared" si="126"/>
        <v>2.3083333333333345E-2</v>
      </c>
      <c r="T639" s="55">
        <f t="shared" si="127"/>
        <v>1920</v>
      </c>
      <c r="U639" s="55">
        <f t="shared" si="128"/>
        <v>1875.68</v>
      </c>
      <c r="V639" s="55">
        <f t="shared" si="129"/>
        <v>-44.319999999999936</v>
      </c>
      <c r="W639" s="55">
        <f t="shared" si="130"/>
        <v>1875.68</v>
      </c>
      <c r="X639" s="55">
        <f t="shared" si="131"/>
        <v>0</v>
      </c>
      <c r="Y639" s="55">
        <f t="shared" si="132"/>
        <v>1493.6</v>
      </c>
      <c r="Z639" s="55">
        <f t="shared" si="133"/>
        <v>1493.6</v>
      </c>
      <c r="AA639" s="55">
        <f t="shared" si="134"/>
        <v>0</v>
      </c>
      <c r="AB639" s="55">
        <f t="shared" si="135"/>
        <v>382.08000000000015</v>
      </c>
      <c r="AC639" s="54">
        <f t="shared" si="136"/>
        <v>0.20370212402968532</v>
      </c>
      <c r="AD639" s="56">
        <f>INDEX(Assumptions!$B$14:$B$16,MATCH($R639,Assumptions!$A$14:$A$16,0))</f>
        <v>0.18</v>
      </c>
      <c r="AE639" s="56">
        <f>INDEX(Assumptions!$C$14:$C$16,MATCH($R639,Assumptions!$A$14:$A$16,0))</f>
        <v>0.12</v>
      </c>
      <c r="AF639" s="49">
        <f t="shared" si="137"/>
        <v>0</v>
      </c>
      <c r="AG639" s="49">
        <f t="shared" si="138"/>
        <v>0</v>
      </c>
      <c r="AH639" s="55">
        <f t="shared" si="139"/>
        <v>0</v>
      </c>
    </row>
    <row r="640" spans="1:34" x14ac:dyDescent="0.2">
      <c r="A640" s="48" t="s">
        <v>718</v>
      </c>
      <c r="B640" s="48">
        <v>3</v>
      </c>
      <c r="C640" s="48" t="s">
        <v>649</v>
      </c>
      <c r="D640" s="48" t="s">
        <v>636</v>
      </c>
      <c r="E640" s="48" t="s">
        <v>362</v>
      </c>
      <c r="F640" s="48" t="s">
        <v>280</v>
      </c>
      <c r="G640" s="48" t="s">
        <v>275</v>
      </c>
      <c r="H640" s="48" t="s">
        <v>62</v>
      </c>
      <c r="I640" s="48" t="s">
        <v>161</v>
      </c>
      <c r="J640" s="49">
        <v>5</v>
      </c>
      <c r="K640" s="50">
        <v>120</v>
      </c>
      <c r="L640" s="50">
        <v>118.04</v>
      </c>
      <c r="M640" s="48" t="s">
        <v>276</v>
      </c>
      <c r="N640" s="51">
        <v>1</v>
      </c>
      <c r="O640" s="51">
        <v>1</v>
      </c>
      <c r="P640" s="52">
        <v>76</v>
      </c>
      <c r="Q640" s="52">
        <v>76</v>
      </c>
      <c r="R640" s="53" t="str">
        <f>INDEX(SKU_Master!$D$5:$D$34,MATCH($I640,SKU_Master!$A$5:$A$34,0))</f>
        <v>Accessory</v>
      </c>
      <c r="S640" s="54">
        <f t="shared" si="126"/>
        <v>1.6333333333333311E-2</v>
      </c>
      <c r="T640" s="55">
        <f t="shared" si="127"/>
        <v>600</v>
      </c>
      <c r="U640" s="55">
        <f t="shared" si="128"/>
        <v>590.20000000000005</v>
      </c>
      <c r="V640" s="55">
        <f t="shared" si="129"/>
        <v>-9.7999999999999545</v>
      </c>
      <c r="W640" s="55">
        <f t="shared" si="130"/>
        <v>590.20000000000005</v>
      </c>
      <c r="X640" s="55">
        <f t="shared" si="131"/>
        <v>0</v>
      </c>
      <c r="Y640" s="55">
        <f t="shared" si="132"/>
        <v>380</v>
      </c>
      <c r="Z640" s="55">
        <f t="shared" si="133"/>
        <v>380</v>
      </c>
      <c r="AA640" s="55">
        <f t="shared" si="134"/>
        <v>0</v>
      </c>
      <c r="AB640" s="55">
        <f t="shared" si="135"/>
        <v>210.20000000000005</v>
      </c>
      <c r="AC640" s="54">
        <f t="shared" si="136"/>
        <v>0.35615045747204344</v>
      </c>
      <c r="AD640" s="56">
        <f>INDEX(Assumptions!$B$14:$B$16,MATCH($R640,Assumptions!$A$14:$A$16,0))</f>
        <v>0.32</v>
      </c>
      <c r="AE640" s="56">
        <f>INDEX(Assumptions!$C$14:$C$16,MATCH($R640,Assumptions!$A$14:$A$16,0))</f>
        <v>0.22</v>
      </c>
      <c r="AF640" s="49">
        <f t="shared" si="137"/>
        <v>0</v>
      </c>
      <c r="AG640" s="49">
        <f t="shared" si="138"/>
        <v>0</v>
      </c>
      <c r="AH640" s="55">
        <f t="shared" si="139"/>
        <v>0</v>
      </c>
    </row>
    <row r="641" spans="1:34" x14ac:dyDescent="0.2">
      <c r="A641" s="48" t="s">
        <v>719</v>
      </c>
      <c r="B641" s="48">
        <v>1</v>
      </c>
      <c r="C641" s="48" t="s">
        <v>683</v>
      </c>
      <c r="D641" s="48" t="s">
        <v>636</v>
      </c>
      <c r="E641" s="48" t="s">
        <v>309</v>
      </c>
      <c r="F641" s="48" t="s">
        <v>280</v>
      </c>
      <c r="G641" s="48" t="s">
        <v>298</v>
      </c>
      <c r="H641" s="48" t="s">
        <v>70</v>
      </c>
      <c r="I641" s="48" t="s">
        <v>115</v>
      </c>
      <c r="J641" s="49">
        <v>18</v>
      </c>
      <c r="K641" s="50">
        <v>83560</v>
      </c>
      <c r="L641" s="50">
        <v>80608.28</v>
      </c>
      <c r="M641" s="48" t="s">
        <v>276</v>
      </c>
      <c r="N641" s="51">
        <v>83.5</v>
      </c>
      <c r="O641" s="51">
        <v>83.985900000000001</v>
      </c>
      <c r="P641" s="52">
        <v>838.22</v>
      </c>
      <c r="Q641" s="52">
        <v>858.22</v>
      </c>
      <c r="R641" s="53" t="str">
        <f>INDEX(SKU_Master!$D$5:$D$34,MATCH($I641,SKU_Master!$A$5:$A$34,0))</f>
        <v>Laptop</v>
      </c>
      <c r="S641" s="54">
        <f t="shared" si="126"/>
        <v>3.5324557204404083E-2</v>
      </c>
      <c r="T641" s="55">
        <f t="shared" si="127"/>
        <v>18012.934131736525</v>
      </c>
      <c r="U641" s="55">
        <f t="shared" si="128"/>
        <v>17376.63520958084</v>
      </c>
      <c r="V641" s="55">
        <f t="shared" si="129"/>
        <v>-636.29892215568543</v>
      </c>
      <c r="W641" s="55">
        <f t="shared" si="130"/>
        <v>17276.102774394272</v>
      </c>
      <c r="X641" s="55">
        <f t="shared" si="131"/>
        <v>-100.53243518656745</v>
      </c>
      <c r="Y641" s="55">
        <f t="shared" si="132"/>
        <v>15087.960000000001</v>
      </c>
      <c r="Z641" s="55">
        <f t="shared" si="133"/>
        <v>15447.960000000001</v>
      </c>
      <c r="AA641" s="55">
        <f t="shared" si="134"/>
        <v>-360</v>
      </c>
      <c r="AB641" s="55">
        <f t="shared" si="135"/>
        <v>1828.1427743942713</v>
      </c>
      <c r="AC641" s="54">
        <f t="shared" si="136"/>
        <v>0.10581916525200626</v>
      </c>
      <c r="AD641" s="56">
        <f>INDEX(Assumptions!$B$14:$B$16,MATCH($R641,Assumptions!$A$14:$A$16,0))</f>
        <v>0.12</v>
      </c>
      <c r="AE641" s="56">
        <f>INDEX(Assumptions!$C$14:$C$16,MATCH($R641,Assumptions!$A$14:$A$16,0))</f>
        <v>0.08</v>
      </c>
      <c r="AF641" s="49">
        <f t="shared" si="137"/>
        <v>0</v>
      </c>
      <c r="AG641" s="49">
        <f t="shared" si="138"/>
        <v>0</v>
      </c>
      <c r="AH641" s="55">
        <f t="shared" si="139"/>
        <v>244.98955853304142</v>
      </c>
    </row>
    <row r="642" spans="1:34" x14ac:dyDescent="0.2">
      <c r="A642" s="48" t="s">
        <v>719</v>
      </c>
      <c r="B642" s="48">
        <v>2</v>
      </c>
      <c r="C642" s="48" t="s">
        <v>683</v>
      </c>
      <c r="D642" s="48" t="s">
        <v>636</v>
      </c>
      <c r="E642" s="48" t="s">
        <v>309</v>
      </c>
      <c r="F642" s="48" t="s">
        <v>280</v>
      </c>
      <c r="G642" s="48" t="s">
        <v>298</v>
      </c>
      <c r="H642" s="48" t="s">
        <v>70</v>
      </c>
      <c r="I642" s="48" t="s">
        <v>146</v>
      </c>
      <c r="J642" s="49">
        <v>20</v>
      </c>
      <c r="K642" s="50">
        <v>26365</v>
      </c>
      <c r="L642" s="50">
        <v>25789.919999999998</v>
      </c>
      <c r="M642" s="48" t="s">
        <v>276</v>
      </c>
      <c r="N642" s="51">
        <v>83.5</v>
      </c>
      <c r="O642" s="51">
        <v>83.985900000000001</v>
      </c>
      <c r="P642" s="52">
        <v>244.05</v>
      </c>
      <c r="Q642" s="52">
        <v>264.05</v>
      </c>
      <c r="R642" s="53" t="str">
        <f>INDEX(SKU_Master!$D$5:$D$34,MATCH($I642,SKU_Master!$A$5:$A$34,0))</f>
        <v>Monitor</v>
      </c>
      <c r="S642" s="54">
        <f t="shared" si="126"/>
        <v>2.1812251090460921E-2</v>
      </c>
      <c r="T642" s="55">
        <f t="shared" si="127"/>
        <v>6314.9700598802392</v>
      </c>
      <c r="U642" s="55">
        <f t="shared" si="128"/>
        <v>6177.226347305389</v>
      </c>
      <c r="V642" s="55">
        <f t="shared" si="129"/>
        <v>-137.74371257485018</v>
      </c>
      <c r="W642" s="55">
        <f t="shared" si="130"/>
        <v>6141.4880354916713</v>
      </c>
      <c r="X642" s="55">
        <f t="shared" si="131"/>
        <v>-35.738311813717701</v>
      </c>
      <c r="Y642" s="55">
        <f t="shared" si="132"/>
        <v>4881</v>
      </c>
      <c r="Z642" s="55">
        <f t="shared" si="133"/>
        <v>5281</v>
      </c>
      <c r="AA642" s="55">
        <f t="shared" si="134"/>
        <v>-400</v>
      </c>
      <c r="AB642" s="55">
        <f t="shared" si="135"/>
        <v>860.48803549167133</v>
      </c>
      <c r="AC642" s="54">
        <f t="shared" si="136"/>
        <v>0.14011067521729412</v>
      </c>
      <c r="AD642" s="56">
        <f>INDEX(Assumptions!$B$14:$B$16,MATCH($R642,Assumptions!$A$14:$A$16,0))</f>
        <v>0.18</v>
      </c>
      <c r="AE642" s="56">
        <f>INDEX(Assumptions!$C$14:$C$16,MATCH($R642,Assumptions!$A$14:$A$16,0))</f>
        <v>0.12</v>
      </c>
      <c r="AF642" s="49">
        <f t="shared" si="137"/>
        <v>0</v>
      </c>
      <c r="AG642" s="49">
        <f t="shared" si="138"/>
        <v>0</v>
      </c>
      <c r="AH642" s="55">
        <f t="shared" si="139"/>
        <v>244.97981089682958</v>
      </c>
    </row>
    <row r="643" spans="1:34" x14ac:dyDescent="0.2">
      <c r="A643" s="48" t="s">
        <v>719</v>
      </c>
      <c r="B643" s="48">
        <v>3</v>
      </c>
      <c r="C643" s="48" t="s">
        <v>683</v>
      </c>
      <c r="D643" s="48" t="s">
        <v>636</v>
      </c>
      <c r="E643" s="48" t="s">
        <v>309</v>
      </c>
      <c r="F643" s="48" t="s">
        <v>280</v>
      </c>
      <c r="G643" s="48" t="s">
        <v>298</v>
      </c>
      <c r="H643" s="48" t="s">
        <v>70</v>
      </c>
      <c r="I643" s="48" t="s">
        <v>164</v>
      </c>
      <c r="J643" s="49">
        <v>15</v>
      </c>
      <c r="K643" s="50">
        <v>18765</v>
      </c>
      <c r="L643" s="50">
        <v>18401.79</v>
      </c>
      <c r="M643" s="48" t="s">
        <v>276</v>
      </c>
      <c r="N643" s="51">
        <v>83.5</v>
      </c>
      <c r="O643" s="51">
        <v>83.985900000000001</v>
      </c>
      <c r="P643" s="52">
        <v>142.65</v>
      </c>
      <c r="Q643" s="52">
        <v>147.65</v>
      </c>
      <c r="R643" s="53" t="str">
        <f>INDEX(SKU_Master!$D$5:$D$34,MATCH($I643,SKU_Master!$A$5:$A$34,0))</f>
        <v>Accessory</v>
      </c>
      <c r="S643" s="54">
        <f t="shared" si="126"/>
        <v>1.9355715427657794E-2</v>
      </c>
      <c r="T643" s="55">
        <f t="shared" si="127"/>
        <v>3370.9580838323354</v>
      </c>
      <c r="U643" s="55">
        <f t="shared" si="128"/>
        <v>3305.7107784431141</v>
      </c>
      <c r="V643" s="55">
        <f t="shared" si="129"/>
        <v>-65.24730538922131</v>
      </c>
      <c r="W643" s="55">
        <f t="shared" si="130"/>
        <v>3286.5856054409137</v>
      </c>
      <c r="X643" s="55">
        <f t="shared" si="131"/>
        <v>-19.125173002200427</v>
      </c>
      <c r="Y643" s="55">
        <f t="shared" si="132"/>
        <v>2139.75</v>
      </c>
      <c r="Z643" s="55">
        <f t="shared" si="133"/>
        <v>2214.75</v>
      </c>
      <c r="AA643" s="55">
        <f t="shared" si="134"/>
        <v>-75</v>
      </c>
      <c r="AB643" s="55">
        <f t="shared" si="135"/>
        <v>1071.8356054409137</v>
      </c>
      <c r="AC643" s="54">
        <f t="shared" si="136"/>
        <v>0.32612435339170814</v>
      </c>
      <c r="AD643" s="56">
        <f>INDEX(Assumptions!$B$14:$B$16,MATCH($R643,Assumptions!$A$14:$A$16,0))</f>
        <v>0.32</v>
      </c>
      <c r="AE643" s="56">
        <f>INDEX(Assumptions!$C$14:$C$16,MATCH($R643,Assumptions!$A$14:$A$16,0))</f>
        <v>0.22</v>
      </c>
      <c r="AF643" s="49">
        <f t="shared" si="137"/>
        <v>0</v>
      </c>
      <c r="AG643" s="49">
        <f t="shared" si="138"/>
        <v>0</v>
      </c>
      <c r="AH643" s="55">
        <f t="shared" si="139"/>
        <v>0</v>
      </c>
    </row>
    <row r="644" spans="1:34" x14ac:dyDescent="0.2">
      <c r="A644" s="48" t="s">
        <v>720</v>
      </c>
      <c r="B644" s="48">
        <v>1</v>
      </c>
      <c r="C644" s="48" t="s">
        <v>653</v>
      </c>
      <c r="D644" s="48" t="s">
        <v>636</v>
      </c>
      <c r="E644" s="48" t="s">
        <v>336</v>
      </c>
      <c r="F644" s="48" t="s">
        <v>274</v>
      </c>
      <c r="G644" s="48" t="s">
        <v>288</v>
      </c>
      <c r="H644" s="48" t="s">
        <v>62</v>
      </c>
      <c r="I644" s="48" t="s">
        <v>113</v>
      </c>
      <c r="J644" s="49">
        <v>3</v>
      </c>
      <c r="K644" s="50">
        <v>1740</v>
      </c>
      <c r="L644" s="50">
        <v>1713.52</v>
      </c>
      <c r="M644" s="48" t="s">
        <v>276</v>
      </c>
      <c r="N644" s="51">
        <v>1</v>
      </c>
      <c r="O644" s="51">
        <v>1</v>
      </c>
      <c r="P644" s="52">
        <v>1484.8</v>
      </c>
      <c r="Q644" s="52">
        <v>1484.8</v>
      </c>
      <c r="R644" s="53" t="str">
        <f>INDEX(SKU_Master!$D$5:$D$34,MATCH($I644,SKU_Master!$A$5:$A$34,0))</f>
        <v>Laptop</v>
      </c>
      <c r="S644" s="54">
        <f t="shared" si="126"/>
        <v>1.5218390804597748E-2</v>
      </c>
      <c r="T644" s="55">
        <f t="shared" si="127"/>
        <v>5220</v>
      </c>
      <c r="U644" s="55">
        <f t="shared" si="128"/>
        <v>5140.5599999999995</v>
      </c>
      <c r="V644" s="55">
        <f t="shared" si="129"/>
        <v>-79.440000000000509</v>
      </c>
      <c r="W644" s="55">
        <f t="shared" si="130"/>
        <v>5140.5599999999995</v>
      </c>
      <c r="X644" s="55">
        <f t="shared" si="131"/>
        <v>0</v>
      </c>
      <c r="Y644" s="55">
        <f t="shared" si="132"/>
        <v>4454.3999999999996</v>
      </c>
      <c r="Z644" s="55">
        <f t="shared" si="133"/>
        <v>4454.3999999999996</v>
      </c>
      <c r="AA644" s="55">
        <f t="shared" si="134"/>
        <v>0</v>
      </c>
      <c r="AB644" s="55">
        <f t="shared" si="135"/>
        <v>686.15999999999985</v>
      </c>
      <c r="AC644" s="54">
        <f t="shared" si="136"/>
        <v>0.13347962089733412</v>
      </c>
      <c r="AD644" s="56">
        <f>INDEX(Assumptions!$B$14:$B$16,MATCH($R644,Assumptions!$A$14:$A$16,0))</f>
        <v>0.12</v>
      </c>
      <c r="AE644" s="56">
        <f>INDEX(Assumptions!$C$14:$C$16,MATCH($R644,Assumptions!$A$14:$A$16,0))</f>
        <v>0.08</v>
      </c>
      <c r="AF644" s="49">
        <f t="shared" si="137"/>
        <v>0</v>
      </c>
      <c r="AG644" s="49">
        <f t="shared" si="138"/>
        <v>0</v>
      </c>
      <c r="AH644" s="55">
        <f t="shared" si="139"/>
        <v>0</v>
      </c>
    </row>
    <row r="645" spans="1:34" x14ac:dyDescent="0.2">
      <c r="A645" s="48" t="s">
        <v>720</v>
      </c>
      <c r="B645" s="48">
        <v>2</v>
      </c>
      <c r="C645" s="48" t="s">
        <v>653</v>
      </c>
      <c r="D645" s="48" t="s">
        <v>636</v>
      </c>
      <c r="E645" s="48" t="s">
        <v>336</v>
      </c>
      <c r="F645" s="48" t="s">
        <v>274</v>
      </c>
      <c r="G645" s="48" t="s">
        <v>288</v>
      </c>
      <c r="H645" s="48" t="s">
        <v>62</v>
      </c>
      <c r="I645" s="48" t="s">
        <v>138</v>
      </c>
      <c r="J645" s="49">
        <v>1</v>
      </c>
      <c r="K645" s="50">
        <v>455</v>
      </c>
      <c r="L645" s="50">
        <v>450.87</v>
      </c>
      <c r="M645" s="48" t="s">
        <v>276</v>
      </c>
      <c r="N645" s="51">
        <v>1</v>
      </c>
      <c r="O645" s="51">
        <v>1</v>
      </c>
      <c r="P645" s="52">
        <v>358.2</v>
      </c>
      <c r="Q645" s="52">
        <v>358.2</v>
      </c>
      <c r="R645" s="53" t="str">
        <f>INDEX(SKU_Master!$D$5:$D$34,MATCH($I645,SKU_Master!$A$5:$A$34,0))</f>
        <v>Monitor</v>
      </c>
      <c r="S645" s="54">
        <f t="shared" ref="S645:S708" si="140">IF(K645=0,0,1-L645/K645)</f>
        <v>9.0769230769230935E-3</v>
      </c>
      <c r="T645" s="55">
        <f t="shared" ref="T645:T708" si="141">J645*K645/N645</f>
        <v>455</v>
      </c>
      <c r="U645" s="55">
        <f t="shared" ref="U645:U708" si="142">J645*L645/N645</f>
        <v>450.87</v>
      </c>
      <c r="V645" s="55">
        <f t="shared" ref="V645:V708" si="143">U645-T645</f>
        <v>-4.1299999999999955</v>
      </c>
      <c r="W645" s="55">
        <f t="shared" ref="W645:W708" si="144">J645*L645/O645</f>
        <v>450.87</v>
      </c>
      <c r="X645" s="55">
        <f t="shared" ref="X645:X708" si="145">W645-U645</f>
        <v>0</v>
      </c>
      <c r="Y645" s="55">
        <f t="shared" ref="Y645:Y708" si="146">J645*P645</f>
        <v>358.2</v>
      </c>
      <c r="Z645" s="55">
        <f t="shared" ref="Z645:Z708" si="147">J645*Q645</f>
        <v>358.2</v>
      </c>
      <c r="AA645" s="55">
        <f t="shared" ref="AA645:AA708" si="148">Y645-Z645</f>
        <v>0</v>
      </c>
      <c r="AB645" s="55">
        <f t="shared" ref="AB645:AB708" si="149">W645-Z645</f>
        <v>92.670000000000016</v>
      </c>
      <c r="AC645" s="54">
        <f t="shared" ref="AC645:AC708" si="150">IF(W645=0,0,AB645/W645)</f>
        <v>0.20553596380331363</v>
      </c>
      <c r="AD645" s="56">
        <f>INDEX(Assumptions!$B$14:$B$16,MATCH($R645,Assumptions!$A$14:$A$16,0))</f>
        <v>0.18</v>
      </c>
      <c r="AE645" s="56">
        <f>INDEX(Assumptions!$C$14:$C$16,MATCH($R645,Assumptions!$A$14:$A$16,0))</f>
        <v>0.12</v>
      </c>
      <c r="AF645" s="49">
        <f t="shared" ref="AF645:AF708" si="151">IF(AC645&lt;AE645,1,0)</f>
        <v>0</v>
      </c>
      <c r="AG645" s="49">
        <f t="shared" ref="AG645:AG708" si="152">IF(AND(AF645=1,M645="N"),1,0)</f>
        <v>0</v>
      </c>
      <c r="AH645" s="55">
        <f t="shared" ref="AH645:AH708" si="153">MAX(0,W645*AD645-AB645)</f>
        <v>0</v>
      </c>
    </row>
    <row r="646" spans="1:34" x14ac:dyDescent="0.2">
      <c r="A646" s="48" t="s">
        <v>720</v>
      </c>
      <c r="B646" s="48">
        <v>3</v>
      </c>
      <c r="C646" s="48" t="s">
        <v>653</v>
      </c>
      <c r="D646" s="48" t="s">
        <v>636</v>
      </c>
      <c r="E646" s="48" t="s">
        <v>336</v>
      </c>
      <c r="F646" s="48" t="s">
        <v>274</v>
      </c>
      <c r="G646" s="48" t="s">
        <v>288</v>
      </c>
      <c r="H646" s="48" t="s">
        <v>62</v>
      </c>
      <c r="I646" s="48" t="s">
        <v>161</v>
      </c>
      <c r="J646" s="49">
        <v>3</v>
      </c>
      <c r="K646" s="50">
        <v>120</v>
      </c>
      <c r="L646" s="50">
        <v>117.9</v>
      </c>
      <c r="M646" s="48" t="s">
        <v>276</v>
      </c>
      <c r="N646" s="51">
        <v>1</v>
      </c>
      <c r="O646" s="51">
        <v>1</v>
      </c>
      <c r="P646" s="52">
        <v>76</v>
      </c>
      <c r="Q646" s="52">
        <v>76</v>
      </c>
      <c r="R646" s="53" t="str">
        <f>INDEX(SKU_Master!$D$5:$D$34,MATCH($I646,SKU_Master!$A$5:$A$34,0))</f>
        <v>Accessory</v>
      </c>
      <c r="S646" s="54">
        <f t="shared" si="140"/>
        <v>1.749999999999996E-2</v>
      </c>
      <c r="T646" s="55">
        <f t="shared" si="141"/>
        <v>360</v>
      </c>
      <c r="U646" s="55">
        <f t="shared" si="142"/>
        <v>353.70000000000005</v>
      </c>
      <c r="V646" s="55">
        <f t="shared" si="143"/>
        <v>-6.2999999999999545</v>
      </c>
      <c r="W646" s="55">
        <f t="shared" si="144"/>
        <v>353.70000000000005</v>
      </c>
      <c r="X646" s="55">
        <f t="shared" si="145"/>
        <v>0</v>
      </c>
      <c r="Y646" s="55">
        <f t="shared" si="146"/>
        <v>228</v>
      </c>
      <c r="Z646" s="55">
        <f t="shared" si="147"/>
        <v>228</v>
      </c>
      <c r="AA646" s="55">
        <f t="shared" si="148"/>
        <v>0</v>
      </c>
      <c r="AB646" s="55">
        <f t="shared" si="149"/>
        <v>125.70000000000005</v>
      </c>
      <c r="AC646" s="54">
        <f t="shared" si="150"/>
        <v>0.35538592027141652</v>
      </c>
      <c r="AD646" s="56">
        <f>INDEX(Assumptions!$B$14:$B$16,MATCH($R646,Assumptions!$A$14:$A$16,0))</f>
        <v>0.32</v>
      </c>
      <c r="AE646" s="56">
        <f>INDEX(Assumptions!$C$14:$C$16,MATCH($R646,Assumptions!$A$14:$A$16,0))</f>
        <v>0.22</v>
      </c>
      <c r="AF646" s="49">
        <f t="shared" si="151"/>
        <v>0</v>
      </c>
      <c r="AG646" s="49">
        <f t="shared" si="152"/>
        <v>0</v>
      </c>
      <c r="AH646" s="55">
        <f t="shared" si="153"/>
        <v>0</v>
      </c>
    </row>
    <row r="647" spans="1:34" x14ac:dyDescent="0.2">
      <c r="A647" s="48" t="s">
        <v>721</v>
      </c>
      <c r="B647" s="48">
        <v>1</v>
      </c>
      <c r="C647" s="48" t="s">
        <v>655</v>
      </c>
      <c r="D647" s="48" t="s">
        <v>636</v>
      </c>
      <c r="E647" s="48" t="s">
        <v>293</v>
      </c>
      <c r="F647" s="48" t="s">
        <v>274</v>
      </c>
      <c r="G647" s="48" t="s">
        <v>275</v>
      </c>
      <c r="H647" s="48" t="s">
        <v>66</v>
      </c>
      <c r="I647" s="48" t="s">
        <v>93</v>
      </c>
      <c r="J647" s="49">
        <v>3</v>
      </c>
      <c r="K647" s="50">
        <v>1325</v>
      </c>
      <c r="L647" s="50">
        <v>1322.79</v>
      </c>
      <c r="M647" s="48" t="s">
        <v>276</v>
      </c>
      <c r="N647" s="51">
        <v>0.92</v>
      </c>
      <c r="O647" s="51">
        <v>0.91800000000000004</v>
      </c>
      <c r="P647" s="52">
        <v>1206.2</v>
      </c>
      <c r="Q647" s="52">
        <v>1206.2</v>
      </c>
      <c r="R647" s="53" t="str">
        <f>INDEX(SKU_Master!$D$5:$D$34,MATCH($I647,SKU_Master!$A$5:$A$34,0))</f>
        <v>Laptop</v>
      </c>
      <c r="S647" s="54">
        <f t="shared" si="140"/>
        <v>1.6679245283018895E-3</v>
      </c>
      <c r="T647" s="55">
        <f t="shared" si="141"/>
        <v>4320.652173913043</v>
      </c>
      <c r="U647" s="55">
        <f t="shared" si="142"/>
        <v>4313.445652173913</v>
      </c>
      <c r="V647" s="55">
        <f t="shared" si="143"/>
        <v>-7.2065217391300394</v>
      </c>
      <c r="W647" s="55">
        <f t="shared" si="144"/>
        <v>4322.8431372549021</v>
      </c>
      <c r="X647" s="55">
        <f t="shared" si="145"/>
        <v>9.3974850809890995</v>
      </c>
      <c r="Y647" s="55">
        <f t="shared" si="146"/>
        <v>3618.6000000000004</v>
      </c>
      <c r="Z647" s="55">
        <f t="shared" si="147"/>
        <v>3618.6000000000004</v>
      </c>
      <c r="AA647" s="55">
        <f t="shared" si="148"/>
        <v>0</v>
      </c>
      <c r="AB647" s="55">
        <f t="shared" si="149"/>
        <v>704.24313725490174</v>
      </c>
      <c r="AC647" s="54">
        <f t="shared" si="150"/>
        <v>0.16291202685233477</v>
      </c>
      <c r="AD647" s="56">
        <f>INDEX(Assumptions!$B$14:$B$16,MATCH($R647,Assumptions!$A$14:$A$16,0))</f>
        <v>0.12</v>
      </c>
      <c r="AE647" s="56">
        <f>INDEX(Assumptions!$C$14:$C$16,MATCH($R647,Assumptions!$A$14:$A$16,0))</f>
        <v>0.08</v>
      </c>
      <c r="AF647" s="49">
        <f t="shared" si="151"/>
        <v>0</v>
      </c>
      <c r="AG647" s="49">
        <f t="shared" si="152"/>
        <v>0</v>
      </c>
      <c r="AH647" s="55">
        <f t="shared" si="153"/>
        <v>0</v>
      </c>
    </row>
    <row r="648" spans="1:34" x14ac:dyDescent="0.2">
      <c r="A648" s="48" t="s">
        <v>722</v>
      </c>
      <c r="B648" s="48">
        <v>1</v>
      </c>
      <c r="C648" s="48" t="s">
        <v>703</v>
      </c>
      <c r="D648" s="48" t="s">
        <v>636</v>
      </c>
      <c r="E648" s="48" t="s">
        <v>360</v>
      </c>
      <c r="F648" s="48" t="s">
        <v>280</v>
      </c>
      <c r="G648" s="48" t="s">
        <v>275</v>
      </c>
      <c r="H648" s="48" t="s">
        <v>68</v>
      </c>
      <c r="I648" s="48" t="s">
        <v>123</v>
      </c>
      <c r="J648" s="49">
        <v>14</v>
      </c>
      <c r="K648" s="50">
        <v>2065</v>
      </c>
      <c r="L648" s="50">
        <v>2030.23</v>
      </c>
      <c r="M648" s="48" t="s">
        <v>276</v>
      </c>
      <c r="N648" s="51">
        <v>1.37</v>
      </c>
      <c r="O648" s="51">
        <v>1.3562000000000001</v>
      </c>
      <c r="P648" s="52">
        <v>1261.25</v>
      </c>
      <c r="Q648" s="52">
        <v>1261.25</v>
      </c>
      <c r="R648" s="53" t="str">
        <f>INDEX(SKU_Master!$D$5:$D$34,MATCH($I648,SKU_Master!$A$5:$A$34,0))</f>
        <v>Laptop</v>
      </c>
      <c r="S648" s="54">
        <f t="shared" si="140"/>
        <v>1.6837772397094386E-2</v>
      </c>
      <c r="T648" s="55">
        <f t="shared" si="141"/>
        <v>21102.189781021898</v>
      </c>
      <c r="U648" s="55">
        <f t="shared" si="142"/>
        <v>20746.875912408759</v>
      </c>
      <c r="V648" s="55">
        <f t="shared" si="143"/>
        <v>-355.31386861313877</v>
      </c>
      <c r="W648" s="55">
        <f t="shared" si="144"/>
        <v>20957.9855478543</v>
      </c>
      <c r="X648" s="55">
        <f t="shared" si="145"/>
        <v>211.10963544554033</v>
      </c>
      <c r="Y648" s="55">
        <f t="shared" si="146"/>
        <v>17657.5</v>
      </c>
      <c r="Z648" s="55">
        <f t="shared" si="147"/>
        <v>17657.5</v>
      </c>
      <c r="AA648" s="55">
        <f t="shared" si="148"/>
        <v>0</v>
      </c>
      <c r="AB648" s="55">
        <f t="shared" si="149"/>
        <v>3300.4855478542995</v>
      </c>
      <c r="AC648" s="54">
        <f t="shared" si="150"/>
        <v>0.15748104894519344</v>
      </c>
      <c r="AD648" s="56">
        <f>INDEX(Assumptions!$B$14:$B$16,MATCH($R648,Assumptions!$A$14:$A$16,0))</f>
        <v>0.12</v>
      </c>
      <c r="AE648" s="56">
        <f>INDEX(Assumptions!$C$14:$C$16,MATCH($R648,Assumptions!$A$14:$A$16,0))</f>
        <v>0.08</v>
      </c>
      <c r="AF648" s="49">
        <f t="shared" si="151"/>
        <v>0</v>
      </c>
      <c r="AG648" s="49">
        <f t="shared" si="152"/>
        <v>0</v>
      </c>
      <c r="AH648" s="55">
        <f t="shared" si="153"/>
        <v>0</v>
      </c>
    </row>
    <row r="649" spans="1:34" x14ac:dyDescent="0.2">
      <c r="A649" s="48" t="s">
        <v>722</v>
      </c>
      <c r="B649" s="48">
        <v>2</v>
      </c>
      <c r="C649" s="48" t="s">
        <v>703</v>
      </c>
      <c r="D649" s="48" t="s">
        <v>636</v>
      </c>
      <c r="E649" s="48" t="s">
        <v>360</v>
      </c>
      <c r="F649" s="48" t="s">
        <v>280</v>
      </c>
      <c r="G649" s="48" t="s">
        <v>275</v>
      </c>
      <c r="H649" s="48" t="s">
        <v>68</v>
      </c>
      <c r="I649" s="48" t="s">
        <v>146</v>
      </c>
      <c r="J649" s="49">
        <v>14</v>
      </c>
      <c r="K649" s="50">
        <v>350</v>
      </c>
      <c r="L649" s="50">
        <v>338.65</v>
      </c>
      <c r="M649" s="48" t="s">
        <v>276</v>
      </c>
      <c r="N649" s="51">
        <v>1.37</v>
      </c>
      <c r="O649" s="51">
        <v>1.3562000000000001</v>
      </c>
      <c r="P649" s="52">
        <v>196.8</v>
      </c>
      <c r="Q649" s="52">
        <v>196.8</v>
      </c>
      <c r="R649" s="53" t="str">
        <f>INDEX(SKU_Master!$D$5:$D$34,MATCH($I649,SKU_Master!$A$5:$A$34,0))</f>
        <v>Monitor</v>
      </c>
      <c r="S649" s="54">
        <f t="shared" si="140"/>
        <v>3.2428571428571473E-2</v>
      </c>
      <c r="T649" s="55">
        <f t="shared" si="141"/>
        <v>3576.642335766423</v>
      </c>
      <c r="U649" s="55">
        <f t="shared" si="142"/>
        <v>3460.6569343065685</v>
      </c>
      <c r="V649" s="55">
        <f t="shared" si="143"/>
        <v>-115.98540145985453</v>
      </c>
      <c r="W649" s="55">
        <f t="shared" si="144"/>
        <v>3495.8708155139352</v>
      </c>
      <c r="X649" s="55">
        <f t="shared" si="145"/>
        <v>35.21388120736674</v>
      </c>
      <c r="Y649" s="55">
        <f t="shared" si="146"/>
        <v>2755.2000000000003</v>
      </c>
      <c r="Z649" s="55">
        <f t="shared" si="147"/>
        <v>2755.2000000000003</v>
      </c>
      <c r="AA649" s="55">
        <f t="shared" si="148"/>
        <v>0</v>
      </c>
      <c r="AB649" s="55">
        <f t="shared" si="149"/>
        <v>740.67081551393494</v>
      </c>
      <c r="AC649" s="54">
        <f t="shared" si="150"/>
        <v>0.21187019046212879</v>
      </c>
      <c r="AD649" s="56">
        <f>INDEX(Assumptions!$B$14:$B$16,MATCH($R649,Assumptions!$A$14:$A$16,0))</f>
        <v>0.18</v>
      </c>
      <c r="AE649" s="56">
        <f>INDEX(Assumptions!$C$14:$C$16,MATCH($R649,Assumptions!$A$14:$A$16,0))</f>
        <v>0.12</v>
      </c>
      <c r="AF649" s="49">
        <f t="shared" si="151"/>
        <v>0</v>
      </c>
      <c r="AG649" s="49">
        <f t="shared" si="152"/>
        <v>0</v>
      </c>
      <c r="AH649" s="55">
        <f t="shared" si="153"/>
        <v>0</v>
      </c>
    </row>
    <row r="650" spans="1:34" x14ac:dyDescent="0.2">
      <c r="A650" s="48" t="s">
        <v>722</v>
      </c>
      <c r="B650" s="48">
        <v>3</v>
      </c>
      <c r="C650" s="48" t="s">
        <v>703</v>
      </c>
      <c r="D650" s="48" t="s">
        <v>636</v>
      </c>
      <c r="E650" s="48" t="s">
        <v>360</v>
      </c>
      <c r="F650" s="48" t="s">
        <v>280</v>
      </c>
      <c r="G650" s="48" t="s">
        <v>275</v>
      </c>
      <c r="H650" s="48" t="s">
        <v>68</v>
      </c>
      <c r="I650" s="48" t="s">
        <v>166</v>
      </c>
      <c r="J650" s="49">
        <v>9</v>
      </c>
      <c r="K650" s="50">
        <v>375</v>
      </c>
      <c r="L650" s="50">
        <v>362.77</v>
      </c>
      <c r="M650" s="48" t="s">
        <v>276</v>
      </c>
      <c r="N650" s="51">
        <v>1.37</v>
      </c>
      <c r="O650" s="51">
        <v>1.3562000000000001</v>
      </c>
      <c r="P650" s="52">
        <v>172.35</v>
      </c>
      <c r="Q650" s="52">
        <v>172.35</v>
      </c>
      <c r="R650" s="53" t="str">
        <f>INDEX(SKU_Master!$D$5:$D$34,MATCH($I650,SKU_Master!$A$5:$A$34,0))</f>
        <v>Accessory</v>
      </c>
      <c r="S650" s="54">
        <f t="shared" si="140"/>
        <v>3.2613333333333383E-2</v>
      </c>
      <c r="T650" s="55">
        <f t="shared" si="141"/>
        <v>2463.5036496350363</v>
      </c>
      <c r="U650" s="55">
        <f t="shared" si="142"/>
        <v>2383.1605839416056</v>
      </c>
      <c r="V650" s="55">
        <f t="shared" si="143"/>
        <v>-80.343065693430617</v>
      </c>
      <c r="W650" s="55">
        <f t="shared" si="144"/>
        <v>2407.4104114437396</v>
      </c>
      <c r="X650" s="55">
        <f t="shared" si="145"/>
        <v>24.24982750213394</v>
      </c>
      <c r="Y650" s="55">
        <f t="shared" si="146"/>
        <v>1551.1499999999999</v>
      </c>
      <c r="Z650" s="55">
        <f t="shared" si="147"/>
        <v>1551.1499999999999</v>
      </c>
      <c r="AA650" s="55">
        <f t="shared" si="148"/>
        <v>0</v>
      </c>
      <c r="AB650" s="55">
        <f t="shared" si="149"/>
        <v>856.26041144373971</v>
      </c>
      <c r="AC650" s="54">
        <f t="shared" si="150"/>
        <v>0.35567695785208259</v>
      </c>
      <c r="AD650" s="56">
        <f>INDEX(Assumptions!$B$14:$B$16,MATCH($R650,Assumptions!$A$14:$A$16,0))</f>
        <v>0.32</v>
      </c>
      <c r="AE650" s="56">
        <f>INDEX(Assumptions!$C$14:$C$16,MATCH($R650,Assumptions!$A$14:$A$16,0))</f>
        <v>0.22</v>
      </c>
      <c r="AF650" s="49">
        <f t="shared" si="151"/>
        <v>0</v>
      </c>
      <c r="AG650" s="49">
        <f t="shared" si="152"/>
        <v>0</v>
      </c>
      <c r="AH650" s="55">
        <f t="shared" si="153"/>
        <v>0</v>
      </c>
    </row>
    <row r="651" spans="1:34" x14ac:dyDescent="0.2">
      <c r="A651" s="48" t="s">
        <v>723</v>
      </c>
      <c r="B651" s="48">
        <v>1</v>
      </c>
      <c r="C651" s="48" t="s">
        <v>678</v>
      </c>
      <c r="D651" s="48" t="s">
        <v>636</v>
      </c>
      <c r="E651" s="48" t="s">
        <v>417</v>
      </c>
      <c r="F651" s="48" t="s">
        <v>280</v>
      </c>
      <c r="G651" s="48" t="s">
        <v>298</v>
      </c>
      <c r="H651" s="48" t="s">
        <v>62</v>
      </c>
      <c r="I651" s="48" t="s">
        <v>113</v>
      </c>
      <c r="J651" s="49">
        <v>22</v>
      </c>
      <c r="K651" s="50">
        <v>1740</v>
      </c>
      <c r="L651" s="50">
        <v>1682.62</v>
      </c>
      <c r="M651" s="48" t="s">
        <v>276</v>
      </c>
      <c r="N651" s="51">
        <v>1</v>
      </c>
      <c r="O651" s="51">
        <v>1</v>
      </c>
      <c r="P651" s="52">
        <v>1484.8</v>
      </c>
      <c r="Q651" s="52">
        <v>1484.8</v>
      </c>
      <c r="R651" s="53" t="str">
        <f>INDEX(SKU_Master!$D$5:$D$34,MATCH($I651,SKU_Master!$A$5:$A$34,0))</f>
        <v>Laptop</v>
      </c>
      <c r="S651" s="54">
        <f t="shared" si="140"/>
        <v>3.2977011494252917E-2</v>
      </c>
      <c r="T651" s="55">
        <f t="shared" si="141"/>
        <v>38280</v>
      </c>
      <c r="U651" s="55">
        <f t="shared" si="142"/>
        <v>37017.64</v>
      </c>
      <c r="V651" s="55">
        <f t="shared" si="143"/>
        <v>-1262.3600000000006</v>
      </c>
      <c r="W651" s="55">
        <f t="shared" si="144"/>
        <v>37017.64</v>
      </c>
      <c r="X651" s="55">
        <f t="shared" si="145"/>
        <v>0</v>
      </c>
      <c r="Y651" s="55">
        <f t="shared" si="146"/>
        <v>32665.599999999999</v>
      </c>
      <c r="Z651" s="55">
        <f t="shared" si="147"/>
        <v>32665.599999999999</v>
      </c>
      <c r="AA651" s="55">
        <f t="shared" si="148"/>
        <v>0</v>
      </c>
      <c r="AB651" s="55">
        <f t="shared" si="149"/>
        <v>4352.0400000000009</v>
      </c>
      <c r="AC651" s="54">
        <f t="shared" si="150"/>
        <v>0.11756665200698913</v>
      </c>
      <c r="AD651" s="56">
        <f>INDEX(Assumptions!$B$14:$B$16,MATCH($R651,Assumptions!$A$14:$A$16,0))</f>
        <v>0.12</v>
      </c>
      <c r="AE651" s="56">
        <f>INDEX(Assumptions!$C$14:$C$16,MATCH($R651,Assumptions!$A$14:$A$16,0))</f>
        <v>0.08</v>
      </c>
      <c r="AF651" s="49">
        <f t="shared" si="151"/>
        <v>0</v>
      </c>
      <c r="AG651" s="49">
        <f t="shared" si="152"/>
        <v>0</v>
      </c>
      <c r="AH651" s="55">
        <f t="shared" si="153"/>
        <v>90.076799999998912</v>
      </c>
    </row>
    <row r="652" spans="1:34" x14ac:dyDescent="0.2">
      <c r="A652" s="48" t="s">
        <v>723</v>
      </c>
      <c r="B652" s="48">
        <v>2</v>
      </c>
      <c r="C652" s="48" t="s">
        <v>678</v>
      </c>
      <c r="D652" s="48" t="s">
        <v>636</v>
      </c>
      <c r="E652" s="48" t="s">
        <v>417</v>
      </c>
      <c r="F652" s="48" t="s">
        <v>280</v>
      </c>
      <c r="G652" s="48" t="s">
        <v>298</v>
      </c>
      <c r="H652" s="48" t="s">
        <v>62</v>
      </c>
      <c r="I652" s="48" t="s">
        <v>161</v>
      </c>
      <c r="J652" s="49">
        <v>19</v>
      </c>
      <c r="K652" s="50">
        <v>120</v>
      </c>
      <c r="L652" s="50">
        <v>118.13</v>
      </c>
      <c r="M652" s="48" t="s">
        <v>276</v>
      </c>
      <c r="N652" s="51">
        <v>1</v>
      </c>
      <c r="O652" s="51">
        <v>1</v>
      </c>
      <c r="P652" s="52">
        <v>76</v>
      </c>
      <c r="Q652" s="52">
        <v>76</v>
      </c>
      <c r="R652" s="53" t="str">
        <f>INDEX(SKU_Master!$D$5:$D$34,MATCH($I652,SKU_Master!$A$5:$A$34,0))</f>
        <v>Accessory</v>
      </c>
      <c r="S652" s="54">
        <f t="shared" si="140"/>
        <v>1.5583333333333393E-2</v>
      </c>
      <c r="T652" s="55">
        <f t="shared" si="141"/>
        <v>2280</v>
      </c>
      <c r="U652" s="55">
        <f t="shared" si="142"/>
        <v>2244.4699999999998</v>
      </c>
      <c r="V652" s="55">
        <f t="shared" si="143"/>
        <v>-35.5300000000002</v>
      </c>
      <c r="W652" s="55">
        <f t="shared" si="144"/>
        <v>2244.4699999999998</v>
      </c>
      <c r="X652" s="55">
        <f t="shared" si="145"/>
        <v>0</v>
      </c>
      <c r="Y652" s="55">
        <f t="shared" si="146"/>
        <v>1444</v>
      </c>
      <c r="Z652" s="55">
        <f t="shared" si="147"/>
        <v>1444</v>
      </c>
      <c r="AA652" s="55">
        <f t="shared" si="148"/>
        <v>0</v>
      </c>
      <c r="AB652" s="55">
        <f t="shared" si="149"/>
        <v>800.4699999999998</v>
      </c>
      <c r="AC652" s="54">
        <f t="shared" si="150"/>
        <v>0.35664098874121725</v>
      </c>
      <c r="AD652" s="56">
        <f>INDEX(Assumptions!$B$14:$B$16,MATCH($R652,Assumptions!$A$14:$A$16,0))</f>
        <v>0.32</v>
      </c>
      <c r="AE652" s="56">
        <f>INDEX(Assumptions!$C$14:$C$16,MATCH($R652,Assumptions!$A$14:$A$16,0))</f>
        <v>0.22</v>
      </c>
      <c r="AF652" s="49">
        <f t="shared" si="151"/>
        <v>0</v>
      </c>
      <c r="AG652" s="49">
        <f t="shared" si="152"/>
        <v>0</v>
      </c>
      <c r="AH652" s="55">
        <f t="shared" si="153"/>
        <v>0</v>
      </c>
    </row>
    <row r="653" spans="1:34" x14ac:dyDescent="0.2">
      <c r="A653" s="48" t="s">
        <v>724</v>
      </c>
      <c r="B653" s="48">
        <v>1</v>
      </c>
      <c r="C653" s="48" t="s">
        <v>668</v>
      </c>
      <c r="D653" s="48" t="s">
        <v>636</v>
      </c>
      <c r="E653" s="48" t="s">
        <v>317</v>
      </c>
      <c r="F653" s="48" t="s">
        <v>280</v>
      </c>
      <c r="G653" s="48" t="s">
        <v>306</v>
      </c>
      <c r="H653" s="48" t="s">
        <v>62</v>
      </c>
      <c r="I653" s="48" t="s">
        <v>93</v>
      </c>
      <c r="J653" s="49">
        <v>21</v>
      </c>
      <c r="K653" s="50">
        <v>1390</v>
      </c>
      <c r="L653" s="50">
        <v>1359.93</v>
      </c>
      <c r="M653" s="48" t="s">
        <v>276</v>
      </c>
      <c r="N653" s="51">
        <v>1</v>
      </c>
      <c r="O653" s="51">
        <v>1</v>
      </c>
      <c r="P653" s="52">
        <v>1186.2</v>
      </c>
      <c r="Q653" s="52">
        <v>1186.2</v>
      </c>
      <c r="R653" s="53" t="str">
        <f>INDEX(SKU_Master!$D$5:$D$34,MATCH($I653,SKU_Master!$A$5:$A$34,0))</f>
        <v>Laptop</v>
      </c>
      <c r="S653" s="54">
        <f t="shared" si="140"/>
        <v>2.1633093525179836E-2</v>
      </c>
      <c r="T653" s="55">
        <f t="shared" si="141"/>
        <v>29190</v>
      </c>
      <c r="U653" s="55">
        <f t="shared" si="142"/>
        <v>28558.530000000002</v>
      </c>
      <c r="V653" s="55">
        <f t="shared" si="143"/>
        <v>-631.46999999999753</v>
      </c>
      <c r="W653" s="55">
        <f t="shared" si="144"/>
        <v>28558.530000000002</v>
      </c>
      <c r="X653" s="55">
        <f t="shared" si="145"/>
        <v>0</v>
      </c>
      <c r="Y653" s="55">
        <f t="shared" si="146"/>
        <v>24910.2</v>
      </c>
      <c r="Z653" s="55">
        <f t="shared" si="147"/>
        <v>24910.2</v>
      </c>
      <c r="AA653" s="55">
        <f t="shared" si="148"/>
        <v>0</v>
      </c>
      <c r="AB653" s="55">
        <f t="shared" si="149"/>
        <v>3648.3300000000017</v>
      </c>
      <c r="AC653" s="54">
        <f t="shared" si="150"/>
        <v>0.1277492223864464</v>
      </c>
      <c r="AD653" s="56">
        <f>INDEX(Assumptions!$B$14:$B$16,MATCH($R653,Assumptions!$A$14:$A$16,0))</f>
        <v>0.12</v>
      </c>
      <c r="AE653" s="56">
        <f>INDEX(Assumptions!$C$14:$C$16,MATCH($R653,Assumptions!$A$14:$A$16,0))</f>
        <v>0.08</v>
      </c>
      <c r="AF653" s="49">
        <f t="shared" si="151"/>
        <v>0</v>
      </c>
      <c r="AG653" s="49">
        <f t="shared" si="152"/>
        <v>0</v>
      </c>
      <c r="AH653" s="55">
        <f t="shared" si="153"/>
        <v>0</v>
      </c>
    </row>
    <row r="654" spans="1:34" x14ac:dyDescent="0.2">
      <c r="A654" s="48" t="s">
        <v>724</v>
      </c>
      <c r="B654" s="48">
        <v>2</v>
      </c>
      <c r="C654" s="48" t="s">
        <v>668</v>
      </c>
      <c r="D654" s="48" t="s">
        <v>636</v>
      </c>
      <c r="E654" s="48" t="s">
        <v>317</v>
      </c>
      <c r="F654" s="48" t="s">
        <v>280</v>
      </c>
      <c r="G654" s="48" t="s">
        <v>306</v>
      </c>
      <c r="H654" s="48" t="s">
        <v>62</v>
      </c>
      <c r="I654" s="48" t="s">
        <v>138</v>
      </c>
      <c r="J654" s="49">
        <v>16</v>
      </c>
      <c r="K654" s="50">
        <v>455</v>
      </c>
      <c r="L654" s="50">
        <v>447.42</v>
      </c>
      <c r="M654" s="48" t="s">
        <v>276</v>
      </c>
      <c r="N654" s="51">
        <v>1</v>
      </c>
      <c r="O654" s="51">
        <v>1</v>
      </c>
      <c r="P654" s="52">
        <v>358.2</v>
      </c>
      <c r="Q654" s="52">
        <v>358.2</v>
      </c>
      <c r="R654" s="53" t="str">
        <f>INDEX(SKU_Master!$D$5:$D$34,MATCH($I654,SKU_Master!$A$5:$A$34,0))</f>
        <v>Monitor</v>
      </c>
      <c r="S654" s="54">
        <f t="shared" si="140"/>
        <v>1.6659340659340605E-2</v>
      </c>
      <c r="T654" s="55">
        <f t="shared" si="141"/>
        <v>7280</v>
      </c>
      <c r="U654" s="55">
        <f t="shared" si="142"/>
        <v>7158.72</v>
      </c>
      <c r="V654" s="55">
        <f t="shared" si="143"/>
        <v>-121.27999999999975</v>
      </c>
      <c r="W654" s="55">
        <f t="shared" si="144"/>
        <v>7158.72</v>
      </c>
      <c r="X654" s="55">
        <f t="shared" si="145"/>
        <v>0</v>
      </c>
      <c r="Y654" s="55">
        <f t="shared" si="146"/>
        <v>5731.2</v>
      </c>
      <c r="Z654" s="55">
        <f t="shared" si="147"/>
        <v>5731.2</v>
      </c>
      <c r="AA654" s="55">
        <f t="shared" si="148"/>
        <v>0</v>
      </c>
      <c r="AB654" s="55">
        <f t="shared" si="149"/>
        <v>1427.5200000000004</v>
      </c>
      <c r="AC654" s="54">
        <f t="shared" si="150"/>
        <v>0.19940995038219128</v>
      </c>
      <c r="AD654" s="56">
        <f>INDEX(Assumptions!$B$14:$B$16,MATCH($R654,Assumptions!$A$14:$A$16,0))</f>
        <v>0.18</v>
      </c>
      <c r="AE654" s="56">
        <f>INDEX(Assumptions!$C$14:$C$16,MATCH($R654,Assumptions!$A$14:$A$16,0))</f>
        <v>0.12</v>
      </c>
      <c r="AF654" s="49">
        <f t="shared" si="151"/>
        <v>0</v>
      </c>
      <c r="AG654" s="49">
        <f t="shared" si="152"/>
        <v>0</v>
      </c>
      <c r="AH654" s="55">
        <f t="shared" si="153"/>
        <v>0</v>
      </c>
    </row>
    <row r="655" spans="1:34" x14ac:dyDescent="0.2">
      <c r="A655" s="48" t="s">
        <v>724</v>
      </c>
      <c r="B655" s="48">
        <v>3</v>
      </c>
      <c r="C655" s="48" t="s">
        <v>668</v>
      </c>
      <c r="D655" s="48" t="s">
        <v>636</v>
      </c>
      <c r="E655" s="48" t="s">
        <v>317</v>
      </c>
      <c r="F655" s="48" t="s">
        <v>280</v>
      </c>
      <c r="G655" s="48" t="s">
        <v>306</v>
      </c>
      <c r="H655" s="48" t="s">
        <v>62</v>
      </c>
      <c r="I655" s="48" t="s">
        <v>151</v>
      </c>
      <c r="J655" s="49">
        <v>17</v>
      </c>
      <c r="K655" s="50">
        <v>335</v>
      </c>
      <c r="L655" s="50">
        <v>330.14</v>
      </c>
      <c r="M655" s="48" t="s">
        <v>276</v>
      </c>
      <c r="N655" s="51">
        <v>1</v>
      </c>
      <c r="O655" s="51">
        <v>1</v>
      </c>
      <c r="P655" s="52">
        <v>216.7</v>
      </c>
      <c r="Q655" s="52">
        <v>216.7</v>
      </c>
      <c r="R655" s="53" t="str">
        <f>INDEX(SKU_Master!$D$5:$D$34,MATCH($I655,SKU_Master!$A$5:$A$34,0))</f>
        <v>Accessory</v>
      </c>
      <c r="S655" s="54">
        <f t="shared" si="140"/>
        <v>1.4507462686567218E-2</v>
      </c>
      <c r="T655" s="55">
        <f t="shared" si="141"/>
        <v>5695</v>
      </c>
      <c r="U655" s="55">
        <f t="shared" si="142"/>
        <v>5612.38</v>
      </c>
      <c r="V655" s="55">
        <f t="shared" si="143"/>
        <v>-82.619999999999891</v>
      </c>
      <c r="W655" s="55">
        <f t="shared" si="144"/>
        <v>5612.38</v>
      </c>
      <c r="X655" s="55">
        <f t="shared" si="145"/>
        <v>0</v>
      </c>
      <c r="Y655" s="55">
        <f t="shared" si="146"/>
        <v>3683.8999999999996</v>
      </c>
      <c r="Z655" s="55">
        <f t="shared" si="147"/>
        <v>3683.8999999999996</v>
      </c>
      <c r="AA655" s="55">
        <f t="shared" si="148"/>
        <v>0</v>
      </c>
      <c r="AB655" s="55">
        <f t="shared" si="149"/>
        <v>1928.4800000000005</v>
      </c>
      <c r="AC655" s="54">
        <f t="shared" si="150"/>
        <v>0.34361180105409833</v>
      </c>
      <c r="AD655" s="56">
        <f>INDEX(Assumptions!$B$14:$B$16,MATCH($R655,Assumptions!$A$14:$A$16,0))</f>
        <v>0.32</v>
      </c>
      <c r="AE655" s="56">
        <f>INDEX(Assumptions!$C$14:$C$16,MATCH($R655,Assumptions!$A$14:$A$16,0))</f>
        <v>0.22</v>
      </c>
      <c r="AF655" s="49">
        <f t="shared" si="151"/>
        <v>0</v>
      </c>
      <c r="AG655" s="49">
        <f t="shared" si="152"/>
        <v>0</v>
      </c>
      <c r="AH655" s="55">
        <f t="shared" si="153"/>
        <v>0</v>
      </c>
    </row>
    <row r="656" spans="1:34" x14ac:dyDescent="0.2">
      <c r="A656" s="48" t="s">
        <v>725</v>
      </c>
      <c r="B656" s="48">
        <v>1</v>
      </c>
      <c r="C656" s="48" t="s">
        <v>726</v>
      </c>
      <c r="D656" s="48" t="s">
        <v>636</v>
      </c>
      <c r="E656" s="48" t="s">
        <v>273</v>
      </c>
      <c r="F656" s="48" t="s">
        <v>274</v>
      </c>
      <c r="G656" s="48" t="s">
        <v>275</v>
      </c>
      <c r="H656" s="48" t="s">
        <v>66</v>
      </c>
      <c r="I656" s="48" t="s">
        <v>93</v>
      </c>
      <c r="J656" s="49">
        <v>3</v>
      </c>
      <c r="K656" s="50">
        <v>1325</v>
      </c>
      <c r="L656" s="50">
        <v>1323.86</v>
      </c>
      <c r="M656" s="48" t="s">
        <v>276</v>
      </c>
      <c r="N656" s="51">
        <v>0.92</v>
      </c>
      <c r="O656" s="51">
        <v>0.91800000000000004</v>
      </c>
      <c r="P656" s="52">
        <v>1206.2</v>
      </c>
      <c r="Q656" s="52">
        <v>1206.2</v>
      </c>
      <c r="R656" s="53" t="str">
        <f>INDEX(SKU_Master!$D$5:$D$34,MATCH($I656,SKU_Master!$A$5:$A$34,0))</f>
        <v>Laptop</v>
      </c>
      <c r="S656" s="54">
        <f t="shared" si="140"/>
        <v>8.6037735849064934E-4</v>
      </c>
      <c r="T656" s="55">
        <f t="shared" si="141"/>
        <v>4320.652173913043</v>
      </c>
      <c r="U656" s="55">
        <f t="shared" si="142"/>
        <v>4316.9347826086951</v>
      </c>
      <c r="V656" s="55">
        <f t="shared" si="143"/>
        <v>-3.7173913043479843</v>
      </c>
      <c r="W656" s="55">
        <f t="shared" si="144"/>
        <v>4326.3398692810451</v>
      </c>
      <c r="X656" s="55">
        <f t="shared" si="145"/>
        <v>9.4050866723500803</v>
      </c>
      <c r="Y656" s="55">
        <f t="shared" si="146"/>
        <v>3618.6000000000004</v>
      </c>
      <c r="Z656" s="55">
        <f t="shared" si="147"/>
        <v>3618.6000000000004</v>
      </c>
      <c r="AA656" s="55">
        <f t="shared" si="148"/>
        <v>0</v>
      </c>
      <c r="AB656" s="55">
        <f t="shared" si="149"/>
        <v>707.73986928104478</v>
      </c>
      <c r="AC656" s="54">
        <f t="shared" si="150"/>
        <v>0.16358859698155373</v>
      </c>
      <c r="AD656" s="56">
        <f>INDEX(Assumptions!$B$14:$B$16,MATCH($R656,Assumptions!$A$14:$A$16,0))</f>
        <v>0.12</v>
      </c>
      <c r="AE656" s="56">
        <f>INDEX(Assumptions!$C$14:$C$16,MATCH($R656,Assumptions!$A$14:$A$16,0))</f>
        <v>0.08</v>
      </c>
      <c r="AF656" s="49">
        <f t="shared" si="151"/>
        <v>0</v>
      </c>
      <c r="AG656" s="49">
        <f t="shared" si="152"/>
        <v>0</v>
      </c>
      <c r="AH656" s="55">
        <f t="shared" si="153"/>
        <v>0</v>
      </c>
    </row>
    <row r="657" spans="1:34" x14ac:dyDescent="0.2">
      <c r="A657" s="48" t="s">
        <v>725</v>
      </c>
      <c r="B657" s="48">
        <v>2</v>
      </c>
      <c r="C657" s="48" t="s">
        <v>726</v>
      </c>
      <c r="D657" s="48" t="s">
        <v>636</v>
      </c>
      <c r="E657" s="48" t="s">
        <v>273</v>
      </c>
      <c r="F657" s="48" t="s">
        <v>274</v>
      </c>
      <c r="G657" s="48" t="s">
        <v>275</v>
      </c>
      <c r="H657" s="48" t="s">
        <v>66</v>
      </c>
      <c r="I657" s="48" t="s">
        <v>166</v>
      </c>
      <c r="J657" s="49">
        <v>3</v>
      </c>
      <c r="K657" s="50">
        <v>255</v>
      </c>
      <c r="L657" s="50">
        <v>250.7</v>
      </c>
      <c r="M657" s="48" t="s">
        <v>276</v>
      </c>
      <c r="N657" s="51">
        <v>0.92</v>
      </c>
      <c r="O657" s="51">
        <v>0.91800000000000004</v>
      </c>
      <c r="P657" s="52">
        <v>174.35</v>
      </c>
      <c r="Q657" s="52">
        <v>174.35</v>
      </c>
      <c r="R657" s="53" t="str">
        <f>INDEX(SKU_Master!$D$5:$D$34,MATCH($I657,SKU_Master!$A$5:$A$34,0))</f>
        <v>Accessory</v>
      </c>
      <c r="S657" s="54">
        <f t="shared" si="140"/>
        <v>1.6862745098039311E-2</v>
      </c>
      <c r="T657" s="55">
        <f t="shared" si="141"/>
        <v>831.52173913043475</v>
      </c>
      <c r="U657" s="55">
        <f t="shared" si="142"/>
        <v>817.49999999999989</v>
      </c>
      <c r="V657" s="55">
        <f t="shared" si="143"/>
        <v>-14.021739130434867</v>
      </c>
      <c r="W657" s="55">
        <f t="shared" si="144"/>
        <v>819.28104575163388</v>
      </c>
      <c r="X657" s="55">
        <f t="shared" si="145"/>
        <v>1.7810457516339966</v>
      </c>
      <c r="Y657" s="55">
        <f t="shared" si="146"/>
        <v>523.04999999999995</v>
      </c>
      <c r="Z657" s="55">
        <f t="shared" si="147"/>
        <v>523.04999999999995</v>
      </c>
      <c r="AA657" s="55">
        <f t="shared" si="148"/>
        <v>0</v>
      </c>
      <c r="AB657" s="55">
        <f t="shared" si="149"/>
        <v>296.23104575163393</v>
      </c>
      <c r="AC657" s="54">
        <f t="shared" si="150"/>
        <v>0.36157439170323091</v>
      </c>
      <c r="AD657" s="56">
        <f>INDEX(Assumptions!$B$14:$B$16,MATCH($R657,Assumptions!$A$14:$A$16,0))</f>
        <v>0.32</v>
      </c>
      <c r="AE657" s="56">
        <f>INDEX(Assumptions!$C$14:$C$16,MATCH($R657,Assumptions!$A$14:$A$16,0))</f>
        <v>0.22</v>
      </c>
      <c r="AF657" s="49">
        <f t="shared" si="151"/>
        <v>0</v>
      </c>
      <c r="AG657" s="49">
        <f t="shared" si="152"/>
        <v>0</v>
      </c>
      <c r="AH657" s="55">
        <f t="shared" si="153"/>
        <v>0</v>
      </c>
    </row>
    <row r="658" spans="1:34" x14ac:dyDescent="0.2">
      <c r="A658" s="48" t="s">
        <v>727</v>
      </c>
      <c r="B658" s="48">
        <v>1</v>
      </c>
      <c r="C658" s="48" t="s">
        <v>675</v>
      </c>
      <c r="D658" s="48" t="s">
        <v>636</v>
      </c>
      <c r="E658" s="48" t="s">
        <v>362</v>
      </c>
      <c r="F658" s="48" t="s">
        <v>280</v>
      </c>
      <c r="G658" s="48" t="s">
        <v>275</v>
      </c>
      <c r="H658" s="48" t="s">
        <v>62</v>
      </c>
      <c r="I658" s="48" t="s">
        <v>101</v>
      </c>
      <c r="J658" s="49">
        <v>6</v>
      </c>
      <c r="K658" s="50">
        <v>3440</v>
      </c>
      <c r="L658" s="50">
        <v>3384.77</v>
      </c>
      <c r="M658" s="48" t="s">
        <v>276</v>
      </c>
      <c r="N658" s="51">
        <v>1</v>
      </c>
      <c r="O658" s="51">
        <v>1</v>
      </c>
      <c r="P658" s="52">
        <v>2938.5</v>
      </c>
      <c r="Q658" s="52">
        <v>2938.5</v>
      </c>
      <c r="R658" s="53" t="str">
        <f>INDEX(SKU_Master!$D$5:$D$34,MATCH($I658,SKU_Master!$A$5:$A$34,0))</f>
        <v>Laptop</v>
      </c>
      <c r="S658" s="54">
        <f t="shared" si="140"/>
        <v>1.6055232558139565E-2</v>
      </c>
      <c r="T658" s="55">
        <f t="shared" si="141"/>
        <v>20640</v>
      </c>
      <c r="U658" s="55">
        <f t="shared" si="142"/>
        <v>20308.62</v>
      </c>
      <c r="V658" s="55">
        <f t="shared" si="143"/>
        <v>-331.38000000000102</v>
      </c>
      <c r="W658" s="55">
        <f t="shared" si="144"/>
        <v>20308.62</v>
      </c>
      <c r="X658" s="55">
        <f t="shared" si="145"/>
        <v>0</v>
      </c>
      <c r="Y658" s="55">
        <f t="shared" si="146"/>
        <v>17631</v>
      </c>
      <c r="Z658" s="55">
        <f t="shared" si="147"/>
        <v>17631</v>
      </c>
      <c r="AA658" s="55">
        <f t="shared" si="148"/>
        <v>0</v>
      </c>
      <c r="AB658" s="55">
        <f t="shared" si="149"/>
        <v>2677.619999999999</v>
      </c>
      <c r="AC658" s="54">
        <f t="shared" si="150"/>
        <v>0.13184647701320912</v>
      </c>
      <c r="AD658" s="56">
        <f>INDEX(Assumptions!$B$14:$B$16,MATCH($R658,Assumptions!$A$14:$A$16,0))</f>
        <v>0.12</v>
      </c>
      <c r="AE658" s="56">
        <f>INDEX(Assumptions!$C$14:$C$16,MATCH($R658,Assumptions!$A$14:$A$16,0))</f>
        <v>0.08</v>
      </c>
      <c r="AF658" s="49">
        <f t="shared" si="151"/>
        <v>0</v>
      </c>
      <c r="AG658" s="49">
        <f t="shared" si="152"/>
        <v>0</v>
      </c>
      <c r="AH658" s="55">
        <f t="shared" si="153"/>
        <v>0</v>
      </c>
    </row>
    <row r="659" spans="1:34" x14ac:dyDescent="0.2">
      <c r="A659" s="48" t="s">
        <v>727</v>
      </c>
      <c r="B659" s="48">
        <v>2</v>
      </c>
      <c r="C659" s="48" t="s">
        <v>675</v>
      </c>
      <c r="D659" s="48" t="s">
        <v>636</v>
      </c>
      <c r="E659" s="48" t="s">
        <v>362</v>
      </c>
      <c r="F659" s="48" t="s">
        <v>280</v>
      </c>
      <c r="G659" s="48" t="s">
        <v>275</v>
      </c>
      <c r="H659" s="48" t="s">
        <v>62</v>
      </c>
      <c r="I659" s="48" t="s">
        <v>177</v>
      </c>
      <c r="J659" s="49">
        <v>2</v>
      </c>
      <c r="K659" s="50">
        <v>70</v>
      </c>
      <c r="L659" s="50">
        <v>67.27</v>
      </c>
      <c r="M659" s="48" t="s">
        <v>276</v>
      </c>
      <c r="N659" s="51">
        <v>1</v>
      </c>
      <c r="O659" s="51">
        <v>1</v>
      </c>
      <c r="P659" s="52">
        <v>44</v>
      </c>
      <c r="Q659" s="52">
        <v>44</v>
      </c>
      <c r="R659" s="53" t="str">
        <f>INDEX(SKU_Master!$D$5:$D$34,MATCH($I659,SKU_Master!$A$5:$A$34,0))</f>
        <v>Accessory</v>
      </c>
      <c r="S659" s="54">
        <f t="shared" si="140"/>
        <v>3.9000000000000035E-2</v>
      </c>
      <c r="T659" s="55">
        <f t="shared" si="141"/>
        <v>140</v>
      </c>
      <c r="U659" s="55">
        <f t="shared" si="142"/>
        <v>134.54</v>
      </c>
      <c r="V659" s="55">
        <f t="shared" si="143"/>
        <v>-5.460000000000008</v>
      </c>
      <c r="W659" s="55">
        <f t="shared" si="144"/>
        <v>134.54</v>
      </c>
      <c r="X659" s="55">
        <f t="shared" si="145"/>
        <v>0</v>
      </c>
      <c r="Y659" s="55">
        <f t="shared" si="146"/>
        <v>88</v>
      </c>
      <c r="Z659" s="55">
        <f t="shared" si="147"/>
        <v>88</v>
      </c>
      <c r="AA659" s="55">
        <f t="shared" si="148"/>
        <v>0</v>
      </c>
      <c r="AB659" s="55">
        <f t="shared" si="149"/>
        <v>46.539999999999992</v>
      </c>
      <c r="AC659" s="54">
        <f t="shared" si="150"/>
        <v>0.34591942916604723</v>
      </c>
      <c r="AD659" s="56">
        <f>INDEX(Assumptions!$B$14:$B$16,MATCH($R659,Assumptions!$A$14:$A$16,0))</f>
        <v>0.32</v>
      </c>
      <c r="AE659" s="56">
        <f>INDEX(Assumptions!$C$14:$C$16,MATCH($R659,Assumptions!$A$14:$A$16,0))</f>
        <v>0.22</v>
      </c>
      <c r="AF659" s="49">
        <f t="shared" si="151"/>
        <v>0</v>
      </c>
      <c r="AG659" s="49">
        <f t="shared" si="152"/>
        <v>0</v>
      </c>
      <c r="AH659" s="55">
        <f t="shared" si="153"/>
        <v>0</v>
      </c>
    </row>
    <row r="660" spans="1:34" x14ac:dyDescent="0.2">
      <c r="A660" s="48" t="s">
        <v>728</v>
      </c>
      <c r="B660" s="48">
        <v>1</v>
      </c>
      <c r="C660" s="48" t="s">
        <v>659</v>
      </c>
      <c r="D660" s="48" t="s">
        <v>636</v>
      </c>
      <c r="E660" s="48" t="s">
        <v>410</v>
      </c>
      <c r="F660" s="48" t="s">
        <v>297</v>
      </c>
      <c r="G660" s="48" t="s">
        <v>302</v>
      </c>
      <c r="H660" s="48" t="s">
        <v>64</v>
      </c>
      <c r="I660" s="48" t="s">
        <v>98</v>
      </c>
      <c r="J660" s="49">
        <v>24</v>
      </c>
      <c r="K660" s="50">
        <v>1705</v>
      </c>
      <c r="L660" s="50">
        <v>1618.66</v>
      </c>
      <c r="M660" s="48" t="s">
        <v>276</v>
      </c>
      <c r="N660" s="51">
        <v>0.79</v>
      </c>
      <c r="O660" s="51">
        <v>0.79100000000000004</v>
      </c>
      <c r="P660" s="52">
        <v>1804.2</v>
      </c>
      <c r="Q660" s="52">
        <v>1804.2</v>
      </c>
      <c r="R660" s="53" t="str">
        <f>INDEX(SKU_Master!$D$5:$D$34,MATCH($I660,SKU_Master!$A$5:$A$34,0))</f>
        <v>Laptop</v>
      </c>
      <c r="S660" s="54">
        <f t="shared" si="140"/>
        <v>5.0639296187683258E-2</v>
      </c>
      <c r="T660" s="55">
        <f t="shared" si="141"/>
        <v>51797.468354430377</v>
      </c>
      <c r="U660" s="55">
        <f t="shared" si="142"/>
        <v>49174.481012658231</v>
      </c>
      <c r="V660" s="55">
        <f t="shared" si="143"/>
        <v>-2622.9873417721465</v>
      </c>
      <c r="W660" s="55">
        <f t="shared" si="144"/>
        <v>49112.313527180784</v>
      </c>
      <c r="X660" s="55">
        <f t="shared" si="145"/>
        <v>-62.167485477446462</v>
      </c>
      <c r="Y660" s="55">
        <f t="shared" si="146"/>
        <v>43300.800000000003</v>
      </c>
      <c r="Z660" s="55">
        <f t="shared" si="147"/>
        <v>43300.800000000003</v>
      </c>
      <c r="AA660" s="55">
        <f t="shared" si="148"/>
        <v>0</v>
      </c>
      <c r="AB660" s="55">
        <f t="shared" si="149"/>
        <v>5811.5135271807812</v>
      </c>
      <c r="AC660" s="54">
        <f t="shared" si="150"/>
        <v>0.1183310886782894</v>
      </c>
      <c r="AD660" s="56">
        <f>INDEX(Assumptions!$B$14:$B$16,MATCH($R660,Assumptions!$A$14:$A$16,0))</f>
        <v>0.12</v>
      </c>
      <c r="AE660" s="56">
        <f>INDEX(Assumptions!$C$14:$C$16,MATCH($R660,Assumptions!$A$14:$A$16,0))</f>
        <v>0.08</v>
      </c>
      <c r="AF660" s="49">
        <f t="shared" si="151"/>
        <v>0</v>
      </c>
      <c r="AG660" s="49">
        <f t="shared" si="152"/>
        <v>0</v>
      </c>
      <c r="AH660" s="55">
        <f t="shared" si="153"/>
        <v>81.964096080912896</v>
      </c>
    </row>
    <row r="661" spans="1:34" x14ac:dyDescent="0.2">
      <c r="A661" s="48" t="s">
        <v>729</v>
      </c>
      <c r="B661" s="48">
        <v>1</v>
      </c>
      <c r="C661" s="48" t="s">
        <v>635</v>
      </c>
      <c r="D661" s="48" t="s">
        <v>636</v>
      </c>
      <c r="E661" s="48" t="s">
        <v>305</v>
      </c>
      <c r="F661" s="48" t="s">
        <v>274</v>
      </c>
      <c r="G661" s="48" t="s">
        <v>306</v>
      </c>
      <c r="H661" s="48" t="s">
        <v>62</v>
      </c>
      <c r="I661" s="48" t="s">
        <v>93</v>
      </c>
      <c r="J661" s="49">
        <v>2</v>
      </c>
      <c r="K661" s="50">
        <v>1390</v>
      </c>
      <c r="L661" s="50">
        <v>1388.42</v>
      </c>
      <c r="M661" s="48" t="s">
        <v>276</v>
      </c>
      <c r="N661" s="51">
        <v>1</v>
      </c>
      <c r="O661" s="51">
        <v>1</v>
      </c>
      <c r="P661" s="52">
        <v>1186.2</v>
      </c>
      <c r="Q661" s="52">
        <v>1186.2</v>
      </c>
      <c r="R661" s="53" t="str">
        <f>INDEX(SKU_Master!$D$5:$D$34,MATCH($I661,SKU_Master!$A$5:$A$34,0))</f>
        <v>Laptop</v>
      </c>
      <c r="S661" s="54">
        <f t="shared" si="140"/>
        <v>1.1366906474820082E-3</v>
      </c>
      <c r="T661" s="55">
        <f t="shared" si="141"/>
        <v>2780</v>
      </c>
      <c r="U661" s="55">
        <f t="shared" si="142"/>
        <v>2776.84</v>
      </c>
      <c r="V661" s="55">
        <f t="shared" si="143"/>
        <v>-3.1599999999998545</v>
      </c>
      <c r="W661" s="55">
        <f t="shared" si="144"/>
        <v>2776.84</v>
      </c>
      <c r="X661" s="55">
        <f t="shared" si="145"/>
        <v>0</v>
      </c>
      <c r="Y661" s="55">
        <f t="shared" si="146"/>
        <v>2372.4</v>
      </c>
      <c r="Z661" s="55">
        <f t="shared" si="147"/>
        <v>2372.4</v>
      </c>
      <c r="AA661" s="55">
        <f t="shared" si="148"/>
        <v>0</v>
      </c>
      <c r="AB661" s="55">
        <f t="shared" si="149"/>
        <v>404.44000000000005</v>
      </c>
      <c r="AC661" s="54">
        <f t="shared" si="150"/>
        <v>0.14564757061984127</v>
      </c>
      <c r="AD661" s="56">
        <f>INDEX(Assumptions!$B$14:$B$16,MATCH($R661,Assumptions!$A$14:$A$16,0))</f>
        <v>0.12</v>
      </c>
      <c r="AE661" s="56">
        <f>INDEX(Assumptions!$C$14:$C$16,MATCH($R661,Assumptions!$A$14:$A$16,0))</f>
        <v>0.08</v>
      </c>
      <c r="AF661" s="49">
        <f t="shared" si="151"/>
        <v>0</v>
      </c>
      <c r="AG661" s="49">
        <f t="shared" si="152"/>
        <v>0</v>
      </c>
      <c r="AH661" s="55">
        <f t="shared" si="153"/>
        <v>0</v>
      </c>
    </row>
    <row r="662" spans="1:34" x14ac:dyDescent="0.2">
      <c r="A662" s="48" t="s">
        <v>729</v>
      </c>
      <c r="B662" s="48">
        <v>2</v>
      </c>
      <c r="C662" s="48" t="s">
        <v>635</v>
      </c>
      <c r="D662" s="48" t="s">
        <v>636</v>
      </c>
      <c r="E662" s="48" t="s">
        <v>305</v>
      </c>
      <c r="F662" s="48" t="s">
        <v>274</v>
      </c>
      <c r="G662" s="48" t="s">
        <v>306</v>
      </c>
      <c r="H662" s="48" t="s">
        <v>62</v>
      </c>
      <c r="I662" s="48" t="s">
        <v>146</v>
      </c>
      <c r="J662" s="49">
        <v>1</v>
      </c>
      <c r="K662" s="50">
        <v>235</v>
      </c>
      <c r="L662" s="50">
        <v>230.38</v>
      </c>
      <c r="M662" s="48" t="s">
        <v>276</v>
      </c>
      <c r="N662" s="51">
        <v>1</v>
      </c>
      <c r="O662" s="51">
        <v>1</v>
      </c>
      <c r="P662" s="52">
        <v>181.8</v>
      </c>
      <c r="Q662" s="52">
        <v>181.8</v>
      </c>
      <c r="R662" s="53" t="str">
        <f>INDEX(SKU_Master!$D$5:$D$34,MATCH($I662,SKU_Master!$A$5:$A$34,0))</f>
        <v>Monitor</v>
      </c>
      <c r="S662" s="54">
        <f t="shared" si="140"/>
        <v>1.9659574468085084E-2</v>
      </c>
      <c r="T662" s="55">
        <f t="shared" si="141"/>
        <v>235</v>
      </c>
      <c r="U662" s="55">
        <f t="shared" si="142"/>
        <v>230.38</v>
      </c>
      <c r="V662" s="55">
        <f t="shared" si="143"/>
        <v>-4.6200000000000045</v>
      </c>
      <c r="W662" s="55">
        <f t="shared" si="144"/>
        <v>230.38</v>
      </c>
      <c r="X662" s="55">
        <f t="shared" si="145"/>
        <v>0</v>
      </c>
      <c r="Y662" s="55">
        <f t="shared" si="146"/>
        <v>181.8</v>
      </c>
      <c r="Z662" s="55">
        <f t="shared" si="147"/>
        <v>181.8</v>
      </c>
      <c r="AA662" s="55">
        <f t="shared" si="148"/>
        <v>0</v>
      </c>
      <c r="AB662" s="55">
        <f t="shared" si="149"/>
        <v>48.579999999999984</v>
      </c>
      <c r="AC662" s="54">
        <f t="shared" si="150"/>
        <v>0.21086899904505593</v>
      </c>
      <c r="AD662" s="56">
        <f>INDEX(Assumptions!$B$14:$B$16,MATCH($R662,Assumptions!$A$14:$A$16,0))</f>
        <v>0.18</v>
      </c>
      <c r="AE662" s="56">
        <f>INDEX(Assumptions!$C$14:$C$16,MATCH($R662,Assumptions!$A$14:$A$16,0))</f>
        <v>0.12</v>
      </c>
      <c r="AF662" s="49">
        <f t="shared" si="151"/>
        <v>0</v>
      </c>
      <c r="AG662" s="49">
        <f t="shared" si="152"/>
        <v>0</v>
      </c>
      <c r="AH662" s="55">
        <f t="shared" si="153"/>
        <v>0</v>
      </c>
    </row>
    <row r="663" spans="1:34" x14ac:dyDescent="0.2">
      <c r="A663" s="48" t="s">
        <v>729</v>
      </c>
      <c r="B663" s="48">
        <v>3</v>
      </c>
      <c r="C663" s="48" t="s">
        <v>635</v>
      </c>
      <c r="D663" s="48" t="s">
        <v>636</v>
      </c>
      <c r="E663" s="48" t="s">
        <v>305</v>
      </c>
      <c r="F663" s="48" t="s">
        <v>274</v>
      </c>
      <c r="G663" s="48" t="s">
        <v>306</v>
      </c>
      <c r="H663" s="48" t="s">
        <v>62</v>
      </c>
      <c r="I663" s="48" t="s">
        <v>177</v>
      </c>
      <c r="J663" s="49">
        <v>1</v>
      </c>
      <c r="K663" s="50">
        <v>70</v>
      </c>
      <c r="L663" s="50">
        <v>69</v>
      </c>
      <c r="M663" s="48" t="s">
        <v>276</v>
      </c>
      <c r="N663" s="51">
        <v>1</v>
      </c>
      <c r="O663" s="51">
        <v>1</v>
      </c>
      <c r="P663" s="52">
        <v>44</v>
      </c>
      <c r="Q663" s="52">
        <v>44</v>
      </c>
      <c r="R663" s="53" t="str">
        <f>INDEX(SKU_Master!$D$5:$D$34,MATCH($I663,SKU_Master!$A$5:$A$34,0))</f>
        <v>Accessory</v>
      </c>
      <c r="S663" s="54">
        <f t="shared" si="140"/>
        <v>1.4285714285714235E-2</v>
      </c>
      <c r="T663" s="55">
        <f t="shared" si="141"/>
        <v>70</v>
      </c>
      <c r="U663" s="55">
        <f t="shared" si="142"/>
        <v>69</v>
      </c>
      <c r="V663" s="55">
        <f t="shared" si="143"/>
        <v>-1</v>
      </c>
      <c r="W663" s="55">
        <f t="shared" si="144"/>
        <v>69</v>
      </c>
      <c r="X663" s="55">
        <f t="shared" si="145"/>
        <v>0</v>
      </c>
      <c r="Y663" s="55">
        <f t="shared" si="146"/>
        <v>44</v>
      </c>
      <c r="Z663" s="55">
        <f t="shared" si="147"/>
        <v>44</v>
      </c>
      <c r="AA663" s="55">
        <f t="shared" si="148"/>
        <v>0</v>
      </c>
      <c r="AB663" s="55">
        <f t="shared" si="149"/>
        <v>25</v>
      </c>
      <c r="AC663" s="54">
        <f t="shared" si="150"/>
        <v>0.36231884057971014</v>
      </c>
      <c r="AD663" s="56">
        <f>INDEX(Assumptions!$B$14:$B$16,MATCH($R663,Assumptions!$A$14:$A$16,0))</f>
        <v>0.32</v>
      </c>
      <c r="AE663" s="56">
        <f>INDEX(Assumptions!$C$14:$C$16,MATCH($R663,Assumptions!$A$14:$A$16,0))</f>
        <v>0.22</v>
      </c>
      <c r="AF663" s="49">
        <f t="shared" si="151"/>
        <v>0</v>
      </c>
      <c r="AG663" s="49">
        <f t="shared" si="152"/>
        <v>0</v>
      </c>
      <c r="AH663" s="55">
        <f t="shared" si="153"/>
        <v>0</v>
      </c>
    </row>
    <row r="664" spans="1:34" x14ac:dyDescent="0.2">
      <c r="A664" s="48" t="s">
        <v>730</v>
      </c>
      <c r="B664" s="48">
        <v>1</v>
      </c>
      <c r="C664" s="48" t="s">
        <v>644</v>
      </c>
      <c r="D664" s="48" t="s">
        <v>636</v>
      </c>
      <c r="E664" s="48" t="s">
        <v>498</v>
      </c>
      <c r="F664" s="48" t="s">
        <v>280</v>
      </c>
      <c r="G664" s="48" t="s">
        <v>302</v>
      </c>
      <c r="H664" s="48" t="s">
        <v>66</v>
      </c>
      <c r="I664" s="48" t="s">
        <v>93</v>
      </c>
      <c r="J664" s="49">
        <v>6</v>
      </c>
      <c r="K664" s="50">
        <v>1325</v>
      </c>
      <c r="L664" s="50">
        <v>1283.73</v>
      </c>
      <c r="M664" s="48" t="s">
        <v>276</v>
      </c>
      <c r="N664" s="51">
        <v>0.92</v>
      </c>
      <c r="O664" s="51">
        <v>0.91800000000000004</v>
      </c>
      <c r="P664" s="52">
        <v>1206.2</v>
      </c>
      <c r="Q664" s="52">
        <v>1206.2</v>
      </c>
      <c r="R664" s="53" t="str">
        <f>INDEX(SKU_Master!$D$5:$D$34,MATCH($I664,SKU_Master!$A$5:$A$34,0))</f>
        <v>Laptop</v>
      </c>
      <c r="S664" s="54">
        <f t="shared" si="140"/>
        <v>3.1147169811320707E-2</v>
      </c>
      <c r="T664" s="55">
        <f t="shared" si="141"/>
        <v>8641.3043478260861</v>
      </c>
      <c r="U664" s="55">
        <f t="shared" si="142"/>
        <v>8372.152173913044</v>
      </c>
      <c r="V664" s="55">
        <f t="shared" si="143"/>
        <v>-269.15217391304213</v>
      </c>
      <c r="W664" s="55">
        <f t="shared" si="144"/>
        <v>8390.3921568627447</v>
      </c>
      <c r="X664" s="55">
        <f t="shared" si="145"/>
        <v>18.239982949700789</v>
      </c>
      <c r="Y664" s="55">
        <f t="shared" si="146"/>
        <v>7237.2000000000007</v>
      </c>
      <c r="Z664" s="55">
        <f t="shared" si="147"/>
        <v>7237.2000000000007</v>
      </c>
      <c r="AA664" s="55">
        <f t="shared" si="148"/>
        <v>0</v>
      </c>
      <c r="AB664" s="55">
        <f t="shared" si="149"/>
        <v>1153.192156862744</v>
      </c>
      <c r="AC664" s="54">
        <f t="shared" si="150"/>
        <v>0.137441985464233</v>
      </c>
      <c r="AD664" s="56">
        <f>INDEX(Assumptions!$B$14:$B$16,MATCH($R664,Assumptions!$A$14:$A$16,0))</f>
        <v>0.12</v>
      </c>
      <c r="AE664" s="56">
        <f>INDEX(Assumptions!$C$14:$C$16,MATCH($R664,Assumptions!$A$14:$A$16,0))</f>
        <v>0.08</v>
      </c>
      <c r="AF664" s="49">
        <f t="shared" si="151"/>
        <v>0</v>
      </c>
      <c r="AG664" s="49">
        <f t="shared" si="152"/>
        <v>0</v>
      </c>
      <c r="AH664" s="55">
        <f t="shared" si="153"/>
        <v>0</v>
      </c>
    </row>
    <row r="665" spans="1:34" x14ac:dyDescent="0.2">
      <c r="A665" s="48" t="s">
        <v>730</v>
      </c>
      <c r="B665" s="48">
        <v>2</v>
      </c>
      <c r="C665" s="48" t="s">
        <v>644</v>
      </c>
      <c r="D665" s="48" t="s">
        <v>636</v>
      </c>
      <c r="E665" s="48" t="s">
        <v>498</v>
      </c>
      <c r="F665" s="48" t="s">
        <v>280</v>
      </c>
      <c r="G665" s="48" t="s">
        <v>302</v>
      </c>
      <c r="H665" s="48" t="s">
        <v>66</v>
      </c>
      <c r="I665" s="48" t="s">
        <v>166</v>
      </c>
      <c r="J665" s="49">
        <v>5</v>
      </c>
      <c r="K665" s="50">
        <v>255</v>
      </c>
      <c r="L665" s="50">
        <v>243.66</v>
      </c>
      <c r="M665" s="48" t="s">
        <v>276</v>
      </c>
      <c r="N665" s="51">
        <v>0.92</v>
      </c>
      <c r="O665" s="51">
        <v>0.91800000000000004</v>
      </c>
      <c r="P665" s="52">
        <v>174.35</v>
      </c>
      <c r="Q665" s="52">
        <v>174.35</v>
      </c>
      <c r="R665" s="53" t="str">
        <f>INDEX(SKU_Master!$D$5:$D$34,MATCH($I665,SKU_Master!$A$5:$A$34,0))</f>
        <v>Accessory</v>
      </c>
      <c r="S665" s="54">
        <f t="shared" si="140"/>
        <v>4.4470588235294151E-2</v>
      </c>
      <c r="T665" s="55">
        <f t="shared" si="141"/>
        <v>1385.8695652173913</v>
      </c>
      <c r="U665" s="55">
        <f t="shared" si="142"/>
        <v>1324.2391304347825</v>
      </c>
      <c r="V665" s="55">
        <f t="shared" si="143"/>
        <v>-61.630434782608745</v>
      </c>
      <c r="W665" s="55">
        <f t="shared" si="144"/>
        <v>1327.1241830065358</v>
      </c>
      <c r="X665" s="55">
        <f t="shared" si="145"/>
        <v>2.8850525717532491</v>
      </c>
      <c r="Y665" s="55">
        <f t="shared" si="146"/>
        <v>871.75</v>
      </c>
      <c r="Z665" s="55">
        <f t="shared" si="147"/>
        <v>871.75</v>
      </c>
      <c r="AA665" s="55">
        <f t="shared" si="148"/>
        <v>0</v>
      </c>
      <c r="AB665" s="55">
        <f t="shared" si="149"/>
        <v>455.37418300653576</v>
      </c>
      <c r="AC665" s="54">
        <f t="shared" si="150"/>
        <v>0.34312853976852981</v>
      </c>
      <c r="AD665" s="56">
        <f>INDEX(Assumptions!$B$14:$B$16,MATCH($R665,Assumptions!$A$14:$A$16,0))</f>
        <v>0.32</v>
      </c>
      <c r="AE665" s="56">
        <f>INDEX(Assumptions!$C$14:$C$16,MATCH($R665,Assumptions!$A$14:$A$16,0))</f>
        <v>0.22</v>
      </c>
      <c r="AF665" s="49">
        <f t="shared" si="151"/>
        <v>0</v>
      </c>
      <c r="AG665" s="49">
        <f t="shared" si="152"/>
        <v>0</v>
      </c>
      <c r="AH665" s="55">
        <f t="shared" si="153"/>
        <v>0</v>
      </c>
    </row>
    <row r="666" spans="1:34" x14ac:dyDescent="0.2">
      <c r="A666" s="48" t="s">
        <v>731</v>
      </c>
      <c r="B666" s="48">
        <v>1</v>
      </c>
      <c r="C666" s="48" t="s">
        <v>732</v>
      </c>
      <c r="D666" s="48" t="s">
        <v>636</v>
      </c>
      <c r="E666" s="48" t="s">
        <v>395</v>
      </c>
      <c r="F666" s="48" t="s">
        <v>280</v>
      </c>
      <c r="G666" s="48" t="s">
        <v>281</v>
      </c>
      <c r="H666" s="48" t="s">
        <v>66</v>
      </c>
      <c r="I666" s="48" t="s">
        <v>93</v>
      </c>
      <c r="J666" s="49">
        <v>6</v>
      </c>
      <c r="K666" s="50">
        <v>1325</v>
      </c>
      <c r="L666" s="50">
        <v>1288.23</v>
      </c>
      <c r="M666" s="48" t="s">
        <v>276</v>
      </c>
      <c r="N666" s="51">
        <v>0.92</v>
      </c>
      <c r="O666" s="51">
        <v>0.91800000000000004</v>
      </c>
      <c r="P666" s="52">
        <v>1206.2</v>
      </c>
      <c r="Q666" s="52">
        <v>1206.2</v>
      </c>
      <c r="R666" s="53" t="str">
        <f>INDEX(SKU_Master!$D$5:$D$34,MATCH($I666,SKU_Master!$A$5:$A$34,0))</f>
        <v>Laptop</v>
      </c>
      <c r="S666" s="54">
        <f t="shared" si="140"/>
        <v>2.7750943396226413E-2</v>
      </c>
      <c r="T666" s="55">
        <f t="shared" si="141"/>
        <v>8641.3043478260861</v>
      </c>
      <c r="U666" s="55">
        <f t="shared" si="142"/>
        <v>8401.5</v>
      </c>
      <c r="V666" s="55">
        <f t="shared" si="143"/>
        <v>-239.80434782608609</v>
      </c>
      <c r="W666" s="55">
        <f t="shared" si="144"/>
        <v>8419.8039215686276</v>
      </c>
      <c r="X666" s="55">
        <f t="shared" si="145"/>
        <v>18.303921568627629</v>
      </c>
      <c r="Y666" s="55">
        <f t="shared" si="146"/>
        <v>7237.2000000000007</v>
      </c>
      <c r="Z666" s="55">
        <f t="shared" si="147"/>
        <v>7237.2000000000007</v>
      </c>
      <c r="AA666" s="55">
        <f t="shared" si="148"/>
        <v>0</v>
      </c>
      <c r="AB666" s="55">
        <f t="shared" si="149"/>
        <v>1182.6039215686269</v>
      </c>
      <c r="AC666" s="54">
        <f t="shared" si="150"/>
        <v>0.14045504296592992</v>
      </c>
      <c r="AD666" s="56">
        <f>INDEX(Assumptions!$B$14:$B$16,MATCH($R666,Assumptions!$A$14:$A$16,0))</f>
        <v>0.12</v>
      </c>
      <c r="AE666" s="56">
        <f>INDEX(Assumptions!$C$14:$C$16,MATCH($R666,Assumptions!$A$14:$A$16,0))</f>
        <v>0.08</v>
      </c>
      <c r="AF666" s="49">
        <f t="shared" si="151"/>
        <v>0</v>
      </c>
      <c r="AG666" s="49">
        <f t="shared" si="152"/>
        <v>0</v>
      </c>
      <c r="AH666" s="55">
        <f t="shared" si="153"/>
        <v>0</v>
      </c>
    </row>
    <row r="667" spans="1:34" x14ac:dyDescent="0.2">
      <c r="A667" s="48" t="s">
        <v>731</v>
      </c>
      <c r="B667" s="48">
        <v>2</v>
      </c>
      <c r="C667" s="48" t="s">
        <v>732</v>
      </c>
      <c r="D667" s="48" t="s">
        <v>636</v>
      </c>
      <c r="E667" s="48" t="s">
        <v>395</v>
      </c>
      <c r="F667" s="48" t="s">
        <v>280</v>
      </c>
      <c r="G667" s="48" t="s">
        <v>281</v>
      </c>
      <c r="H667" s="48" t="s">
        <v>66</v>
      </c>
      <c r="I667" s="48" t="s">
        <v>177</v>
      </c>
      <c r="J667" s="49">
        <v>3</v>
      </c>
      <c r="K667" s="50">
        <v>75</v>
      </c>
      <c r="L667" s="50">
        <v>72.959999999999994</v>
      </c>
      <c r="M667" s="48" t="s">
        <v>276</v>
      </c>
      <c r="N667" s="51">
        <v>0.92</v>
      </c>
      <c r="O667" s="51">
        <v>0.91800000000000004</v>
      </c>
      <c r="P667" s="52">
        <v>49</v>
      </c>
      <c r="Q667" s="52">
        <v>49</v>
      </c>
      <c r="R667" s="53" t="str">
        <f>INDEX(SKU_Master!$D$5:$D$34,MATCH($I667,SKU_Master!$A$5:$A$34,0))</f>
        <v>Accessory</v>
      </c>
      <c r="S667" s="54">
        <f t="shared" si="140"/>
        <v>2.7200000000000113E-2</v>
      </c>
      <c r="T667" s="55">
        <f t="shared" si="141"/>
        <v>244.56521739130434</v>
      </c>
      <c r="U667" s="55">
        <f t="shared" si="142"/>
        <v>237.91304347826085</v>
      </c>
      <c r="V667" s="55">
        <f t="shared" si="143"/>
        <v>-6.652173913043498</v>
      </c>
      <c r="W667" s="55">
        <f t="shared" si="144"/>
        <v>238.43137254901958</v>
      </c>
      <c r="X667" s="55">
        <f t="shared" si="145"/>
        <v>0.51832907075873891</v>
      </c>
      <c r="Y667" s="55">
        <f t="shared" si="146"/>
        <v>147</v>
      </c>
      <c r="Z667" s="55">
        <f t="shared" si="147"/>
        <v>147</v>
      </c>
      <c r="AA667" s="55">
        <f t="shared" si="148"/>
        <v>0</v>
      </c>
      <c r="AB667" s="55">
        <f t="shared" si="149"/>
        <v>91.431372549019585</v>
      </c>
      <c r="AC667" s="54">
        <f t="shared" si="150"/>
        <v>0.38347039473684202</v>
      </c>
      <c r="AD667" s="56">
        <f>INDEX(Assumptions!$B$14:$B$16,MATCH($R667,Assumptions!$A$14:$A$16,0))</f>
        <v>0.32</v>
      </c>
      <c r="AE667" s="56">
        <f>INDEX(Assumptions!$C$14:$C$16,MATCH($R667,Assumptions!$A$14:$A$16,0))</f>
        <v>0.22</v>
      </c>
      <c r="AF667" s="49">
        <f t="shared" si="151"/>
        <v>0</v>
      </c>
      <c r="AG667" s="49">
        <f t="shared" si="152"/>
        <v>0</v>
      </c>
      <c r="AH667" s="55">
        <f t="shared" si="153"/>
        <v>0</v>
      </c>
    </row>
    <row r="668" spans="1:34" x14ac:dyDescent="0.2">
      <c r="A668" s="48" t="s">
        <v>733</v>
      </c>
      <c r="B668" s="48">
        <v>1</v>
      </c>
      <c r="C668" s="48" t="s">
        <v>678</v>
      </c>
      <c r="D668" s="48" t="s">
        <v>636</v>
      </c>
      <c r="E668" s="48" t="s">
        <v>437</v>
      </c>
      <c r="F668" s="48" t="s">
        <v>274</v>
      </c>
      <c r="G668" s="48" t="s">
        <v>302</v>
      </c>
      <c r="H668" s="48" t="s">
        <v>62</v>
      </c>
      <c r="I668" s="48" t="s">
        <v>118</v>
      </c>
      <c r="J668" s="49">
        <v>9</v>
      </c>
      <c r="K668" s="50">
        <v>1365</v>
      </c>
      <c r="L668" s="50">
        <v>1325.8</v>
      </c>
      <c r="M668" s="48" t="s">
        <v>276</v>
      </c>
      <c r="N668" s="51">
        <v>1</v>
      </c>
      <c r="O668" s="51">
        <v>1</v>
      </c>
      <c r="P668" s="52">
        <v>1162.5999999999999</v>
      </c>
      <c r="Q668" s="52">
        <v>1162.5999999999999</v>
      </c>
      <c r="R668" s="53" t="str">
        <f>INDEX(SKU_Master!$D$5:$D$34,MATCH($I668,SKU_Master!$A$5:$A$34,0))</f>
        <v>Laptop</v>
      </c>
      <c r="S668" s="54">
        <f t="shared" si="140"/>
        <v>2.8717948717948749E-2</v>
      </c>
      <c r="T668" s="55">
        <f t="shared" si="141"/>
        <v>12285</v>
      </c>
      <c r="U668" s="55">
        <f t="shared" si="142"/>
        <v>11932.199999999999</v>
      </c>
      <c r="V668" s="55">
        <f t="shared" si="143"/>
        <v>-352.80000000000109</v>
      </c>
      <c r="W668" s="55">
        <f t="shared" si="144"/>
        <v>11932.199999999999</v>
      </c>
      <c r="X668" s="55">
        <f t="shared" si="145"/>
        <v>0</v>
      </c>
      <c r="Y668" s="55">
        <f t="shared" si="146"/>
        <v>10463.4</v>
      </c>
      <c r="Z668" s="55">
        <f t="shared" si="147"/>
        <v>10463.4</v>
      </c>
      <c r="AA668" s="55">
        <f t="shared" si="148"/>
        <v>0</v>
      </c>
      <c r="AB668" s="55">
        <f t="shared" si="149"/>
        <v>1468.7999999999993</v>
      </c>
      <c r="AC668" s="54">
        <f t="shared" si="150"/>
        <v>0.12309548951576402</v>
      </c>
      <c r="AD668" s="56">
        <f>INDEX(Assumptions!$B$14:$B$16,MATCH($R668,Assumptions!$A$14:$A$16,0))</f>
        <v>0.12</v>
      </c>
      <c r="AE668" s="56">
        <f>INDEX(Assumptions!$C$14:$C$16,MATCH($R668,Assumptions!$A$14:$A$16,0))</f>
        <v>0.08</v>
      </c>
      <c r="AF668" s="49">
        <f t="shared" si="151"/>
        <v>0</v>
      </c>
      <c r="AG668" s="49">
        <f t="shared" si="152"/>
        <v>0</v>
      </c>
      <c r="AH668" s="55">
        <f t="shared" si="153"/>
        <v>0</v>
      </c>
    </row>
    <row r="669" spans="1:34" x14ac:dyDescent="0.2">
      <c r="A669" s="48" t="s">
        <v>733</v>
      </c>
      <c r="B669" s="48">
        <v>2</v>
      </c>
      <c r="C669" s="48" t="s">
        <v>678</v>
      </c>
      <c r="D669" s="48" t="s">
        <v>636</v>
      </c>
      <c r="E669" s="48" t="s">
        <v>437</v>
      </c>
      <c r="F669" s="48" t="s">
        <v>274</v>
      </c>
      <c r="G669" s="48" t="s">
        <v>302</v>
      </c>
      <c r="H669" s="48" t="s">
        <v>62</v>
      </c>
      <c r="I669" s="48" t="s">
        <v>135</v>
      </c>
      <c r="J669" s="49">
        <v>7</v>
      </c>
      <c r="K669" s="50">
        <v>240</v>
      </c>
      <c r="L669" s="50">
        <v>236.64</v>
      </c>
      <c r="M669" s="48" t="s">
        <v>276</v>
      </c>
      <c r="N669" s="51">
        <v>1</v>
      </c>
      <c r="O669" s="51">
        <v>1</v>
      </c>
      <c r="P669" s="52">
        <v>186.7</v>
      </c>
      <c r="Q669" s="52">
        <v>186.7</v>
      </c>
      <c r="R669" s="53" t="str">
        <f>INDEX(SKU_Master!$D$5:$D$34,MATCH($I669,SKU_Master!$A$5:$A$34,0))</f>
        <v>Monitor</v>
      </c>
      <c r="S669" s="54">
        <f t="shared" si="140"/>
        <v>1.4000000000000012E-2</v>
      </c>
      <c r="T669" s="55">
        <f t="shared" si="141"/>
        <v>1680</v>
      </c>
      <c r="U669" s="55">
        <f t="shared" si="142"/>
        <v>1656.48</v>
      </c>
      <c r="V669" s="55">
        <f t="shared" si="143"/>
        <v>-23.519999999999982</v>
      </c>
      <c r="W669" s="55">
        <f t="shared" si="144"/>
        <v>1656.48</v>
      </c>
      <c r="X669" s="55">
        <f t="shared" si="145"/>
        <v>0</v>
      </c>
      <c r="Y669" s="55">
        <f t="shared" si="146"/>
        <v>1306.8999999999999</v>
      </c>
      <c r="Z669" s="55">
        <f t="shared" si="147"/>
        <v>1306.8999999999999</v>
      </c>
      <c r="AA669" s="55">
        <f t="shared" si="148"/>
        <v>0</v>
      </c>
      <c r="AB669" s="55">
        <f t="shared" si="149"/>
        <v>349.58000000000015</v>
      </c>
      <c r="AC669" s="54">
        <f t="shared" si="150"/>
        <v>0.21103786342123065</v>
      </c>
      <c r="AD669" s="56">
        <f>INDEX(Assumptions!$B$14:$B$16,MATCH($R669,Assumptions!$A$14:$A$16,0))</f>
        <v>0.18</v>
      </c>
      <c r="AE669" s="56">
        <f>INDEX(Assumptions!$C$14:$C$16,MATCH($R669,Assumptions!$A$14:$A$16,0))</f>
        <v>0.12</v>
      </c>
      <c r="AF669" s="49">
        <f t="shared" si="151"/>
        <v>0</v>
      </c>
      <c r="AG669" s="49">
        <f t="shared" si="152"/>
        <v>0</v>
      </c>
      <c r="AH669" s="55">
        <f t="shared" si="153"/>
        <v>0</v>
      </c>
    </row>
    <row r="670" spans="1:34" x14ac:dyDescent="0.2">
      <c r="A670" s="48" t="s">
        <v>733</v>
      </c>
      <c r="B670" s="48">
        <v>3</v>
      </c>
      <c r="C670" s="48" t="s">
        <v>678</v>
      </c>
      <c r="D670" s="48" t="s">
        <v>636</v>
      </c>
      <c r="E670" s="48" t="s">
        <v>437</v>
      </c>
      <c r="F670" s="48" t="s">
        <v>274</v>
      </c>
      <c r="G670" s="48" t="s">
        <v>302</v>
      </c>
      <c r="H670" s="48" t="s">
        <v>62</v>
      </c>
      <c r="I670" s="48" t="s">
        <v>161</v>
      </c>
      <c r="J670" s="49">
        <v>7</v>
      </c>
      <c r="K670" s="50">
        <v>120</v>
      </c>
      <c r="L670" s="50">
        <v>114.02</v>
      </c>
      <c r="M670" s="48" t="s">
        <v>276</v>
      </c>
      <c r="N670" s="51">
        <v>1</v>
      </c>
      <c r="O670" s="51">
        <v>1</v>
      </c>
      <c r="P670" s="52">
        <v>76</v>
      </c>
      <c r="Q670" s="52">
        <v>76</v>
      </c>
      <c r="R670" s="53" t="str">
        <f>INDEX(SKU_Master!$D$5:$D$34,MATCH($I670,SKU_Master!$A$5:$A$34,0))</f>
        <v>Accessory</v>
      </c>
      <c r="S670" s="54">
        <f t="shared" si="140"/>
        <v>4.9833333333333396E-2</v>
      </c>
      <c r="T670" s="55">
        <f t="shared" si="141"/>
        <v>840</v>
      </c>
      <c r="U670" s="55">
        <f t="shared" si="142"/>
        <v>798.14</v>
      </c>
      <c r="V670" s="55">
        <f t="shared" si="143"/>
        <v>-41.860000000000014</v>
      </c>
      <c r="W670" s="55">
        <f t="shared" si="144"/>
        <v>798.14</v>
      </c>
      <c r="X670" s="55">
        <f t="shared" si="145"/>
        <v>0</v>
      </c>
      <c r="Y670" s="55">
        <f t="shared" si="146"/>
        <v>532</v>
      </c>
      <c r="Z670" s="55">
        <f t="shared" si="147"/>
        <v>532</v>
      </c>
      <c r="AA670" s="55">
        <f t="shared" si="148"/>
        <v>0</v>
      </c>
      <c r="AB670" s="55">
        <f t="shared" si="149"/>
        <v>266.14</v>
      </c>
      <c r="AC670" s="54">
        <f t="shared" si="150"/>
        <v>0.33345027188212595</v>
      </c>
      <c r="AD670" s="56">
        <f>INDEX(Assumptions!$B$14:$B$16,MATCH($R670,Assumptions!$A$14:$A$16,0))</f>
        <v>0.32</v>
      </c>
      <c r="AE670" s="56">
        <f>INDEX(Assumptions!$C$14:$C$16,MATCH($R670,Assumptions!$A$14:$A$16,0))</f>
        <v>0.22</v>
      </c>
      <c r="AF670" s="49">
        <f t="shared" si="151"/>
        <v>0</v>
      </c>
      <c r="AG670" s="49">
        <f t="shared" si="152"/>
        <v>0</v>
      </c>
      <c r="AH670" s="55">
        <f t="shared" si="153"/>
        <v>0</v>
      </c>
    </row>
    <row r="671" spans="1:34" x14ac:dyDescent="0.2">
      <c r="A671" s="48" t="s">
        <v>734</v>
      </c>
      <c r="B671" s="48">
        <v>1</v>
      </c>
      <c r="C671" s="48" t="s">
        <v>695</v>
      </c>
      <c r="D671" s="48" t="s">
        <v>636</v>
      </c>
      <c r="E671" s="48" t="s">
        <v>296</v>
      </c>
      <c r="F671" s="48" t="s">
        <v>297</v>
      </c>
      <c r="G671" s="48" t="s">
        <v>298</v>
      </c>
      <c r="H671" s="48" t="s">
        <v>66</v>
      </c>
      <c r="I671" s="48" t="s">
        <v>110</v>
      </c>
      <c r="J671" s="49">
        <v>64</v>
      </c>
      <c r="K671" s="50">
        <v>1115</v>
      </c>
      <c r="L671" s="50">
        <v>1066.83</v>
      </c>
      <c r="M671" s="48" t="s">
        <v>276</v>
      </c>
      <c r="N671" s="51">
        <v>0.92</v>
      </c>
      <c r="O671" s="51">
        <v>0.91800000000000004</v>
      </c>
      <c r="P671" s="52">
        <v>1012.65</v>
      </c>
      <c r="Q671" s="52">
        <v>1012.65</v>
      </c>
      <c r="R671" s="53" t="str">
        <f>INDEX(SKU_Master!$D$5:$D$34,MATCH($I671,SKU_Master!$A$5:$A$34,0))</f>
        <v>Laptop</v>
      </c>
      <c r="S671" s="54">
        <f t="shared" si="140"/>
        <v>4.3201793721973192E-2</v>
      </c>
      <c r="T671" s="55">
        <f t="shared" si="141"/>
        <v>77565.217391304352</v>
      </c>
      <c r="U671" s="55">
        <f t="shared" si="142"/>
        <v>74214.260869565216</v>
      </c>
      <c r="V671" s="55">
        <f t="shared" si="143"/>
        <v>-3350.9565217391355</v>
      </c>
      <c r="W671" s="55">
        <f t="shared" si="144"/>
        <v>74375.947712418289</v>
      </c>
      <c r="X671" s="55">
        <f t="shared" si="145"/>
        <v>161.68684285307245</v>
      </c>
      <c r="Y671" s="55">
        <f t="shared" si="146"/>
        <v>64809.599999999999</v>
      </c>
      <c r="Z671" s="55">
        <f t="shared" si="147"/>
        <v>64809.599999999999</v>
      </c>
      <c r="AA671" s="55">
        <f t="shared" si="148"/>
        <v>0</v>
      </c>
      <c r="AB671" s="55">
        <f t="shared" si="149"/>
        <v>9566.34771241829</v>
      </c>
      <c r="AC671" s="54">
        <f t="shared" si="150"/>
        <v>0.12862152357920181</v>
      </c>
      <c r="AD671" s="56">
        <f>INDEX(Assumptions!$B$14:$B$16,MATCH($R671,Assumptions!$A$14:$A$16,0))</f>
        <v>0.12</v>
      </c>
      <c r="AE671" s="56">
        <f>INDEX(Assumptions!$C$14:$C$16,MATCH($R671,Assumptions!$A$14:$A$16,0))</f>
        <v>0.08</v>
      </c>
      <c r="AF671" s="49">
        <f t="shared" si="151"/>
        <v>0</v>
      </c>
      <c r="AG671" s="49">
        <f t="shared" si="152"/>
        <v>0</v>
      </c>
      <c r="AH671" s="55">
        <f t="shared" si="153"/>
        <v>0</v>
      </c>
    </row>
    <row r="672" spans="1:34" x14ac:dyDescent="0.2">
      <c r="A672" s="48" t="s">
        <v>735</v>
      </c>
      <c r="B672" s="48">
        <v>1</v>
      </c>
      <c r="C672" s="48" t="s">
        <v>640</v>
      </c>
      <c r="D672" s="48" t="s">
        <v>636</v>
      </c>
      <c r="E672" s="48" t="s">
        <v>437</v>
      </c>
      <c r="F672" s="48" t="s">
        <v>274</v>
      </c>
      <c r="G672" s="48" t="s">
        <v>302</v>
      </c>
      <c r="H672" s="48" t="s">
        <v>62</v>
      </c>
      <c r="I672" s="48" t="s">
        <v>93</v>
      </c>
      <c r="J672" s="49">
        <v>3</v>
      </c>
      <c r="K672" s="50">
        <v>1390</v>
      </c>
      <c r="L672" s="50">
        <v>1380.22</v>
      </c>
      <c r="M672" s="48" t="s">
        <v>276</v>
      </c>
      <c r="N672" s="51">
        <v>1</v>
      </c>
      <c r="O672" s="51">
        <v>1</v>
      </c>
      <c r="P672" s="52">
        <v>1186.2</v>
      </c>
      <c r="Q672" s="52">
        <v>1186.2</v>
      </c>
      <c r="R672" s="53" t="str">
        <f>INDEX(SKU_Master!$D$5:$D$34,MATCH($I672,SKU_Master!$A$5:$A$34,0))</f>
        <v>Laptop</v>
      </c>
      <c r="S672" s="54">
        <f t="shared" si="140"/>
        <v>7.0359712230215754E-3</v>
      </c>
      <c r="T672" s="55">
        <f t="shared" si="141"/>
        <v>4170</v>
      </c>
      <c r="U672" s="55">
        <f t="shared" si="142"/>
        <v>4140.66</v>
      </c>
      <c r="V672" s="55">
        <f t="shared" si="143"/>
        <v>-29.340000000000146</v>
      </c>
      <c r="W672" s="55">
        <f t="shared" si="144"/>
        <v>4140.66</v>
      </c>
      <c r="X672" s="55">
        <f t="shared" si="145"/>
        <v>0</v>
      </c>
      <c r="Y672" s="55">
        <f t="shared" si="146"/>
        <v>3558.6000000000004</v>
      </c>
      <c r="Z672" s="55">
        <f t="shared" si="147"/>
        <v>3558.6000000000004</v>
      </c>
      <c r="AA672" s="55">
        <f t="shared" si="148"/>
        <v>0</v>
      </c>
      <c r="AB672" s="55">
        <f t="shared" si="149"/>
        <v>582.05999999999949</v>
      </c>
      <c r="AC672" s="54">
        <f t="shared" si="150"/>
        <v>0.14057179290258062</v>
      </c>
      <c r="AD672" s="56">
        <f>INDEX(Assumptions!$B$14:$B$16,MATCH($R672,Assumptions!$A$14:$A$16,0))</f>
        <v>0.12</v>
      </c>
      <c r="AE672" s="56">
        <f>INDEX(Assumptions!$C$14:$C$16,MATCH($R672,Assumptions!$A$14:$A$16,0))</f>
        <v>0.08</v>
      </c>
      <c r="AF672" s="49">
        <f t="shared" si="151"/>
        <v>0</v>
      </c>
      <c r="AG672" s="49">
        <f t="shared" si="152"/>
        <v>0</v>
      </c>
      <c r="AH672" s="55">
        <f t="shared" si="153"/>
        <v>0</v>
      </c>
    </row>
    <row r="673" spans="1:34" x14ac:dyDescent="0.2">
      <c r="A673" s="48" t="s">
        <v>735</v>
      </c>
      <c r="B673" s="48">
        <v>2</v>
      </c>
      <c r="C673" s="48" t="s">
        <v>640</v>
      </c>
      <c r="D673" s="48" t="s">
        <v>636</v>
      </c>
      <c r="E673" s="48" t="s">
        <v>437</v>
      </c>
      <c r="F673" s="48" t="s">
        <v>274</v>
      </c>
      <c r="G673" s="48" t="s">
        <v>302</v>
      </c>
      <c r="H673" s="48" t="s">
        <v>62</v>
      </c>
      <c r="I673" s="48" t="s">
        <v>144</v>
      </c>
      <c r="J673" s="49">
        <v>2</v>
      </c>
      <c r="K673" s="50">
        <v>370</v>
      </c>
      <c r="L673" s="50">
        <v>368.92</v>
      </c>
      <c r="M673" s="48" t="s">
        <v>276</v>
      </c>
      <c r="N673" s="51">
        <v>1</v>
      </c>
      <c r="O673" s="51">
        <v>1</v>
      </c>
      <c r="P673" s="52">
        <v>289.60000000000002</v>
      </c>
      <c r="Q673" s="52">
        <v>289.60000000000002</v>
      </c>
      <c r="R673" s="53" t="str">
        <f>INDEX(SKU_Master!$D$5:$D$34,MATCH($I673,SKU_Master!$A$5:$A$34,0))</f>
        <v>Monitor</v>
      </c>
      <c r="S673" s="54">
        <f t="shared" si="140"/>
        <v>2.9189189189188225E-3</v>
      </c>
      <c r="T673" s="55">
        <f t="shared" si="141"/>
        <v>740</v>
      </c>
      <c r="U673" s="55">
        <f t="shared" si="142"/>
        <v>737.84</v>
      </c>
      <c r="V673" s="55">
        <f t="shared" si="143"/>
        <v>-2.1599999999999682</v>
      </c>
      <c r="W673" s="55">
        <f t="shared" si="144"/>
        <v>737.84</v>
      </c>
      <c r="X673" s="55">
        <f t="shared" si="145"/>
        <v>0</v>
      </c>
      <c r="Y673" s="55">
        <f t="shared" si="146"/>
        <v>579.20000000000005</v>
      </c>
      <c r="Z673" s="55">
        <f t="shared" si="147"/>
        <v>579.20000000000005</v>
      </c>
      <c r="AA673" s="55">
        <f t="shared" si="148"/>
        <v>0</v>
      </c>
      <c r="AB673" s="55">
        <f t="shared" si="149"/>
        <v>158.63999999999999</v>
      </c>
      <c r="AC673" s="54">
        <f t="shared" si="150"/>
        <v>0.21500596335248831</v>
      </c>
      <c r="AD673" s="56">
        <f>INDEX(Assumptions!$B$14:$B$16,MATCH($R673,Assumptions!$A$14:$A$16,0))</f>
        <v>0.18</v>
      </c>
      <c r="AE673" s="56">
        <f>INDEX(Assumptions!$C$14:$C$16,MATCH($R673,Assumptions!$A$14:$A$16,0))</f>
        <v>0.12</v>
      </c>
      <c r="AF673" s="49">
        <f t="shared" si="151"/>
        <v>0</v>
      </c>
      <c r="AG673" s="49">
        <f t="shared" si="152"/>
        <v>0</v>
      </c>
      <c r="AH673" s="55">
        <f t="shared" si="153"/>
        <v>0</v>
      </c>
    </row>
    <row r="674" spans="1:34" x14ac:dyDescent="0.2">
      <c r="A674" s="48" t="s">
        <v>735</v>
      </c>
      <c r="B674" s="48">
        <v>3</v>
      </c>
      <c r="C674" s="48" t="s">
        <v>640</v>
      </c>
      <c r="D674" s="48" t="s">
        <v>636</v>
      </c>
      <c r="E674" s="48" t="s">
        <v>437</v>
      </c>
      <c r="F674" s="48" t="s">
        <v>274</v>
      </c>
      <c r="G674" s="48" t="s">
        <v>302</v>
      </c>
      <c r="H674" s="48" t="s">
        <v>62</v>
      </c>
      <c r="I674" s="48" t="s">
        <v>157</v>
      </c>
      <c r="J674" s="49">
        <v>1</v>
      </c>
      <c r="K674" s="50">
        <v>135</v>
      </c>
      <c r="L674" s="50">
        <v>130.43</v>
      </c>
      <c r="M674" s="48" t="s">
        <v>276</v>
      </c>
      <c r="N674" s="51">
        <v>1</v>
      </c>
      <c r="O674" s="51">
        <v>1</v>
      </c>
      <c r="P674" s="52">
        <v>86</v>
      </c>
      <c r="Q674" s="52">
        <v>86</v>
      </c>
      <c r="R674" s="53" t="str">
        <f>INDEX(SKU_Master!$D$5:$D$34,MATCH($I674,SKU_Master!$A$5:$A$34,0))</f>
        <v>Accessory</v>
      </c>
      <c r="S674" s="54">
        <f t="shared" si="140"/>
        <v>3.38518518518518E-2</v>
      </c>
      <c r="T674" s="55">
        <f t="shared" si="141"/>
        <v>135</v>
      </c>
      <c r="U674" s="55">
        <f t="shared" si="142"/>
        <v>130.43</v>
      </c>
      <c r="V674" s="55">
        <f t="shared" si="143"/>
        <v>-4.5699999999999932</v>
      </c>
      <c r="W674" s="55">
        <f t="shared" si="144"/>
        <v>130.43</v>
      </c>
      <c r="X674" s="55">
        <f t="shared" si="145"/>
        <v>0</v>
      </c>
      <c r="Y674" s="55">
        <f t="shared" si="146"/>
        <v>86</v>
      </c>
      <c r="Z674" s="55">
        <f t="shared" si="147"/>
        <v>86</v>
      </c>
      <c r="AA674" s="55">
        <f t="shared" si="148"/>
        <v>0</v>
      </c>
      <c r="AB674" s="55">
        <f t="shared" si="149"/>
        <v>44.430000000000007</v>
      </c>
      <c r="AC674" s="54">
        <f t="shared" si="150"/>
        <v>0.3406424902246416</v>
      </c>
      <c r="AD674" s="56">
        <f>INDEX(Assumptions!$B$14:$B$16,MATCH($R674,Assumptions!$A$14:$A$16,0))</f>
        <v>0.32</v>
      </c>
      <c r="AE674" s="56">
        <f>INDEX(Assumptions!$C$14:$C$16,MATCH($R674,Assumptions!$A$14:$A$16,0))</f>
        <v>0.22</v>
      </c>
      <c r="AF674" s="49">
        <f t="shared" si="151"/>
        <v>0</v>
      </c>
      <c r="AG674" s="49">
        <f t="shared" si="152"/>
        <v>0</v>
      </c>
      <c r="AH674" s="55">
        <f t="shared" si="153"/>
        <v>0</v>
      </c>
    </row>
    <row r="675" spans="1:34" x14ac:dyDescent="0.2">
      <c r="A675" s="48" t="s">
        <v>736</v>
      </c>
      <c r="B675" s="48">
        <v>1</v>
      </c>
      <c r="C675" s="48" t="s">
        <v>737</v>
      </c>
      <c r="D675" s="48" t="s">
        <v>738</v>
      </c>
      <c r="E675" s="48" t="s">
        <v>346</v>
      </c>
      <c r="F675" s="48" t="s">
        <v>297</v>
      </c>
      <c r="G675" s="48" t="s">
        <v>302</v>
      </c>
      <c r="H675" s="48" t="s">
        <v>62</v>
      </c>
      <c r="I675" s="48" t="s">
        <v>110</v>
      </c>
      <c r="J675" s="49">
        <v>60</v>
      </c>
      <c r="K675" s="50">
        <v>1165</v>
      </c>
      <c r="L675" s="50">
        <v>1136.03</v>
      </c>
      <c r="M675" s="48" t="s">
        <v>276</v>
      </c>
      <c r="N675" s="51">
        <v>1</v>
      </c>
      <c r="O675" s="51">
        <v>1</v>
      </c>
      <c r="P675" s="52">
        <v>992.65</v>
      </c>
      <c r="Q675" s="52">
        <v>992.65</v>
      </c>
      <c r="R675" s="53" t="str">
        <f>INDEX(SKU_Master!$D$5:$D$34,MATCH($I675,SKU_Master!$A$5:$A$34,0))</f>
        <v>Laptop</v>
      </c>
      <c r="S675" s="54">
        <f t="shared" si="140"/>
        <v>2.4866952789699637E-2</v>
      </c>
      <c r="T675" s="55">
        <f t="shared" si="141"/>
        <v>69900</v>
      </c>
      <c r="U675" s="55">
        <f t="shared" si="142"/>
        <v>68161.8</v>
      </c>
      <c r="V675" s="55">
        <f t="shared" si="143"/>
        <v>-1738.1999999999971</v>
      </c>
      <c r="W675" s="55">
        <f t="shared" si="144"/>
        <v>68161.8</v>
      </c>
      <c r="X675" s="55">
        <f t="shared" si="145"/>
        <v>0</v>
      </c>
      <c r="Y675" s="55">
        <f t="shared" si="146"/>
        <v>59559</v>
      </c>
      <c r="Z675" s="55">
        <f t="shared" si="147"/>
        <v>59559</v>
      </c>
      <c r="AA675" s="55">
        <f t="shared" si="148"/>
        <v>0</v>
      </c>
      <c r="AB675" s="55">
        <f t="shared" si="149"/>
        <v>8602.8000000000029</v>
      </c>
      <c r="AC675" s="54">
        <f t="shared" si="150"/>
        <v>0.12621145568338868</v>
      </c>
      <c r="AD675" s="56">
        <f>INDEX(Assumptions!$B$14:$B$16,MATCH($R675,Assumptions!$A$14:$A$16,0))</f>
        <v>0.12</v>
      </c>
      <c r="AE675" s="56">
        <f>INDEX(Assumptions!$C$14:$C$16,MATCH($R675,Assumptions!$A$14:$A$16,0))</f>
        <v>0.08</v>
      </c>
      <c r="AF675" s="49">
        <f t="shared" si="151"/>
        <v>0</v>
      </c>
      <c r="AG675" s="49">
        <f t="shared" si="152"/>
        <v>0</v>
      </c>
      <c r="AH675" s="55">
        <f t="shared" si="153"/>
        <v>0</v>
      </c>
    </row>
    <row r="676" spans="1:34" x14ac:dyDescent="0.2">
      <c r="A676" s="48" t="s">
        <v>736</v>
      </c>
      <c r="B676" s="48">
        <v>2</v>
      </c>
      <c r="C676" s="48" t="s">
        <v>737</v>
      </c>
      <c r="D676" s="48" t="s">
        <v>738</v>
      </c>
      <c r="E676" s="48" t="s">
        <v>346</v>
      </c>
      <c r="F676" s="48" t="s">
        <v>297</v>
      </c>
      <c r="G676" s="48" t="s">
        <v>302</v>
      </c>
      <c r="H676" s="48" t="s">
        <v>62</v>
      </c>
      <c r="I676" s="48" t="s">
        <v>138</v>
      </c>
      <c r="J676" s="49">
        <v>45</v>
      </c>
      <c r="K676" s="50">
        <v>455</v>
      </c>
      <c r="L676" s="50">
        <v>434.16</v>
      </c>
      <c r="M676" s="48" t="s">
        <v>276</v>
      </c>
      <c r="N676" s="51">
        <v>1</v>
      </c>
      <c r="O676" s="51">
        <v>1</v>
      </c>
      <c r="P676" s="52">
        <v>358.2</v>
      </c>
      <c r="Q676" s="52">
        <v>358.2</v>
      </c>
      <c r="R676" s="53" t="str">
        <f>INDEX(SKU_Master!$D$5:$D$34,MATCH($I676,SKU_Master!$A$5:$A$34,0))</f>
        <v>Monitor</v>
      </c>
      <c r="S676" s="54">
        <f t="shared" si="140"/>
        <v>4.5802197802197742E-2</v>
      </c>
      <c r="T676" s="55">
        <f t="shared" si="141"/>
        <v>20475</v>
      </c>
      <c r="U676" s="55">
        <f t="shared" si="142"/>
        <v>19537.2</v>
      </c>
      <c r="V676" s="55">
        <f t="shared" si="143"/>
        <v>-937.79999999999927</v>
      </c>
      <c r="W676" s="55">
        <f t="shared" si="144"/>
        <v>19537.2</v>
      </c>
      <c r="X676" s="55">
        <f t="shared" si="145"/>
        <v>0</v>
      </c>
      <c r="Y676" s="55">
        <f t="shared" si="146"/>
        <v>16119</v>
      </c>
      <c r="Z676" s="55">
        <f t="shared" si="147"/>
        <v>16119</v>
      </c>
      <c r="AA676" s="55">
        <f t="shared" si="148"/>
        <v>0</v>
      </c>
      <c r="AB676" s="55">
        <f t="shared" si="149"/>
        <v>3418.2000000000007</v>
      </c>
      <c r="AC676" s="54">
        <f t="shared" si="150"/>
        <v>0.17495854063018246</v>
      </c>
      <c r="AD676" s="56">
        <f>INDEX(Assumptions!$B$14:$B$16,MATCH($R676,Assumptions!$A$14:$A$16,0))</f>
        <v>0.18</v>
      </c>
      <c r="AE676" s="56">
        <f>INDEX(Assumptions!$C$14:$C$16,MATCH($R676,Assumptions!$A$14:$A$16,0))</f>
        <v>0.12</v>
      </c>
      <c r="AF676" s="49">
        <f t="shared" si="151"/>
        <v>0</v>
      </c>
      <c r="AG676" s="49">
        <f t="shared" si="152"/>
        <v>0</v>
      </c>
      <c r="AH676" s="55">
        <f t="shared" si="153"/>
        <v>98.495999999999185</v>
      </c>
    </row>
    <row r="677" spans="1:34" x14ac:dyDescent="0.2">
      <c r="A677" s="48" t="s">
        <v>739</v>
      </c>
      <c r="B677" s="48">
        <v>1</v>
      </c>
      <c r="C677" s="48" t="s">
        <v>740</v>
      </c>
      <c r="D677" s="48" t="s">
        <v>738</v>
      </c>
      <c r="E677" s="48" t="s">
        <v>366</v>
      </c>
      <c r="F677" s="48" t="s">
        <v>297</v>
      </c>
      <c r="G677" s="48" t="s">
        <v>302</v>
      </c>
      <c r="H677" s="48" t="s">
        <v>66</v>
      </c>
      <c r="I677" s="48" t="s">
        <v>103</v>
      </c>
      <c r="J677" s="49">
        <v>30</v>
      </c>
      <c r="K677" s="50">
        <v>1090</v>
      </c>
      <c r="L677" s="50">
        <v>1059.42</v>
      </c>
      <c r="M677" s="48" t="s">
        <v>276</v>
      </c>
      <c r="N677" s="51">
        <v>0.92</v>
      </c>
      <c r="O677" s="51">
        <v>0.92079999999999995</v>
      </c>
      <c r="P677" s="52">
        <v>988.6</v>
      </c>
      <c r="Q677" s="52">
        <v>988.6</v>
      </c>
      <c r="R677" s="53" t="str">
        <f>INDEX(SKU_Master!$D$5:$D$34,MATCH($I677,SKU_Master!$A$5:$A$34,0))</f>
        <v>Laptop</v>
      </c>
      <c r="S677" s="54">
        <f t="shared" si="140"/>
        <v>2.8055045871559603E-2</v>
      </c>
      <c r="T677" s="55">
        <f t="shared" si="141"/>
        <v>35543.47826086956</v>
      </c>
      <c r="U677" s="55">
        <f t="shared" si="142"/>
        <v>34546.304347826088</v>
      </c>
      <c r="V677" s="55">
        <f t="shared" si="143"/>
        <v>-997.17391304347257</v>
      </c>
      <c r="W677" s="55">
        <f t="shared" si="144"/>
        <v>34516.290182450044</v>
      </c>
      <c r="X677" s="55">
        <f t="shared" si="145"/>
        <v>-30.01416537604382</v>
      </c>
      <c r="Y677" s="55">
        <f t="shared" si="146"/>
        <v>29658</v>
      </c>
      <c r="Z677" s="55">
        <f t="shared" si="147"/>
        <v>29658</v>
      </c>
      <c r="AA677" s="55">
        <f t="shared" si="148"/>
        <v>0</v>
      </c>
      <c r="AB677" s="55">
        <f t="shared" si="149"/>
        <v>4858.2901824500441</v>
      </c>
      <c r="AC677" s="54">
        <f t="shared" si="150"/>
        <v>0.14075354439221463</v>
      </c>
      <c r="AD677" s="56">
        <f>INDEX(Assumptions!$B$14:$B$16,MATCH($R677,Assumptions!$A$14:$A$16,0))</f>
        <v>0.12</v>
      </c>
      <c r="AE677" s="56">
        <f>INDEX(Assumptions!$C$14:$C$16,MATCH($R677,Assumptions!$A$14:$A$16,0))</f>
        <v>0.08</v>
      </c>
      <c r="AF677" s="49">
        <f t="shared" si="151"/>
        <v>0</v>
      </c>
      <c r="AG677" s="49">
        <f t="shared" si="152"/>
        <v>0</v>
      </c>
      <c r="AH677" s="55">
        <f t="shared" si="153"/>
        <v>0</v>
      </c>
    </row>
    <row r="678" spans="1:34" x14ac:dyDescent="0.2">
      <c r="A678" s="48" t="s">
        <v>739</v>
      </c>
      <c r="B678" s="48">
        <v>2</v>
      </c>
      <c r="C678" s="48" t="s">
        <v>740</v>
      </c>
      <c r="D678" s="48" t="s">
        <v>738</v>
      </c>
      <c r="E678" s="48" t="s">
        <v>366</v>
      </c>
      <c r="F678" s="48" t="s">
        <v>297</v>
      </c>
      <c r="G678" s="48" t="s">
        <v>302</v>
      </c>
      <c r="H678" s="48" t="s">
        <v>66</v>
      </c>
      <c r="I678" s="48" t="s">
        <v>138</v>
      </c>
      <c r="J678" s="49">
        <v>34</v>
      </c>
      <c r="K678" s="50">
        <v>460</v>
      </c>
      <c r="L678" s="50">
        <v>430.48</v>
      </c>
      <c r="M678" s="48" t="s">
        <v>276</v>
      </c>
      <c r="N678" s="51">
        <v>0.92</v>
      </c>
      <c r="O678" s="51">
        <v>0.92079999999999995</v>
      </c>
      <c r="P678" s="52">
        <v>383.2</v>
      </c>
      <c r="Q678" s="52">
        <v>383.2</v>
      </c>
      <c r="R678" s="53" t="str">
        <f>INDEX(SKU_Master!$D$5:$D$34,MATCH($I678,SKU_Master!$A$5:$A$34,0))</f>
        <v>Monitor</v>
      </c>
      <c r="S678" s="54">
        <f t="shared" si="140"/>
        <v>6.4173913043478192E-2</v>
      </c>
      <c r="T678" s="55">
        <f t="shared" si="141"/>
        <v>17000</v>
      </c>
      <c r="U678" s="55">
        <f t="shared" si="142"/>
        <v>15909.043478260868</v>
      </c>
      <c r="V678" s="55">
        <f t="shared" si="143"/>
        <v>-1090.9565217391319</v>
      </c>
      <c r="W678" s="55">
        <f t="shared" si="144"/>
        <v>15895.221546481322</v>
      </c>
      <c r="X678" s="55">
        <f t="shared" si="145"/>
        <v>-13.821931779546503</v>
      </c>
      <c r="Y678" s="55">
        <f t="shared" si="146"/>
        <v>13028.8</v>
      </c>
      <c r="Z678" s="55">
        <f t="shared" si="147"/>
        <v>13028.8</v>
      </c>
      <c r="AA678" s="55">
        <f t="shared" si="148"/>
        <v>0</v>
      </c>
      <c r="AB678" s="55">
        <f t="shared" si="149"/>
        <v>2866.4215464813224</v>
      </c>
      <c r="AC678" s="54">
        <f t="shared" si="150"/>
        <v>0.18033228024530767</v>
      </c>
      <c r="AD678" s="56">
        <f>INDEX(Assumptions!$B$14:$B$16,MATCH($R678,Assumptions!$A$14:$A$16,0))</f>
        <v>0.18</v>
      </c>
      <c r="AE678" s="56">
        <f>INDEX(Assumptions!$C$14:$C$16,MATCH($R678,Assumptions!$A$14:$A$16,0))</f>
        <v>0.12</v>
      </c>
      <c r="AF678" s="49">
        <f t="shared" si="151"/>
        <v>0</v>
      </c>
      <c r="AG678" s="49">
        <f t="shared" si="152"/>
        <v>0</v>
      </c>
      <c r="AH678" s="55">
        <f t="shared" si="153"/>
        <v>0</v>
      </c>
    </row>
    <row r="679" spans="1:34" x14ac:dyDescent="0.2">
      <c r="A679" s="48" t="s">
        <v>741</v>
      </c>
      <c r="B679" s="48">
        <v>1</v>
      </c>
      <c r="C679" s="48" t="s">
        <v>737</v>
      </c>
      <c r="D679" s="48" t="s">
        <v>738</v>
      </c>
      <c r="E679" s="48" t="s">
        <v>333</v>
      </c>
      <c r="F679" s="48" t="s">
        <v>297</v>
      </c>
      <c r="G679" s="48" t="s">
        <v>302</v>
      </c>
      <c r="H679" s="48" t="s">
        <v>70</v>
      </c>
      <c r="I679" s="48" t="s">
        <v>106</v>
      </c>
      <c r="J679" s="49">
        <v>37</v>
      </c>
      <c r="K679" s="50">
        <v>147165</v>
      </c>
      <c r="L679" s="50">
        <v>136508.54999999999</v>
      </c>
      <c r="M679" s="48" t="s">
        <v>276</v>
      </c>
      <c r="N679" s="51">
        <v>83.5</v>
      </c>
      <c r="O679" s="51">
        <v>84.144000000000005</v>
      </c>
      <c r="P679" s="52">
        <v>1476.24</v>
      </c>
      <c r="Q679" s="52">
        <v>1496.24</v>
      </c>
      <c r="R679" s="53" t="str">
        <f>INDEX(SKU_Master!$D$5:$D$34,MATCH($I679,SKU_Master!$A$5:$A$34,0))</f>
        <v>Laptop</v>
      </c>
      <c r="S679" s="54">
        <f t="shared" si="140"/>
        <v>7.241157884007754E-2</v>
      </c>
      <c r="T679" s="55">
        <f t="shared" si="141"/>
        <v>65210.838323353295</v>
      </c>
      <c r="U679" s="55">
        <f t="shared" si="142"/>
        <v>60488.81856287425</v>
      </c>
      <c r="V679" s="55">
        <f t="shared" si="143"/>
        <v>-4722.0197604790446</v>
      </c>
      <c r="W679" s="55">
        <f t="shared" si="144"/>
        <v>60025.864589275516</v>
      </c>
      <c r="X679" s="55">
        <f t="shared" si="145"/>
        <v>-462.95397359873459</v>
      </c>
      <c r="Y679" s="55">
        <f t="shared" si="146"/>
        <v>54620.88</v>
      </c>
      <c r="Z679" s="55">
        <f t="shared" si="147"/>
        <v>55360.88</v>
      </c>
      <c r="AA679" s="55">
        <f t="shared" si="148"/>
        <v>-740</v>
      </c>
      <c r="AB679" s="55">
        <f t="shared" si="149"/>
        <v>4664.9845892755184</v>
      </c>
      <c r="AC679" s="54">
        <f t="shared" si="150"/>
        <v>7.7716241510147027E-2</v>
      </c>
      <c r="AD679" s="56">
        <f>INDEX(Assumptions!$B$14:$B$16,MATCH($R679,Assumptions!$A$14:$A$16,0))</f>
        <v>0.12</v>
      </c>
      <c r="AE679" s="56">
        <f>INDEX(Assumptions!$C$14:$C$16,MATCH($R679,Assumptions!$A$14:$A$16,0))</f>
        <v>0.08</v>
      </c>
      <c r="AF679" s="49">
        <f t="shared" si="151"/>
        <v>1</v>
      </c>
      <c r="AG679" s="49">
        <f t="shared" si="152"/>
        <v>1</v>
      </c>
      <c r="AH679" s="55">
        <f t="shared" si="153"/>
        <v>2538.119161437543</v>
      </c>
    </row>
    <row r="680" spans="1:34" x14ac:dyDescent="0.2">
      <c r="A680" s="48" t="s">
        <v>742</v>
      </c>
      <c r="B680" s="48">
        <v>1</v>
      </c>
      <c r="C680" s="48" t="s">
        <v>743</v>
      </c>
      <c r="D680" s="48" t="s">
        <v>738</v>
      </c>
      <c r="E680" s="48" t="s">
        <v>287</v>
      </c>
      <c r="F680" s="48" t="s">
        <v>274</v>
      </c>
      <c r="G680" s="48" t="s">
        <v>288</v>
      </c>
      <c r="H680" s="48" t="s">
        <v>62</v>
      </c>
      <c r="I680" s="48" t="s">
        <v>108</v>
      </c>
      <c r="J680" s="49">
        <v>8</v>
      </c>
      <c r="K680" s="50">
        <v>1345</v>
      </c>
      <c r="L680" s="50">
        <v>1343.84</v>
      </c>
      <c r="M680" s="48" t="s">
        <v>276</v>
      </c>
      <c r="N680" s="51">
        <v>1</v>
      </c>
      <c r="O680" s="51">
        <v>1</v>
      </c>
      <c r="P680" s="52">
        <v>1145</v>
      </c>
      <c r="Q680" s="52">
        <v>1145</v>
      </c>
      <c r="R680" s="53" t="str">
        <f>INDEX(SKU_Master!$D$5:$D$34,MATCH($I680,SKU_Master!$A$5:$A$34,0))</f>
        <v>Laptop</v>
      </c>
      <c r="S680" s="54">
        <f t="shared" si="140"/>
        <v>8.6245353159852822E-4</v>
      </c>
      <c r="T680" s="55">
        <f t="shared" si="141"/>
        <v>10760</v>
      </c>
      <c r="U680" s="55">
        <f t="shared" si="142"/>
        <v>10750.72</v>
      </c>
      <c r="V680" s="55">
        <f t="shared" si="143"/>
        <v>-9.2800000000006548</v>
      </c>
      <c r="W680" s="55">
        <f t="shared" si="144"/>
        <v>10750.72</v>
      </c>
      <c r="X680" s="55">
        <f t="shared" si="145"/>
        <v>0</v>
      </c>
      <c r="Y680" s="55">
        <f t="shared" si="146"/>
        <v>9160</v>
      </c>
      <c r="Z680" s="55">
        <f t="shared" si="147"/>
        <v>9160</v>
      </c>
      <c r="AA680" s="55">
        <f t="shared" si="148"/>
        <v>0</v>
      </c>
      <c r="AB680" s="55">
        <f t="shared" si="149"/>
        <v>1590.7199999999993</v>
      </c>
      <c r="AC680" s="54">
        <f t="shared" si="150"/>
        <v>0.14796404333849261</v>
      </c>
      <c r="AD680" s="56">
        <f>INDEX(Assumptions!$B$14:$B$16,MATCH($R680,Assumptions!$A$14:$A$16,0))</f>
        <v>0.12</v>
      </c>
      <c r="AE680" s="56">
        <f>INDEX(Assumptions!$C$14:$C$16,MATCH($R680,Assumptions!$A$14:$A$16,0))</f>
        <v>0.08</v>
      </c>
      <c r="AF680" s="49">
        <f t="shared" si="151"/>
        <v>0</v>
      </c>
      <c r="AG680" s="49">
        <f t="shared" si="152"/>
        <v>0</v>
      </c>
      <c r="AH680" s="55">
        <f t="shared" si="153"/>
        <v>0</v>
      </c>
    </row>
    <row r="681" spans="1:34" x14ac:dyDescent="0.2">
      <c r="A681" s="48" t="s">
        <v>742</v>
      </c>
      <c r="B681" s="48">
        <v>2</v>
      </c>
      <c r="C681" s="48" t="s">
        <v>743</v>
      </c>
      <c r="D681" s="48" t="s">
        <v>738</v>
      </c>
      <c r="E681" s="48" t="s">
        <v>287</v>
      </c>
      <c r="F681" s="48" t="s">
        <v>274</v>
      </c>
      <c r="G681" s="48" t="s">
        <v>288</v>
      </c>
      <c r="H681" s="48" t="s">
        <v>62</v>
      </c>
      <c r="I681" s="48" t="s">
        <v>151</v>
      </c>
      <c r="J681" s="49">
        <v>7</v>
      </c>
      <c r="K681" s="50">
        <v>335</v>
      </c>
      <c r="L681" s="50">
        <v>334.52</v>
      </c>
      <c r="M681" s="48" t="s">
        <v>276</v>
      </c>
      <c r="N681" s="51">
        <v>1</v>
      </c>
      <c r="O681" s="51">
        <v>1</v>
      </c>
      <c r="P681" s="52">
        <v>216.7</v>
      </c>
      <c r="Q681" s="52">
        <v>216.7</v>
      </c>
      <c r="R681" s="53" t="str">
        <f>INDEX(SKU_Master!$D$5:$D$34,MATCH($I681,SKU_Master!$A$5:$A$34,0))</f>
        <v>Accessory</v>
      </c>
      <c r="S681" s="54">
        <f t="shared" si="140"/>
        <v>1.4328358208955949E-3</v>
      </c>
      <c r="T681" s="55">
        <f t="shared" si="141"/>
        <v>2345</v>
      </c>
      <c r="U681" s="55">
        <f t="shared" si="142"/>
        <v>2341.64</v>
      </c>
      <c r="V681" s="55">
        <f t="shared" si="143"/>
        <v>-3.3600000000001273</v>
      </c>
      <c r="W681" s="55">
        <f t="shared" si="144"/>
        <v>2341.64</v>
      </c>
      <c r="X681" s="55">
        <f t="shared" si="145"/>
        <v>0</v>
      </c>
      <c r="Y681" s="55">
        <f t="shared" si="146"/>
        <v>1516.8999999999999</v>
      </c>
      <c r="Z681" s="55">
        <f t="shared" si="147"/>
        <v>1516.8999999999999</v>
      </c>
      <c r="AA681" s="55">
        <f t="shared" si="148"/>
        <v>0</v>
      </c>
      <c r="AB681" s="55">
        <f t="shared" si="149"/>
        <v>824.74</v>
      </c>
      <c r="AC681" s="54">
        <f t="shared" si="150"/>
        <v>0.35220614611981349</v>
      </c>
      <c r="AD681" s="56">
        <f>INDEX(Assumptions!$B$14:$B$16,MATCH($R681,Assumptions!$A$14:$A$16,0))</f>
        <v>0.32</v>
      </c>
      <c r="AE681" s="56">
        <f>INDEX(Assumptions!$C$14:$C$16,MATCH($R681,Assumptions!$A$14:$A$16,0))</f>
        <v>0.22</v>
      </c>
      <c r="AF681" s="49">
        <f t="shared" si="151"/>
        <v>0</v>
      </c>
      <c r="AG681" s="49">
        <f t="shared" si="152"/>
        <v>0</v>
      </c>
      <c r="AH681" s="55">
        <f t="shared" si="153"/>
        <v>0</v>
      </c>
    </row>
    <row r="682" spans="1:34" x14ac:dyDescent="0.2">
      <c r="A682" s="48" t="s">
        <v>744</v>
      </c>
      <c r="B682" s="48">
        <v>1</v>
      </c>
      <c r="C682" s="48" t="s">
        <v>745</v>
      </c>
      <c r="D682" s="48" t="s">
        <v>738</v>
      </c>
      <c r="E682" s="48" t="s">
        <v>284</v>
      </c>
      <c r="F682" s="48" t="s">
        <v>274</v>
      </c>
      <c r="G682" s="48" t="s">
        <v>275</v>
      </c>
      <c r="H682" s="48" t="s">
        <v>64</v>
      </c>
      <c r="I682" s="48" t="s">
        <v>98</v>
      </c>
      <c r="J682" s="49">
        <v>5</v>
      </c>
      <c r="K682" s="50">
        <v>1705</v>
      </c>
      <c r="L682" s="50">
        <v>1678.97</v>
      </c>
      <c r="M682" s="48" t="s">
        <v>276</v>
      </c>
      <c r="N682" s="51">
        <v>0.79</v>
      </c>
      <c r="O682" s="51">
        <v>0.78910000000000002</v>
      </c>
      <c r="P682" s="52">
        <v>1804.2</v>
      </c>
      <c r="Q682" s="52">
        <v>1804.2</v>
      </c>
      <c r="R682" s="53" t="str">
        <f>INDEX(SKU_Master!$D$5:$D$34,MATCH($I682,SKU_Master!$A$5:$A$34,0))</f>
        <v>Laptop</v>
      </c>
      <c r="S682" s="54">
        <f t="shared" si="140"/>
        <v>1.5266862170087991E-2</v>
      </c>
      <c r="T682" s="55">
        <f t="shared" si="141"/>
        <v>10791.139240506329</v>
      </c>
      <c r="U682" s="55">
        <f t="shared" si="142"/>
        <v>10626.39240506329</v>
      </c>
      <c r="V682" s="55">
        <f t="shared" si="143"/>
        <v>-164.74683544303844</v>
      </c>
      <c r="W682" s="55">
        <f t="shared" si="144"/>
        <v>10638.512229121785</v>
      </c>
      <c r="X682" s="55">
        <f t="shared" si="145"/>
        <v>12.119824058494487</v>
      </c>
      <c r="Y682" s="55">
        <f t="shared" si="146"/>
        <v>9021</v>
      </c>
      <c r="Z682" s="55">
        <f t="shared" si="147"/>
        <v>9021</v>
      </c>
      <c r="AA682" s="55">
        <f t="shared" si="148"/>
        <v>0</v>
      </c>
      <c r="AB682" s="55">
        <f t="shared" si="149"/>
        <v>1617.5122291217849</v>
      </c>
      <c r="AC682" s="54">
        <f t="shared" si="150"/>
        <v>0.15204308593959395</v>
      </c>
      <c r="AD682" s="56">
        <f>INDEX(Assumptions!$B$14:$B$16,MATCH($R682,Assumptions!$A$14:$A$16,0))</f>
        <v>0.12</v>
      </c>
      <c r="AE682" s="56">
        <f>INDEX(Assumptions!$C$14:$C$16,MATCH($R682,Assumptions!$A$14:$A$16,0))</f>
        <v>0.08</v>
      </c>
      <c r="AF682" s="49">
        <f t="shared" si="151"/>
        <v>0</v>
      </c>
      <c r="AG682" s="49">
        <f t="shared" si="152"/>
        <v>0</v>
      </c>
      <c r="AH682" s="55">
        <f t="shared" si="153"/>
        <v>0</v>
      </c>
    </row>
    <row r="683" spans="1:34" x14ac:dyDescent="0.2">
      <c r="A683" s="48" t="s">
        <v>744</v>
      </c>
      <c r="B683" s="48">
        <v>2</v>
      </c>
      <c r="C683" s="48" t="s">
        <v>745</v>
      </c>
      <c r="D683" s="48" t="s">
        <v>738</v>
      </c>
      <c r="E683" s="48" t="s">
        <v>284</v>
      </c>
      <c r="F683" s="48" t="s">
        <v>274</v>
      </c>
      <c r="G683" s="48" t="s">
        <v>275</v>
      </c>
      <c r="H683" s="48" t="s">
        <v>64</v>
      </c>
      <c r="I683" s="48" t="s">
        <v>146</v>
      </c>
      <c r="J683" s="49">
        <v>2</v>
      </c>
      <c r="K683" s="50">
        <v>220</v>
      </c>
      <c r="L683" s="50">
        <v>215.78</v>
      </c>
      <c r="M683" s="48" t="s">
        <v>276</v>
      </c>
      <c r="N683" s="51">
        <v>0.79</v>
      </c>
      <c r="O683" s="51">
        <v>0.78910000000000002</v>
      </c>
      <c r="P683" s="52">
        <v>211.8</v>
      </c>
      <c r="Q683" s="52">
        <v>211.8</v>
      </c>
      <c r="R683" s="53" t="str">
        <f>INDEX(SKU_Master!$D$5:$D$34,MATCH($I683,SKU_Master!$A$5:$A$34,0))</f>
        <v>Monitor</v>
      </c>
      <c r="S683" s="54">
        <f t="shared" si="140"/>
        <v>1.9181818181818189E-2</v>
      </c>
      <c r="T683" s="55">
        <f t="shared" si="141"/>
        <v>556.96202531645565</v>
      </c>
      <c r="U683" s="55">
        <f t="shared" si="142"/>
        <v>546.27848101265818</v>
      </c>
      <c r="V683" s="55">
        <f t="shared" si="143"/>
        <v>-10.683544303797476</v>
      </c>
      <c r="W683" s="55">
        <f t="shared" si="144"/>
        <v>546.9015333924724</v>
      </c>
      <c r="X683" s="55">
        <f t="shared" si="145"/>
        <v>0.62305237981422579</v>
      </c>
      <c r="Y683" s="55">
        <f t="shared" si="146"/>
        <v>423.6</v>
      </c>
      <c r="Z683" s="55">
        <f t="shared" si="147"/>
        <v>423.6</v>
      </c>
      <c r="AA683" s="55">
        <f t="shared" si="148"/>
        <v>0</v>
      </c>
      <c r="AB683" s="55">
        <f t="shared" si="149"/>
        <v>123.30153339247238</v>
      </c>
      <c r="AC683" s="54">
        <f t="shared" si="150"/>
        <v>0.22545472240244685</v>
      </c>
      <c r="AD683" s="56">
        <f>INDEX(Assumptions!$B$14:$B$16,MATCH($R683,Assumptions!$A$14:$A$16,0))</f>
        <v>0.18</v>
      </c>
      <c r="AE683" s="56">
        <f>INDEX(Assumptions!$C$14:$C$16,MATCH($R683,Assumptions!$A$14:$A$16,0))</f>
        <v>0.12</v>
      </c>
      <c r="AF683" s="49">
        <f t="shared" si="151"/>
        <v>0</v>
      </c>
      <c r="AG683" s="49">
        <f t="shared" si="152"/>
        <v>0</v>
      </c>
      <c r="AH683" s="55">
        <f t="shared" si="153"/>
        <v>0</v>
      </c>
    </row>
    <row r="684" spans="1:34" x14ac:dyDescent="0.2">
      <c r="A684" s="48" t="s">
        <v>744</v>
      </c>
      <c r="B684" s="48">
        <v>3</v>
      </c>
      <c r="C684" s="48" t="s">
        <v>745</v>
      </c>
      <c r="D684" s="48" t="s">
        <v>738</v>
      </c>
      <c r="E684" s="48" t="s">
        <v>284</v>
      </c>
      <c r="F684" s="48" t="s">
        <v>274</v>
      </c>
      <c r="G684" s="48" t="s">
        <v>275</v>
      </c>
      <c r="H684" s="48" t="s">
        <v>64</v>
      </c>
      <c r="I684" s="48" t="s">
        <v>164</v>
      </c>
      <c r="J684" s="49">
        <v>4</v>
      </c>
      <c r="K684" s="50">
        <v>160</v>
      </c>
      <c r="L684" s="50">
        <v>157.72999999999999</v>
      </c>
      <c r="M684" s="48" t="s">
        <v>276</v>
      </c>
      <c r="N684" s="51">
        <v>0.79</v>
      </c>
      <c r="O684" s="51">
        <v>0.78910000000000002</v>
      </c>
      <c r="P684" s="52">
        <v>127</v>
      </c>
      <c r="Q684" s="52">
        <v>127</v>
      </c>
      <c r="R684" s="53" t="str">
        <f>INDEX(SKU_Master!$D$5:$D$34,MATCH($I684,SKU_Master!$A$5:$A$34,0))</f>
        <v>Accessory</v>
      </c>
      <c r="S684" s="54">
        <f t="shared" si="140"/>
        <v>1.418750000000002E-2</v>
      </c>
      <c r="T684" s="55">
        <f t="shared" si="141"/>
        <v>810.12658227848101</v>
      </c>
      <c r="U684" s="55">
        <f t="shared" si="142"/>
        <v>798.63291139240494</v>
      </c>
      <c r="V684" s="55">
        <f t="shared" si="143"/>
        <v>-11.493670886076075</v>
      </c>
      <c r="W684" s="55">
        <f t="shared" si="144"/>
        <v>799.54378405778732</v>
      </c>
      <c r="X684" s="55">
        <f t="shared" si="145"/>
        <v>0.91087266538238509</v>
      </c>
      <c r="Y684" s="55">
        <f t="shared" si="146"/>
        <v>508</v>
      </c>
      <c r="Z684" s="55">
        <f t="shared" si="147"/>
        <v>508</v>
      </c>
      <c r="AA684" s="55">
        <f t="shared" si="148"/>
        <v>0</v>
      </c>
      <c r="AB684" s="55">
        <f t="shared" si="149"/>
        <v>291.54378405778732</v>
      </c>
      <c r="AC684" s="54">
        <f t="shared" si="150"/>
        <v>0.36463767197108982</v>
      </c>
      <c r="AD684" s="56">
        <f>INDEX(Assumptions!$B$14:$B$16,MATCH($R684,Assumptions!$A$14:$A$16,0))</f>
        <v>0.32</v>
      </c>
      <c r="AE684" s="56">
        <f>INDEX(Assumptions!$C$14:$C$16,MATCH($R684,Assumptions!$A$14:$A$16,0))</f>
        <v>0.22</v>
      </c>
      <c r="AF684" s="49">
        <f t="shared" si="151"/>
        <v>0</v>
      </c>
      <c r="AG684" s="49">
        <f t="shared" si="152"/>
        <v>0</v>
      </c>
      <c r="AH684" s="55">
        <f t="shared" si="153"/>
        <v>0</v>
      </c>
    </row>
    <row r="685" spans="1:34" x14ac:dyDescent="0.2">
      <c r="A685" s="48" t="s">
        <v>746</v>
      </c>
      <c r="B685" s="48">
        <v>1</v>
      </c>
      <c r="C685" s="48" t="s">
        <v>747</v>
      </c>
      <c r="D685" s="48" t="s">
        <v>738</v>
      </c>
      <c r="E685" s="48" t="s">
        <v>397</v>
      </c>
      <c r="F685" s="48" t="s">
        <v>280</v>
      </c>
      <c r="G685" s="48" t="s">
        <v>306</v>
      </c>
      <c r="H685" s="48" t="s">
        <v>70</v>
      </c>
      <c r="I685" s="48" t="s">
        <v>101</v>
      </c>
      <c r="J685" s="49">
        <v>15</v>
      </c>
      <c r="K685" s="50">
        <v>328650</v>
      </c>
      <c r="L685" s="50">
        <v>324152.75</v>
      </c>
      <c r="M685" s="48" t="s">
        <v>276</v>
      </c>
      <c r="N685" s="51">
        <v>83.5</v>
      </c>
      <c r="O685" s="51">
        <v>84.144000000000005</v>
      </c>
      <c r="P685" s="52">
        <v>3296.76</v>
      </c>
      <c r="Q685" s="52">
        <v>3316.76</v>
      </c>
      <c r="R685" s="53" t="str">
        <f>INDEX(SKU_Master!$D$5:$D$34,MATCH($I685,SKU_Master!$A$5:$A$34,0))</f>
        <v>Laptop</v>
      </c>
      <c r="S685" s="54">
        <f t="shared" si="140"/>
        <v>1.368401034535216E-2</v>
      </c>
      <c r="T685" s="55">
        <f t="shared" si="141"/>
        <v>59038.922155688626</v>
      </c>
      <c r="U685" s="55">
        <f t="shared" si="142"/>
        <v>58231.032934131734</v>
      </c>
      <c r="V685" s="55">
        <f t="shared" si="143"/>
        <v>-807.88922155689215</v>
      </c>
      <c r="W685" s="55">
        <f t="shared" si="144"/>
        <v>57785.35902738163</v>
      </c>
      <c r="X685" s="55">
        <f t="shared" si="145"/>
        <v>-445.67390675010392</v>
      </c>
      <c r="Y685" s="55">
        <f t="shared" si="146"/>
        <v>49451.4</v>
      </c>
      <c r="Z685" s="55">
        <f t="shared" si="147"/>
        <v>49751.4</v>
      </c>
      <c r="AA685" s="55">
        <f t="shared" si="148"/>
        <v>-300</v>
      </c>
      <c r="AB685" s="55">
        <f t="shared" si="149"/>
        <v>8033.9590273816284</v>
      </c>
      <c r="AC685" s="54">
        <f t="shared" si="150"/>
        <v>0.13903104804756394</v>
      </c>
      <c r="AD685" s="56">
        <f>INDEX(Assumptions!$B$14:$B$16,MATCH($R685,Assumptions!$A$14:$A$16,0))</f>
        <v>0.12</v>
      </c>
      <c r="AE685" s="56">
        <f>INDEX(Assumptions!$C$14:$C$16,MATCH($R685,Assumptions!$A$14:$A$16,0))</f>
        <v>0.08</v>
      </c>
      <c r="AF685" s="49">
        <f t="shared" si="151"/>
        <v>0</v>
      </c>
      <c r="AG685" s="49">
        <f t="shared" si="152"/>
        <v>0</v>
      </c>
      <c r="AH685" s="55">
        <f t="shared" si="153"/>
        <v>0</v>
      </c>
    </row>
    <row r="686" spans="1:34" x14ac:dyDescent="0.2">
      <c r="A686" s="48" t="s">
        <v>746</v>
      </c>
      <c r="B686" s="48">
        <v>2</v>
      </c>
      <c r="C686" s="48" t="s">
        <v>747</v>
      </c>
      <c r="D686" s="48" t="s">
        <v>738</v>
      </c>
      <c r="E686" s="48" t="s">
        <v>397</v>
      </c>
      <c r="F686" s="48" t="s">
        <v>280</v>
      </c>
      <c r="G686" s="48" t="s">
        <v>306</v>
      </c>
      <c r="H686" s="48" t="s">
        <v>70</v>
      </c>
      <c r="I686" s="48" t="s">
        <v>166</v>
      </c>
      <c r="J686" s="49">
        <v>6</v>
      </c>
      <c r="K686" s="50">
        <v>25820</v>
      </c>
      <c r="L686" s="50">
        <v>25312.71</v>
      </c>
      <c r="M686" s="48" t="s">
        <v>276</v>
      </c>
      <c r="N686" s="51">
        <v>83.5</v>
      </c>
      <c r="O686" s="51">
        <v>84.144000000000005</v>
      </c>
      <c r="P686" s="52">
        <v>196.32</v>
      </c>
      <c r="Q686" s="52">
        <v>201.32</v>
      </c>
      <c r="R686" s="53" t="str">
        <f>INDEX(SKU_Master!$D$5:$D$34,MATCH($I686,SKU_Master!$A$5:$A$34,0))</f>
        <v>Accessory</v>
      </c>
      <c r="S686" s="54">
        <f t="shared" si="140"/>
        <v>1.9647172734314489E-2</v>
      </c>
      <c r="T686" s="55">
        <f t="shared" si="141"/>
        <v>1855.3293413173653</v>
      </c>
      <c r="U686" s="55">
        <f t="shared" si="142"/>
        <v>1818.8773652694613</v>
      </c>
      <c r="V686" s="55">
        <f t="shared" si="143"/>
        <v>-36.451976047904054</v>
      </c>
      <c r="W686" s="55">
        <f t="shared" si="144"/>
        <v>1804.9565031374786</v>
      </c>
      <c r="X686" s="55">
        <f t="shared" si="145"/>
        <v>-13.920862131982631</v>
      </c>
      <c r="Y686" s="55">
        <f t="shared" si="146"/>
        <v>1177.92</v>
      </c>
      <c r="Z686" s="55">
        <f t="shared" si="147"/>
        <v>1207.92</v>
      </c>
      <c r="AA686" s="55">
        <f t="shared" si="148"/>
        <v>-30</v>
      </c>
      <c r="AB686" s="55">
        <f t="shared" si="149"/>
        <v>597.03650313747858</v>
      </c>
      <c r="AC686" s="54">
        <f t="shared" si="150"/>
        <v>0.33077611682036412</v>
      </c>
      <c r="AD686" s="56">
        <f>INDEX(Assumptions!$B$14:$B$16,MATCH($R686,Assumptions!$A$14:$A$16,0))</f>
        <v>0.32</v>
      </c>
      <c r="AE686" s="56">
        <f>INDEX(Assumptions!$C$14:$C$16,MATCH($R686,Assumptions!$A$14:$A$16,0))</f>
        <v>0.22</v>
      </c>
      <c r="AF686" s="49">
        <f t="shared" si="151"/>
        <v>0</v>
      </c>
      <c r="AG686" s="49">
        <f t="shared" si="152"/>
        <v>0</v>
      </c>
      <c r="AH686" s="55">
        <f t="shared" si="153"/>
        <v>0</v>
      </c>
    </row>
    <row r="687" spans="1:34" x14ac:dyDescent="0.2">
      <c r="A687" s="48" t="s">
        <v>748</v>
      </c>
      <c r="B687" s="48">
        <v>1</v>
      </c>
      <c r="C687" s="48" t="s">
        <v>749</v>
      </c>
      <c r="D687" s="48" t="s">
        <v>738</v>
      </c>
      <c r="E687" s="48" t="s">
        <v>355</v>
      </c>
      <c r="F687" s="48" t="s">
        <v>280</v>
      </c>
      <c r="G687" s="48" t="s">
        <v>302</v>
      </c>
      <c r="H687" s="48" t="s">
        <v>62</v>
      </c>
      <c r="I687" s="48" t="s">
        <v>110</v>
      </c>
      <c r="J687" s="49">
        <v>7</v>
      </c>
      <c r="K687" s="50">
        <v>1165</v>
      </c>
      <c r="L687" s="50">
        <v>1097.74</v>
      </c>
      <c r="M687" s="48" t="s">
        <v>276</v>
      </c>
      <c r="N687" s="51">
        <v>1</v>
      </c>
      <c r="O687" s="51">
        <v>1</v>
      </c>
      <c r="P687" s="52">
        <v>992.65</v>
      </c>
      <c r="Q687" s="52">
        <v>992.65</v>
      </c>
      <c r="R687" s="53" t="str">
        <f>INDEX(SKU_Master!$D$5:$D$34,MATCH($I687,SKU_Master!$A$5:$A$34,0))</f>
        <v>Laptop</v>
      </c>
      <c r="S687" s="54">
        <f t="shared" si="140"/>
        <v>5.773390557939917E-2</v>
      </c>
      <c r="T687" s="55">
        <f t="shared" si="141"/>
        <v>8155</v>
      </c>
      <c r="U687" s="55">
        <f t="shared" si="142"/>
        <v>7684.18</v>
      </c>
      <c r="V687" s="55">
        <f t="shared" si="143"/>
        <v>-470.81999999999971</v>
      </c>
      <c r="W687" s="55">
        <f t="shared" si="144"/>
        <v>7684.18</v>
      </c>
      <c r="X687" s="55">
        <f t="shared" si="145"/>
        <v>0</v>
      </c>
      <c r="Y687" s="55">
        <f t="shared" si="146"/>
        <v>6948.55</v>
      </c>
      <c r="Z687" s="55">
        <f t="shared" si="147"/>
        <v>6948.55</v>
      </c>
      <c r="AA687" s="55">
        <f t="shared" si="148"/>
        <v>0</v>
      </c>
      <c r="AB687" s="55">
        <f t="shared" si="149"/>
        <v>735.63000000000011</v>
      </c>
      <c r="AC687" s="54">
        <f t="shared" si="150"/>
        <v>9.5733051542259556E-2</v>
      </c>
      <c r="AD687" s="56">
        <f>INDEX(Assumptions!$B$14:$B$16,MATCH($R687,Assumptions!$A$14:$A$16,0))</f>
        <v>0.12</v>
      </c>
      <c r="AE687" s="56">
        <f>INDEX(Assumptions!$C$14:$C$16,MATCH($R687,Assumptions!$A$14:$A$16,0))</f>
        <v>0.08</v>
      </c>
      <c r="AF687" s="49">
        <f t="shared" si="151"/>
        <v>0</v>
      </c>
      <c r="AG687" s="49">
        <f t="shared" si="152"/>
        <v>0</v>
      </c>
      <c r="AH687" s="55">
        <f t="shared" si="153"/>
        <v>186.47159999999985</v>
      </c>
    </row>
    <row r="688" spans="1:34" x14ac:dyDescent="0.2">
      <c r="A688" s="48" t="s">
        <v>748</v>
      </c>
      <c r="B688" s="48">
        <v>2</v>
      </c>
      <c r="C688" s="48" t="s">
        <v>749</v>
      </c>
      <c r="D688" s="48" t="s">
        <v>738</v>
      </c>
      <c r="E688" s="48" t="s">
        <v>355</v>
      </c>
      <c r="F688" s="48" t="s">
        <v>280</v>
      </c>
      <c r="G688" s="48" t="s">
        <v>302</v>
      </c>
      <c r="H688" s="48" t="s">
        <v>62</v>
      </c>
      <c r="I688" s="48" t="s">
        <v>138</v>
      </c>
      <c r="J688" s="49">
        <v>6</v>
      </c>
      <c r="K688" s="50">
        <v>455</v>
      </c>
      <c r="L688" s="50">
        <v>425.48</v>
      </c>
      <c r="M688" s="48" t="s">
        <v>276</v>
      </c>
      <c r="N688" s="51">
        <v>1</v>
      </c>
      <c r="O688" s="51">
        <v>1</v>
      </c>
      <c r="P688" s="52">
        <v>358.2</v>
      </c>
      <c r="Q688" s="52">
        <v>358.2</v>
      </c>
      <c r="R688" s="53" t="str">
        <f>INDEX(SKU_Master!$D$5:$D$34,MATCH($I688,SKU_Master!$A$5:$A$34,0))</f>
        <v>Monitor</v>
      </c>
      <c r="S688" s="54">
        <f t="shared" si="140"/>
        <v>6.4879120879120844E-2</v>
      </c>
      <c r="T688" s="55">
        <f t="shared" si="141"/>
        <v>2730</v>
      </c>
      <c r="U688" s="55">
        <f t="shared" si="142"/>
        <v>2552.88</v>
      </c>
      <c r="V688" s="55">
        <f t="shared" si="143"/>
        <v>-177.11999999999989</v>
      </c>
      <c r="W688" s="55">
        <f t="shared" si="144"/>
        <v>2552.88</v>
      </c>
      <c r="X688" s="55">
        <f t="shared" si="145"/>
        <v>0</v>
      </c>
      <c r="Y688" s="55">
        <f t="shared" si="146"/>
        <v>2149.1999999999998</v>
      </c>
      <c r="Z688" s="55">
        <f t="shared" si="147"/>
        <v>2149.1999999999998</v>
      </c>
      <c r="AA688" s="55">
        <f t="shared" si="148"/>
        <v>0</v>
      </c>
      <c r="AB688" s="55">
        <f t="shared" si="149"/>
        <v>403.68000000000029</v>
      </c>
      <c r="AC688" s="54">
        <f t="shared" si="150"/>
        <v>0.15812729152956673</v>
      </c>
      <c r="AD688" s="56">
        <f>INDEX(Assumptions!$B$14:$B$16,MATCH($R688,Assumptions!$A$14:$A$16,0))</f>
        <v>0.18</v>
      </c>
      <c r="AE688" s="56">
        <f>INDEX(Assumptions!$C$14:$C$16,MATCH($R688,Assumptions!$A$14:$A$16,0))</f>
        <v>0.12</v>
      </c>
      <c r="AF688" s="49">
        <f t="shared" si="151"/>
        <v>0</v>
      </c>
      <c r="AG688" s="49">
        <f t="shared" si="152"/>
        <v>0</v>
      </c>
      <c r="AH688" s="55">
        <f t="shared" si="153"/>
        <v>55.838399999999695</v>
      </c>
    </row>
    <row r="689" spans="1:34" x14ac:dyDescent="0.2">
      <c r="A689" s="48" t="s">
        <v>748</v>
      </c>
      <c r="B689" s="48">
        <v>3</v>
      </c>
      <c r="C689" s="48" t="s">
        <v>749</v>
      </c>
      <c r="D689" s="48" t="s">
        <v>738</v>
      </c>
      <c r="E689" s="48" t="s">
        <v>355</v>
      </c>
      <c r="F689" s="48" t="s">
        <v>280</v>
      </c>
      <c r="G689" s="48" t="s">
        <v>302</v>
      </c>
      <c r="H689" s="48" t="s">
        <v>62</v>
      </c>
      <c r="I689" s="48" t="s">
        <v>177</v>
      </c>
      <c r="J689" s="49">
        <v>7</v>
      </c>
      <c r="K689" s="50">
        <v>70</v>
      </c>
      <c r="L689" s="50">
        <v>66.63</v>
      </c>
      <c r="M689" s="48" t="s">
        <v>276</v>
      </c>
      <c r="N689" s="51">
        <v>1</v>
      </c>
      <c r="O689" s="51">
        <v>1</v>
      </c>
      <c r="P689" s="52">
        <v>44</v>
      </c>
      <c r="Q689" s="52">
        <v>44</v>
      </c>
      <c r="R689" s="53" t="str">
        <f>INDEX(SKU_Master!$D$5:$D$34,MATCH($I689,SKU_Master!$A$5:$A$34,0))</f>
        <v>Accessory</v>
      </c>
      <c r="S689" s="54">
        <f t="shared" si="140"/>
        <v>4.8142857142857154E-2</v>
      </c>
      <c r="T689" s="55">
        <f t="shared" si="141"/>
        <v>490</v>
      </c>
      <c r="U689" s="55">
        <f t="shared" si="142"/>
        <v>466.40999999999997</v>
      </c>
      <c r="V689" s="55">
        <f t="shared" si="143"/>
        <v>-23.590000000000032</v>
      </c>
      <c r="W689" s="55">
        <f t="shared" si="144"/>
        <v>466.40999999999997</v>
      </c>
      <c r="X689" s="55">
        <f t="shared" si="145"/>
        <v>0</v>
      </c>
      <c r="Y689" s="55">
        <f t="shared" si="146"/>
        <v>308</v>
      </c>
      <c r="Z689" s="55">
        <f t="shared" si="147"/>
        <v>308</v>
      </c>
      <c r="AA689" s="55">
        <f t="shared" si="148"/>
        <v>0</v>
      </c>
      <c r="AB689" s="55">
        <f t="shared" si="149"/>
        <v>158.40999999999997</v>
      </c>
      <c r="AC689" s="54">
        <f t="shared" si="150"/>
        <v>0.33963680024013204</v>
      </c>
      <c r="AD689" s="56">
        <f>INDEX(Assumptions!$B$14:$B$16,MATCH($R689,Assumptions!$A$14:$A$16,0))</f>
        <v>0.32</v>
      </c>
      <c r="AE689" s="56">
        <f>INDEX(Assumptions!$C$14:$C$16,MATCH($R689,Assumptions!$A$14:$A$16,0))</f>
        <v>0.22</v>
      </c>
      <c r="AF689" s="49">
        <f t="shared" si="151"/>
        <v>0</v>
      </c>
      <c r="AG689" s="49">
        <f t="shared" si="152"/>
        <v>0</v>
      </c>
      <c r="AH689" s="55">
        <f t="shared" si="153"/>
        <v>0</v>
      </c>
    </row>
    <row r="690" spans="1:34" x14ac:dyDescent="0.2">
      <c r="A690" s="48" t="s">
        <v>750</v>
      </c>
      <c r="B690" s="48">
        <v>1</v>
      </c>
      <c r="C690" s="48" t="s">
        <v>751</v>
      </c>
      <c r="D690" s="48" t="s">
        <v>738</v>
      </c>
      <c r="E690" s="48" t="s">
        <v>309</v>
      </c>
      <c r="F690" s="48" t="s">
        <v>280</v>
      </c>
      <c r="G690" s="48" t="s">
        <v>298</v>
      </c>
      <c r="H690" s="48" t="s">
        <v>70</v>
      </c>
      <c r="I690" s="48" t="s">
        <v>113</v>
      </c>
      <c r="J690" s="49">
        <v>26</v>
      </c>
      <c r="K690" s="50">
        <v>167790</v>
      </c>
      <c r="L690" s="50">
        <v>165833.95000000001</v>
      </c>
      <c r="M690" s="48" t="s">
        <v>276</v>
      </c>
      <c r="N690" s="51">
        <v>83.5</v>
      </c>
      <c r="O690" s="51">
        <v>84.144000000000005</v>
      </c>
      <c r="P690" s="52">
        <v>1683.15</v>
      </c>
      <c r="Q690" s="52">
        <v>1703.15</v>
      </c>
      <c r="R690" s="53" t="str">
        <f>INDEX(SKU_Master!$D$5:$D$34,MATCH($I690,SKU_Master!$A$5:$A$34,0))</f>
        <v>Laptop</v>
      </c>
      <c r="S690" s="54">
        <f t="shared" si="140"/>
        <v>1.1657726920555334E-2</v>
      </c>
      <c r="T690" s="55">
        <f t="shared" si="141"/>
        <v>52245.988023952093</v>
      </c>
      <c r="U690" s="55">
        <f t="shared" si="142"/>
        <v>51636.918562874256</v>
      </c>
      <c r="V690" s="55">
        <f t="shared" si="143"/>
        <v>-609.06946107783733</v>
      </c>
      <c r="W690" s="55">
        <f t="shared" si="144"/>
        <v>51241.713015782465</v>
      </c>
      <c r="X690" s="55">
        <f t="shared" si="145"/>
        <v>-395.20554709179123</v>
      </c>
      <c r="Y690" s="55">
        <f t="shared" si="146"/>
        <v>43761.9</v>
      </c>
      <c r="Z690" s="55">
        <f t="shared" si="147"/>
        <v>44281.9</v>
      </c>
      <c r="AA690" s="55">
        <f t="shared" si="148"/>
        <v>-520</v>
      </c>
      <c r="AB690" s="55">
        <f t="shared" si="149"/>
        <v>6959.8130157824635</v>
      </c>
      <c r="AC690" s="54">
        <f t="shared" si="150"/>
        <v>0.1358231918132565</v>
      </c>
      <c r="AD690" s="56">
        <f>INDEX(Assumptions!$B$14:$B$16,MATCH($R690,Assumptions!$A$14:$A$16,0))</f>
        <v>0.12</v>
      </c>
      <c r="AE690" s="56">
        <f>INDEX(Assumptions!$C$14:$C$16,MATCH($R690,Assumptions!$A$14:$A$16,0))</f>
        <v>0.08</v>
      </c>
      <c r="AF690" s="49">
        <f t="shared" si="151"/>
        <v>0</v>
      </c>
      <c r="AG690" s="49">
        <f t="shared" si="152"/>
        <v>0</v>
      </c>
      <c r="AH690" s="55">
        <f t="shared" si="153"/>
        <v>0</v>
      </c>
    </row>
    <row r="691" spans="1:34" x14ac:dyDescent="0.2">
      <c r="A691" s="48" t="s">
        <v>750</v>
      </c>
      <c r="B691" s="48">
        <v>2</v>
      </c>
      <c r="C691" s="48" t="s">
        <v>751</v>
      </c>
      <c r="D691" s="48" t="s">
        <v>738</v>
      </c>
      <c r="E691" s="48" t="s">
        <v>309</v>
      </c>
      <c r="F691" s="48" t="s">
        <v>280</v>
      </c>
      <c r="G691" s="48" t="s">
        <v>298</v>
      </c>
      <c r="H691" s="48" t="s">
        <v>70</v>
      </c>
      <c r="I691" s="48" t="s">
        <v>135</v>
      </c>
      <c r="J691" s="49">
        <v>10</v>
      </c>
      <c r="K691" s="50">
        <v>26950</v>
      </c>
      <c r="L691" s="50">
        <v>26114.91</v>
      </c>
      <c r="M691" s="48" t="s">
        <v>276</v>
      </c>
      <c r="N691" s="51">
        <v>83.5</v>
      </c>
      <c r="O691" s="51">
        <v>84.144000000000005</v>
      </c>
      <c r="P691" s="52">
        <v>249.49</v>
      </c>
      <c r="Q691" s="52">
        <v>269.49</v>
      </c>
      <c r="R691" s="53" t="str">
        <f>INDEX(SKU_Master!$D$5:$D$34,MATCH($I691,SKU_Master!$A$5:$A$34,0))</f>
        <v>Monitor</v>
      </c>
      <c r="S691" s="54">
        <f t="shared" si="140"/>
        <v>3.098664192949907E-2</v>
      </c>
      <c r="T691" s="55">
        <f t="shared" si="141"/>
        <v>3227.5449101796407</v>
      </c>
      <c r="U691" s="55">
        <f t="shared" si="142"/>
        <v>3127.5341317365269</v>
      </c>
      <c r="V691" s="55">
        <f t="shared" si="143"/>
        <v>-100.01077844311385</v>
      </c>
      <c r="W691" s="55">
        <f t="shared" si="144"/>
        <v>3103.5974044495151</v>
      </c>
      <c r="X691" s="55">
        <f t="shared" si="145"/>
        <v>-23.936727287011763</v>
      </c>
      <c r="Y691" s="55">
        <f t="shared" si="146"/>
        <v>2494.9</v>
      </c>
      <c r="Z691" s="55">
        <f t="shared" si="147"/>
        <v>2694.9</v>
      </c>
      <c r="AA691" s="55">
        <f t="shared" si="148"/>
        <v>-200</v>
      </c>
      <c r="AB691" s="55">
        <f t="shared" si="149"/>
        <v>408.69740444951503</v>
      </c>
      <c r="AC691" s="54">
        <f t="shared" si="150"/>
        <v>0.1316850580760186</v>
      </c>
      <c r="AD691" s="56">
        <f>INDEX(Assumptions!$B$14:$B$16,MATCH($R691,Assumptions!$A$14:$A$16,0))</f>
        <v>0.18</v>
      </c>
      <c r="AE691" s="56">
        <f>INDEX(Assumptions!$C$14:$C$16,MATCH($R691,Assumptions!$A$14:$A$16,0))</f>
        <v>0.12</v>
      </c>
      <c r="AF691" s="49">
        <f t="shared" si="151"/>
        <v>0</v>
      </c>
      <c r="AG691" s="49">
        <f t="shared" si="152"/>
        <v>0</v>
      </c>
      <c r="AH691" s="55">
        <f t="shared" si="153"/>
        <v>149.95012835139767</v>
      </c>
    </row>
    <row r="692" spans="1:34" x14ac:dyDescent="0.2">
      <c r="A692" s="48" t="s">
        <v>750</v>
      </c>
      <c r="B692" s="48">
        <v>3</v>
      </c>
      <c r="C692" s="48" t="s">
        <v>751</v>
      </c>
      <c r="D692" s="48" t="s">
        <v>738</v>
      </c>
      <c r="E692" s="48" t="s">
        <v>309</v>
      </c>
      <c r="F692" s="48" t="s">
        <v>280</v>
      </c>
      <c r="G692" s="48" t="s">
        <v>298</v>
      </c>
      <c r="H692" s="48" t="s">
        <v>70</v>
      </c>
      <c r="I692" s="48" t="s">
        <v>151</v>
      </c>
      <c r="J692" s="49">
        <v>29</v>
      </c>
      <c r="K692" s="50">
        <v>32735</v>
      </c>
      <c r="L692" s="50">
        <v>31334.21</v>
      </c>
      <c r="M692" s="48" t="s">
        <v>276</v>
      </c>
      <c r="N692" s="51">
        <v>83.5</v>
      </c>
      <c r="O692" s="51">
        <v>84.144000000000005</v>
      </c>
      <c r="P692" s="52">
        <v>248.88</v>
      </c>
      <c r="Q692" s="52">
        <v>253.88</v>
      </c>
      <c r="R692" s="53" t="str">
        <f>INDEX(SKU_Master!$D$5:$D$34,MATCH($I692,SKU_Master!$A$5:$A$34,0))</f>
        <v>Accessory</v>
      </c>
      <c r="S692" s="54">
        <f t="shared" si="140"/>
        <v>4.2791813044142368E-2</v>
      </c>
      <c r="T692" s="55">
        <f t="shared" si="141"/>
        <v>11369.041916167665</v>
      </c>
      <c r="U692" s="55">
        <f t="shared" si="142"/>
        <v>10882.539999999999</v>
      </c>
      <c r="V692" s="55">
        <f t="shared" si="143"/>
        <v>-486.50191616766642</v>
      </c>
      <c r="W692" s="55">
        <f t="shared" si="144"/>
        <v>10799.249976231222</v>
      </c>
      <c r="X692" s="55">
        <f t="shared" si="145"/>
        <v>-83.290023768777246</v>
      </c>
      <c r="Y692" s="55">
        <f t="shared" si="146"/>
        <v>7217.5199999999995</v>
      </c>
      <c r="Z692" s="55">
        <f t="shared" si="147"/>
        <v>7362.5199999999995</v>
      </c>
      <c r="AA692" s="55">
        <f t="shared" si="148"/>
        <v>-145</v>
      </c>
      <c r="AB692" s="55">
        <f t="shared" si="149"/>
        <v>3436.7299762312223</v>
      </c>
      <c r="AC692" s="54">
        <f t="shared" si="150"/>
        <v>0.31823783909024672</v>
      </c>
      <c r="AD692" s="56">
        <f>INDEX(Assumptions!$B$14:$B$16,MATCH($R692,Assumptions!$A$14:$A$16,0))</f>
        <v>0.32</v>
      </c>
      <c r="AE692" s="56">
        <f>INDEX(Assumptions!$C$14:$C$16,MATCH($R692,Assumptions!$A$14:$A$16,0))</f>
        <v>0.22</v>
      </c>
      <c r="AF692" s="49">
        <f t="shared" si="151"/>
        <v>0</v>
      </c>
      <c r="AG692" s="49">
        <f t="shared" si="152"/>
        <v>0</v>
      </c>
      <c r="AH692" s="55">
        <f t="shared" si="153"/>
        <v>19.030016162768788</v>
      </c>
    </row>
    <row r="693" spans="1:34" x14ac:dyDescent="0.2">
      <c r="A693" s="48" t="s">
        <v>752</v>
      </c>
      <c r="B693" s="48">
        <v>1</v>
      </c>
      <c r="C693" s="48" t="s">
        <v>753</v>
      </c>
      <c r="D693" s="48" t="s">
        <v>738</v>
      </c>
      <c r="E693" s="48" t="s">
        <v>427</v>
      </c>
      <c r="F693" s="48" t="s">
        <v>297</v>
      </c>
      <c r="G693" s="48" t="s">
        <v>302</v>
      </c>
      <c r="H693" s="48" t="s">
        <v>66</v>
      </c>
      <c r="I693" s="48" t="s">
        <v>93</v>
      </c>
      <c r="J693" s="49">
        <v>50</v>
      </c>
      <c r="K693" s="50">
        <v>1325</v>
      </c>
      <c r="L693" s="50">
        <v>1244.17</v>
      </c>
      <c r="M693" s="48" t="s">
        <v>276</v>
      </c>
      <c r="N693" s="51">
        <v>0.92</v>
      </c>
      <c r="O693" s="51">
        <v>0.92079999999999995</v>
      </c>
      <c r="P693" s="52">
        <v>1206.2</v>
      </c>
      <c r="Q693" s="52">
        <v>1206.2</v>
      </c>
      <c r="R693" s="53" t="str">
        <f>INDEX(SKU_Master!$D$5:$D$34,MATCH($I693,SKU_Master!$A$5:$A$34,0))</f>
        <v>Laptop</v>
      </c>
      <c r="S693" s="54">
        <f t="shared" si="140"/>
        <v>6.1003773584905607E-2</v>
      </c>
      <c r="T693" s="55">
        <f t="shared" si="141"/>
        <v>72010.869565217392</v>
      </c>
      <c r="U693" s="55">
        <f t="shared" si="142"/>
        <v>67617.934782608689</v>
      </c>
      <c r="V693" s="55">
        <f t="shared" si="143"/>
        <v>-4392.9347826087032</v>
      </c>
      <c r="W693" s="55">
        <f t="shared" si="144"/>
        <v>67559.187662901822</v>
      </c>
      <c r="X693" s="55">
        <f t="shared" si="145"/>
        <v>-58.747119706866215</v>
      </c>
      <c r="Y693" s="55">
        <f t="shared" si="146"/>
        <v>60310</v>
      </c>
      <c r="Z693" s="55">
        <f t="shared" si="147"/>
        <v>60310</v>
      </c>
      <c r="AA693" s="55">
        <f t="shared" si="148"/>
        <v>0</v>
      </c>
      <c r="AB693" s="55">
        <f t="shared" si="149"/>
        <v>7249.1876629018225</v>
      </c>
      <c r="AC693" s="54">
        <f t="shared" si="150"/>
        <v>0.10730128519414547</v>
      </c>
      <c r="AD693" s="56">
        <f>INDEX(Assumptions!$B$14:$B$16,MATCH($R693,Assumptions!$A$14:$A$16,0))</f>
        <v>0.12</v>
      </c>
      <c r="AE693" s="56">
        <f>INDEX(Assumptions!$C$14:$C$16,MATCH($R693,Assumptions!$A$14:$A$16,0))</f>
        <v>0.08</v>
      </c>
      <c r="AF693" s="49">
        <f t="shared" si="151"/>
        <v>0</v>
      </c>
      <c r="AG693" s="49">
        <f t="shared" si="152"/>
        <v>0</v>
      </c>
      <c r="AH693" s="55">
        <f t="shared" si="153"/>
        <v>857.91485664639549</v>
      </c>
    </row>
    <row r="694" spans="1:34" x14ac:dyDescent="0.2">
      <c r="A694" s="48" t="s">
        <v>752</v>
      </c>
      <c r="B694" s="48">
        <v>2</v>
      </c>
      <c r="C694" s="48" t="s">
        <v>753</v>
      </c>
      <c r="D694" s="48" t="s">
        <v>738</v>
      </c>
      <c r="E694" s="48" t="s">
        <v>427</v>
      </c>
      <c r="F694" s="48" t="s">
        <v>297</v>
      </c>
      <c r="G694" s="48" t="s">
        <v>302</v>
      </c>
      <c r="H694" s="48" t="s">
        <v>66</v>
      </c>
      <c r="I694" s="48" t="s">
        <v>157</v>
      </c>
      <c r="J694" s="49">
        <v>20</v>
      </c>
      <c r="K694" s="50">
        <v>135</v>
      </c>
      <c r="L694" s="50">
        <v>130.84</v>
      </c>
      <c r="M694" s="48" t="s">
        <v>276</v>
      </c>
      <c r="N694" s="51">
        <v>0.92</v>
      </c>
      <c r="O694" s="51">
        <v>0.92079999999999995</v>
      </c>
      <c r="P694" s="52">
        <v>91</v>
      </c>
      <c r="Q694" s="52">
        <v>91</v>
      </c>
      <c r="R694" s="53" t="str">
        <f>INDEX(SKU_Master!$D$5:$D$34,MATCH($I694,SKU_Master!$A$5:$A$34,0))</f>
        <v>Accessory</v>
      </c>
      <c r="S694" s="54">
        <f t="shared" si="140"/>
        <v>3.0814814814814739E-2</v>
      </c>
      <c r="T694" s="55">
        <f t="shared" si="141"/>
        <v>2934.782608695652</v>
      </c>
      <c r="U694" s="55">
        <f t="shared" si="142"/>
        <v>2844.3478260869565</v>
      </c>
      <c r="V694" s="55">
        <f t="shared" si="143"/>
        <v>-90.434782608695514</v>
      </c>
      <c r="W694" s="55">
        <f t="shared" si="144"/>
        <v>2841.8766290182452</v>
      </c>
      <c r="X694" s="55">
        <f t="shared" si="145"/>
        <v>-2.4711970687112625</v>
      </c>
      <c r="Y694" s="55">
        <f t="shared" si="146"/>
        <v>1820</v>
      </c>
      <c r="Z694" s="55">
        <f t="shared" si="147"/>
        <v>1820</v>
      </c>
      <c r="AA694" s="55">
        <f t="shared" si="148"/>
        <v>0</v>
      </c>
      <c r="AB694" s="55">
        <f t="shared" si="149"/>
        <v>1021.8766290182452</v>
      </c>
      <c r="AC694" s="54">
        <f t="shared" si="150"/>
        <v>0.35957811066952006</v>
      </c>
      <c r="AD694" s="56">
        <f>INDEX(Assumptions!$B$14:$B$16,MATCH($R694,Assumptions!$A$14:$A$16,0))</f>
        <v>0.32</v>
      </c>
      <c r="AE694" s="56">
        <f>INDEX(Assumptions!$C$14:$C$16,MATCH($R694,Assumptions!$A$14:$A$16,0))</f>
        <v>0.22</v>
      </c>
      <c r="AF694" s="49">
        <f t="shared" si="151"/>
        <v>0</v>
      </c>
      <c r="AG694" s="49">
        <f t="shared" si="152"/>
        <v>0</v>
      </c>
      <c r="AH694" s="55">
        <f t="shared" si="153"/>
        <v>0</v>
      </c>
    </row>
    <row r="695" spans="1:34" x14ac:dyDescent="0.2">
      <c r="A695" s="48" t="s">
        <v>754</v>
      </c>
      <c r="B695" s="48">
        <v>1</v>
      </c>
      <c r="C695" s="48" t="s">
        <v>755</v>
      </c>
      <c r="D695" s="48" t="s">
        <v>738</v>
      </c>
      <c r="E695" s="48" t="s">
        <v>309</v>
      </c>
      <c r="F695" s="48" t="s">
        <v>280</v>
      </c>
      <c r="G695" s="48" t="s">
        <v>298</v>
      </c>
      <c r="H695" s="48" t="s">
        <v>70</v>
      </c>
      <c r="I695" s="48" t="s">
        <v>118</v>
      </c>
      <c r="J695" s="49">
        <v>28</v>
      </c>
      <c r="K695" s="50">
        <v>132140</v>
      </c>
      <c r="L695" s="50">
        <v>128476.21</v>
      </c>
      <c r="M695" s="48" t="s">
        <v>276</v>
      </c>
      <c r="N695" s="51">
        <v>83.5</v>
      </c>
      <c r="O695" s="51">
        <v>84.144000000000005</v>
      </c>
      <c r="P695" s="52">
        <v>1325.51</v>
      </c>
      <c r="Q695" s="52">
        <v>1345.51</v>
      </c>
      <c r="R695" s="53" t="str">
        <f>INDEX(SKU_Master!$D$5:$D$34,MATCH($I695,SKU_Master!$A$5:$A$34,0))</f>
        <v>Laptop</v>
      </c>
      <c r="S695" s="54">
        <f t="shared" si="140"/>
        <v>2.7726577871953983E-2</v>
      </c>
      <c r="T695" s="55">
        <f t="shared" si="141"/>
        <v>44310.419161676647</v>
      </c>
      <c r="U695" s="55">
        <f t="shared" si="142"/>
        <v>43081.842874251503</v>
      </c>
      <c r="V695" s="55">
        <f t="shared" si="143"/>
        <v>-1228.576287425145</v>
      </c>
      <c r="W695" s="55">
        <f t="shared" si="144"/>
        <v>42752.113995056097</v>
      </c>
      <c r="X695" s="55">
        <f t="shared" si="145"/>
        <v>-329.72887919540517</v>
      </c>
      <c r="Y695" s="55">
        <f t="shared" si="146"/>
        <v>37114.28</v>
      </c>
      <c r="Z695" s="55">
        <f t="shared" si="147"/>
        <v>37674.28</v>
      </c>
      <c r="AA695" s="55">
        <f t="shared" si="148"/>
        <v>-560</v>
      </c>
      <c r="AB695" s="55">
        <f t="shared" si="149"/>
        <v>5077.8339950560985</v>
      </c>
      <c r="AC695" s="54">
        <f t="shared" si="150"/>
        <v>0.11877386918558705</v>
      </c>
      <c r="AD695" s="56">
        <f>INDEX(Assumptions!$B$14:$B$16,MATCH($R695,Assumptions!$A$14:$A$16,0))</f>
        <v>0.12</v>
      </c>
      <c r="AE695" s="56">
        <f>INDEX(Assumptions!$C$14:$C$16,MATCH($R695,Assumptions!$A$14:$A$16,0))</f>
        <v>0.08</v>
      </c>
      <c r="AF695" s="49">
        <f t="shared" si="151"/>
        <v>0</v>
      </c>
      <c r="AG695" s="49">
        <f t="shared" si="152"/>
        <v>0</v>
      </c>
      <c r="AH695" s="55">
        <f t="shared" si="153"/>
        <v>52.419684350633361</v>
      </c>
    </row>
    <row r="696" spans="1:34" x14ac:dyDescent="0.2">
      <c r="A696" s="48" t="s">
        <v>756</v>
      </c>
      <c r="B696" s="48">
        <v>1</v>
      </c>
      <c r="C696" s="48" t="s">
        <v>757</v>
      </c>
      <c r="D696" s="48" t="s">
        <v>738</v>
      </c>
      <c r="E696" s="48" t="s">
        <v>410</v>
      </c>
      <c r="F696" s="48" t="s">
        <v>297</v>
      </c>
      <c r="G696" s="48" t="s">
        <v>302</v>
      </c>
      <c r="H696" s="48" t="s">
        <v>64</v>
      </c>
      <c r="I696" s="48" t="s">
        <v>93</v>
      </c>
      <c r="J696" s="49">
        <v>29</v>
      </c>
      <c r="K696" s="50">
        <v>1145</v>
      </c>
      <c r="L696" s="50">
        <v>1080.18</v>
      </c>
      <c r="M696" s="48" t="s">
        <v>276</v>
      </c>
      <c r="N696" s="51">
        <v>0.79</v>
      </c>
      <c r="O696" s="51">
        <v>0.78910000000000002</v>
      </c>
      <c r="P696" s="52">
        <v>1210.2</v>
      </c>
      <c r="Q696" s="52">
        <v>1210.2</v>
      </c>
      <c r="R696" s="53" t="str">
        <f>INDEX(SKU_Master!$D$5:$D$34,MATCH($I696,SKU_Master!$A$5:$A$34,0))</f>
        <v>Laptop</v>
      </c>
      <c r="S696" s="54">
        <f t="shared" si="140"/>
        <v>5.661135371179038E-2</v>
      </c>
      <c r="T696" s="55">
        <f t="shared" si="141"/>
        <v>42031.645569620254</v>
      </c>
      <c r="U696" s="55">
        <f t="shared" si="142"/>
        <v>39652.177215189877</v>
      </c>
      <c r="V696" s="55">
        <f t="shared" si="143"/>
        <v>-2379.4683544303771</v>
      </c>
      <c r="W696" s="55">
        <f t="shared" si="144"/>
        <v>39697.402103662404</v>
      </c>
      <c r="X696" s="55">
        <f t="shared" si="145"/>
        <v>45.2248884725268</v>
      </c>
      <c r="Y696" s="55">
        <f t="shared" si="146"/>
        <v>35095.800000000003</v>
      </c>
      <c r="Z696" s="55">
        <f t="shared" si="147"/>
        <v>35095.800000000003</v>
      </c>
      <c r="AA696" s="55">
        <f t="shared" si="148"/>
        <v>0</v>
      </c>
      <c r="AB696" s="55">
        <f t="shared" si="149"/>
        <v>4601.6021036624006</v>
      </c>
      <c r="AC696" s="54">
        <f t="shared" si="150"/>
        <v>0.11591695828473032</v>
      </c>
      <c r="AD696" s="56">
        <f>INDEX(Assumptions!$B$14:$B$16,MATCH($R696,Assumptions!$A$14:$A$16,0))</f>
        <v>0.12</v>
      </c>
      <c r="AE696" s="56">
        <f>INDEX(Assumptions!$C$14:$C$16,MATCH($R696,Assumptions!$A$14:$A$16,0))</f>
        <v>0.08</v>
      </c>
      <c r="AF696" s="49">
        <f t="shared" si="151"/>
        <v>0</v>
      </c>
      <c r="AG696" s="49">
        <f t="shared" si="152"/>
        <v>0</v>
      </c>
      <c r="AH696" s="55">
        <f t="shared" si="153"/>
        <v>162.08614877708806</v>
      </c>
    </row>
    <row r="697" spans="1:34" x14ac:dyDescent="0.2">
      <c r="A697" s="48" t="s">
        <v>756</v>
      </c>
      <c r="B697" s="48">
        <v>2</v>
      </c>
      <c r="C697" s="48" t="s">
        <v>757</v>
      </c>
      <c r="D697" s="48" t="s">
        <v>738</v>
      </c>
      <c r="E697" s="48" t="s">
        <v>410</v>
      </c>
      <c r="F697" s="48" t="s">
        <v>297</v>
      </c>
      <c r="G697" s="48" t="s">
        <v>302</v>
      </c>
      <c r="H697" s="48" t="s">
        <v>64</v>
      </c>
      <c r="I697" s="48" t="s">
        <v>161</v>
      </c>
      <c r="J697" s="49">
        <v>32</v>
      </c>
      <c r="K697" s="50">
        <v>105</v>
      </c>
      <c r="L697" s="50">
        <v>98.96</v>
      </c>
      <c r="M697" s="48" t="s">
        <v>276</v>
      </c>
      <c r="N697" s="51">
        <v>0.79</v>
      </c>
      <c r="O697" s="51">
        <v>0.78910000000000002</v>
      </c>
      <c r="P697" s="52">
        <v>82</v>
      </c>
      <c r="Q697" s="52">
        <v>82</v>
      </c>
      <c r="R697" s="53" t="str">
        <f>INDEX(SKU_Master!$D$5:$D$34,MATCH($I697,SKU_Master!$A$5:$A$34,0))</f>
        <v>Accessory</v>
      </c>
      <c r="S697" s="54">
        <f t="shared" si="140"/>
        <v>5.7523809523809533E-2</v>
      </c>
      <c r="T697" s="55">
        <f t="shared" si="141"/>
        <v>4253.164556962025</v>
      </c>
      <c r="U697" s="55">
        <f t="shared" si="142"/>
        <v>4008.5063291139236</v>
      </c>
      <c r="V697" s="55">
        <f t="shared" si="143"/>
        <v>-244.65822784810143</v>
      </c>
      <c r="W697" s="55">
        <f t="shared" si="144"/>
        <v>4013.078190343429</v>
      </c>
      <c r="X697" s="55">
        <f t="shared" si="145"/>
        <v>4.5718612295054299</v>
      </c>
      <c r="Y697" s="55">
        <f t="shared" si="146"/>
        <v>2624</v>
      </c>
      <c r="Z697" s="55">
        <f t="shared" si="147"/>
        <v>2624</v>
      </c>
      <c r="AA697" s="55">
        <f t="shared" si="148"/>
        <v>0</v>
      </c>
      <c r="AB697" s="55">
        <f t="shared" si="149"/>
        <v>1389.078190343429</v>
      </c>
      <c r="AC697" s="54">
        <f t="shared" si="150"/>
        <v>0.34613783346806787</v>
      </c>
      <c r="AD697" s="56">
        <f>INDEX(Assumptions!$B$14:$B$16,MATCH($R697,Assumptions!$A$14:$A$16,0))</f>
        <v>0.32</v>
      </c>
      <c r="AE697" s="56">
        <f>INDEX(Assumptions!$C$14:$C$16,MATCH($R697,Assumptions!$A$14:$A$16,0))</f>
        <v>0.22</v>
      </c>
      <c r="AF697" s="49">
        <f t="shared" si="151"/>
        <v>0</v>
      </c>
      <c r="AG697" s="49">
        <f t="shared" si="152"/>
        <v>0</v>
      </c>
      <c r="AH697" s="55">
        <f t="shared" si="153"/>
        <v>0</v>
      </c>
    </row>
    <row r="698" spans="1:34" x14ac:dyDescent="0.2">
      <c r="A698" s="48" t="s">
        <v>758</v>
      </c>
      <c r="B698" s="48">
        <v>1</v>
      </c>
      <c r="C698" s="48" t="s">
        <v>759</v>
      </c>
      <c r="D698" s="48" t="s">
        <v>738</v>
      </c>
      <c r="E698" s="48" t="s">
        <v>296</v>
      </c>
      <c r="F698" s="48" t="s">
        <v>297</v>
      </c>
      <c r="G698" s="48" t="s">
        <v>298</v>
      </c>
      <c r="H698" s="48" t="s">
        <v>66</v>
      </c>
      <c r="I698" s="48" t="s">
        <v>110</v>
      </c>
      <c r="J698" s="49">
        <v>60</v>
      </c>
      <c r="K698" s="50">
        <v>1115</v>
      </c>
      <c r="L698" s="50">
        <v>1070.52</v>
      </c>
      <c r="M698" s="48" t="s">
        <v>276</v>
      </c>
      <c r="N698" s="51">
        <v>0.92</v>
      </c>
      <c r="O698" s="51">
        <v>0.92079999999999995</v>
      </c>
      <c r="P698" s="52">
        <v>1012.65</v>
      </c>
      <c r="Q698" s="52">
        <v>1012.65</v>
      </c>
      <c r="R698" s="53" t="str">
        <f>INDEX(SKU_Master!$D$5:$D$34,MATCH($I698,SKU_Master!$A$5:$A$34,0))</f>
        <v>Laptop</v>
      </c>
      <c r="S698" s="54">
        <f t="shared" si="140"/>
        <v>3.9892376681614383E-2</v>
      </c>
      <c r="T698" s="55">
        <f t="shared" si="141"/>
        <v>72717.391304347824</v>
      </c>
      <c r="U698" s="55">
        <f t="shared" si="142"/>
        <v>69816.521739130432</v>
      </c>
      <c r="V698" s="55">
        <f t="shared" si="143"/>
        <v>-2900.8695652173919</v>
      </c>
      <c r="W698" s="55">
        <f t="shared" si="144"/>
        <v>69755.864465682011</v>
      </c>
      <c r="X698" s="55">
        <f t="shared" si="145"/>
        <v>-60.65727344842162</v>
      </c>
      <c r="Y698" s="55">
        <f t="shared" si="146"/>
        <v>60759</v>
      </c>
      <c r="Z698" s="55">
        <f t="shared" si="147"/>
        <v>60759</v>
      </c>
      <c r="AA698" s="55">
        <f t="shared" si="148"/>
        <v>0</v>
      </c>
      <c r="AB698" s="55">
        <f t="shared" si="149"/>
        <v>8996.8644656820106</v>
      </c>
      <c r="AC698" s="54">
        <f t="shared" si="150"/>
        <v>0.12897646003811225</v>
      </c>
      <c r="AD698" s="56">
        <f>INDEX(Assumptions!$B$14:$B$16,MATCH($R698,Assumptions!$A$14:$A$16,0))</f>
        <v>0.12</v>
      </c>
      <c r="AE698" s="56">
        <f>INDEX(Assumptions!$C$14:$C$16,MATCH($R698,Assumptions!$A$14:$A$16,0))</f>
        <v>0.08</v>
      </c>
      <c r="AF698" s="49">
        <f t="shared" si="151"/>
        <v>0</v>
      </c>
      <c r="AG698" s="49">
        <f t="shared" si="152"/>
        <v>0</v>
      </c>
      <c r="AH698" s="55">
        <f t="shared" si="153"/>
        <v>0</v>
      </c>
    </row>
    <row r="699" spans="1:34" x14ac:dyDescent="0.2">
      <c r="A699" s="48" t="s">
        <v>758</v>
      </c>
      <c r="B699" s="48">
        <v>2</v>
      </c>
      <c r="C699" s="48" t="s">
        <v>759</v>
      </c>
      <c r="D699" s="48" t="s">
        <v>738</v>
      </c>
      <c r="E699" s="48" t="s">
        <v>296</v>
      </c>
      <c r="F699" s="48" t="s">
        <v>297</v>
      </c>
      <c r="G699" s="48" t="s">
        <v>298</v>
      </c>
      <c r="H699" s="48" t="s">
        <v>66</v>
      </c>
      <c r="I699" s="48" t="s">
        <v>141</v>
      </c>
      <c r="J699" s="49">
        <v>61</v>
      </c>
      <c r="K699" s="50">
        <v>450</v>
      </c>
      <c r="L699" s="50">
        <v>436.58</v>
      </c>
      <c r="M699" s="48" t="s">
        <v>276</v>
      </c>
      <c r="N699" s="51">
        <v>0.92</v>
      </c>
      <c r="O699" s="51">
        <v>0.92079999999999995</v>
      </c>
      <c r="P699" s="52">
        <v>376.7</v>
      </c>
      <c r="Q699" s="52">
        <v>376.7</v>
      </c>
      <c r="R699" s="53" t="str">
        <f>INDEX(SKU_Master!$D$5:$D$34,MATCH($I699,SKU_Master!$A$5:$A$34,0))</f>
        <v>Monitor</v>
      </c>
      <c r="S699" s="54">
        <f t="shared" si="140"/>
        <v>2.9822222222222305E-2</v>
      </c>
      <c r="T699" s="55">
        <f t="shared" si="141"/>
        <v>29836.956521739128</v>
      </c>
      <c r="U699" s="55">
        <f t="shared" si="142"/>
        <v>28947.15217391304</v>
      </c>
      <c r="V699" s="55">
        <f t="shared" si="143"/>
        <v>-889.80434782608791</v>
      </c>
      <c r="W699" s="55">
        <f t="shared" si="144"/>
        <v>28922.002606429192</v>
      </c>
      <c r="X699" s="55">
        <f t="shared" si="145"/>
        <v>-25.149567483847932</v>
      </c>
      <c r="Y699" s="55">
        <f t="shared" si="146"/>
        <v>22978.7</v>
      </c>
      <c r="Z699" s="55">
        <f t="shared" si="147"/>
        <v>22978.7</v>
      </c>
      <c r="AA699" s="55">
        <f t="shared" si="148"/>
        <v>0</v>
      </c>
      <c r="AB699" s="55">
        <f t="shared" si="149"/>
        <v>5943.3026064291917</v>
      </c>
      <c r="AC699" s="54">
        <f t="shared" si="150"/>
        <v>0.20549415914609004</v>
      </c>
      <c r="AD699" s="56">
        <f>INDEX(Assumptions!$B$14:$B$16,MATCH($R699,Assumptions!$A$14:$A$16,0))</f>
        <v>0.18</v>
      </c>
      <c r="AE699" s="56">
        <f>INDEX(Assumptions!$C$14:$C$16,MATCH($R699,Assumptions!$A$14:$A$16,0))</f>
        <v>0.12</v>
      </c>
      <c r="AF699" s="49">
        <f t="shared" si="151"/>
        <v>0</v>
      </c>
      <c r="AG699" s="49">
        <f t="shared" si="152"/>
        <v>0</v>
      </c>
      <c r="AH699" s="55">
        <f t="shared" si="153"/>
        <v>0</v>
      </c>
    </row>
    <row r="700" spans="1:34" x14ac:dyDescent="0.2">
      <c r="A700" s="48" t="s">
        <v>758</v>
      </c>
      <c r="B700" s="48">
        <v>3</v>
      </c>
      <c r="C700" s="48" t="s">
        <v>759</v>
      </c>
      <c r="D700" s="48" t="s">
        <v>738</v>
      </c>
      <c r="E700" s="48" t="s">
        <v>296</v>
      </c>
      <c r="F700" s="48" t="s">
        <v>297</v>
      </c>
      <c r="G700" s="48" t="s">
        <v>298</v>
      </c>
      <c r="H700" s="48" t="s">
        <v>66</v>
      </c>
      <c r="I700" s="48" t="s">
        <v>151</v>
      </c>
      <c r="J700" s="49">
        <v>29</v>
      </c>
      <c r="K700" s="50">
        <v>325</v>
      </c>
      <c r="L700" s="50">
        <v>318.19</v>
      </c>
      <c r="M700" s="48" t="s">
        <v>276</v>
      </c>
      <c r="N700" s="51">
        <v>0.92</v>
      </c>
      <c r="O700" s="51">
        <v>0.92079999999999995</v>
      </c>
      <c r="P700" s="52">
        <v>221.7</v>
      </c>
      <c r="Q700" s="52">
        <v>221.7</v>
      </c>
      <c r="R700" s="53" t="str">
        <f>INDEX(SKU_Master!$D$5:$D$34,MATCH($I700,SKU_Master!$A$5:$A$34,0))</f>
        <v>Accessory</v>
      </c>
      <c r="S700" s="54">
        <f t="shared" si="140"/>
        <v>2.0953846153846212E-2</v>
      </c>
      <c r="T700" s="55">
        <f t="shared" si="141"/>
        <v>10244.565217391304</v>
      </c>
      <c r="U700" s="55">
        <f t="shared" si="142"/>
        <v>10029.902173913044</v>
      </c>
      <c r="V700" s="55">
        <f t="shared" si="143"/>
        <v>-214.66304347826008</v>
      </c>
      <c r="W700" s="55">
        <f t="shared" si="144"/>
        <v>10021.188097306691</v>
      </c>
      <c r="X700" s="55">
        <f t="shared" si="145"/>
        <v>-8.7140766063530464</v>
      </c>
      <c r="Y700" s="55">
        <f t="shared" si="146"/>
        <v>6429.2999999999993</v>
      </c>
      <c r="Z700" s="55">
        <f t="shared" si="147"/>
        <v>6429.2999999999993</v>
      </c>
      <c r="AA700" s="55">
        <f t="shared" si="148"/>
        <v>0</v>
      </c>
      <c r="AB700" s="55">
        <f t="shared" si="149"/>
        <v>3591.8880973066916</v>
      </c>
      <c r="AC700" s="54">
        <f t="shared" si="150"/>
        <v>0.35842936610201465</v>
      </c>
      <c r="AD700" s="56">
        <f>INDEX(Assumptions!$B$14:$B$16,MATCH($R700,Assumptions!$A$14:$A$16,0))</f>
        <v>0.32</v>
      </c>
      <c r="AE700" s="56">
        <f>INDEX(Assumptions!$C$14:$C$16,MATCH($R700,Assumptions!$A$14:$A$16,0))</f>
        <v>0.22</v>
      </c>
      <c r="AF700" s="49">
        <f t="shared" si="151"/>
        <v>0</v>
      </c>
      <c r="AG700" s="49">
        <f t="shared" si="152"/>
        <v>0</v>
      </c>
      <c r="AH700" s="55">
        <f t="shared" si="153"/>
        <v>0</v>
      </c>
    </row>
    <row r="701" spans="1:34" x14ac:dyDescent="0.2">
      <c r="A701" s="48" t="s">
        <v>760</v>
      </c>
      <c r="B701" s="48">
        <v>1</v>
      </c>
      <c r="C701" s="48" t="s">
        <v>745</v>
      </c>
      <c r="D701" s="48" t="s">
        <v>738</v>
      </c>
      <c r="E701" s="48" t="s">
        <v>366</v>
      </c>
      <c r="F701" s="48" t="s">
        <v>297</v>
      </c>
      <c r="G701" s="48" t="s">
        <v>302</v>
      </c>
      <c r="H701" s="48" t="s">
        <v>66</v>
      </c>
      <c r="I701" s="48" t="s">
        <v>108</v>
      </c>
      <c r="J701" s="49">
        <v>36</v>
      </c>
      <c r="K701" s="50">
        <v>1280</v>
      </c>
      <c r="L701" s="50">
        <v>1239.02</v>
      </c>
      <c r="M701" s="48" t="s">
        <v>276</v>
      </c>
      <c r="N701" s="51">
        <v>0.92</v>
      </c>
      <c r="O701" s="51">
        <v>0.92079999999999995</v>
      </c>
      <c r="P701" s="52">
        <v>1165</v>
      </c>
      <c r="Q701" s="52">
        <v>1165</v>
      </c>
      <c r="R701" s="53" t="str">
        <f>INDEX(SKU_Master!$D$5:$D$34,MATCH($I701,SKU_Master!$A$5:$A$34,0))</f>
        <v>Laptop</v>
      </c>
      <c r="S701" s="54">
        <f t="shared" si="140"/>
        <v>3.2015624999999992E-2</v>
      </c>
      <c r="T701" s="55">
        <f t="shared" si="141"/>
        <v>50086.956521739128</v>
      </c>
      <c r="U701" s="55">
        <f t="shared" si="142"/>
        <v>48483.391304347824</v>
      </c>
      <c r="V701" s="55">
        <f t="shared" si="143"/>
        <v>-1603.565217391304</v>
      </c>
      <c r="W701" s="55">
        <f t="shared" si="144"/>
        <v>48441.268462206783</v>
      </c>
      <c r="X701" s="55">
        <f t="shared" si="145"/>
        <v>-42.122842141041474</v>
      </c>
      <c r="Y701" s="55">
        <f t="shared" si="146"/>
        <v>41940</v>
      </c>
      <c r="Z701" s="55">
        <f t="shared" si="147"/>
        <v>41940</v>
      </c>
      <c r="AA701" s="55">
        <f t="shared" si="148"/>
        <v>0</v>
      </c>
      <c r="AB701" s="55">
        <f t="shared" si="149"/>
        <v>6501.2684622067827</v>
      </c>
      <c r="AC701" s="54">
        <f t="shared" si="150"/>
        <v>0.134209294442382</v>
      </c>
      <c r="AD701" s="56">
        <f>INDEX(Assumptions!$B$14:$B$16,MATCH($R701,Assumptions!$A$14:$A$16,0))</f>
        <v>0.12</v>
      </c>
      <c r="AE701" s="56">
        <f>INDEX(Assumptions!$C$14:$C$16,MATCH($R701,Assumptions!$A$14:$A$16,0))</f>
        <v>0.08</v>
      </c>
      <c r="AF701" s="49">
        <f t="shared" si="151"/>
        <v>0</v>
      </c>
      <c r="AG701" s="49">
        <f t="shared" si="152"/>
        <v>0</v>
      </c>
      <c r="AH701" s="55">
        <f t="shared" si="153"/>
        <v>0</v>
      </c>
    </row>
    <row r="702" spans="1:34" x14ac:dyDescent="0.2">
      <c r="A702" s="48" t="s">
        <v>760</v>
      </c>
      <c r="B702" s="48">
        <v>2</v>
      </c>
      <c r="C702" s="48" t="s">
        <v>745</v>
      </c>
      <c r="D702" s="48" t="s">
        <v>738</v>
      </c>
      <c r="E702" s="48" t="s">
        <v>366</v>
      </c>
      <c r="F702" s="48" t="s">
        <v>297</v>
      </c>
      <c r="G702" s="48" t="s">
        <v>302</v>
      </c>
      <c r="H702" s="48" t="s">
        <v>66</v>
      </c>
      <c r="I702" s="48" t="s">
        <v>141</v>
      </c>
      <c r="J702" s="49">
        <v>23</v>
      </c>
      <c r="K702" s="50">
        <v>450</v>
      </c>
      <c r="L702" s="50">
        <v>420.05</v>
      </c>
      <c r="M702" s="48" t="s">
        <v>276</v>
      </c>
      <c r="N702" s="51">
        <v>0.92</v>
      </c>
      <c r="O702" s="51">
        <v>0.92079999999999995</v>
      </c>
      <c r="P702" s="52">
        <v>376.7</v>
      </c>
      <c r="Q702" s="52">
        <v>376.7</v>
      </c>
      <c r="R702" s="53" t="str">
        <f>INDEX(SKU_Master!$D$5:$D$34,MATCH($I702,SKU_Master!$A$5:$A$34,0))</f>
        <v>Monitor</v>
      </c>
      <c r="S702" s="54">
        <f t="shared" si="140"/>
        <v>6.6555555555555479E-2</v>
      </c>
      <c r="T702" s="55">
        <f t="shared" si="141"/>
        <v>11250</v>
      </c>
      <c r="U702" s="55">
        <f t="shared" si="142"/>
        <v>10501.25</v>
      </c>
      <c r="V702" s="55">
        <f t="shared" si="143"/>
        <v>-748.75</v>
      </c>
      <c r="W702" s="55">
        <f t="shared" si="144"/>
        <v>10492.126411815812</v>
      </c>
      <c r="X702" s="55">
        <f t="shared" si="145"/>
        <v>-9.1235881841876108</v>
      </c>
      <c r="Y702" s="55">
        <f t="shared" si="146"/>
        <v>8664.1</v>
      </c>
      <c r="Z702" s="55">
        <f t="shared" si="147"/>
        <v>8664.1</v>
      </c>
      <c r="AA702" s="55">
        <f t="shared" si="148"/>
        <v>0</v>
      </c>
      <c r="AB702" s="55">
        <f t="shared" si="149"/>
        <v>1828.026411815812</v>
      </c>
      <c r="AC702" s="54">
        <f t="shared" si="150"/>
        <v>0.17422840138078796</v>
      </c>
      <c r="AD702" s="56">
        <f>INDEX(Assumptions!$B$14:$B$16,MATCH($R702,Assumptions!$A$14:$A$16,0))</f>
        <v>0.18</v>
      </c>
      <c r="AE702" s="56">
        <f>INDEX(Assumptions!$C$14:$C$16,MATCH($R702,Assumptions!$A$14:$A$16,0))</f>
        <v>0.12</v>
      </c>
      <c r="AF702" s="49">
        <f t="shared" si="151"/>
        <v>0</v>
      </c>
      <c r="AG702" s="49">
        <f t="shared" si="152"/>
        <v>0</v>
      </c>
      <c r="AH702" s="55">
        <f t="shared" si="153"/>
        <v>60.556342311034086</v>
      </c>
    </row>
    <row r="703" spans="1:34" x14ac:dyDescent="0.2">
      <c r="A703" s="48" t="s">
        <v>760</v>
      </c>
      <c r="B703" s="48">
        <v>3</v>
      </c>
      <c r="C703" s="48" t="s">
        <v>745</v>
      </c>
      <c r="D703" s="48" t="s">
        <v>738</v>
      </c>
      <c r="E703" s="48" t="s">
        <v>366</v>
      </c>
      <c r="F703" s="48" t="s">
        <v>297</v>
      </c>
      <c r="G703" s="48" t="s">
        <v>302</v>
      </c>
      <c r="H703" s="48" t="s">
        <v>66</v>
      </c>
      <c r="I703" s="48" t="s">
        <v>157</v>
      </c>
      <c r="J703" s="49">
        <v>23</v>
      </c>
      <c r="K703" s="50">
        <v>135</v>
      </c>
      <c r="L703" s="50">
        <v>129.96</v>
      </c>
      <c r="M703" s="48" t="s">
        <v>276</v>
      </c>
      <c r="N703" s="51">
        <v>0.92</v>
      </c>
      <c r="O703" s="51">
        <v>0.92079999999999995</v>
      </c>
      <c r="P703" s="52">
        <v>91</v>
      </c>
      <c r="Q703" s="52">
        <v>91</v>
      </c>
      <c r="R703" s="53" t="str">
        <f>INDEX(SKU_Master!$D$5:$D$34,MATCH($I703,SKU_Master!$A$5:$A$34,0))</f>
        <v>Accessory</v>
      </c>
      <c r="S703" s="54">
        <f t="shared" si="140"/>
        <v>3.7333333333333329E-2</v>
      </c>
      <c r="T703" s="55">
        <f t="shared" si="141"/>
        <v>3375</v>
      </c>
      <c r="U703" s="55">
        <f t="shared" si="142"/>
        <v>3249.0000000000005</v>
      </c>
      <c r="V703" s="55">
        <f t="shared" si="143"/>
        <v>-125.99999999999955</v>
      </c>
      <c r="W703" s="55">
        <f t="shared" si="144"/>
        <v>3246.177237185057</v>
      </c>
      <c r="X703" s="55">
        <f t="shared" si="145"/>
        <v>-2.8227628149434167</v>
      </c>
      <c r="Y703" s="55">
        <f t="shared" si="146"/>
        <v>2093</v>
      </c>
      <c r="Z703" s="55">
        <f t="shared" si="147"/>
        <v>2093</v>
      </c>
      <c r="AA703" s="55">
        <f t="shared" si="148"/>
        <v>0</v>
      </c>
      <c r="AB703" s="55">
        <f t="shared" si="149"/>
        <v>1153.177237185057</v>
      </c>
      <c r="AC703" s="54">
        <f t="shared" si="150"/>
        <v>0.35524161280393979</v>
      </c>
      <c r="AD703" s="56">
        <f>INDEX(Assumptions!$B$14:$B$16,MATCH($R703,Assumptions!$A$14:$A$16,0))</f>
        <v>0.32</v>
      </c>
      <c r="AE703" s="56">
        <f>INDEX(Assumptions!$C$14:$C$16,MATCH($R703,Assumptions!$A$14:$A$16,0))</f>
        <v>0.22</v>
      </c>
      <c r="AF703" s="49">
        <f t="shared" si="151"/>
        <v>0</v>
      </c>
      <c r="AG703" s="49">
        <f t="shared" si="152"/>
        <v>0</v>
      </c>
      <c r="AH703" s="55">
        <f t="shared" si="153"/>
        <v>0</v>
      </c>
    </row>
    <row r="704" spans="1:34" x14ac:dyDescent="0.2">
      <c r="A704" s="48" t="s">
        <v>761</v>
      </c>
      <c r="B704" s="48">
        <v>1</v>
      </c>
      <c r="C704" s="48" t="s">
        <v>762</v>
      </c>
      <c r="D704" s="48" t="s">
        <v>738</v>
      </c>
      <c r="E704" s="48" t="s">
        <v>407</v>
      </c>
      <c r="F704" s="48" t="s">
        <v>274</v>
      </c>
      <c r="G704" s="48" t="s">
        <v>302</v>
      </c>
      <c r="H704" s="48" t="s">
        <v>62</v>
      </c>
      <c r="I704" s="48" t="s">
        <v>118</v>
      </c>
      <c r="J704" s="49">
        <v>6</v>
      </c>
      <c r="K704" s="50">
        <v>1365</v>
      </c>
      <c r="L704" s="50">
        <v>1315.87</v>
      </c>
      <c r="M704" s="48" t="s">
        <v>276</v>
      </c>
      <c r="N704" s="51">
        <v>1</v>
      </c>
      <c r="O704" s="51">
        <v>1</v>
      </c>
      <c r="P704" s="52">
        <v>1162.5999999999999</v>
      </c>
      <c r="Q704" s="52">
        <v>1162.5999999999999</v>
      </c>
      <c r="R704" s="53" t="str">
        <f>INDEX(SKU_Master!$D$5:$D$34,MATCH($I704,SKU_Master!$A$5:$A$34,0))</f>
        <v>Laptop</v>
      </c>
      <c r="S704" s="54">
        <f t="shared" si="140"/>
        <v>3.5992673992674029E-2</v>
      </c>
      <c r="T704" s="55">
        <f t="shared" si="141"/>
        <v>8190</v>
      </c>
      <c r="U704" s="55">
        <f t="shared" si="142"/>
        <v>7895.2199999999993</v>
      </c>
      <c r="V704" s="55">
        <f t="shared" si="143"/>
        <v>-294.78000000000065</v>
      </c>
      <c r="W704" s="55">
        <f t="shared" si="144"/>
        <v>7895.2199999999993</v>
      </c>
      <c r="X704" s="55">
        <f t="shared" si="145"/>
        <v>0</v>
      </c>
      <c r="Y704" s="55">
        <f t="shared" si="146"/>
        <v>6975.5999999999995</v>
      </c>
      <c r="Z704" s="55">
        <f t="shared" si="147"/>
        <v>6975.5999999999995</v>
      </c>
      <c r="AA704" s="55">
        <f t="shared" si="148"/>
        <v>0</v>
      </c>
      <c r="AB704" s="55">
        <f t="shared" si="149"/>
        <v>919.61999999999989</v>
      </c>
      <c r="AC704" s="54">
        <f t="shared" si="150"/>
        <v>0.11647807154202162</v>
      </c>
      <c r="AD704" s="56">
        <f>INDEX(Assumptions!$B$14:$B$16,MATCH($R704,Assumptions!$A$14:$A$16,0))</f>
        <v>0.12</v>
      </c>
      <c r="AE704" s="56">
        <f>INDEX(Assumptions!$C$14:$C$16,MATCH($R704,Assumptions!$A$14:$A$16,0))</f>
        <v>0.08</v>
      </c>
      <c r="AF704" s="49">
        <f t="shared" si="151"/>
        <v>0</v>
      </c>
      <c r="AG704" s="49">
        <f t="shared" si="152"/>
        <v>0</v>
      </c>
      <c r="AH704" s="55">
        <f t="shared" si="153"/>
        <v>27.80639999999994</v>
      </c>
    </row>
    <row r="705" spans="1:34" x14ac:dyDescent="0.2">
      <c r="A705" s="48" t="s">
        <v>761</v>
      </c>
      <c r="B705" s="48">
        <v>2</v>
      </c>
      <c r="C705" s="48" t="s">
        <v>762</v>
      </c>
      <c r="D705" s="48" t="s">
        <v>738</v>
      </c>
      <c r="E705" s="48" t="s">
        <v>407</v>
      </c>
      <c r="F705" s="48" t="s">
        <v>274</v>
      </c>
      <c r="G705" s="48" t="s">
        <v>302</v>
      </c>
      <c r="H705" s="48" t="s">
        <v>62</v>
      </c>
      <c r="I705" s="48" t="s">
        <v>135</v>
      </c>
      <c r="J705" s="49">
        <v>6</v>
      </c>
      <c r="K705" s="50">
        <v>240</v>
      </c>
      <c r="L705" s="50">
        <v>237.82</v>
      </c>
      <c r="M705" s="48" t="s">
        <v>276</v>
      </c>
      <c r="N705" s="51">
        <v>1</v>
      </c>
      <c r="O705" s="51">
        <v>1</v>
      </c>
      <c r="P705" s="52">
        <v>186.7</v>
      </c>
      <c r="Q705" s="52">
        <v>186.7</v>
      </c>
      <c r="R705" s="53" t="str">
        <f>INDEX(SKU_Master!$D$5:$D$34,MATCH($I705,SKU_Master!$A$5:$A$34,0))</f>
        <v>Monitor</v>
      </c>
      <c r="S705" s="54">
        <f t="shared" si="140"/>
        <v>9.0833333333333321E-3</v>
      </c>
      <c r="T705" s="55">
        <f t="shared" si="141"/>
        <v>1440</v>
      </c>
      <c r="U705" s="55">
        <f t="shared" si="142"/>
        <v>1426.92</v>
      </c>
      <c r="V705" s="55">
        <f t="shared" si="143"/>
        <v>-13.079999999999927</v>
      </c>
      <c r="W705" s="55">
        <f t="shared" si="144"/>
        <v>1426.92</v>
      </c>
      <c r="X705" s="55">
        <f t="shared" si="145"/>
        <v>0</v>
      </c>
      <c r="Y705" s="55">
        <f t="shared" si="146"/>
        <v>1120.1999999999998</v>
      </c>
      <c r="Z705" s="55">
        <f t="shared" si="147"/>
        <v>1120.1999999999998</v>
      </c>
      <c r="AA705" s="55">
        <f t="shared" si="148"/>
        <v>0</v>
      </c>
      <c r="AB705" s="55">
        <f t="shared" si="149"/>
        <v>306.72000000000025</v>
      </c>
      <c r="AC705" s="54">
        <f t="shared" si="150"/>
        <v>0.21495248507274425</v>
      </c>
      <c r="AD705" s="56">
        <f>INDEX(Assumptions!$B$14:$B$16,MATCH($R705,Assumptions!$A$14:$A$16,0))</f>
        <v>0.18</v>
      </c>
      <c r="AE705" s="56">
        <f>INDEX(Assumptions!$C$14:$C$16,MATCH($R705,Assumptions!$A$14:$A$16,0))</f>
        <v>0.12</v>
      </c>
      <c r="AF705" s="49">
        <f t="shared" si="151"/>
        <v>0</v>
      </c>
      <c r="AG705" s="49">
        <f t="shared" si="152"/>
        <v>0</v>
      </c>
      <c r="AH705" s="55">
        <f t="shared" si="153"/>
        <v>0</v>
      </c>
    </row>
    <row r="706" spans="1:34" x14ac:dyDescent="0.2">
      <c r="A706" s="48" t="s">
        <v>763</v>
      </c>
      <c r="B706" s="48">
        <v>1</v>
      </c>
      <c r="C706" s="48" t="s">
        <v>745</v>
      </c>
      <c r="D706" s="48" t="s">
        <v>738</v>
      </c>
      <c r="E706" s="48" t="s">
        <v>588</v>
      </c>
      <c r="F706" s="48" t="s">
        <v>274</v>
      </c>
      <c r="G706" s="48" t="s">
        <v>281</v>
      </c>
      <c r="H706" s="48" t="s">
        <v>62</v>
      </c>
      <c r="I706" s="48" t="s">
        <v>108</v>
      </c>
      <c r="J706" s="49">
        <v>4</v>
      </c>
      <c r="K706" s="50">
        <v>1345</v>
      </c>
      <c r="L706" s="50">
        <v>1339.55</v>
      </c>
      <c r="M706" s="48" t="s">
        <v>276</v>
      </c>
      <c r="N706" s="51">
        <v>1</v>
      </c>
      <c r="O706" s="51">
        <v>1</v>
      </c>
      <c r="P706" s="52">
        <v>1145</v>
      </c>
      <c r="Q706" s="52">
        <v>1145</v>
      </c>
      <c r="R706" s="53" t="str">
        <f>INDEX(SKU_Master!$D$5:$D$34,MATCH($I706,SKU_Master!$A$5:$A$34,0))</f>
        <v>Laptop</v>
      </c>
      <c r="S706" s="54">
        <f t="shared" si="140"/>
        <v>4.0520446096654616E-3</v>
      </c>
      <c r="T706" s="55">
        <f t="shared" si="141"/>
        <v>5380</v>
      </c>
      <c r="U706" s="55">
        <f t="shared" si="142"/>
        <v>5358.2</v>
      </c>
      <c r="V706" s="55">
        <f t="shared" si="143"/>
        <v>-21.800000000000182</v>
      </c>
      <c r="W706" s="55">
        <f t="shared" si="144"/>
        <v>5358.2</v>
      </c>
      <c r="X706" s="55">
        <f t="shared" si="145"/>
        <v>0</v>
      </c>
      <c r="Y706" s="55">
        <f t="shared" si="146"/>
        <v>4580</v>
      </c>
      <c r="Z706" s="55">
        <f t="shared" si="147"/>
        <v>4580</v>
      </c>
      <c r="AA706" s="55">
        <f t="shared" si="148"/>
        <v>0</v>
      </c>
      <c r="AB706" s="55">
        <f t="shared" si="149"/>
        <v>778.19999999999982</v>
      </c>
      <c r="AC706" s="54">
        <f t="shared" si="150"/>
        <v>0.14523534022619533</v>
      </c>
      <c r="AD706" s="56">
        <f>INDEX(Assumptions!$B$14:$B$16,MATCH($R706,Assumptions!$A$14:$A$16,0))</f>
        <v>0.12</v>
      </c>
      <c r="AE706" s="56">
        <f>INDEX(Assumptions!$C$14:$C$16,MATCH($R706,Assumptions!$A$14:$A$16,0))</f>
        <v>0.08</v>
      </c>
      <c r="AF706" s="49">
        <f t="shared" si="151"/>
        <v>0</v>
      </c>
      <c r="AG706" s="49">
        <f t="shared" si="152"/>
        <v>0</v>
      </c>
      <c r="AH706" s="55">
        <f t="shared" si="153"/>
        <v>0</v>
      </c>
    </row>
    <row r="707" spans="1:34" x14ac:dyDescent="0.2">
      <c r="A707" s="48" t="s">
        <v>764</v>
      </c>
      <c r="B707" s="48">
        <v>1</v>
      </c>
      <c r="C707" s="48" t="s">
        <v>747</v>
      </c>
      <c r="D707" s="48" t="s">
        <v>738</v>
      </c>
      <c r="E707" s="48" t="s">
        <v>397</v>
      </c>
      <c r="F707" s="48" t="s">
        <v>280</v>
      </c>
      <c r="G707" s="48" t="s">
        <v>306</v>
      </c>
      <c r="H707" s="48" t="s">
        <v>70</v>
      </c>
      <c r="I707" s="48" t="s">
        <v>98</v>
      </c>
      <c r="J707" s="49">
        <v>18</v>
      </c>
      <c r="K707" s="50">
        <v>200480</v>
      </c>
      <c r="L707" s="50">
        <v>197504.87</v>
      </c>
      <c r="M707" s="48" t="s">
        <v>276</v>
      </c>
      <c r="N707" s="51">
        <v>83.5</v>
      </c>
      <c r="O707" s="51">
        <v>84.144000000000005</v>
      </c>
      <c r="P707" s="52">
        <v>2011.04</v>
      </c>
      <c r="Q707" s="52">
        <v>2031.04</v>
      </c>
      <c r="R707" s="53" t="str">
        <f>INDEX(SKU_Master!$D$5:$D$34,MATCH($I707,SKU_Master!$A$5:$A$34,0))</f>
        <v>Laptop</v>
      </c>
      <c r="S707" s="54">
        <f t="shared" si="140"/>
        <v>1.4840033918595341E-2</v>
      </c>
      <c r="T707" s="55">
        <f t="shared" si="141"/>
        <v>43217.245508982036</v>
      </c>
      <c r="U707" s="55">
        <f t="shared" si="142"/>
        <v>42575.900119760481</v>
      </c>
      <c r="V707" s="55">
        <f t="shared" si="143"/>
        <v>-641.3453892215548</v>
      </c>
      <c r="W707" s="55">
        <f t="shared" si="144"/>
        <v>42250.04349686252</v>
      </c>
      <c r="X707" s="55">
        <f t="shared" si="145"/>
        <v>-325.85662289796164</v>
      </c>
      <c r="Y707" s="55">
        <f t="shared" si="146"/>
        <v>36198.720000000001</v>
      </c>
      <c r="Z707" s="55">
        <f t="shared" si="147"/>
        <v>36558.720000000001</v>
      </c>
      <c r="AA707" s="55">
        <f t="shared" si="148"/>
        <v>-360</v>
      </c>
      <c r="AB707" s="55">
        <f t="shared" si="149"/>
        <v>5691.3234968625184</v>
      </c>
      <c r="AC707" s="54">
        <f t="shared" si="150"/>
        <v>0.13470574290142814</v>
      </c>
      <c r="AD707" s="56">
        <f>INDEX(Assumptions!$B$14:$B$16,MATCH($R707,Assumptions!$A$14:$A$16,0))</f>
        <v>0.12</v>
      </c>
      <c r="AE707" s="56">
        <f>INDEX(Assumptions!$C$14:$C$16,MATCH($R707,Assumptions!$A$14:$A$16,0))</f>
        <v>0.08</v>
      </c>
      <c r="AF707" s="49">
        <f t="shared" si="151"/>
        <v>0</v>
      </c>
      <c r="AG707" s="49">
        <f t="shared" si="152"/>
        <v>0</v>
      </c>
      <c r="AH707" s="55">
        <f t="shared" si="153"/>
        <v>0</v>
      </c>
    </row>
    <row r="708" spans="1:34" x14ac:dyDescent="0.2">
      <c r="A708" s="48" t="s">
        <v>764</v>
      </c>
      <c r="B708" s="48">
        <v>2</v>
      </c>
      <c r="C708" s="48" t="s">
        <v>747</v>
      </c>
      <c r="D708" s="48" t="s">
        <v>738</v>
      </c>
      <c r="E708" s="48" t="s">
        <v>397</v>
      </c>
      <c r="F708" s="48" t="s">
        <v>280</v>
      </c>
      <c r="G708" s="48" t="s">
        <v>306</v>
      </c>
      <c r="H708" s="48" t="s">
        <v>70</v>
      </c>
      <c r="I708" s="48" t="s">
        <v>144</v>
      </c>
      <c r="J708" s="49">
        <v>21</v>
      </c>
      <c r="K708" s="50">
        <v>39290</v>
      </c>
      <c r="L708" s="50">
        <v>38858.120000000003</v>
      </c>
      <c r="M708" s="48" t="s">
        <v>276</v>
      </c>
      <c r="N708" s="51">
        <v>83.5</v>
      </c>
      <c r="O708" s="51">
        <v>84.144000000000005</v>
      </c>
      <c r="P708" s="52">
        <v>363.71</v>
      </c>
      <c r="Q708" s="52">
        <v>383.71</v>
      </c>
      <c r="R708" s="53" t="str">
        <f>INDEX(SKU_Master!$D$5:$D$34,MATCH($I708,SKU_Master!$A$5:$A$34,0))</f>
        <v>Monitor</v>
      </c>
      <c r="S708" s="54">
        <f t="shared" si="140"/>
        <v>1.0992109951641571E-2</v>
      </c>
      <c r="T708" s="55">
        <f t="shared" si="141"/>
        <v>9881.3173652694604</v>
      </c>
      <c r="U708" s="55">
        <f t="shared" si="142"/>
        <v>9772.7008383233533</v>
      </c>
      <c r="V708" s="55">
        <f t="shared" si="143"/>
        <v>-108.61652694610711</v>
      </c>
      <c r="W708" s="55">
        <f t="shared" si="144"/>
        <v>9697.9050199657722</v>
      </c>
      <c r="X708" s="55">
        <f t="shared" si="145"/>
        <v>-74.795818357581084</v>
      </c>
      <c r="Y708" s="55">
        <f t="shared" si="146"/>
        <v>7637.91</v>
      </c>
      <c r="Z708" s="55">
        <f t="shared" si="147"/>
        <v>8057.91</v>
      </c>
      <c r="AA708" s="55">
        <f t="shared" si="148"/>
        <v>-420</v>
      </c>
      <c r="AB708" s="55">
        <f t="shared" si="149"/>
        <v>1639.9950199657724</v>
      </c>
      <c r="AC708" s="54">
        <f t="shared" si="150"/>
        <v>0.16910817507383266</v>
      </c>
      <c r="AD708" s="56">
        <f>INDEX(Assumptions!$B$14:$B$16,MATCH($R708,Assumptions!$A$14:$A$16,0))</f>
        <v>0.18</v>
      </c>
      <c r="AE708" s="56">
        <f>INDEX(Assumptions!$C$14:$C$16,MATCH($R708,Assumptions!$A$14:$A$16,0))</f>
        <v>0.12</v>
      </c>
      <c r="AF708" s="49">
        <f t="shared" si="151"/>
        <v>0</v>
      </c>
      <c r="AG708" s="49">
        <f t="shared" si="152"/>
        <v>0</v>
      </c>
      <c r="AH708" s="55">
        <f t="shared" si="153"/>
        <v>105.62788362806646</v>
      </c>
    </row>
    <row r="709" spans="1:34" x14ac:dyDescent="0.2">
      <c r="A709" s="48" t="s">
        <v>765</v>
      </c>
      <c r="B709" s="48">
        <v>1</v>
      </c>
      <c r="C709" s="48" t="s">
        <v>766</v>
      </c>
      <c r="D709" s="48" t="s">
        <v>738</v>
      </c>
      <c r="E709" s="48" t="s">
        <v>417</v>
      </c>
      <c r="F709" s="48" t="s">
        <v>280</v>
      </c>
      <c r="G709" s="48" t="s">
        <v>298</v>
      </c>
      <c r="H709" s="48" t="s">
        <v>62</v>
      </c>
      <c r="I709" s="48" t="s">
        <v>93</v>
      </c>
      <c r="J709" s="49">
        <v>23</v>
      </c>
      <c r="K709" s="50">
        <v>1390</v>
      </c>
      <c r="L709" s="50">
        <v>1342.44</v>
      </c>
      <c r="M709" s="48" t="s">
        <v>276</v>
      </c>
      <c r="N709" s="51">
        <v>1</v>
      </c>
      <c r="O709" s="51">
        <v>1</v>
      </c>
      <c r="P709" s="52">
        <v>1186.2</v>
      </c>
      <c r="Q709" s="52">
        <v>1186.2</v>
      </c>
      <c r="R709" s="53" t="str">
        <f>INDEX(SKU_Master!$D$5:$D$34,MATCH($I709,SKU_Master!$A$5:$A$34,0))</f>
        <v>Laptop</v>
      </c>
      <c r="S709" s="54">
        <f t="shared" ref="S709:S772" si="154">IF(K709=0,0,1-L709/K709)</f>
        <v>3.4215827338129445E-2</v>
      </c>
      <c r="T709" s="55">
        <f t="shared" ref="T709:T772" si="155">J709*K709/N709</f>
        <v>31970</v>
      </c>
      <c r="U709" s="55">
        <f t="shared" ref="U709:U772" si="156">J709*L709/N709</f>
        <v>30876.120000000003</v>
      </c>
      <c r="V709" s="55">
        <f t="shared" ref="V709:V772" si="157">U709-T709</f>
        <v>-1093.8799999999974</v>
      </c>
      <c r="W709" s="55">
        <f t="shared" ref="W709:W772" si="158">J709*L709/O709</f>
        <v>30876.120000000003</v>
      </c>
      <c r="X709" s="55">
        <f t="shared" ref="X709:X772" si="159">W709-U709</f>
        <v>0</v>
      </c>
      <c r="Y709" s="55">
        <f t="shared" ref="Y709:Y772" si="160">J709*P709</f>
        <v>27282.600000000002</v>
      </c>
      <c r="Z709" s="55">
        <f t="shared" ref="Z709:Z772" si="161">J709*Q709</f>
        <v>27282.600000000002</v>
      </c>
      <c r="AA709" s="55">
        <f t="shared" ref="AA709:AA772" si="162">Y709-Z709</f>
        <v>0</v>
      </c>
      <c r="AB709" s="55">
        <f t="shared" ref="AB709:AB772" si="163">W709-Z709</f>
        <v>3593.5200000000004</v>
      </c>
      <c r="AC709" s="54">
        <f t="shared" ref="AC709:AC772" si="164">IF(W709=0,0,AB709/W709)</f>
        <v>0.11638508983641728</v>
      </c>
      <c r="AD709" s="56">
        <f>INDEX(Assumptions!$B$14:$B$16,MATCH($R709,Assumptions!$A$14:$A$16,0))</f>
        <v>0.12</v>
      </c>
      <c r="AE709" s="56">
        <f>INDEX(Assumptions!$C$14:$C$16,MATCH($R709,Assumptions!$A$14:$A$16,0))</f>
        <v>0.08</v>
      </c>
      <c r="AF709" s="49">
        <f t="shared" ref="AF709:AF772" si="165">IF(AC709&lt;AE709,1,0)</f>
        <v>0</v>
      </c>
      <c r="AG709" s="49">
        <f t="shared" ref="AG709:AG772" si="166">IF(AND(AF709=1,M709="N"),1,0)</f>
        <v>0</v>
      </c>
      <c r="AH709" s="55">
        <f t="shared" ref="AH709:AH772" si="167">MAX(0,W709*AD709-AB709)</f>
        <v>111.61439999999993</v>
      </c>
    </row>
    <row r="710" spans="1:34" x14ac:dyDescent="0.2">
      <c r="A710" s="48" t="s">
        <v>765</v>
      </c>
      <c r="B710" s="48">
        <v>2</v>
      </c>
      <c r="C710" s="48" t="s">
        <v>766</v>
      </c>
      <c r="D710" s="48" t="s">
        <v>738</v>
      </c>
      <c r="E710" s="48" t="s">
        <v>417</v>
      </c>
      <c r="F710" s="48" t="s">
        <v>280</v>
      </c>
      <c r="G710" s="48" t="s">
        <v>298</v>
      </c>
      <c r="H710" s="48" t="s">
        <v>62</v>
      </c>
      <c r="I710" s="48" t="s">
        <v>164</v>
      </c>
      <c r="J710" s="49">
        <v>10</v>
      </c>
      <c r="K710" s="50">
        <v>190</v>
      </c>
      <c r="L710" s="50">
        <v>182.55</v>
      </c>
      <c r="M710" s="48" t="s">
        <v>276</v>
      </c>
      <c r="N710" s="51">
        <v>1</v>
      </c>
      <c r="O710" s="51">
        <v>1</v>
      </c>
      <c r="P710" s="52">
        <v>121</v>
      </c>
      <c r="Q710" s="52">
        <v>121</v>
      </c>
      <c r="R710" s="53" t="str">
        <f>INDEX(SKU_Master!$D$5:$D$34,MATCH($I710,SKU_Master!$A$5:$A$34,0))</f>
        <v>Accessory</v>
      </c>
      <c r="S710" s="54">
        <f t="shared" si="154"/>
        <v>3.9210526315789362E-2</v>
      </c>
      <c r="T710" s="55">
        <f t="shared" si="155"/>
        <v>1900</v>
      </c>
      <c r="U710" s="55">
        <f t="shared" si="156"/>
        <v>1825.5</v>
      </c>
      <c r="V710" s="55">
        <f t="shared" si="157"/>
        <v>-74.5</v>
      </c>
      <c r="W710" s="55">
        <f t="shared" si="158"/>
        <v>1825.5</v>
      </c>
      <c r="X710" s="55">
        <f t="shared" si="159"/>
        <v>0</v>
      </c>
      <c r="Y710" s="55">
        <f t="shared" si="160"/>
        <v>1210</v>
      </c>
      <c r="Z710" s="55">
        <f t="shared" si="161"/>
        <v>1210</v>
      </c>
      <c r="AA710" s="55">
        <f t="shared" si="162"/>
        <v>0</v>
      </c>
      <c r="AB710" s="55">
        <f t="shared" si="163"/>
        <v>615.5</v>
      </c>
      <c r="AC710" s="54">
        <f t="shared" si="164"/>
        <v>0.33716789920569706</v>
      </c>
      <c r="AD710" s="56">
        <f>INDEX(Assumptions!$B$14:$B$16,MATCH($R710,Assumptions!$A$14:$A$16,0))</f>
        <v>0.32</v>
      </c>
      <c r="AE710" s="56">
        <f>INDEX(Assumptions!$C$14:$C$16,MATCH($R710,Assumptions!$A$14:$A$16,0))</f>
        <v>0.22</v>
      </c>
      <c r="AF710" s="49">
        <f t="shared" si="165"/>
        <v>0</v>
      </c>
      <c r="AG710" s="49">
        <f t="shared" si="166"/>
        <v>0</v>
      </c>
      <c r="AH710" s="55">
        <f t="shared" si="167"/>
        <v>0</v>
      </c>
    </row>
    <row r="711" spans="1:34" x14ac:dyDescent="0.2">
      <c r="A711" s="48" t="s">
        <v>767</v>
      </c>
      <c r="B711" s="48">
        <v>1</v>
      </c>
      <c r="C711" s="48" t="s">
        <v>753</v>
      </c>
      <c r="D711" s="48" t="s">
        <v>738</v>
      </c>
      <c r="E711" s="48" t="s">
        <v>417</v>
      </c>
      <c r="F711" s="48" t="s">
        <v>280</v>
      </c>
      <c r="G711" s="48" t="s">
        <v>298</v>
      </c>
      <c r="H711" s="48" t="s">
        <v>62</v>
      </c>
      <c r="I711" s="48" t="s">
        <v>108</v>
      </c>
      <c r="J711" s="49">
        <v>25</v>
      </c>
      <c r="K711" s="50">
        <v>1345</v>
      </c>
      <c r="L711" s="50">
        <v>1319.7</v>
      </c>
      <c r="M711" s="48" t="s">
        <v>276</v>
      </c>
      <c r="N711" s="51">
        <v>1</v>
      </c>
      <c r="O711" s="51">
        <v>1</v>
      </c>
      <c r="P711" s="52">
        <v>1145</v>
      </c>
      <c r="Q711" s="52">
        <v>1145</v>
      </c>
      <c r="R711" s="53" t="str">
        <f>INDEX(SKU_Master!$D$5:$D$34,MATCH($I711,SKU_Master!$A$5:$A$34,0))</f>
        <v>Laptop</v>
      </c>
      <c r="S711" s="54">
        <f t="shared" si="154"/>
        <v>1.8810408921933086E-2</v>
      </c>
      <c r="T711" s="55">
        <f t="shared" si="155"/>
        <v>33625</v>
      </c>
      <c r="U711" s="55">
        <f t="shared" si="156"/>
        <v>32992.5</v>
      </c>
      <c r="V711" s="55">
        <f t="shared" si="157"/>
        <v>-632.5</v>
      </c>
      <c r="W711" s="55">
        <f t="shared" si="158"/>
        <v>32992.5</v>
      </c>
      <c r="X711" s="55">
        <f t="shared" si="159"/>
        <v>0</v>
      </c>
      <c r="Y711" s="55">
        <f t="shared" si="160"/>
        <v>28625</v>
      </c>
      <c r="Z711" s="55">
        <f t="shared" si="161"/>
        <v>28625</v>
      </c>
      <c r="AA711" s="55">
        <f t="shared" si="162"/>
        <v>0</v>
      </c>
      <c r="AB711" s="55">
        <f t="shared" si="163"/>
        <v>4367.5</v>
      </c>
      <c r="AC711" s="54">
        <f t="shared" si="164"/>
        <v>0.13237857088732288</v>
      </c>
      <c r="AD711" s="56">
        <f>INDEX(Assumptions!$B$14:$B$16,MATCH($R711,Assumptions!$A$14:$A$16,0))</f>
        <v>0.12</v>
      </c>
      <c r="AE711" s="56">
        <f>INDEX(Assumptions!$C$14:$C$16,MATCH($R711,Assumptions!$A$14:$A$16,0))</f>
        <v>0.08</v>
      </c>
      <c r="AF711" s="49">
        <f t="shared" si="165"/>
        <v>0</v>
      </c>
      <c r="AG711" s="49">
        <f t="shared" si="166"/>
        <v>0</v>
      </c>
      <c r="AH711" s="55">
        <f t="shared" si="167"/>
        <v>0</v>
      </c>
    </row>
    <row r="712" spans="1:34" x14ac:dyDescent="0.2">
      <c r="A712" s="48" t="s">
        <v>768</v>
      </c>
      <c r="B712" s="48">
        <v>1</v>
      </c>
      <c r="C712" s="48" t="s">
        <v>769</v>
      </c>
      <c r="D712" s="48" t="s">
        <v>738</v>
      </c>
      <c r="E712" s="48" t="s">
        <v>322</v>
      </c>
      <c r="F712" s="48" t="s">
        <v>274</v>
      </c>
      <c r="G712" s="48" t="s">
        <v>288</v>
      </c>
      <c r="H712" s="48" t="s">
        <v>62</v>
      </c>
      <c r="I712" s="48" t="s">
        <v>93</v>
      </c>
      <c r="J712" s="49">
        <v>6</v>
      </c>
      <c r="K712" s="50">
        <v>1390</v>
      </c>
      <c r="L712" s="50">
        <v>1375.79</v>
      </c>
      <c r="M712" s="48" t="s">
        <v>276</v>
      </c>
      <c r="N712" s="51">
        <v>1</v>
      </c>
      <c r="O712" s="51">
        <v>1</v>
      </c>
      <c r="P712" s="52">
        <v>1186.2</v>
      </c>
      <c r="Q712" s="52">
        <v>1186.2</v>
      </c>
      <c r="R712" s="53" t="str">
        <f>INDEX(SKU_Master!$D$5:$D$34,MATCH($I712,SKU_Master!$A$5:$A$34,0))</f>
        <v>Laptop</v>
      </c>
      <c r="S712" s="54">
        <f t="shared" si="154"/>
        <v>1.0223021582733804E-2</v>
      </c>
      <c r="T712" s="55">
        <f t="shared" si="155"/>
        <v>8340</v>
      </c>
      <c r="U712" s="55">
        <f t="shared" si="156"/>
        <v>8254.74</v>
      </c>
      <c r="V712" s="55">
        <f t="shared" si="157"/>
        <v>-85.260000000000218</v>
      </c>
      <c r="W712" s="55">
        <f t="shared" si="158"/>
        <v>8254.74</v>
      </c>
      <c r="X712" s="55">
        <f t="shared" si="159"/>
        <v>0</v>
      </c>
      <c r="Y712" s="55">
        <f t="shared" si="160"/>
        <v>7117.2000000000007</v>
      </c>
      <c r="Z712" s="55">
        <f t="shared" si="161"/>
        <v>7117.2000000000007</v>
      </c>
      <c r="AA712" s="55">
        <f t="shared" si="162"/>
        <v>0</v>
      </c>
      <c r="AB712" s="55">
        <f t="shared" si="163"/>
        <v>1137.5399999999991</v>
      </c>
      <c r="AC712" s="54">
        <f t="shared" si="164"/>
        <v>0.13780446143670172</v>
      </c>
      <c r="AD712" s="56">
        <f>INDEX(Assumptions!$B$14:$B$16,MATCH($R712,Assumptions!$A$14:$A$16,0))</f>
        <v>0.12</v>
      </c>
      <c r="AE712" s="56">
        <f>INDEX(Assumptions!$C$14:$C$16,MATCH($R712,Assumptions!$A$14:$A$16,0))</f>
        <v>0.08</v>
      </c>
      <c r="AF712" s="49">
        <f t="shared" si="165"/>
        <v>0</v>
      </c>
      <c r="AG712" s="49">
        <f t="shared" si="166"/>
        <v>0</v>
      </c>
      <c r="AH712" s="55">
        <f t="shared" si="167"/>
        <v>0</v>
      </c>
    </row>
    <row r="713" spans="1:34" x14ac:dyDescent="0.2">
      <c r="A713" s="48" t="s">
        <v>768</v>
      </c>
      <c r="B713" s="48">
        <v>2</v>
      </c>
      <c r="C713" s="48" t="s">
        <v>769</v>
      </c>
      <c r="D713" s="48" t="s">
        <v>738</v>
      </c>
      <c r="E713" s="48" t="s">
        <v>322</v>
      </c>
      <c r="F713" s="48" t="s">
        <v>274</v>
      </c>
      <c r="G713" s="48" t="s">
        <v>288</v>
      </c>
      <c r="H713" s="48" t="s">
        <v>62</v>
      </c>
      <c r="I713" s="48" t="s">
        <v>135</v>
      </c>
      <c r="J713" s="49">
        <v>3</v>
      </c>
      <c r="K713" s="50">
        <v>240</v>
      </c>
      <c r="L713" s="50">
        <v>238.89</v>
      </c>
      <c r="M713" s="48" t="s">
        <v>276</v>
      </c>
      <c r="N713" s="51">
        <v>1</v>
      </c>
      <c r="O713" s="51">
        <v>1</v>
      </c>
      <c r="P713" s="52">
        <v>186.7</v>
      </c>
      <c r="Q713" s="52">
        <v>186.7</v>
      </c>
      <c r="R713" s="53" t="str">
        <f>INDEX(SKU_Master!$D$5:$D$34,MATCH($I713,SKU_Master!$A$5:$A$34,0))</f>
        <v>Monitor</v>
      </c>
      <c r="S713" s="54">
        <f t="shared" si="154"/>
        <v>4.6250000000001013E-3</v>
      </c>
      <c r="T713" s="55">
        <f t="shared" si="155"/>
        <v>720</v>
      </c>
      <c r="U713" s="55">
        <f t="shared" si="156"/>
        <v>716.67</v>
      </c>
      <c r="V713" s="55">
        <f t="shared" si="157"/>
        <v>-3.3300000000000409</v>
      </c>
      <c r="W713" s="55">
        <f t="shared" si="158"/>
        <v>716.67</v>
      </c>
      <c r="X713" s="55">
        <f t="shared" si="159"/>
        <v>0</v>
      </c>
      <c r="Y713" s="55">
        <f t="shared" si="160"/>
        <v>560.09999999999991</v>
      </c>
      <c r="Z713" s="55">
        <f t="shared" si="161"/>
        <v>560.09999999999991</v>
      </c>
      <c r="AA713" s="55">
        <f t="shared" si="162"/>
        <v>0</v>
      </c>
      <c r="AB713" s="55">
        <f t="shared" si="163"/>
        <v>156.57000000000005</v>
      </c>
      <c r="AC713" s="54">
        <f t="shared" si="164"/>
        <v>0.21846875130813354</v>
      </c>
      <c r="AD713" s="56">
        <f>INDEX(Assumptions!$B$14:$B$16,MATCH($R713,Assumptions!$A$14:$A$16,0))</f>
        <v>0.18</v>
      </c>
      <c r="AE713" s="56">
        <f>INDEX(Assumptions!$C$14:$C$16,MATCH($R713,Assumptions!$A$14:$A$16,0))</f>
        <v>0.12</v>
      </c>
      <c r="AF713" s="49">
        <f t="shared" si="165"/>
        <v>0</v>
      </c>
      <c r="AG713" s="49">
        <f t="shared" si="166"/>
        <v>0</v>
      </c>
      <c r="AH713" s="55">
        <f t="shared" si="167"/>
        <v>0</v>
      </c>
    </row>
    <row r="714" spans="1:34" x14ac:dyDescent="0.2">
      <c r="A714" s="48" t="s">
        <v>768</v>
      </c>
      <c r="B714" s="48">
        <v>3</v>
      </c>
      <c r="C714" s="48" t="s">
        <v>769</v>
      </c>
      <c r="D714" s="48" t="s">
        <v>738</v>
      </c>
      <c r="E714" s="48" t="s">
        <v>322</v>
      </c>
      <c r="F714" s="48" t="s">
        <v>274</v>
      </c>
      <c r="G714" s="48" t="s">
        <v>288</v>
      </c>
      <c r="H714" s="48" t="s">
        <v>62</v>
      </c>
      <c r="I714" s="48" t="s">
        <v>164</v>
      </c>
      <c r="J714" s="49">
        <v>6</v>
      </c>
      <c r="K714" s="50">
        <v>190</v>
      </c>
      <c r="L714" s="50">
        <v>189.78</v>
      </c>
      <c r="M714" s="48" t="s">
        <v>276</v>
      </c>
      <c r="N714" s="51">
        <v>1</v>
      </c>
      <c r="O714" s="51">
        <v>1</v>
      </c>
      <c r="P714" s="52">
        <v>121</v>
      </c>
      <c r="Q714" s="52">
        <v>121</v>
      </c>
      <c r="R714" s="53" t="str">
        <f>INDEX(SKU_Master!$D$5:$D$34,MATCH($I714,SKU_Master!$A$5:$A$34,0))</f>
        <v>Accessory</v>
      </c>
      <c r="S714" s="54">
        <f t="shared" si="154"/>
        <v>1.1578947368421355E-3</v>
      </c>
      <c r="T714" s="55">
        <f t="shared" si="155"/>
        <v>1140</v>
      </c>
      <c r="U714" s="55">
        <f t="shared" si="156"/>
        <v>1138.68</v>
      </c>
      <c r="V714" s="55">
        <f t="shared" si="157"/>
        <v>-1.3199999999999363</v>
      </c>
      <c r="W714" s="55">
        <f t="shared" si="158"/>
        <v>1138.68</v>
      </c>
      <c r="X714" s="55">
        <f t="shared" si="159"/>
        <v>0</v>
      </c>
      <c r="Y714" s="55">
        <f t="shared" si="160"/>
        <v>726</v>
      </c>
      <c r="Z714" s="55">
        <f t="shared" si="161"/>
        <v>726</v>
      </c>
      <c r="AA714" s="55">
        <f t="shared" si="162"/>
        <v>0</v>
      </c>
      <c r="AB714" s="55">
        <f t="shared" si="163"/>
        <v>412.68000000000006</v>
      </c>
      <c r="AC714" s="54">
        <f t="shared" si="164"/>
        <v>0.362419643798082</v>
      </c>
      <c r="AD714" s="56">
        <f>INDEX(Assumptions!$B$14:$B$16,MATCH($R714,Assumptions!$A$14:$A$16,0))</f>
        <v>0.32</v>
      </c>
      <c r="AE714" s="56">
        <f>INDEX(Assumptions!$C$14:$C$16,MATCH($R714,Assumptions!$A$14:$A$16,0))</f>
        <v>0.22</v>
      </c>
      <c r="AF714" s="49">
        <f t="shared" si="165"/>
        <v>0</v>
      </c>
      <c r="AG714" s="49">
        <f t="shared" si="166"/>
        <v>0</v>
      </c>
      <c r="AH714" s="55">
        <f t="shared" si="167"/>
        <v>0</v>
      </c>
    </row>
    <row r="715" spans="1:34" x14ac:dyDescent="0.2">
      <c r="A715" s="48" t="s">
        <v>770</v>
      </c>
      <c r="B715" s="48">
        <v>1</v>
      </c>
      <c r="C715" s="48" t="s">
        <v>759</v>
      </c>
      <c r="D715" s="48" t="s">
        <v>738</v>
      </c>
      <c r="E715" s="48" t="s">
        <v>368</v>
      </c>
      <c r="F715" s="48" t="s">
        <v>274</v>
      </c>
      <c r="G715" s="48" t="s">
        <v>288</v>
      </c>
      <c r="H715" s="48" t="s">
        <v>68</v>
      </c>
      <c r="I715" s="48" t="s">
        <v>103</v>
      </c>
      <c r="J715" s="49">
        <v>4</v>
      </c>
      <c r="K715" s="50">
        <v>1605</v>
      </c>
      <c r="L715" s="50">
        <v>1600.05</v>
      </c>
      <c r="M715" s="48" t="s">
        <v>276</v>
      </c>
      <c r="N715" s="51">
        <v>1.37</v>
      </c>
      <c r="O715" s="51">
        <v>1.3734999999999999</v>
      </c>
      <c r="P715" s="52">
        <v>980.6</v>
      </c>
      <c r="Q715" s="52">
        <v>980.6</v>
      </c>
      <c r="R715" s="53" t="str">
        <f>INDEX(SKU_Master!$D$5:$D$34,MATCH($I715,SKU_Master!$A$5:$A$34,0))</f>
        <v>Laptop</v>
      </c>
      <c r="S715" s="54">
        <f t="shared" si="154"/>
        <v>3.0841121495327473E-3</v>
      </c>
      <c r="T715" s="55">
        <f t="shared" si="155"/>
        <v>4686.1313868613133</v>
      </c>
      <c r="U715" s="55">
        <f t="shared" si="156"/>
        <v>4671.6788321167878</v>
      </c>
      <c r="V715" s="55">
        <f t="shared" si="157"/>
        <v>-14.452554744525514</v>
      </c>
      <c r="W715" s="55">
        <f t="shared" si="158"/>
        <v>4659.7742992355297</v>
      </c>
      <c r="X715" s="55">
        <f t="shared" si="159"/>
        <v>-11.904532881258092</v>
      </c>
      <c r="Y715" s="55">
        <f t="shared" si="160"/>
        <v>3922.4</v>
      </c>
      <c r="Z715" s="55">
        <f t="shared" si="161"/>
        <v>3922.4</v>
      </c>
      <c r="AA715" s="55">
        <f t="shared" si="162"/>
        <v>0</v>
      </c>
      <c r="AB715" s="55">
        <f t="shared" si="163"/>
        <v>737.37429923552963</v>
      </c>
      <c r="AC715" s="54">
        <f t="shared" si="164"/>
        <v>0.1582424924221118</v>
      </c>
      <c r="AD715" s="56">
        <f>INDEX(Assumptions!$B$14:$B$16,MATCH($R715,Assumptions!$A$14:$A$16,0))</f>
        <v>0.12</v>
      </c>
      <c r="AE715" s="56">
        <f>INDEX(Assumptions!$C$14:$C$16,MATCH($R715,Assumptions!$A$14:$A$16,0))</f>
        <v>0.08</v>
      </c>
      <c r="AF715" s="49">
        <f t="shared" si="165"/>
        <v>0</v>
      </c>
      <c r="AG715" s="49">
        <f t="shared" si="166"/>
        <v>0</v>
      </c>
      <c r="AH715" s="55">
        <f t="shared" si="167"/>
        <v>0</v>
      </c>
    </row>
    <row r="716" spans="1:34" x14ac:dyDescent="0.2">
      <c r="A716" s="48" t="s">
        <v>770</v>
      </c>
      <c r="B716" s="48">
        <v>2</v>
      </c>
      <c r="C716" s="48" t="s">
        <v>759</v>
      </c>
      <c r="D716" s="48" t="s">
        <v>738</v>
      </c>
      <c r="E716" s="48" t="s">
        <v>368</v>
      </c>
      <c r="F716" s="48" t="s">
        <v>274</v>
      </c>
      <c r="G716" s="48" t="s">
        <v>288</v>
      </c>
      <c r="H716" s="48" t="s">
        <v>68</v>
      </c>
      <c r="I716" s="48" t="s">
        <v>161</v>
      </c>
      <c r="J716" s="49">
        <v>1</v>
      </c>
      <c r="K716" s="50">
        <v>175</v>
      </c>
      <c r="L716" s="50">
        <v>171.93</v>
      </c>
      <c r="M716" s="48" t="s">
        <v>276</v>
      </c>
      <c r="N716" s="51">
        <v>1.37</v>
      </c>
      <c r="O716" s="51">
        <v>1.3734999999999999</v>
      </c>
      <c r="P716" s="52">
        <v>79</v>
      </c>
      <c r="Q716" s="52">
        <v>79</v>
      </c>
      <c r="R716" s="53" t="str">
        <f>INDEX(SKU_Master!$D$5:$D$34,MATCH($I716,SKU_Master!$A$5:$A$34,0))</f>
        <v>Accessory</v>
      </c>
      <c r="S716" s="54">
        <f t="shared" si="154"/>
        <v>1.7542857142857082E-2</v>
      </c>
      <c r="T716" s="55">
        <f t="shared" si="155"/>
        <v>127.73722627737226</v>
      </c>
      <c r="U716" s="55">
        <f t="shared" si="156"/>
        <v>125.4963503649635</v>
      </c>
      <c r="V716" s="55">
        <f t="shared" si="157"/>
        <v>-2.2408759124087538</v>
      </c>
      <c r="W716" s="55">
        <f t="shared" si="158"/>
        <v>125.17655624317439</v>
      </c>
      <c r="X716" s="55">
        <f t="shared" si="159"/>
        <v>-0.31979412178911559</v>
      </c>
      <c r="Y716" s="55">
        <f t="shared" si="160"/>
        <v>79</v>
      </c>
      <c r="Z716" s="55">
        <f t="shared" si="161"/>
        <v>79</v>
      </c>
      <c r="AA716" s="55">
        <f t="shared" si="162"/>
        <v>0</v>
      </c>
      <c r="AB716" s="55">
        <f t="shared" si="163"/>
        <v>46.176556243174389</v>
      </c>
      <c r="AC716" s="54">
        <f t="shared" si="164"/>
        <v>0.36889140929448039</v>
      </c>
      <c r="AD716" s="56">
        <f>INDEX(Assumptions!$B$14:$B$16,MATCH($R716,Assumptions!$A$14:$A$16,0))</f>
        <v>0.32</v>
      </c>
      <c r="AE716" s="56">
        <f>INDEX(Assumptions!$C$14:$C$16,MATCH($R716,Assumptions!$A$14:$A$16,0))</f>
        <v>0.22</v>
      </c>
      <c r="AF716" s="49">
        <f t="shared" si="165"/>
        <v>0</v>
      </c>
      <c r="AG716" s="49">
        <f t="shared" si="166"/>
        <v>0</v>
      </c>
      <c r="AH716" s="55">
        <f t="shared" si="167"/>
        <v>0</v>
      </c>
    </row>
    <row r="717" spans="1:34" x14ac:dyDescent="0.2">
      <c r="A717" s="48" t="s">
        <v>771</v>
      </c>
      <c r="B717" s="48">
        <v>1</v>
      </c>
      <c r="C717" s="48" t="s">
        <v>747</v>
      </c>
      <c r="D717" s="48" t="s">
        <v>738</v>
      </c>
      <c r="E717" s="48" t="s">
        <v>287</v>
      </c>
      <c r="F717" s="48" t="s">
        <v>274</v>
      </c>
      <c r="G717" s="48" t="s">
        <v>288</v>
      </c>
      <c r="H717" s="48" t="s">
        <v>62</v>
      </c>
      <c r="I717" s="48" t="s">
        <v>108</v>
      </c>
      <c r="J717" s="49">
        <v>9</v>
      </c>
      <c r="K717" s="50">
        <v>1345</v>
      </c>
      <c r="L717" s="50">
        <v>1318.51</v>
      </c>
      <c r="M717" s="48" t="s">
        <v>276</v>
      </c>
      <c r="N717" s="51">
        <v>1</v>
      </c>
      <c r="O717" s="51">
        <v>1</v>
      </c>
      <c r="P717" s="52">
        <v>1145</v>
      </c>
      <c r="Q717" s="52">
        <v>1145</v>
      </c>
      <c r="R717" s="53" t="str">
        <f>INDEX(SKU_Master!$D$5:$D$34,MATCH($I717,SKU_Master!$A$5:$A$34,0))</f>
        <v>Laptop</v>
      </c>
      <c r="S717" s="54">
        <f t="shared" si="154"/>
        <v>1.9695167286245319E-2</v>
      </c>
      <c r="T717" s="55">
        <f t="shared" si="155"/>
        <v>12105</v>
      </c>
      <c r="U717" s="55">
        <f t="shared" si="156"/>
        <v>11866.59</v>
      </c>
      <c r="V717" s="55">
        <f t="shared" si="157"/>
        <v>-238.40999999999985</v>
      </c>
      <c r="W717" s="55">
        <f t="shared" si="158"/>
        <v>11866.59</v>
      </c>
      <c r="X717" s="55">
        <f t="shared" si="159"/>
        <v>0</v>
      </c>
      <c r="Y717" s="55">
        <f t="shared" si="160"/>
        <v>10305</v>
      </c>
      <c r="Z717" s="55">
        <f t="shared" si="161"/>
        <v>10305</v>
      </c>
      <c r="AA717" s="55">
        <f t="shared" si="162"/>
        <v>0</v>
      </c>
      <c r="AB717" s="55">
        <f t="shared" si="163"/>
        <v>1561.5900000000001</v>
      </c>
      <c r="AC717" s="54">
        <f t="shared" si="164"/>
        <v>0.13159551311707915</v>
      </c>
      <c r="AD717" s="56">
        <f>INDEX(Assumptions!$B$14:$B$16,MATCH($R717,Assumptions!$A$14:$A$16,0))</f>
        <v>0.12</v>
      </c>
      <c r="AE717" s="56">
        <f>INDEX(Assumptions!$C$14:$C$16,MATCH($R717,Assumptions!$A$14:$A$16,0))</f>
        <v>0.08</v>
      </c>
      <c r="AF717" s="49">
        <f t="shared" si="165"/>
        <v>0</v>
      </c>
      <c r="AG717" s="49">
        <f t="shared" si="166"/>
        <v>0</v>
      </c>
      <c r="AH717" s="55">
        <f t="shared" si="167"/>
        <v>0</v>
      </c>
    </row>
    <row r="718" spans="1:34" x14ac:dyDescent="0.2">
      <c r="A718" s="48" t="s">
        <v>771</v>
      </c>
      <c r="B718" s="48">
        <v>2</v>
      </c>
      <c r="C718" s="48" t="s">
        <v>747</v>
      </c>
      <c r="D718" s="48" t="s">
        <v>738</v>
      </c>
      <c r="E718" s="48" t="s">
        <v>287</v>
      </c>
      <c r="F718" s="48" t="s">
        <v>274</v>
      </c>
      <c r="G718" s="48" t="s">
        <v>288</v>
      </c>
      <c r="H718" s="48" t="s">
        <v>62</v>
      </c>
      <c r="I718" s="48" t="s">
        <v>157</v>
      </c>
      <c r="J718" s="49">
        <v>4</v>
      </c>
      <c r="K718" s="50">
        <v>135</v>
      </c>
      <c r="L718" s="50">
        <v>133.47999999999999</v>
      </c>
      <c r="M718" s="48" t="s">
        <v>276</v>
      </c>
      <c r="N718" s="51">
        <v>1</v>
      </c>
      <c r="O718" s="51">
        <v>1</v>
      </c>
      <c r="P718" s="52">
        <v>86</v>
      </c>
      <c r="Q718" s="52">
        <v>86</v>
      </c>
      <c r="R718" s="53" t="str">
        <f>INDEX(SKU_Master!$D$5:$D$34,MATCH($I718,SKU_Master!$A$5:$A$34,0))</f>
        <v>Accessory</v>
      </c>
      <c r="S718" s="54">
        <f t="shared" si="154"/>
        <v>1.1259259259259302E-2</v>
      </c>
      <c r="T718" s="55">
        <f t="shared" si="155"/>
        <v>540</v>
      </c>
      <c r="U718" s="55">
        <f t="shared" si="156"/>
        <v>533.91999999999996</v>
      </c>
      <c r="V718" s="55">
        <f t="shared" si="157"/>
        <v>-6.0800000000000409</v>
      </c>
      <c r="W718" s="55">
        <f t="shared" si="158"/>
        <v>533.91999999999996</v>
      </c>
      <c r="X718" s="55">
        <f t="shared" si="159"/>
        <v>0</v>
      </c>
      <c r="Y718" s="55">
        <f t="shared" si="160"/>
        <v>344</v>
      </c>
      <c r="Z718" s="55">
        <f t="shared" si="161"/>
        <v>344</v>
      </c>
      <c r="AA718" s="55">
        <f t="shared" si="162"/>
        <v>0</v>
      </c>
      <c r="AB718" s="55">
        <f t="shared" si="163"/>
        <v>189.91999999999996</v>
      </c>
      <c r="AC718" s="54">
        <f t="shared" si="164"/>
        <v>0.35570872040755164</v>
      </c>
      <c r="AD718" s="56">
        <f>INDEX(Assumptions!$B$14:$B$16,MATCH($R718,Assumptions!$A$14:$A$16,0))</f>
        <v>0.32</v>
      </c>
      <c r="AE718" s="56">
        <f>INDEX(Assumptions!$C$14:$C$16,MATCH($R718,Assumptions!$A$14:$A$16,0))</f>
        <v>0.22</v>
      </c>
      <c r="AF718" s="49">
        <f t="shared" si="165"/>
        <v>0</v>
      </c>
      <c r="AG718" s="49">
        <f t="shared" si="166"/>
        <v>0</v>
      </c>
      <c r="AH718" s="55">
        <f t="shared" si="167"/>
        <v>0</v>
      </c>
    </row>
    <row r="719" spans="1:34" x14ac:dyDescent="0.2">
      <c r="A719" s="48" t="s">
        <v>772</v>
      </c>
      <c r="B719" s="48">
        <v>1</v>
      </c>
      <c r="C719" s="48" t="s">
        <v>773</v>
      </c>
      <c r="D719" s="48" t="s">
        <v>738</v>
      </c>
      <c r="E719" s="48" t="s">
        <v>427</v>
      </c>
      <c r="F719" s="48" t="s">
        <v>297</v>
      </c>
      <c r="G719" s="48" t="s">
        <v>302</v>
      </c>
      <c r="H719" s="48" t="s">
        <v>66</v>
      </c>
      <c r="I719" s="48" t="s">
        <v>98</v>
      </c>
      <c r="J719" s="49">
        <v>53</v>
      </c>
      <c r="K719" s="50">
        <v>1980</v>
      </c>
      <c r="L719" s="50">
        <v>1869.86</v>
      </c>
      <c r="M719" s="48" t="s">
        <v>276</v>
      </c>
      <c r="N719" s="51">
        <v>0.92</v>
      </c>
      <c r="O719" s="51">
        <v>0.92079999999999995</v>
      </c>
      <c r="P719" s="52">
        <v>1800.2</v>
      </c>
      <c r="Q719" s="52">
        <v>1800.2</v>
      </c>
      <c r="R719" s="53" t="str">
        <f>INDEX(SKU_Master!$D$5:$D$34,MATCH($I719,SKU_Master!$A$5:$A$34,0))</f>
        <v>Laptop</v>
      </c>
      <c r="S719" s="54">
        <f t="shared" si="154"/>
        <v>5.562626262626269E-2</v>
      </c>
      <c r="T719" s="55">
        <f t="shared" si="155"/>
        <v>114065.21739130434</v>
      </c>
      <c r="U719" s="55">
        <f t="shared" si="156"/>
        <v>107720.1956521739</v>
      </c>
      <c r="V719" s="55">
        <f t="shared" si="157"/>
        <v>-6345.0217391304323</v>
      </c>
      <c r="W719" s="55">
        <f t="shared" si="158"/>
        <v>107626.60729800175</v>
      </c>
      <c r="X719" s="55">
        <f t="shared" si="159"/>
        <v>-93.58835417215596</v>
      </c>
      <c r="Y719" s="55">
        <f t="shared" si="160"/>
        <v>95410.6</v>
      </c>
      <c r="Z719" s="55">
        <f t="shared" si="161"/>
        <v>95410.6</v>
      </c>
      <c r="AA719" s="55">
        <f t="shared" si="162"/>
        <v>0</v>
      </c>
      <c r="AB719" s="55">
        <f t="shared" si="163"/>
        <v>12216.007298001743</v>
      </c>
      <c r="AC719" s="54">
        <f t="shared" si="164"/>
        <v>0.11350359919994014</v>
      </c>
      <c r="AD719" s="56">
        <f>INDEX(Assumptions!$B$14:$B$16,MATCH($R719,Assumptions!$A$14:$A$16,0))</f>
        <v>0.12</v>
      </c>
      <c r="AE719" s="56">
        <f>INDEX(Assumptions!$C$14:$C$16,MATCH($R719,Assumptions!$A$14:$A$16,0))</f>
        <v>0.08</v>
      </c>
      <c r="AF719" s="49">
        <f t="shared" si="165"/>
        <v>0</v>
      </c>
      <c r="AG719" s="49">
        <f t="shared" si="166"/>
        <v>0</v>
      </c>
      <c r="AH719" s="55">
        <f t="shared" si="167"/>
        <v>699.18557775846602</v>
      </c>
    </row>
    <row r="720" spans="1:34" x14ac:dyDescent="0.2">
      <c r="A720" s="48" t="s">
        <v>772</v>
      </c>
      <c r="B720" s="48">
        <v>2</v>
      </c>
      <c r="C720" s="48" t="s">
        <v>773</v>
      </c>
      <c r="D720" s="48" t="s">
        <v>738</v>
      </c>
      <c r="E720" s="48" t="s">
        <v>427</v>
      </c>
      <c r="F720" s="48" t="s">
        <v>297</v>
      </c>
      <c r="G720" s="48" t="s">
        <v>302</v>
      </c>
      <c r="H720" s="48" t="s">
        <v>66</v>
      </c>
      <c r="I720" s="48" t="s">
        <v>146</v>
      </c>
      <c r="J720" s="49">
        <v>35</v>
      </c>
      <c r="K720" s="50">
        <v>250</v>
      </c>
      <c r="L720" s="50">
        <v>240.76</v>
      </c>
      <c r="M720" s="48" t="s">
        <v>276</v>
      </c>
      <c r="N720" s="51">
        <v>0.92</v>
      </c>
      <c r="O720" s="51">
        <v>0.92079999999999995</v>
      </c>
      <c r="P720" s="52">
        <v>206.8</v>
      </c>
      <c r="Q720" s="52">
        <v>206.8</v>
      </c>
      <c r="R720" s="53" t="str">
        <f>INDEX(SKU_Master!$D$5:$D$34,MATCH($I720,SKU_Master!$A$5:$A$34,0))</f>
        <v>Monitor</v>
      </c>
      <c r="S720" s="54">
        <f t="shared" si="154"/>
        <v>3.6959999999999993E-2</v>
      </c>
      <c r="T720" s="55">
        <f t="shared" si="155"/>
        <v>9510.8695652173901</v>
      </c>
      <c r="U720" s="55">
        <f t="shared" si="156"/>
        <v>9159.347826086956</v>
      </c>
      <c r="V720" s="55">
        <f t="shared" si="157"/>
        <v>-351.52173913043407</v>
      </c>
      <c r="W720" s="55">
        <f t="shared" si="158"/>
        <v>9151.3900955690715</v>
      </c>
      <c r="X720" s="55">
        <f t="shared" si="159"/>
        <v>-7.9577305178845563</v>
      </c>
      <c r="Y720" s="55">
        <f t="shared" si="160"/>
        <v>7238</v>
      </c>
      <c r="Z720" s="55">
        <f t="shared" si="161"/>
        <v>7238</v>
      </c>
      <c r="AA720" s="55">
        <f t="shared" si="162"/>
        <v>0</v>
      </c>
      <c r="AB720" s="55">
        <f t="shared" si="163"/>
        <v>1913.3900955690715</v>
      </c>
      <c r="AC720" s="54">
        <f t="shared" si="164"/>
        <v>0.20908190729357046</v>
      </c>
      <c r="AD720" s="56">
        <f>INDEX(Assumptions!$B$14:$B$16,MATCH($R720,Assumptions!$A$14:$A$16,0))</f>
        <v>0.18</v>
      </c>
      <c r="AE720" s="56">
        <f>INDEX(Assumptions!$C$14:$C$16,MATCH($R720,Assumptions!$A$14:$A$16,0))</f>
        <v>0.12</v>
      </c>
      <c r="AF720" s="49">
        <f t="shared" si="165"/>
        <v>0</v>
      </c>
      <c r="AG720" s="49">
        <f t="shared" si="166"/>
        <v>0</v>
      </c>
      <c r="AH720" s="55">
        <f t="shared" si="167"/>
        <v>0</v>
      </c>
    </row>
    <row r="721" spans="1:34" x14ac:dyDescent="0.2">
      <c r="A721" s="48" t="s">
        <v>772</v>
      </c>
      <c r="B721" s="48">
        <v>3</v>
      </c>
      <c r="C721" s="48" t="s">
        <v>773</v>
      </c>
      <c r="D721" s="48" t="s">
        <v>738</v>
      </c>
      <c r="E721" s="48" t="s">
        <v>427</v>
      </c>
      <c r="F721" s="48" t="s">
        <v>297</v>
      </c>
      <c r="G721" s="48" t="s">
        <v>302</v>
      </c>
      <c r="H721" s="48" t="s">
        <v>66</v>
      </c>
      <c r="I721" s="48" t="s">
        <v>157</v>
      </c>
      <c r="J721" s="49">
        <v>56</v>
      </c>
      <c r="K721" s="50">
        <v>135</v>
      </c>
      <c r="L721" s="50">
        <v>127.26</v>
      </c>
      <c r="M721" s="48" t="s">
        <v>276</v>
      </c>
      <c r="N721" s="51">
        <v>0.92</v>
      </c>
      <c r="O721" s="51">
        <v>0.92079999999999995</v>
      </c>
      <c r="P721" s="52">
        <v>91</v>
      </c>
      <c r="Q721" s="52">
        <v>91</v>
      </c>
      <c r="R721" s="53" t="str">
        <f>INDEX(SKU_Master!$D$5:$D$34,MATCH($I721,SKU_Master!$A$5:$A$34,0))</f>
        <v>Accessory</v>
      </c>
      <c r="S721" s="54">
        <f t="shared" si="154"/>
        <v>5.7333333333333347E-2</v>
      </c>
      <c r="T721" s="55">
        <f t="shared" si="155"/>
        <v>8217.391304347826</v>
      </c>
      <c r="U721" s="55">
        <f t="shared" si="156"/>
        <v>7746.260869565217</v>
      </c>
      <c r="V721" s="55">
        <f t="shared" si="157"/>
        <v>-471.13043478260897</v>
      </c>
      <c r="W721" s="55">
        <f t="shared" si="158"/>
        <v>7739.5308427454393</v>
      </c>
      <c r="X721" s="55">
        <f t="shared" si="159"/>
        <v>-6.7300268197777768</v>
      </c>
      <c r="Y721" s="55">
        <f t="shared" si="160"/>
        <v>5096</v>
      </c>
      <c r="Z721" s="55">
        <f t="shared" si="161"/>
        <v>5096</v>
      </c>
      <c r="AA721" s="55">
        <f t="shared" si="162"/>
        <v>0</v>
      </c>
      <c r="AB721" s="55">
        <f t="shared" si="163"/>
        <v>2643.5308427454393</v>
      </c>
      <c r="AC721" s="54">
        <f t="shared" si="164"/>
        <v>0.34156215621562158</v>
      </c>
      <c r="AD721" s="56">
        <f>INDEX(Assumptions!$B$14:$B$16,MATCH($R721,Assumptions!$A$14:$A$16,0))</f>
        <v>0.32</v>
      </c>
      <c r="AE721" s="56">
        <f>INDEX(Assumptions!$C$14:$C$16,MATCH($R721,Assumptions!$A$14:$A$16,0))</f>
        <v>0.22</v>
      </c>
      <c r="AF721" s="49">
        <f t="shared" si="165"/>
        <v>0</v>
      </c>
      <c r="AG721" s="49">
        <f t="shared" si="166"/>
        <v>0</v>
      </c>
      <c r="AH721" s="55">
        <f t="shared" si="167"/>
        <v>0</v>
      </c>
    </row>
    <row r="722" spans="1:34" x14ac:dyDescent="0.2">
      <c r="A722" s="48" t="s">
        <v>774</v>
      </c>
      <c r="B722" s="48">
        <v>1</v>
      </c>
      <c r="C722" s="48" t="s">
        <v>745</v>
      </c>
      <c r="D722" s="48" t="s">
        <v>738</v>
      </c>
      <c r="E722" s="48" t="s">
        <v>314</v>
      </c>
      <c r="F722" s="48" t="s">
        <v>274</v>
      </c>
      <c r="G722" s="48" t="s">
        <v>298</v>
      </c>
      <c r="H722" s="48" t="s">
        <v>68</v>
      </c>
      <c r="I722" s="48" t="s">
        <v>123</v>
      </c>
      <c r="J722" s="49">
        <v>2</v>
      </c>
      <c r="K722" s="50">
        <v>2065</v>
      </c>
      <c r="L722" s="50">
        <v>2027.73</v>
      </c>
      <c r="M722" s="48" t="s">
        <v>276</v>
      </c>
      <c r="N722" s="51">
        <v>1.37</v>
      </c>
      <c r="O722" s="51">
        <v>1.3734999999999999</v>
      </c>
      <c r="P722" s="52">
        <v>1261.25</v>
      </c>
      <c r="Q722" s="52">
        <v>1261.25</v>
      </c>
      <c r="R722" s="53" t="str">
        <f>INDEX(SKU_Master!$D$5:$D$34,MATCH($I722,SKU_Master!$A$5:$A$34,0))</f>
        <v>Laptop</v>
      </c>
      <c r="S722" s="54">
        <f t="shared" si="154"/>
        <v>1.8048426150121033E-2</v>
      </c>
      <c r="T722" s="55">
        <f t="shared" si="155"/>
        <v>3014.5985401459852</v>
      </c>
      <c r="U722" s="55">
        <f t="shared" si="156"/>
        <v>2960.1897810218975</v>
      </c>
      <c r="V722" s="55">
        <f t="shared" si="157"/>
        <v>-54.408759124087737</v>
      </c>
      <c r="W722" s="55">
        <f t="shared" si="158"/>
        <v>2952.6465234801603</v>
      </c>
      <c r="X722" s="55">
        <f t="shared" si="159"/>
        <v>-7.5432575417371481</v>
      </c>
      <c r="Y722" s="55">
        <f t="shared" si="160"/>
        <v>2522.5</v>
      </c>
      <c r="Z722" s="55">
        <f t="shared" si="161"/>
        <v>2522.5</v>
      </c>
      <c r="AA722" s="55">
        <f t="shared" si="162"/>
        <v>0</v>
      </c>
      <c r="AB722" s="55">
        <f t="shared" si="163"/>
        <v>430.14652348016034</v>
      </c>
      <c r="AC722" s="54">
        <f t="shared" si="164"/>
        <v>0.14568168592465472</v>
      </c>
      <c r="AD722" s="56">
        <f>INDEX(Assumptions!$B$14:$B$16,MATCH($R722,Assumptions!$A$14:$A$16,0))</f>
        <v>0.12</v>
      </c>
      <c r="AE722" s="56">
        <f>INDEX(Assumptions!$C$14:$C$16,MATCH($R722,Assumptions!$A$14:$A$16,0))</f>
        <v>0.08</v>
      </c>
      <c r="AF722" s="49">
        <f t="shared" si="165"/>
        <v>0</v>
      </c>
      <c r="AG722" s="49">
        <f t="shared" si="166"/>
        <v>0</v>
      </c>
      <c r="AH722" s="55">
        <f t="shared" si="167"/>
        <v>0</v>
      </c>
    </row>
    <row r="723" spans="1:34" x14ac:dyDescent="0.2">
      <c r="A723" s="48" t="s">
        <v>775</v>
      </c>
      <c r="B723" s="48">
        <v>1</v>
      </c>
      <c r="C723" s="48" t="s">
        <v>745</v>
      </c>
      <c r="D723" s="48" t="s">
        <v>738</v>
      </c>
      <c r="E723" s="48" t="s">
        <v>588</v>
      </c>
      <c r="F723" s="48" t="s">
        <v>274</v>
      </c>
      <c r="G723" s="48" t="s">
        <v>281</v>
      </c>
      <c r="H723" s="48" t="s">
        <v>62</v>
      </c>
      <c r="I723" s="48" t="s">
        <v>93</v>
      </c>
      <c r="J723" s="49">
        <v>5</v>
      </c>
      <c r="K723" s="50">
        <v>1390</v>
      </c>
      <c r="L723" s="50">
        <v>1381.99</v>
      </c>
      <c r="M723" s="48" t="s">
        <v>276</v>
      </c>
      <c r="N723" s="51">
        <v>1</v>
      </c>
      <c r="O723" s="51">
        <v>1</v>
      </c>
      <c r="P723" s="52">
        <v>1186.2</v>
      </c>
      <c r="Q723" s="52">
        <v>1186.2</v>
      </c>
      <c r="R723" s="53" t="str">
        <f>INDEX(SKU_Master!$D$5:$D$34,MATCH($I723,SKU_Master!$A$5:$A$34,0))</f>
        <v>Laptop</v>
      </c>
      <c r="S723" s="54">
        <f t="shared" si="154"/>
        <v>5.7625899280575599E-3</v>
      </c>
      <c r="T723" s="55">
        <f t="shared" si="155"/>
        <v>6950</v>
      </c>
      <c r="U723" s="55">
        <f t="shared" si="156"/>
        <v>6909.95</v>
      </c>
      <c r="V723" s="55">
        <f t="shared" si="157"/>
        <v>-40.050000000000182</v>
      </c>
      <c r="W723" s="55">
        <f t="shared" si="158"/>
        <v>6909.95</v>
      </c>
      <c r="X723" s="55">
        <f t="shared" si="159"/>
        <v>0</v>
      </c>
      <c r="Y723" s="55">
        <f t="shared" si="160"/>
        <v>5931</v>
      </c>
      <c r="Z723" s="55">
        <f t="shared" si="161"/>
        <v>5931</v>
      </c>
      <c r="AA723" s="55">
        <f t="shared" si="162"/>
        <v>0</v>
      </c>
      <c r="AB723" s="55">
        <f t="shared" si="163"/>
        <v>978.94999999999982</v>
      </c>
      <c r="AC723" s="54">
        <f t="shared" si="164"/>
        <v>0.1416725157200848</v>
      </c>
      <c r="AD723" s="56">
        <f>INDEX(Assumptions!$B$14:$B$16,MATCH($R723,Assumptions!$A$14:$A$16,0))</f>
        <v>0.12</v>
      </c>
      <c r="AE723" s="56">
        <f>INDEX(Assumptions!$C$14:$C$16,MATCH($R723,Assumptions!$A$14:$A$16,0))</f>
        <v>0.08</v>
      </c>
      <c r="AF723" s="49">
        <f t="shared" si="165"/>
        <v>0</v>
      </c>
      <c r="AG723" s="49">
        <f t="shared" si="166"/>
        <v>0</v>
      </c>
      <c r="AH723" s="55">
        <f t="shared" si="167"/>
        <v>0</v>
      </c>
    </row>
    <row r="724" spans="1:34" x14ac:dyDescent="0.2">
      <c r="A724" s="48" t="s">
        <v>775</v>
      </c>
      <c r="B724" s="48">
        <v>2</v>
      </c>
      <c r="C724" s="48" t="s">
        <v>745</v>
      </c>
      <c r="D724" s="48" t="s">
        <v>738</v>
      </c>
      <c r="E724" s="48" t="s">
        <v>588</v>
      </c>
      <c r="F724" s="48" t="s">
        <v>274</v>
      </c>
      <c r="G724" s="48" t="s">
        <v>281</v>
      </c>
      <c r="H724" s="48" t="s">
        <v>62</v>
      </c>
      <c r="I724" s="48" t="s">
        <v>166</v>
      </c>
      <c r="J724" s="49">
        <v>5</v>
      </c>
      <c r="K724" s="50">
        <v>265</v>
      </c>
      <c r="L724" s="50">
        <v>261.72000000000003</v>
      </c>
      <c r="M724" s="48" t="s">
        <v>276</v>
      </c>
      <c r="N724" s="51">
        <v>1</v>
      </c>
      <c r="O724" s="51">
        <v>1</v>
      </c>
      <c r="P724" s="52">
        <v>169.35</v>
      </c>
      <c r="Q724" s="52">
        <v>169.35</v>
      </c>
      <c r="R724" s="53" t="str">
        <f>INDEX(SKU_Master!$D$5:$D$34,MATCH($I724,SKU_Master!$A$5:$A$34,0))</f>
        <v>Accessory</v>
      </c>
      <c r="S724" s="54">
        <f t="shared" si="154"/>
        <v>1.2377358490565982E-2</v>
      </c>
      <c r="T724" s="55">
        <f t="shared" si="155"/>
        <v>1325</v>
      </c>
      <c r="U724" s="55">
        <f t="shared" si="156"/>
        <v>1308.6000000000001</v>
      </c>
      <c r="V724" s="55">
        <f t="shared" si="157"/>
        <v>-16.399999999999864</v>
      </c>
      <c r="W724" s="55">
        <f t="shared" si="158"/>
        <v>1308.6000000000001</v>
      </c>
      <c r="X724" s="55">
        <f t="shared" si="159"/>
        <v>0</v>
      </c>
      <c r="Y724" s="55">
        <f t="shared" si="160"/>
        <v>846.75</v>
      </c>
      <c r="Z724" s="55">
        <f t="shared" si="161"/>
        <v>846.75</v>
      </c>
      <c r="AA724" s="55">
        <f t="shared" si="162"/>
        <v>0</v>
      </c>
      <c r="AB724" s="55">
        <f t="shared" si="163"/>
        <v>461.85000000000014</v>
      </c>
      <c r="AC724" s="54">
        <f t="shared" si="164"/>
        <v>0.35293443374598815</v>
      </c>
      <c r="AD724" s="56">
        <f>INDEX(Assumptions!$B$14:$B$16,MATCH($R724,Assumptions!$A$14:$A$16,0))</f>
        <v>0.32</v>
      </c>
      <c r="AE724" s="56">
        <f>INDEX(Assumptions!$C$14:$C$16,MATCH($R724,Assumptions!$A$14:$A$16,0))</f>
        <v>0.22</v>
      </c>
      <c r="AF724" s="49">
        <f t="shared" si="165"/>
        <v>0</v>
      </c>
      <c r="AG724" s="49">
        <f t="shared" si="166"/>
        <v>0</v>
      </c>
      <c r="AH724" s="55">
        <f t="shared" si="167"/>
        <v>0</v>
      </c>
    </row>
    <row r="725" spans="1:34" x14ac:dyDescent="0.2">
      <c r="A725" s="48" t="s">
        <v>776</v>
      </c>
      <c r="B725" s="48">
        <v>1</v>
      </c>
      <c r="C725" s="48" t="s">
        <v>777</v>
      </c>
      <c r="D725" s="48" t="s">
        <v>738</v>
      </c>
      <c r="E725" s="48" t="s">
        <v>384</v>
      </c>
      <c r="F725" s="48" t="s">
        <v>297</v>
      </c>
      <c r="G725" s="48" t="s">
        <v>281</v>
      </c>
      <c r="H725" s="48" t="s">
        <v>70</v>
      </c>
      <c r="I725" s="48" t="s">
        <v>106</v>
      </c>
      <c r="J725" s="49">
        <v>34</v>
      </c>
      <c r="K725" s="50">
        <v>147165</v>
      </c>
      <c r="L725" s="50">
        <v>142576.67000000001</v>
      </c>
      <c r="M725" s="48" t="s">
        <v>276</v>
      </c>
      <c r="N725" s="51">
        <v>83.5</v>
      </c>
      <c r="O725" s="51">
        <v>84.144000000000005</v>
      </c>
      <c r="P725" s="52">
        <v>1476.24</v>
      </c>
      <c r="Q725" s="52">
        <v>1496.24</v>
      </c>
      <c r="R725" s="53" t="str">
        <f>INDEX(SKU_Master!$D$5:$D$34,MATCH($I725,SKU_Master!$A$5:$A$34,0))</f>
        <v>Laptop</v>
      </c>
      <c r="S725" s="54">
        <f t="shared" si="154"/>
        <v>3.117813338769404E-2</v>
      </c>
      <c r="T725" s="55">
        <f t="shared" si="155"/>
        <v>59923.473053892216</v>
      </c>
      <c r="U725" s="55">
        <f t="shared" si="156"/>
        <v>58055.171017964072</v>
      </c>
      <c r="V725" s="55">
        <f t="shared" si="157"/>
        <v>-1868.3020359281436</v>
      </c>
      <c r="W725" s="55">
        <f t="shared" si="158"/>
        <v>57610.843078532038</v>
      </c>
      <c r="X725" s="55">
        <f t="shared" si="159"/>
        <v>-444.32793943203433</v>
      </c>
      <c r="Y725" s="55">
        <f t="shared" si="160"/>
        <v>50192.160000000003</v>
      </c>
      <c r="Z725" s="55">
        <f t="shared" si="161"/>
        <v>50872.160000000003</v>
      </c>
      <c r="AA725" s="55">
        <f t="shared" si="162"/>
        <v>-680</v>
      </c>
      <c r="AB725" s="55">
        <f t="shared" si="163"/>
        <v>6738.6830785320344</v>
      </c>
      <c r="AC725" s="54">
        <f t="shared" si="164"/>
        <v>0.11696900650015171</v>
      </c>
      <c r="AD725" s="56">
        <f>INDEX(Assumptions!$B$14:$B$16,MATCH($R725,Assumptions!$A$14:$A$16,0))</f>
        <v>0.12</v>
      </c>
      <c r="AE725" s="56">
        <f>INDEX(Assumptions!$C$14:$C$16,MATCH($R725,Assumptions!$A$14:$A$16,0))</f>
        <v>0.08</v>
      </c>
      <c r="AF725" s="49">
        <f t="shared" si="165"/>
        <v>0</v>
      </c>
      <c r="AG725" s="49">
        <f t="shared" si="166"/>
        <v>0</v>
      </c>
      <c r="AH725" s="55">
        <f t="shared" si="167"/>
        <v>174.61809089180952</v>
      </c>
    </row>
    <row r="726" spans="1:34" x14ac:dyDescent="0.2">
      <c r="A726" s="48" t="s">
        <v>776</v>
      </c>
      <c r="B726" s="48">
        <v>2</v>
      </c>
      <c r="C726" s="48" t="s">
        <v>777</v>
      </c>
      <c r="D726" s="48" t="s">
        <v>738</v>
      </c>
      <c r="E726" s="48" t="s">
        <v>384</v>
      </c>
      <c r="F726" s="48" t="s">
        <v>297</v>
      </c>
      <c r="G726" s="48" t="s">
        <v>281</v>
      </c>
      <c r="H726" s="48" t="s">
        <v>70</v>
      </c>
      <c r="I726" s="48" t="s">
        <v>138</v>
      </c>
      <c r="J726" s="49">
        <v>24</v>
      </c>
      <c r="K726" s="50">
        <v>47515</v>
      </c>
      <c r="L726" s="50">
        <v>45908.2</v>
      </c>
      <c r="M726" s="48" t="s">
        <v>276</v>
      </c>
      <c r="N726" s="51">
        <v>83.5</v>
      </c>
      <c r="O726" s="51">
        <v>84.144000000000005</v>
      </c>
      <c r="P726" s="52">
        <v>439.85</v>
      </c>
      <c r="Q726" s="52">
        <v>459.85</v>
      </c>
      <c r="R726" s="53" t="str">
        <f>INDEX(SKU_Master!$D$5:$D$34,MATCH($I726,SKU_Master!$A$5:$A$34,0))</f>
        <v>Monitor</v>
      </c>
      <c r="S726" s="54">
        <f t="shared" si="154"/>
        <v>3.3816689466484307E-2</v>
      </c>
      <c r="T726" s="55">
        <f t="shared" si="155"/>
        <v>13657.005988023951</v>
      </c>
      <c r="U726" s="55">
        <f t="shared" si="156"/>
        <v>13195.171257485028</v>
      </c>
      <c r="V726" s="55">
        <f t="shared" si="157"/>
        <v>-461.8347305389234</v>
      </c>
      <c r="W726" s="55">
        <f t="shared" si="158"/>
        <v>13094.18140330861</v>
      </c>
      <c r="X726" s="55">
        <f t="shared" si="159"/>
        <v>-100.98985417641779</v>
      </c>
      <c r="Y726" s="55">
        <f t="shared" si="160"/>
        <v>10556.400000000001</v>
      </c>
      <c r="Z726" s="55">
        <f t="shared" si="161"/>
        <v>11036.400000000001</v>
      </c>
      <c r="AA726" s="55">
        <f t="shared" si="162"/>
        <v>-480</v>
      </c>
      <c r="AB726" s="55">
        <f t="shared" si="163"/>
        <v>2057.7814033086088</v>
      </c>
      <c r="AC726" s="54">
        <f t="shared" si="164"/>
        <v>0.15715235186742205</v>
      </c>
      <c r="AD726" s="56">
        <f>INDEX(Assumptions!$B$14:$B$16,MATCH($R726,Assumptions!$A$14:$A$16,0))</f>
        <v>0.18</v>
      </c>
      <c r="AE726" s="56">
        <f>INDEX(Assumptions!$C$14:$C$16,MATCH($R726,Assumptions!$A$14:$A$16,0))</f>
        <v>0.12</v>
      </c>
      <c r="AF726" s="49">
        <f t="shared" si="165"/>
        <v>0</v>
      </c>
      <c r="AG726" s="49">
        <f t="shared" si="166"/>
        <v>0</v>
      </c>
      <c r="AH726" s="55">
        <f t="shared" si="167"/>
        <v>299.17124928694102</v>
      </c>
    </row>
    <row r="727" spans="1:34" x14ac:dyDescent="0.2">
      <c r="A727" s="48" t="s">
        <v>778</v>
      </c>
      <c r="B727" s="48">
        <v>1</v>
      </c>
      <c r="C727" s="48" t="s">
        <v>779</v>
      </c>
      <c r="D727" s="48" t="s">
        <v>738</v>
      </c>
      <c r="E727" s="48" t="s">
        <v>339</v>
      </c>
      <c r="F727" s="48" t="s">
        <v>280</v>
      </c>
      <c r="G727" s="48" t="s">
        <v>302</v>
      </c>
      <c r="H727" s="48" t="s">
        <v>62</v>
      </c>
      <c r="I727" s="48" t="s">
        <v>108</v>
      </c>
      <c r="J727" s="49">
        <v>9</v>
      </c>
      <c r="K727" s="50">
        <v>1345</v>
      </c>
      <c r="L727" s="50">
        <v>1310.74</v>
      </c>
      <c r="M727" s="48" t="s">
        <v>276</v>
      </c>
      <c r="N727" s="51">
        <v>1</v>
      </c>
      <c r="O727" s="51">
        <v>1</v>
      </c>
      <c r="P727" s="52">
        <v>1145</v>
      </c>
      <c r="Q727" s="52">
        <v>1145</v>
      </c>
      <c r="R727" s="53" t="str">
        <f>INDEX(SKU_Master!$D$5:$D$34,MATCH($I727,SKU_Master!$A$5:$A$34,0))</f>
        <v>Laptop</v>
      </c>
      <c r="S727" s="54">
        <f t="shared" si="154"/>
        <v>2.5472118959107837E-2</v>
      </c>
      <c r="T727" s="55">
        <f t="shared" si="155"/>
        <v>12105</v>
      </c>
      <c r="U727" s="55">
        <f t="shared" si="156"/>
        <v>11796.66</v>
      </c>
      <c r="V727" s="55">
        <f t="shared" si="157"/>
        <v>-308.34000000000015</v>
      </c>
      <c r="W727" s="55">
        <f t="shared" si="158"/>
        <v>11796.66</v>
      </c>
      <c r="X727" s="55">
        <f t="shared" si="159"/>
        <v>0</v>
      </c>
      <c r="Y727" s="55">
        <f t="shared" si="160"/>
        <v>10305</v>
      </c>
      <c r="Z727" s="55">
        <f t="shared" si="161"/>
        <v>10305</v>
      </c>
      <c r="AA727" s="55">
        <f t="shared" si="162"/>
        <v>0</v>
      </c>
      <c r="AB727" s="55">
        <f t="shared" si="163"/>
        <v>1491.6599999999999</v>
      </c>
      <c r="AC727" s="54">
        <f t="shared" si="164"/>
        <v>0.12644765552283441</v>
      </c>
      <c r="AD727" s="56">
        <f>INDEX(Assumptions!$B$14:$B$16,MATCH($R727,Assumptions!$A$14:$A$16,0))</f>
        <v>0.12</v>
      </c>
      <c r="AE727" s="56">
        <f>INDEX(Assumptions!$C$14:$C$16,MATCH($R727,Assumptions!$A$14:$A$16,0))</f>
        <v>0.08</v>
      </c>
      <c r="AF727" s="49">
        <f t="shared" si="165"/>
        <v>0</v>
      </c>
      <c r="AG727" s="49">
        <f t="shared" si="166"/>
        <v>0</v>
      </c>
      <c r="AH727" s="55">
        <f t="shared" si="167"/>
        <v>0</v>
      </c>
    </row>
    <row r="728" spans="1:34" x14ac:dyDescent="0.2">
      <c r="A728" s="48" t="s">
        <v>780</v>
      </c>
      <c r="B728" s="48">
        <v>1</v>
      </c>
      <c r="C728" s="48" t="s">
        <v>749</v>
      </c>
      <c r="D728" s="48" t="s">
        <v>738</v>
      </c>
      <c r="E728" s="48" t="s">
        <v>374</v>
      </c>
      <c r="F728" s="48" t="s">
        <v>274</v>
      </c>
      <c r="G728" s="48" t="s">
        <v>281</v>
      </c>
      <c r="H728" s="48" t="s">
        <v>62</v>
      </c>
      <c r="I728" s="48" t="s">
        <v>113</v>
      </c>
      <c r="J728" s="49">
        <v>8</v>
      </c>
      <c r="K728" s="50">
        <v>1740</v>
      </c>
      <c r="L728" s="50">
        <v>1716.46</v>
      </c>
      <c r="M728" s="48" t="s">
        <v>276</v>
      </c>
      <c r="N728" s="51">
        <v>1</v>
      </c>
      <c r="O728" s="51">
        <v>1</v>
      </c>
      <c r="P728" s="52">
        <v>1484.8</v>
      </c>
      <c r="Q728" s="52">
        <v>1484.8</v>
      </c>
      <c r="R728" s="53" t="str">
        <f>INDEX(SKU_Master!$D$5:$D$34,MATCH($I728,SKU_Master!$A$5:$A$34,0))</f>
        <v>Laptop</v>
      </c>
      <c r="S728" s="54">
        <f t="shared" si="154"/>
        <v>1.352873563218393E-2</v>
      </c>
      <c r="T728" s="55">
        <f t="shared" si="155"/>
        <v>13920</v>
      </c>
      <c r="U728" s="55">
        <f t="shared" si="156"/>
        <v>13731.68</v>
      </c>
      <c r="V728" s="55">
        <f t="shared" si="157"/>
        <v>-188.31999999999971</v>
      </c>
      <c r="W728" s="55">
        <f t="shared" si="158"/>
        <v>13731.68</v>
      </c>
      <c r="X728" s="55">
        <f t="shared" si="159"/>
        <v>0</v>
      </c>
      <c r="Y728" s="55">
        <f t="shared" si="160"/>
        <v>11878.4</v>
      </c>
      <c r="Z728" s="55">
        <f t="shared" si="161"/>
        <v>11878.4</v>
      </c>
      <c r="AA728" s="55">
        <f t="shared" si="162"/>
        <v>0</v>
      </c>
      <c r="AB728" s="55">
        <f t="shared" si="163"/>
        <v>1853.2800000000007</v>
      </c>
      <c r="AC728" s="54">
        <f t="shared" si="164"/>
        <v>0.13496382088717482</v>
      </c>
      <c r="AD728" s="56">
        <f>INDEX(Assumptions!$B$14:$B$16,MATCH($R728,Assumptions!$A$14:$A$16,0))</f>
        <v>0.12</v>
      </c>
      <c r="AE728" s="56">
        <f>INDEX(Assumptions!$C$14:$C$16,MATCH($R728,Assumptions!$A$14:$A$16,0))</f>
        <v>0.08</v>
      </c>
      <c r="AF728" s="49">
        <f t="shared" si="165"/>
        <v>0</v>
      </c>
      <c r="AG728" s="49">
        <f t="shared" si="166"/>
        <v>0</v>
      </c>
      <c r="AH728" s="55">
        <f t="shared" si="167"/>
        <v>0</v>
      </c>
    </row>
    <row r="729" spans="1:34" x14ac:dyDescent="0.2">
      <c r="A729" s="48" t="s">
        <v>780</v>
      </c>
      <c r="B729" s="48">
        <v>2</v>
      </c>
      <c r="C729" s="48" t="s">
        <v>749</v>
      </c>
      <c r="D729" s="48" t="s">
        <v>738</v>
      </c>
      <c r="E729" s="48" t="s">
        <v>374</v>
      </c>
      <c r="F729" s="48" t="s">
        <v>274</v>
      </c>
      <c r="G729" s="48" t="s">
        <v>281</v>
      </c>
      <c r="H729" s="48" t="s">
        <v>62</v>
      </c>
      <c r="I729" s="48" t="s">
        <v>166</v>
      </c>
      <c r="J729" s="49">
        <v>4</v>
      </c>
      <c r="K729" s="50">
        <v>265</v>
      </c>
      <c r="L729" s="50">
        <v>262.36</v>
      </c>
      <c r="M729" s="48" t="s">
        <v>276</v>
      </c>
      <c r="N729" s="51">
        <v>1</v>
      </c>
      <c r="O729" s="51">
        <v>1</v>
      </c>
      <c r="P729" s="52">
        <v>169.35</v>
      </c>
      <c r="Q729" s="52">
        <v>169.35</v>
      </c>
      <c r="R729" s="53" t="str">
        <f>INDEX(SKU_Master!$D$5:$D$34,MATCH($I729,SKU_Master!$A$5:$A$34,0))</f>
        <v>Accessory</v>
      </c>
      <c r="S729" s="54">
        <f t="shared" si="154"/>
        <v>9.9622641509433674E-3</v>
      </c>
      <c r="T729" s="55">
        <f t="shared" si="155"/>
        <v>1060</v>
      </c>
      <c r="U729" s="55">
        <f t="shared" si="156"/>
        <v>1049.44</v>
      </c>
      <c r="V729" s="55">
        <f t="shared" si="157"/>
        <v>-10.559999999999945</v>
      </c>
      <c r="W729" s="55">
        <f t="shared" si="158"/>
        <v>1049.44</v>
      </c>
      <c r="X729" s="55">
        <f t="shared" si="159"/>
        <v>0</v>
      </c>
      <c r="Y729" s="55">
        <f t="shared" si="160"/>
        <v>677.4</v>
      </c>
      <c r="Z729" s="55">
        <f t="shared" si="161"/>
        <v>677.4</v>
      </c>
      <c r="AA729" s="55">
        <f t="shared" si="162"/>
        <v>0</v>
      </c>
      <c r="AB729" s="55">
        <f t="shared" si="163"/>
        <v>372.04000000000008</v>
      </c>
      <c r="AC729" s="54">
        <f t="shared" si="164"/>
        <v>0.35451288306144235</v>
      </c>
      <c r="AD729" s="56">
        <f>INDEX(Assumptions!$B$14:$B$16,MATCH($R729,Assumptions!$A$14:$A$16,0))</f>
        <v>0.32</v>
      </c>
      <c r="AE729" s="56">
        <f>INDEX(Assumptions!$C$14:$C$16,MATCH($R729,Assumptions!$A$14:$A$16,0))</f>
        <v>0.22</v>
      </c>
      <c r="AF729" s="49">
        <f t="shared" si="165"/>
        <v>0</v>
      </c>
      <c r="AG729" s="49">
        <f t="shared" si="166"/>
        <v>0</v>
      </c>
      <c r="AH729" s="55">
        <f t="shared" si="167"/>
        <v>0</v>
      </c>
    </row>
    <row r="730" spans="1:34" x14ac:dyDescent="0.2">
      <c r="A730" s="48" t="s">
        <v>781</v>
      </c>
      <c r="B730" s="48">
        <v>1</v>
      </c>
      <c r="C730" s="48" t="s">
        <v>757</v>
      </c>
      <c r="D730" s="48" t="s">
        <v>738</v>
      </c>
      <c r="E730" s="48" t="s">
        <v>333</v>
      </c>
      <c r="F730" s="48" t="s">
        <v>297</v>
      </c>
      <c r="G730" s="48" t="s">
        <v>302</v>
      </c>
      <c r="H730" s="48" t="s">
        <v>70</v>
      </c>
      <c r="I730" s="48" t="s">
        <v>93</v>
      </c>
      <c r="J730" s="49">
        <v>49</v>
      </c>
      <c r="K730" s="50">
        <v>134750</v>
      </c>
      <c r="L730" s="50">
        <v>129304.9</v>
      </c>
      <c r="M730" s="48" t="s">
        <v>276</v>
      </c>
      <c r="N730" s="51">
        <v>83.5</v>
      </c>
      <c r="O730" s="51">
        <v>84.144000000000005</v>
      </c>
      <c r="P730" s="52">
        <v>1351.7</v>
      </c>
      <c r="Q730" s="52">
        <v>1371.7</v>
      </c>
      <c r="R730" s="53" t="str">
        <f>INDEX(SKU_Master!$D$5:$D$34,MATCH($I730,SKU_Master!$A$5:$A$34,0))</f>
        <v>Laptop</v>
      </c>
      <c r="S730" s="54">
        <f t="shared" si="154"/>
        <v>4.0408905380334037E-2</v>
      </c>
      <c r="T730" s="55">
        <f t="shared" si="155"/>
        <v>79074.850299401194</v>
      </c>
      <c r="U730" s="55">
        <f t="shared" si="156"/>
        <v>75879.522155688624</v>
      </c>
      <c r="V730" s="55">
        <f t="shared" si="157"/>
        <v>-3195.3281437125697</v>
      </c>
      <c r="W730" s="55">
        <f t="shared" si="158"/>
        <v>75298.774719528417</v>
      </c>
      <c r="X730" s="55">
        <f t="shared" si="159"/>
        <v>-580.74743616020714</v>
      </c>
      <c r="Y730" s="55">
        <f t="shared" si="160"/>
        <v>66233.3</v>
      </c>
      <c r="Z730" s="55">
        <f t="shared" si="161"/>
        <v>67213.3</v>
      </c>
      <c r="AA730" s="55">
        <f t="shared" si="162"/>
        <v>-980</v>
      </c>
      <c r="AB730" s="55">
        <f t="shared" si="163"/>
        <v>8085.4747195284144</v>
      </c>
      <c r="AC730" s="54">
        <f t="shared" si="164"/>
        <v>0.10737856956696908</v>
      </c>
      <c r="AD730" s="56">
        <f>INDEX(Assumptions!$B$14:$B$16,MATCH($R730,Assumptions!$A$14:$A$16,0))</f>
        <v>0.12</v>
      </c>
      <c r="AE730" s="56">
        <f>INDEX(Assumptions!$C$14:$C$16,MATCH($R730,Assumptions!$A$14:$A$16,0))</f>
        <v>0.08</v>
      </c>
      <c r="AF730" s="49">
        <f t="shared" si="165"/>
        <v>0</v>
      </c>
      <c r="AG730" s="49">
        <f t="shared" si="166"/>
        <v>0</v>
      </c>
      <c r="AH730" s="55">
        <f t="shared" si="167"/>
        <v>950.37824681499478</v>
      </c>
    </row>
    <row r="731" spans="1:34" x14ac:dyDescent="0.2">
      <c r="A731" s="48" t="s">
        <v>781</v>
      </c>
      <c r="B731" s="48">
        <v>2</v>
      </c>
      <c r="C731" s="48" t="s">
        <v>757</v>
      </c>
      <c r="D731" s="48" t="s">
        <v>738</v>
      </c>
      <c r="E731" s="48" t="s">
        <v>333</v>
      </c>
      <c r="F731" s="48" t="s">
        <v>297</v>
      </c>
      <c r="G731" s="48" t="s">
        <v>302</v>
      </c>
      <c r="H731" s="48" t="s">
        <v>70</v>
      </c>
      <c r="I731" s="48" t="s">
        <v>144</v>
      </c>
      <c r="J731" s="49">
        <v>34</v>
      </c>
      <c r="K731" s="50">
        <v>39290</v>
      </c>
      <c r="L731" s="50">
        <v>36206.9</v>
      </c>
      <c r="M731" s="48" t="s">
        <v>276</v>
      </c>
      <c r="N731" s="51">
        <v>83.5</v>
      </c>
      <c r="O731" s="51">
        <v>84.144000000000005</v>
      </c>
      <c r="P731" s="52">
        <v>363.71</v>
      </c>
      <c r="Q731" s="52">
        <v>383.71</v>
      </c>
      <c r="R731" s="53" t="str">
        <f>INDEX(SKU_Master!$D$5:$D$34,MATCH($I731,SKU_Master!$A$5:$A$34,0))</f>
        <v>Monitor</v>
      </c>
      <c r="S731" s="54">
        <f t="shared" si="154"/>
        <v>7.847034868923386E-2</v>
      </c>
      <c r="T731" s="55">
        <f t="shared" si="155"/>
        <v>15998.323353293414</v>
      </c>
      <c r="U731" s="55">
        <f t="shared" si="156"/>
        <v>14742.929341317367</v>
      </c>
      <c r="V731" s="55">
        <f t="shared" si="157"/>
        <v>-1255.3940119760464</v>
      </c>
      <c r="W731" s="55">
        <f t="shared" si="158"/>
        <v>14630.093648982696</v>
      </c>
      <c r="X731" s="55">
        <f t="shared" si="159"/>
        <v>-112.83569233467097</v>
      </c>
      <c r="Y731" s="55">
        <f t="shared" si="160"/>
        <v>12366.14</v>
      </c>
      <c r="Z731" s="55">
        <f t="shared" si="161"/>
        <v>13046.14</v>
      </c>
      <c r="AA731" s="55">
        <f t="shared" si="162"/>
        <v>-680</v>
      </c>
      <c r="AB731" s="55">
        <f t="shared" si="163"/>
        <v>1583.9536489826969</v>
      </c>
      <c r="AC731" s="54">
        <f t="shared" si="164"/>
        <v>0.10826681544125571</v>
      </c>
      <c r="AD731" s="56">
        <f>INDEX(Assumptions!$B$14:$B$16,MATCH($R731,Assumptions!$A$14:$A$16,0))</f>
        <v>0.18</v>
      </c>
      <c r="AE731" s="56">
        <f>INDEX(Assumptions!$C$14:$C$16,MATCH($R731,Assumptions!$A$14:$A$16,0))</f>
        <v>0.12</v>
      </c>
      <c r="AF731" s="49">
        <f t="shared" si="165"/>
        <v>1</v>
      </c>
      <c r="AG731" s="49">
        <f t="shared" si="166"/>
        <v>1</v>
      </c>
      <c r="AH731" s="55">
        <f t="shared" si="167"/>
        <v>1049.4632078341883</v>
      </c>
    </row>
    <row r="732" spans="1:34" x14ac:dyDescent="0.2">
      <c r="A732" s="48" t="s">
        <v>782</v>
      </c>
      <c r="B732" s="48">
        <v>1</v>
      </c>
      <c r="C732" s="48" t="s">
        <v>777</v>
      </c>
      <c r="D732" s="48" t="s">
        <v>738</v>
      </c>
      <c r="E732" s="48" t="s">
        <v>273</v>
      </c>
      <c r="F732" s="48" t="s">
        <v>274</v>
      </c>
      <c r="G732" s="48" t="s">
        <v>275</v>
      </c>
      <c r="H732" s="48" t="s">
        <v>66</v>
      </c>
      <c r="I732" s="48" t="s">
        <v>108</v>
      </c>
      <c r="J732" s="49">
        <v>2</v>
      </c>
      <c r="K732" s="50">
        <v>1280</v>
      </c>
      <c r="L732" s="50">
        <v>1267.29</v>
      </c>
      <c r="M732" s="48" t="s">
        <v>276</v>
      </c>
      <c r="N732" s="51">
        <v>0.92</v>
      </c>
      <c r="O732" s="51">
        <v>0.92079999999999995</v>
      </c>
      <c r="P732" s="52">
        <v>1165</v>
      </c>
      <c r="Q732" s="52">
        <v>1165</v>
      </c>
      <c r="R732" s="53" t="str">
        <f>INDEX(SKU_Master!$D$5:$D$34,MATCH($I732,SKU_Master!$A$5:$A$34,0))</f>
        <v>Laptop</v>
      </c>
      <c r="S732" s="54">
        <f t="shared" si="154"/>
        <v>9.9296875000000062E-3</v>
      </c>
      <c r="T732" s="55">
        <f t="shared" si="155"/>
        <v>2782.608695652174</v>
      </c>
      <c r="U732" s="55">
        <f t="shared" si="156"/>
        <v>2754.978260869565</v>
      </c>
      <c r="V732" s="55">
        <f t="shared" si="157"/>
        <v>-27.630434782608972</v>
      </c>
      <c r="W732" s="55">
        <f t="shared" si="158"/>
        <v>2752.5847089487402</v>
      </c>
      <c r="X732" s="55">
        <f t="shared" si="159"/>
        <v>-2.3935519208248479</v>
      </c>
      <c r="Y732" s="55">
        <f t="shared" si="160"/>
        <v>2330</v>
      </c>
      <c r="Z732" s="55">
        <f t="shared" si="161"/>
        <v>2330</v>
      </c>
      <c r="AA732" s="55">
        <f t="shared" si="162"/>
        <v>0</v>
      </c>
      <c r="AB732" s="55">
        <f t="shared" si="163"/>
        <v>422.58470894874017</v>
      </c>
      <c r="AC732" s="54">
        <f t="shared" si="164"/>
        <v>0.15352287163948267</v>
      </c>
      <c r="AD732" s="56">
        <f>INDEX(Assumptions!$B$14:$B$16,MATCH($R732,Assumptions!$A$14:$A$16,0))</f>
        <v>0.12</v>
      </c>
      <c r="AE732" s="56">
        <f>INDEX(Assumptions!$C$14:$C$16,MATCH($R732,Assumptions!$A$14:$A$16,0))</f>
        <v>0.08</v>
      </c>
      <c r="AF732" s="49">
        <f t="shared" si="165"/>
        <v>0</v>
      </c>
      <c r="AG732" s="49">
        <f t="shared" si="166"/>
        <v>0</v>
      </c>
      <c r="AH732" s="55">
        <f t="shared" si="167"/>
        <v>0</v>
      </c>
    </row>
    <row r="733" spans="1:34" x14ac:dyDescent="0.2">
      <c r="A733" s="48" t="s">
        <v>783</v>
      </c>
      <c r="B733" s="48">
        <v>1</v>
      </c>
      <c r="C733" s="48" t="s">
        <v>755</v>
      </c>
      <c r="D733" s="48" t="s">
        <v>738</v>
      </c>
      <c r="E733" s="48" t="s">
        <v>417</v>
      </c>
      <c r="F733" s="48" t="s">
        <v>280</v>
      </c>
      <c r="G733" s="48" t="s">
        <v>298</v>
      </c>
      <c r="H733" s="48" t="s">
        <v>62</v>
      </c>
      <c r="I733" s="48" t="s">
        <v>113</v>
      </c>
      <c r="J733" s="49">
        <v>17</v>
      </c>
      <c r="K733" s="50">
        <v>1740</v>
      </c>
      <c r="L733" s="50">
        <v>1662.43</v>
      </c>
      <c r="M733" s="48" t="s">
        <v>276</v>
      </c>
      <c r="N733" s="51">
        <v>1</v>
      </c>
      <c r="O733" s="51">
        <v>1</v>
      </c>
      <c r="P733" s="52">
        <v>1484.8</v>
      </c>
      <c r="Q733" s="52">
        <v>1484.8</v>
      </c>
      <c r="R733" s="53" t="str">
        <f>INDEX(SKU_Master!$D$5:$D$34,MATCH($I733,SKU_Master!$A$5:$A$34,0))</f>
        <v>Laptop</v>
      </c>
      <c r="S733" s="54">
        <f t="shared" si="154"/>
        <v>4.4580459770114933E-2</v>
      </c>
      <c r="T733" s="55">
        <f t="shared" si="155"/>
        <v>29580</v>
      </c>
      <c r="U733" s="55">
        <f t="shared" si="156"/>
        <v>28261.31</v>
      </c>
      <c r="V733" s="55">
        <f t="shared" si="157"/>
        <v>-1318.6899999999987</v>
      </c>
      <c r="W733" s="55">
        <f t="shared" si="158"/>
        <v>28261.31</v>
      </c>
      <c r="X733" s="55">
        <f t="shared" si="159"/>
        <v>0</v>
      </c>
      <c r="Y733" s="55">
        <f t="shared" si="160"/>
        <v>25241.599999999999</v>
      </c>
      <c r="Z733" s="55">
        <f t="shared" si="161"/>
        <v>25241.599999999999</v>
      </c>
      <c r="AA733" s="55">
        <f t="shared" si="162"/>
        <v>0</v>
      </c>
      <c r="AB733" s="55">
        <f t="shared" si="163"/>
        <v>3019.7100000000028</v>
      </c>
      <c r="AC733" s="54">
        <f t="shared" si="164"/>
        <v>0.10684961171297447</v>
      </c>
      <c r="AD733" s="56">
        <f>INDEX(Assumptions!$B$14:$B$16,MATCH($R733,Assumptions!$A$14:$A$16,0))</f>
        <v>0.12</v>
      </c>
      <c r="AE733" s="56">
        <f>INDEX(Assumptions!$C$14:$C$16,MATCH($R733,Assumptions!$A$14:$A$16,0))</f>
        <v>0.08</v>
      </c>
      <c r="AF733" s="49">
        <f t="shared" si="165"/>
        <v>0</v>
      </c>
      <c r="AG733" s="49">
        <f t="shared" si="166"/>
        <v>0</v>
      </c>
      <c r="AH733" s="55">
        <f t="shared" si="167"/>
        <v>371.64719999999716</v>
      </c>
    </row>
    <row r="734" spans="1:34" x14ac:dyDescent="0.2">
      <c r="A734" s="48" t="s">
        <v>783</v>
      </c>
      <c r="B734" s="48">
        <v>2</v>
      </c>
      <c r="C734" s="48" t="s">
        <v>755</v>
      </c>
      <c r="D734" s="48" t="s">
        <v>738</v>
      </c>
      <c r="E734" s="48" t="s">
        <v>417</v>
      </c>
      <c r="F734" s="48" t="s">
        <v>280</v>
      </c>
      <c r="G734" s="48" t="s">
        <v>298</v>
      </c>
      <c r="H734" s="48" t="s">
        <v>62</v>
      </c>
      <c r="I734" s="48" t="s">
        <v>177</v>
      </c>
      <c r="J734" s="49">
        <v>19</v>
      </c>
      <c r="K734" s="50">
        <v>70</v>
      </c>
      <c r="L734" s="50">
        <v>67.45</v>
      </c>
      <c r="M734" s="48" t="s">
        <v>276</v>
      </c>
      <c r="N734" s="51">
        <v>1</v>
      </c>
      <c r="O734" s="51">
        <v>1</v>
      </c>
      <c r="P734" s="52">
        <v>44</v>
      </c>
      <c r="Q734" s="52">
        <v>44</v>
      </c>
      <c r="R734" s="53" t="str">
        <f>INDEX(SKU_Master!$D$5:$D$34,MATCH($I734,SKU_Master!$A$5:$A$34,0))</f>
        <v>Accessory</v>
      </c>
      <c r="S734" s="54">
        <f t="shared" si="154"/>
        <v>3.6428571428571366E-2</v>
      </c>
      <c r="T734" s="55">
        <f t="shared" si="155"/>
        <v>1330</v>
      </c>
      <c r="U734" s="55">
        <f t="shared" si="156"/>
        <v>1281.55</v>
      </c>
      <c r="V734" s="55">
        <f t="shared" si="157"/>
        <v>-48.450000000000045</v>
      </c>
      <c r="W734" s="55">
        <f t="shared" si="158"/>
        <v>1281.55</v>
      </c>
      <c r="X734" s="55">
        <f t="shared" si="159"/>
        <v>0</v>
      </c>
      <c r="Y734" s="55">
        <f t="shared" si="160"/>
        <v>836</v>
      </c>
      <c r="Z734" s="55">
        <f t="shared" si="161"/>
        <v>836</v>
      </c>
      <c r="AA734" s="55">
        <f t="shared" si="162"/>
        <v>0</v>
      </c>
      <c r="AB734" s="55">
        <f t="shared" si="163"/>
        <v>445.54999999999995</v>
      </c>
      <c r="AC734" s="54">
        <f t="shared" si="164"/>
        <v>0.34766493699036322</v>
      </c>
      <c r="AD734" s="56">
        <f>INDEX(Assumptions!$B$14:$B$16,MATCH($R734,Assumptions!$A$14:$A$16,0))</f>
        <v>0.32</v>
      </c>
      <c r="AE734" s="56">
        <f>INDEX(Assumptions!$C$14:$C$16,MATCH($R734,Assumptions!$A$14:$A$16,0))</f>
        <v>0.22</v>
      </c>
      <c r="AF734" s="49">
        <f t="shared" si="165"/>
        <v>0</v>
      </c>
      <c r="AG734" s="49">
        <f t="shared" si="166"/>
        <v>0</v>
      </c>
      <c r="AH734" s="55">
        <f t="shared" si="167"/>
        <v>0</v>
      </c>
    </row>
    <row r="735" spans="1:34" x14ac:dyDescent="0.2">
      <c r="A735" s="48" t="s">
        <v>784</v>
      </c>
      <c r="B735" s="48">
        <v>1</v>
      </c>
      <c r="C735" s="48" t="s">
        <v>785</v>
      </c>
      <c r="D735" s="48" t="s">
        <v>738</v>
      </c>
      <c r="E735" s="48" t="s">
        <v>336</v>
      </c>
      <c r="F735" s="48" t="s">
        <v>274</v>
      </c>
      <c r="G735" s="48" t="s">
        <v>288</v>
      </c>
      <c r="H735" s="48" t="s">
        <v>62</v>
      </c>
      <c r="I735" s="48" t="s">
        <v>113</v>
      </c>
      <c r="J735" s="49">
        <v>6</v>
      </c>
      <c r="K735" s="50">
        <v>1740</v>
      </c>
      <c r="L735" s="50">
        <v>1721.87</v>
      </c>
      <c r="M735" s="48" t="s">
        <v>276</v>
      </c>
      <c r="N735" s="51">
        <v>1</v>
      </c>
      <c r="O735" s="51">
        <v>1</v>
      </c>
      <c r="P735" s="52">
        <v>1484.8</v>
      </c>
      <c r="Q735" s="52">
        <v>1484.8</v>
      </c>
      <c r="R735" s="53" t="str">
        <f>INDEX(SKU_Master!$D$5:$D$34,MATCH($I735,SKU_Master!$A$5:$A$34,0))</f>
        <v>Laptop</v>
      </c>
      <c r="S735" s="54">
        <f t="shared" si="154"/>
        <v>1.0419540229885116E-2</v>
      </c>
      <c r="T735" s="55">
        <f t="shared" si="155"/>
        <v>10440</v>
      </c>
      <c r="U735" s="55">
        <f t="shared" si="156"/>
        <v>10331.219999999999</v>
      </c>
      <c r="V735" s="55">
        <f t="shared" si="157"/>
        <v>-108.78000000000065</v>
      </c>
      <c r="W735" s="55">
        <f t="shared" si="158"/>
        <v>10331.219999999999</v>
      </c>
      <c r="X735" s="55">
        <f t="shared" si="159"/>
        <v>0</v>
      </c>
      <c r="Y735" s="55">
        <f t="shared" si="160"/>
        <v>8908.7999999999993</v>
      </c>
      <c r="Z735" s="55">
        <f t="shared" si="161"/>
        <v>8908.7999999999993</v>
      </c>
      <c r="AA735" s="55">
        <f t="shared" si="162"/>
        <v>0</v>
      </c>
      <c r="AB735" s="55">
        <f t="shared" si="163"/>
        <v>1422.42</v>
      </c>
      <c r="AC735" s="54">
        <f t="shared" si="164"/>
        <v>0.13768170651675216</v>
      </c>
      <c r="AD735" s="56">
        <f>INDEX(Assumptions!$B$14:$B$16,MATCH($R735,Assumptions!$A$14:$A$16,0))</f>
        <v>0.12</v>
      </c>
      <c r="AE735" s="56">
        <f>INDEX(Assumptions!$C$14:$C$16,MATCH($R735,Assumptions!$A$14:$A$16,0))</f>
        <v>0.08</v>
      </c>
      <c r="AF735" s="49">
        <f t="shared" si="165"/>
        <v>0</v>
      </c>
      <c r="AG735" s="49">
        <f t="shared" si="166"/>
        <v>0</v>
      </c>
      <c r="AH735" s="55">
        <f t="shared" si="167"/>
        <v>0</v>
      </c>
    </row>
    <row r="736" spans="1:34" x14ac:dyDescent="0.2">
      <c r="A736" s="48" t="s">
        <v>784</v>
      </c>
      <c r="B736" s="48">
        <v>2</v>
      </c>
      <c r="C736" s="48" t="s">
        <v>785</v>
      </c>
      <c r="D736" s="48" t="s">
        <v>738</v>
      </c>
      <c r="E736" s="48" t="s">
        <v>336</v>
      </c>
      <c r="F736" s="48" t="s">
        <v>274</v>
      </c>
      <c r="G736" s="48" t="s">
        <v>288</v>
      </c>
      <c r="H736" s="48" t="s">
        <v>62</v>
      </c>
      <c r="I736" s="48" t="s">
        <v>146</v>
      </c>
      <c r="J736" s="49">
        <v>2</v>
      </c>
      <c r="K736" s="50">
        <v>235</v>
      </c>
      <c r="L736" s="50">
        <v>233.21</v>
      </c>
      <c r="M736" s="48" t="s">
        <v>276</v>
      </c>
      <c r="N736" s="51">
        <v>1</v>
      </c>
      <c r="O736" s="51">
        <v>1</v>
      </c>
      <c r="P736" s="52">
        <v>181.8</v>
      </c>
      <c r="Q736" s="52">
        <v>181.8</v>
      </c>
      <c r="R736" s="53" t="str">
        <f>INDEX(SKU_Master!$D$5:$D$34,MATCH($I736,SKU_Master!$A$5:$A$34,0))</f>
        <v>Monitor</v>
      </c>
      <c r="S736" s="54">
        <f t="shared" si="154"/>
        <v>7.6170212765956924E-3</v>
      </c>
      <c r="T736" s="55">
        <f t="shared" si="155"/>
        <v>470</v>
      </c>
      <c r="U736" s="55">
        <f t="shared" si="156"/>
        <v>466.42</v>
      </c>
      <c r="V736" s="55">
        <f t="shared" si="157"/>
        <v>-3.5799999999999841</v>
      </c>
      <c r="W736" s="55">
        <f t="shared" si="158"/>
        <v>466.42</v>
      </c>
      <c r="X736" s="55">
        <f t="shared" si="159"/>
        <v>0</v>
      </c>
      <c r="Y736" s="55">
        <f t="shared" si="160"/>
        <v>363.6</v>
      </c>
      <c r="Z736" s="55">
        <f t="shared" si="161"/>
        <v>363.6</v>
      </c>
      <c r="AA736" s="55">
        <f t="shared" si="162"/>
        <v>0</v>
      </c>
      <c r="AB736" s="55">
        <f t="shared" si="163"/>
        <v>102.82</v>
      </c>
      <c r="AC736" s="54">
        <f t="shared" si="164"/>
        <v>0.220445092405986</v>
      </c>
      <c r="AD736" s="56">
        <f>INDEX(Assumptions!$B$14:$B$16,MATCH($R736,Assumptions!$A$14:$A$16,0))</f>
        <v>0.18</v>
      </c>
      <c r="AE736" s="56">
        <f>INDEX(Assumptions!$C$14:$C$16,MATCH($R736,Assumptions!$A$14:$A$16,0))</f>
        <v>0.12</v>
      </c>
      <c r="AF736" s="49">
        <f t="shared" si="165"/>
        <v>0</v>
      </c>
      <c r="AG736" s="49">
        <f t="shared" si="166"/>
        <v>0</v>
      </c>
      <c r="AH736" s="55">
        <f t="shared" si="167"/>
        <v>0</v>
      </c>
    </row>
    <row r="737" spans="1:34" x14ac:dyDescent="0.2">
      <c r="A737" s="48" t="s">
        <v>784</v>
      </c>
      <c r="B737" s="48">
        <v>3</v>
      </c>
      <c r="C737" s="48" t="s">
        <v>785</v>
      </c>
      <c r="D737" s="48" t="s">
        <v>738</v>
      </c>
      <c r="E737" s="48" t="s">
        <v>336</v>
      </c>
      <c r="F737" s="48" t="s">
        <v>274</v>
      </c>
      <c r="G737" s="48" t="s">
        <v>288</v>
      </c>
      <c r="H737" s="48" t="s">
        <v>62</v>
      </c>
      <c r="I737" s="48" t="s">
        <v>161</v>
      </c>
      <c r="J737" s="49">
        <v>4</v>
      </c>
      <c r="K737" s="50">
        <v>120</v>
      </c>
      <c r="L737" s="50">
        <v>119.74</v>
      </c>
      <c r="M737" s="48" t="s">
        <v>276</v>
      </c>
      <c r="N737" s="51">
        <v>1</v>
      </c>
      <c r="O737" s="51">
        <v>1</v>
      </c>
      <c r="P737" s="52">
        <v>76</v>
      </c>
      <c r="Q737" s="52">
        <v>76</v>
      </c>
      <c r="R737" s="53" t="str">
        <f>INDEX(SKU_Master!$D$5:$D$34,MATCH($I737,SKU_Master!$A$5:$A$34,0))</f>
        <v>Accessory</v>
      </c>
      <c r="S737" s="54">
        <f t="shared" si="154"/>
        <v>2.1666666666667611E-3</v>
      </c>
      <c r="T737" s="55">
        <f t="shared" si="155"/>
        <v>480</v>
      </c>
      <c r="U737" s="55">
        <f t="shared" si="156"/>
        <v>478.96</v>
      </c>
      <c r="V737" s="55">
        <f t="shared" si="157"/>
        <v>-1.0400000000000205</v>
      </c>
      <c r="W737" s="55">
        <f t="shared" si="158"/>
        <v>478.96</v>
      </c>
      <c r="X737" s="55">
        <f t="shared" si="159"/>
        <v>0</v>
      </c>
      <c r="Y737" s="55">
        <f t="shared" si="160"/>
        <v>304</v>
      </c>
      <c r="Z737" s="55">
        <f t="shared" si="161"/>
        <v>304</v>
      </c>
      <c r="AA737" s="55">
        <f t="shared" si="162"/>
        <v>0</v>
      </c>
      <c r="AB737" s="55">
        <f t="shared" si="163"/>
        <v>174.95999999999998</v>
      </c>
      <c r="AC737" s="54">
        <f t="shared" si="164"/>
        <v>0.36529146484048769</v>
      </c>
      <c r="AD737" s="56">
        <f>INDEX(Assumptions!$B$14:$B$16,MATCH($R737,Assumptions!$A$14:$A$16,0))</f>
        <v>0.32</v>
      </c>
      <c r="AE737" s="56">
        <f>INDEX(Assumptions!$C$14:$C$16,MATCH($R737,Assumptions!$A$14:$A$16,0))</f>
        <v>0.22</v>
      </c>
      <c r="AF737" s="49">
        <f t="shared" si="165"/>
        <v>0</v>
      </c>
      <c r="AG737" s="49">
        <f t="shared" si="166"/>
        <v>0</v>
      </c>
      <c r="AH737" s="55">
        <f t="shared" si="167"/>
        <v>0</v>
      </c>
    </row>
    <row r="738" spans="1:34" x14ac:dyDescent="0.2">
      <c r="A738" s="48" t="s">
        <v>786</v>
      </c>
      <c r="B738" s="48">
        <v>1</v>
      </c>
      <c r="C738" s="48" t="s">
        <v>740</v>
      </c>
      <c r="D738" s="48" t="s">
        <v>738</v>
      </c>
      <c r="E738" s="48" t="s">
        <v>374</v>
      </c>
      <c r="F738" s="48" t="s">
        <v>274</v>
      </c>
      <c r="G738" s="48" t="s">
        <v>281</v>
      </c>
      <c r="H738" s="48" t="s">
        <v>62</v>
      </c>
      <c r="I738" s="48" t="s">
        <v>93</v>
      </c>
      <c r="J738" s="49">
        <v>5</v>
      </c>
      <c r="K738" s="50">
        <v>1390</v>
      </c>
      <c r="L738" s="50">
        <v>1376.84</v>
      </c>
      <c r="M738" s="48" t="s">
        <v>276</v>
      </c>
      <c r="N738" s="51">
        <v>1</v>
      </c>
      <c r="O738" s="51">
        <v>1</v>
      </c>
      <c r="P738" s="52">
        <v>1186.2</v>
      </c>
      <c r="Q738" s="52">
        <v>1186.2</v>
      </c>
      <c r="R738" s="53" t="str">
        <f>INDEX(SKU_Master!$D$5:$D$34,MATCH($I738,SKU_Master!$A$5:$A$34,0))</f>
        <v>Laptop</v>
      </c>
      <c r="S738" s="54">
        <f t="shared" si="154"/>
        <v>9.4676258992806295E-3</v>
      </c>
      <c r="T738" s="55">
        <f t="shared" si="155"/>
        <v>6950</v>
      </c>
      <c r="U738" s="55">
        <f t="shared" si="156"/>
        <v>6884.2</v>
      </c>
      <c r="V738" s="55">
        <f t="shared" si="157"/>
        <v>-65.800000000000182</v>
      </c>
      <c r="W738" s="55">
        <f t="shared" si="158"/>
        <v>6884.2</v>
      </c>
      <c r="X738" s="55">
        <f t="shared" si="159"/>
        <v>0</v>
      </c>
      <c r="Y738" s="55">
        <f t="shared" si="160"/>
        <v>5931</v>
      </c>
      <c r="Z738" s="55">
        <f t="shared" si="161"/>
        <v>5931</v>
      </c>
      <c r="AA738" s="55">
        <f t="shared" si="162"/>
        <v>0</v>
      </c>
      <c r="AB738" s="55">
        <f t="shared" si="163"/>
        <v>953.19999999999982</v>
      </c>
      <c r="AC738" s="54">
        <f t="shared" si="164"/>
        <v>0.13846198541587981</v>
      </c>
      <c r="AD738" s="56">
        <f>INDEX(Assumptions!$B$14:$B$16,MATCH($R738,Assumptions!$A$14:$A$16,0))</f>
        <v>0.12</v>
      </c>
      <c r="AE738" s="56">
        <f>INDEX(Assumptions!$C$14:$C$16,MATCH($R738,Assumptions!$A$14:$A$16,0))</f>
        <v>0.08</v>
      </c>
      <c r="AF738" s="49">
        <f t="shared" si="165"/>
        <v>0</v>
      </c>
      <c r="AG738" s="49">
        <f t="shared" si="166"/>
        <v>0</v>
      </c>
      <c r="AH738" s="55">
        <f t="shared" si="167"/>
        <v>0</v>
      </c>
    </row>
    <row r="739" spans="1:34" x14ac:dyDescent="0.2">
      <c r="A739" s="48" t="s">
        <v>786</v>
      </c>
      <c r="B739" s="48">
        <v>2</v>
      </c>
      <c r="C739" s="48" t="s">
        <v>740</v>
      </c>
      <c r="D739" s="48" t="s">
        <v>738</v>
      </c>
      <c r="E739" s="48" t="s">
        <v>374</v>
      </c>
      <c r="F739" s="48" t="s">
        <v>274</v>
      </c>
      <c r="G739" s="48" t="s">
        <v>281</v>
      </c>
      <c r="H739" s="48" t="s">
        <v>62</v>
      </c>
      <c r="I739" s="48" t="s">
        <v>151</v>
      </c>
      <c r="J739" s="49">
        <v>4</v>
      </c>
      <c r="K739" s="50">
        <v>335</v>
      </c>
      <c r="L739" s="50">
        <v>329.67</v>
      </c>
      <c r="M739" s="48" t="s">
        <v>276</v>
      </c>
      <c r="N739" s="51">
        <v>1</v>
      </c>
      <c r="O739" s="51">
        <v>1</v>
      </c>
      <c r="P739" s="52">
        <v>216.7</v>
      </c>
      <c r="Q739" s="52">
        <v>216.7</v>
      </c>
      <c r="R739" s="53" t="str">
        <f>INDEX(SKU_Master!$D$5:$D$34,MATCH($I739,SKU_Master!$A$5:$A$34,0))</f>
        <v>Accessory</v>
      </c>
      <c r="S739" s="54">
        <f t="shared" si="154"/>
        <v>1.5910447761193991E-2</v>
      </c>
      <c r="T739" s="55">
        <f t="shared" si="155"/>
        <v>1340</v>
      </c>
      <c r="U739" s="55">
        <f t="shared" si="156"/>
        <v>1318.68</v>
      </c>
      <c r="V739" s="55">
        <f t="shared" si="157"/>
        <v>-21.319999999999936</v>
      </c>
      <c r="W739" s="55">
        <f t="shared" si="158"/>
        <v>1318.68</v>
      </c>
      <c r="X739" s="55">
        <f t="shared" si="159"/>
        <v>0</v>
      </c>
      <c r="Y739" s="55">
        <f t="shared" si="160"/>
        <v>866.8</v>
      </c>
      <c r="Z739" s="55">
        <f t="shared" si="161"/>
        <v>866.8</v>
      </c>
      <c r="AA739" s="55">
        <f t="shared" si="162"/>
        <v>0</v>
      </c>
      <c r="AB739" s="55">
        <f t="shared" si="163"/>
        <v>451.88000000000011</v>
      </c>
      <c r="AC739" s="54">
        <f t="shared" si="164"/>
        <v>0.34267600934267606</v>
      </c>
      <c r="AD739" s="56">
        <f>INDEX(Assumptions!$B$14:$B$16,MATCH($R739,Assumptions!$A$14:$A$16,0))</f>
        <v>0.32</v>
      </c>
      <c r="AE739" s="56">
        <f>INDEX(Assumptions!$C$14:$C$16,MATCH($R739,Assumptions!$A$14:$A$16,0))</f>
        <v>0.22</v>
      </c>
      <c r="AF739" s="49">
        <f t="shared" si="165"/>
        <v>0</v>
      </c>
      <c r="AG739" s="49">
        <f t="shared" si="166"/>
        <v>0</v>
      </c>
      <c r="AH739" s="55">
        <f t="shared" si="167"/>
        <v>0</v>
      </c>
    </row>
    <row r="740" spans="1:34" x14ac:dyDescent="0.2">
      <c r="A740" s="48" t="s">
        <v>787</v>
      </c>
      <c r="B740" s="48">
        <v>1</v>
      </c>
      <c r="C740" s="48" t="s">
        <v>788</v>
      </c>
      <c r="D740" s="48" t="s">
        <v>738</v>
      </c>
      <c r="E740" s="48" t="s">
        <v>588</v>
      </c>
      <c r="F740" s="48" t="s">
        <v>274</v>
      </c>
      <c r="G740" s="48" t="s">
        <v>281</v>
      </c>
      <c r="H740" s="48" t="s">
        <v>62</v>
      </c>
      <c r="I740" s="48" t="s">
        <v>101</v>
      </c>
      <c r="J740" s="49">
        <v>3</v>
      </c>
      <c r="K740" s="50">
        <v>3440</v>
      </c>
      <c r="L740" s="50">
        <v>3378.85</v>
      </c>
      <c r="M740" s="48" t="s">
        <v>276</v>
      </c>
      <c r="N740" s="51">
        <v>1</v>
      </c>
      <c r="O740" s="51">
        <v>1</v>
      </c>
      <c r="P740" s="52">
        <v>2938.5</v>
      </c>
      <c r="Q740" s="52">
        <v>2938.5</v>
      </c>
      <c r="R740" s="53" t="str">
        <f>INDEX(SKU_Master!$D$5:$D$34,MATCH($I740,SKU_Master!$A$5:$A$34,0))</f>
        <v>Laptop</v>
      </c>
      <c r="S740" s="54">
        <f t="shared" si="154"/>
        <v>1.7776162790697714E-2</v>
      </c>
      <c r="T740" s="55">
        <f t="shared" si="155"/>
        <v>10320</v>
      </c>
      <c r="U740" s="55">
        <f t="shared" si="156"/>
        <v>10136.549999999999</v>
      </c>
      <c r="V740" s="55">
        <f t="shared" si="157"/>
        <v>-183.45000000000073</v>
      </c>
      <c r="W740" s="55">
        <f t="shared" si="158"/>
        <v>10136.549999999999</v>
      </c>
      <c r="X740" s="55">
        <f t="shared" si="159"/>
        <v>0</v>
      </c>
      <c r="Y740" s="55">
        <f t="shared" si="160"/>
        <v>8815.5</v>
      </c>
      <c r="Z740" s="55">
        <f t="shared" si="161"/>
        <v>8815.5</v>
      </c>
      <c r="AA740" s="55">
        <f t="shared" si="162"/>
        <v>0</v>
      </c>
      <c r="AB740" s="55">
        <f t="shared" si="163"/>
        <v>1321.0499999999993</v>
      </c>
      <c r="AC740" s="54">
        <f t="shared" si="164"/>
        <v>0.13032540657324232</v>
      </c>
      <c r="AD740" s="56">
        <f>INDEX(Assumptions!$B$14:$B$16,MATCH($R740,Assumptions!$A$14:$A$16,0))</f>
        <v>0.12</v>
      </c>
      <c r="AE740" s="56">
        <f>INDEX(Assumptions!$C$14:$C$16,MATCH($R740,Assumptions!$A$14:$A$16,0))</f>
        <v>0.08</v>
      </c>
      <c r="AF740" s="49">
        <f t="shared" si="165"/>
        <v>0</v>
      </c>
      <c r="AG740" s="49">
        <f t="shared" si="166"/>
        <v>0</v>
      </c>
      <c r="AH740" s="55">
        <f t="shared" si="167"/>
        <v>0</v>
      </c>
    </row>
    <row r="741" spans="1:34" x14ac:dyDescent="0.2">
      <c r="A741" s="48" t="s">
        <v>787</v>
      </c>
      <c r="B741" s="48">
        <v>2</v>
      </c>
      <c r="C741" s="48" t="s">
        <v>788</v>
      </c>
      <c r="D741" s="48" t="s">
        <v>738</v>
      </c>
      <c r="E741" s="48" t="s">
        <v>588</v>
      </c>
      <c r="F741" s="48" t="s">
        <v>274</v>
      </c>
      <c r="G741" s="48" t="s">
        <v>281</v>
      </c>
      <c r="H741" s="48" t="s">
        <v>62</v>
      </c>
      <c r="I741" s="48" t="s">
        <v>161</v>
      </c>
      <c r="J741" s="49">
        <v>3</v>
      </c>
      <c r="K741" s="50">
        <v>120</v>
      </c>
      <c r="L741" s="50">
        <v>119.46</v>
      </c>
      <c r="M741" s="48" t="s">
        <v>276</v>
      </c>
      <c r="N741" s="51">
        <v>1</v>
      </c>
      <c r="O741" s="51">
        <v>1</v>
      </c>
      <c r="P741" s="52">
        <v>76</v>
      </c>
      <c r="Q741" s="52">
        <v>76</v>
      </c>
      <c r="R741" s="53" t="str">
        <f>INDEX(SKU_Master!$D$5:$D$34,MATCH($I741,SKU_Master!$A$5:$A$34,0))</f>
        <v>Accessory</v>
      </c>
      <c r="S741" s="54">
        <f t="shared" si="154"/>
        <v>4.5000000000000595E-3</v>
      </c>
      <c r="T741" s="55">
        <f t="shared" si="155"/>
        <v>360</v>
      </c>
      <c r="U741" s="55">
        <f t="shared" si="156"/>
        <v>358.38</v>
      </c>
      <c r="V741" s="55">
        <f t="shared" si="157"/>
        <v>-1.6200000000000045</v>
      </c>
      <c r="W741" s="55">
        <f t="shared" si="158"/>
        <v>358.38</v>
      </c>
      <c r="X741" s="55">
        <f t="shared" si="159"/>
        <v>0</v>
      </c>
      <c r="Y741" s="55">
        <f t="shared" si="160"/>
        <v>228</v>
      </c>
      <c r="Z741" s="55">
        <f t="shared" si="161"/>
        <v>228</v>
      </c>
      <c r="AA741" s="55">
        <f t="shared" si="162"/>
        <v>0</v>
      </c>
      <c r="AB741" s="55">
        <f t="shared" si="163"/>
        <v>130.38</v>
      </c>
      <c r="AC741" s="54">
        <f t="shared" si="164"/>
        <v>0.36380378369328642</v>
      </c>
      <c r="AD741" s="56">
        <f>INDEX(Assumptions!$B$14:$B$16,MATCH($R741,Assumptions!$A$14:$A$16,0))</f>
        <v>0.32</v>
      </c>
      <c r="AE741" s="56">
        <f>INDEX(Assumptions!$C$14:$C$16,MATCH($R741,Assumptions!$A$14:$A$16,0))</f>
        <v>0.22</v>
      </c>
      <c r="AF741" s="49">
        <f t="shared" si="165"/>
        <v>0</v>
      </c>
      <c r="AG741" s="49">
        <f t="shared" si="166"/>
        <v>0</v>
      </c>
      <c r="AH741" s="55">
        <f t="shared" si="167"/>
        <v>0</v>
      </c>
    </row>
    <row r="742" spans="1:34" x14ac:dyDescent="0.2">
      <c r="A742" s="48" t="s">
        <v>789</v>
      </c>
      <c r="B742" s="48">
        <v>1</v>
      </c>
      <c r="C742" s="48" t="s">
        <v>773</v>
      </c>
      <c r="D742" s="48" t="s">
        <v>738</v>
      </c>
      <c r="E742" s="48" t="s">
        <v>309</v>
      </c>
      <c r="F742" s="48" t="s">
        <v>280</v>
      </c>
      <c r="G742" s="48" t="s">
        <v>298</v>
      </c>
      <c r="H742" s="48" t="s">
        <v>70</v>
      </c>
      <c r="I742" s="48" t="s">
        <v>93</v>
      </c>
      <c r="J742" s="49">
        <v>29</v>
      </c>
      <c r="K742" s="50">
        <v>134750</v>
      </c>
      <c r="L742" s="50">
        <v>129384.42</v>
      </c>
      <c r="M742" s="48" t="s">
        <v>276</v>
      </c>
      <c r="N742" s="51">
        <v>83.5</v>
      </c>
      <c r="O742" s="51">
        <v>84.144000000000005</v>
      </c>
      <c r="P742" s="52">
        <v>1351.7</v>
      </c>
      <c r="Q742" s="52">
        <v>1371.7</v>
      </c>
      <c r="R742" s="53" t="str">
        <f>INDEX(SKU_Master!$D$5:$D$34,MATCH($I742,SKU_Master!$A$5:$A$34,0))</f>
        <v>Laptop</v>
      </c>
      <c r="S742" s="54">
        <f t="shared" si="154"/>
        <v>3.9818775510204074E-2</v>
      </c>
      <c r="T742" s="55">
        <f t="shared" si="155"/>
        <v>46799.401197604791</v>
      </c>
      <c r="U742" s="55">
        <f t="shared" si="156"/>
        <v>44935.90634730539</v>
      </c>
      <c r="V742" s="55">
        <f t="shared" si="157"/>
        <v>-1863.4948502994012</v>
      </c>
      <c r="W742" s="55">
        <f t="shared" si="158"/>
        <v>44591.987307472904</v>
      </c>
      <c r="X742" s="55">
        <f t="shared" si="159"/>
        <v>-343.91903983248631</v>
      </c>
      <c r="Y742" s="55">
        <f t="shared" si="160"/>
        <v>39199.300000000003</v>
      </c>
      <c r="Z742" s="55">
        <f t="shared" si="161"/>
        <v>39779.300000000003</v>
      </c>
      <c r="AA742" s="55">
        <f t="shared" si="162"/>
        <v>-580</v>
      </c>
      <c r="AB742" s="55">
        <f t="shared" si="163"/>
        <v>4812.687307472901</v>
      </c>
      <c r="AC742" s="54">
        <f t="shared" si="164"/>
        <v>0.10792717701250268</v>
      </c>
      <c r="AD742" s="56">
        <f>INDEX(Assumptions!$B$14:$B$16,MATCH($R742,Assumptions!$A$14:$A$16,0))</f>
        <v>0.12</v>
      </c>
      <c r="AE742" s="56">
        <f>INDEX(Assumptions!$C$14:$C$16,MATCH($R742,Assumptions!$A$14:$A$16,0))</f>
        <v>0.08</v>
      </c>
      <c r="AF742" s="49">
        <f t="shared" si="165"/>
        <v>0</v>
      </c>
      <c r="AG742" s="49">
        <f t="shared" si="166"/>
        <v>0</v>
      </c>
      <c r="AH742" s="55">
        <f t="shared" si="167"/>
        <v>538.35116942384684</v>
      </c>
    </row>
    <row r="743" spans="1:34" x14ac:dyDescent="0.2">
      <c r="A743" s="48" t="s">
        <v>789</v>
      </c>
      <c r="B743" s="48">
        <v>2</v>
      </c>
      <c r="C743" s="48" t="s">
        <v>773</v>
      </c>
      <c r="D743" s="48" t="s">
        <v>738</v>
      </c>
      <c r="E743" s="48" t="s">
        <v>309</v>
      </c>
      <c r="F743" s="48" t="s">
        <v>280</v>
      </c>
      <c r="G743" s="48" t="s">
        <v>298</v>
      </c>
      <c r="H743" s="48" t="s">
        <v>70</v>
      </c>
      <c r="I743" s="48" t="s">
        <v>146</v>
      </c>
      <c r="J743" s="49">
        <v>24</v>
      </c>
      <c r="K743" s="50">
        <v>26365</v>
      </c>
      <c r="L743" s="50">
        <v>25783.88</v>
      </c>
      <c r="M743" s="48" t="s">
        <v>276</v>
      </c>
      <c r="N743" s="51">
        <v>83.5</v>
      </c>
      <c r="O743" s="51">
        <v>84.144000000000005</v>
      </c>
      <c r="P743" s="52">
        <v>244.05</v>
      </c>
      <c r="Q743" s="52">
        <v>264.05</v>
      </c>
      <c r="R743" s="53" t="str">
        <f>INDEX(SKU_Master!$D$5:$D$34,MATCH($I743,SKU_Master!$A$5:$A$34,0))</f>
        <v>Monitor</v>
      </c>
      <c r="S743" s="54">
        <f t="shared" si="154"/>
        <v>2.2041342689171239E-2</v>
      </c>
      <c r="T743" s="55">
        <f t="shared" si="155"/>
        <v>7577.9640718562878</v>
      </c>
      <c r="U743" s="55">
        <f t="shared" si="156"/>
        <v>7410.9355688622754</v>
      </c>
      <c r="V743" s="55">
        <f t="shared" si="157"/>
        <v>-167.02850299401234</v>
      </c>
      <c r="W743" s="55">
        <f t="shared" si="158"/>
        <v>7354.2156303479742</v>
      </c>
      <c r="X743" s="55">
        <f t="shared" si="159"/>
        <v>-56.719938514301248</v>
      </c>
      <c r="Y743" s="55">
        <f t="shared" si="160"/>
        <v>5857.2000000000007</v>
      </c>
      <c r="Z743" s="55">
        <f t="shared" si="161"/>
        <v>6337.2000000000007</v>
      </c>
      <c r="AA743" s="55">
        <f t="shared" si="162"/>
        <v>-480</v>
      </c>
      <c r="AB743" s="55">
        <f t="shared" si="163"/>
        <v>1017.0156303479735</v>
      </c>
      <c r="AC743" s="54">
        <f t="shared" si="164"/>
        <v>0.13829015648536974</v>
      </c>
      <c r="AD743" s="56">
        <f>INDEX(Assumptions!$B$14:$B$16,MATCH($R743,Assumptions!$A$14:$A$16,0))</f>
        <v>0.18</v>
      </c>
      <c r="AE743" s="56">
        <f>INDEX(Assumptions!$C$14:$C$16,MATCH($R743,Assumptions!$A$14:$A$16,0))</f>
        <v>0.12</v>
      </c>
      <c r="AF743" s="49">
        <f t="shared" si="165"/>
        <v>0</v>
      </c>
      <c r="AG743" s="49">
        <f t="shared" si="166"/>
        <v>0</v>
      </c>
      <c r="AH743" s="55">
        <f t="shared" si="167"/>
        <v>306.74318311466186</v>
      </c>
    </row>
    <row r="744" spans="1:34" x14ac:dyDescent="0.2">
      <c r="A744" s="48" t="s">
        <v>789</v>
      </c>
      <c r="B744" s="48">
        <v>3</v>
      </c>
      <c r="C744" s="48" t="s">
        <v>773</v>
      </c>
      <c r="D744" s="48" t="s">
        <v>738</v>
      </c>
      <c r="E744" s="48" t="s">
        <v>309</v>
      </c>
      <c r="F744" s="48" t="s">
        <v>280</v>
      </c>
      <c r="G744" s="48" t="s">
        <v>298</v>
      </c>
      <c r="H744" s="48" t="s">
        <v>70</v>
      </c>
      <c r="I744" s="48" t="s">
        <v>161</v>
      </c>
      <c r="J744" s="49">
        <v>18</v>
      </c>
      <c r="K744" s="50">
        <v>12195</v>
      </c>
      <c r="L744" s="50">
        <v>11731.97</v>
      </c>
      <c r="M744" s="48" t="s">
        <v>276</v>
      </c>
      <c r="N744" s="51">
        <v>83.5</v>
      </c>
      <c r="O744" s="51">
        <v>84.144000000000005</v>
      </c>
      <c r="P744" s="52">
        <v>92.7</v>
      </c>
      <c r="Q744" s="52">
        <v>97.7</v>
      </c>
      <c r="R744" s="53" t="str">
        <f>INDEX(SKU_Master!$D$5:$D$34,MATCH($I744,SKU_Master!$A$5:$A$34,0))</f>
        <v>Accessory</v>
      </c>
      <c r="S744" s="54">
        <f t="shared" si="154"/>
        <v>3.7968839688396927E-2</v>
      </c>
      <c r="T744" s="55">
        <f t="shared" si="155"/>
        <v>2628.8622754491016</v>
      </c>
      <c r="U744" s="55">
        <f t="shared" si="156"/>
        <v>2529.0474251497003</v>
      </c>
      <c r="V744" s="55">
        <f t="shared" si="157"/>
        <v>-99.814850299401314</v>
      </c>
      <c r="W744" s="55">
        <f t="shared" si="158"/>
        <v>2509.6912435824297</v>
      </c>
      <c r="X744" s="55">
        <f t="shared" si="159"/>
        <v>-19.356181567270596</v>
      </c>
      <c r="Y744" s="55">
        <f t="shared" si="160"/>
        <v>1668.6000000000001</v>
      </c>
      <c r="Z744" s="55">
        <f t="shared" si="161"/>
        <v>1758.6000000000001</v>
      </c>
      <c r="AA744" s="55">
        <f t="shared" si="162"/>
        <v>-90</v>
      </c>
      <c r="AB744" s="55">
        <f t="shared" si="163"/>
        <v>751.09124358242957</v>
      </c>
      <c r="AC744" s="54">
        <f t="shared" si="164"/>
        <v>0.29927635341720088</v>
      </c>
      <c r="AD744" s="56">
        <f>INDEX(Assumptions!$B$14:$B$16,MATCH($R744,Assumptions!$A$14:$A$16,0))</f>
        <v>0.32</v>
      </c>
      <c r="AE744" s="56">
        <f>INDEX(Assumptions!$C$14:$C$16,MATCH($R744,Assumptions!$A$14:$A$16,0))</f>
        <v>0.22</v>
      </c>
      <c r="AF744" s="49">
        <f t="shared" si="165"/>
        <v>0</v>
      </c>
      <c r="AG744" s="49">
        <f t="shared" si="166"/>
        <v>0</v>
      </c>
      <c r="AH744" s="55">
        <f t="shared" si="167"/>
        <v>52.009954363947941</v>
      </c>
    </row>
    <row r="745" spans="1:34" x14ac:dyDescent="0.2">
      <c r="A745" s="48" t="s">
        <v>790</v>
      </c>
      <c r="B745" s="48">
        <v>1</v>
      </c>
      <c r="C745" s="48" t="s">
        <v>751</v>
      </c>
      <c r="D745" s="48" t="s">
        <v>738</v>
      </c>
      <c r="E745" s="48" t="s">
        <v>427</v>
      </c>
      <c r="F745" s="48" t="s">
        <v>297</v>
      </c>
      <c r="G745" s="48" t="s">
        <v>302</v>
      </c>
      <c r="H745" s="48" t="s">
        <v>66</v>
      </c>
      <c r="I745" s="48" t="s">
        <v>108</v>
      </c>
      <c r="J745" s="49">
        <v>47</v>
      </c>
      <c r="K745" s="50">
        <v>1280</v>
      </c>
      <c r="L745" s="50">
        <v>1171.31</v>
      </c>
      <c r="M745" s="48" t="s">
        <v>312</v>
      </c>
      <c r="N745" s="51">
        <v>0.92</v>
      </c>
      <c r="O745" s="51">
        <v>0.92079999999999995</v>
      </c>
      <c r="P745" s="52">
        <v>1165</v>
      </c>
      <c r="Q745" s="52">
        <v>1165</v>
      </c>
      <c r="R745" s="53" t="str">
        <f>INDEX(SKU_Master!$D$5:$D$34,MATCH($I745,SKU_Master!$A$5:$A$34,0))</f>
        <v>Laptop</v>
      </c>
      <c r="S745" s="54">
        <f t="shared" si="154"/>
        <v>8.4914062499999998E-2</v>
      </c>
      <c r="T745" s="55">
        <f t="shared" si="155"/>
        <v>65391.304347826081</v>
      </c>
      <c r="U745" s="55">
        <f t="shared" si="156"/>
        <v>59838.663043478256</v>
      </c>
      <c r="V745" s="55">
        <f t="shared" si="157"/>
        <v>-5552.6413043478242</v>
      </c>
      <c r="W745" s="55">
        <f t="shared" si="158"/>
        <v>59786.674630755864</v>
      </c>
      <c r="X745" s="55">
        <f t="shared" si="159"/>
        <v>-51.988412722392241</v>
      </c>
      <c r="Y745" s="55">
        <f t="shared" si="160"/>
        <v>54755</v>
      </c>
      <c r="Z745" s="55">
        <f t="shared" si="161"/>
        <v>54755</v>
      </c>
      <c r="AA745" s="55">
        <f t="shared" si="162"/>
        <v>0</v>
      </c>
      <c r="AB745" s="55">
        <f t="shared" si="163"/>
        <v>5031.6746307558642</v>
      </c>
      <c r="AC745" s="54">
        <f t="shared" si="164"/>
        <v>8.416046990122171E-2</v>
      </c>
      <c r="AD745" s="56">
        <f>INDEX(Assumptions!$B$14:$B$16,MATCH($R745,Assumptions!$A$14:$A$16,0))</f>
        <v>0.12</v>
      </c>
      <c r="AE745" s="56">
        <f>INDEX(Assumptions!$C$14:$C$16,MATCH($R745,Assumptions!$A$14:$A$16,0))</f>
        <v>0.08</v>
      </c>
      <c r="AF745" s="49">
        <f t="shared" si="165"/>
        <v>0</v>
      </c>
      <c r="AG745" s="49">
        <f t="shared" si="166"/>
        <v>0</v>
      </c>
      <c r="AH745" s="55">
        <f t="shared" si="167"/>
        <v>2142.7263249348389</v>
      </c>
    </row>
    <row r="746" spans="1:34" x14ac:dyDescent="0.2">
      <c r="A746" s="48" t="s">
        <v>790</v>
      </c>
      <c r="B746" s="48">
        <v>2</v>
      </c>
      <c r="C746" s="48" t="s">
        <v>751</v>
      </c>
      <c r="D746" s="48" t="s">
        <v>738</v>
      </c>
      <c r="E746" s="48" t="s">
        <v>427</v>
      </c>
      <c r="F746" s="48" t="s">
        <v>297</v>
      </c>
      <c r="G746" s="48" t="s">
        <v>302</v>
      </c>
      <c r="H746" s="48" t="s">
        <v>66</v>
      </c>
      <c r="I746" s="48" t="s">
        <v>177</v>
      </c>
      <c r="J746" s="49">
        <v>49</v>
      </c>
      <c r="K746" s="50">
        <v>75</v>
      </c>
      <c r="L746" s="50">
        <v>68.5</v>
      </c>
      <c r="M746" s="48" t="s">
        <v>276</v>
      </c>
      <c r="N746" s="51">
        <v>0.92</v>
      </c>
      <c r="O746" s="51">
        <v>0.92079999999999995</v>
      </c>
      <c r="P746" s="52">
        <v>49</v>
      </c>
      <c r="Q746" s="52">
        <v>49</v>
      </c>
      <c r="R746" s="53" t="str">
        <f>INDEX(SKU_Master!$D$5:$D$34,MATCH($I746,SKU_Master!$A$5:$A$34,0))</f>
        <v>Accessory</v>
      </c>
      <c r="S746" s="54">
        <f t="shared" si="154"/>
        <v>8.666666666666667E-2</v>
      </c>
      <c r="T746" s="55">
        <f t="shared" si="155"/>
        <v>3994.565217391304</v>
      </c>
      <c r="U746" s="55">
        <f t="shared" si="156"/>
        <v>3648.369565217391</v>
      </c>
      <c r="V746" s="55">
        <f t="shared" si="157"/>
        <v>-346.195652173913</v>
      </c>
      <c r="W746" s="55">
        <f t="shared" si="158"/>
        <v>3645.1998262380539</v>
      </c>
      <c r="X746" s="55">
        <f t="shared" si="159"/>
        <v>-3.1697389793371258</v>
      </c>
      <c r="Y746" s="55">
        <f t="shared" si="160"/>
        <v>2401</v>
      </c>
      <c r="Z746" s="55">
        <f t="shared" si="161"/>
        <v>2401</v>
      </c>
      <c r="AA746" s="55">
        <f t="shared" si="162"/>
        <v>0</v>
      </c>
      <c r="AB746" s="55">
        <f t="shared" si="163"/>
        <v>1244.1998262380539</v>
      </c>
      <c r="AC746" s="54">
        <f t="shared" si="164"/>
        <v>0.34132554744525551</v>
      </c>
      <c r="AD746" s="56">
        <f>INDEX(Assumptions!$B$14:$B$16,MATCH($R746,Assumptions!$A$14:$A$16,0))</f>
        <v>0.32</v>
      </c>
      <c r="AE746" s="56">
        <f>INDEX(Assumptions!$C$14:$C$16,MATCH($R746,Assumptions!$A$14:$A$16,0))</f>
        <v>0.22</v>
      </c>
      <c r="AF746" s="49">
        <f t="shared" si="165"/>
        <v>0</v>
      </c>
      <c r="AG746" s="49">
        <f t="shared" si="166"/>
        <v>0</v>
      </c>
      <c r="AH746" s="55">
        <f t="shared" si="167"/>
        <v>0</v>
      </c>
    </row>
    <row r="747" spans="1:34" x14ac:dyDescent="0.2">
      <c r="A747" s="48" t="s">
        <v>791</v>
      </c>
      <c r="B747" s="48">
        <v>1</v>
      </c>
      <c r="C747" s="48" t="s">
        <v>737</v>
      </c>
      <c r="D747" s="48" t="s">
        <v>738</v>
      </c>
      <c r="E747" s="48" t="s">
        <v>558</v>
      </c>
      <c r="F747" s="48" t="s">
        <v>280</v>
      </c>
      <c r="G747" s="48" t="s">
        <v>288</v>
      </c>
      <c r="H747" s="48" t="s">
        <v>62</v>
      </c>
      <c r="I747" s="48" t="s">
        <v>106</v>
      </c>
      <c r="J747" s="49">
        <v>10</v>
      </c>
      <c r="K747" s="50">
        <v>1520</v>
      </c>
      <c r="L747" s="50">
        <v>1487.65</v>
      </c>
      <c r="M747" s="48" t="s">
        <v>276</v>
      </c>
      <c r="N747" s="51">
        <v>1</v>
      </c>
      <c r="O747" s="51">
        <v>1</v>
      </c>
      <c r="P747" s="52">
        <v>1298.4000000000001</v>
      </c>
      <c r="Q747" s="52">
        <v>1298.4000000000001</v>
      </c>
      <c r="R747" s="53" t="str">
        <f>INDEX(SKU_Master!$D$5:$D$34,MATCH($I747,SKU_Master!$A$5:$A$34,0))</f>
        <v>Laptop</v>
      </c>
      <c r="S747" s="54">
        <f t="shared" si="154"/>
        <v>2.1282894736842084E-2</v>
      </c>
      <c r="T747" s="55">
        <f t="shared" si="155"/>
        <v>15200</v>
      </c>
      <c r="U747" s="55">
        <f t="shared" si="156"/>
        <v>14876.5</v>
      </c>
      <c r="V747" s="55">
        <f t="shared" si="157"/>
        <v>-323.5</v>
      </c>
      <c r="W747" s="55">
        <f t="shared" si="158"/>
        <v>14876.5</v>
      </c>
      <c r="X747" s="55">
        <f t="shared" si="159"/>
        <v>0</v>
      </c>
      <c r="Y747" s="55">
        <f t="shared" si="160"/>
        <v>12984</v>
      </c>
      <c r="Z747" s="55">
        <f t="shared" si="161"/>
        <v>12984</v>
      </c>
      <c r="AA747" s="55">
        <f t="shared" si="162"/>
        <v>0</v>
      </c>
      <c r="AB747" s="55">
        <f t="shared" si="163"/>
        <v>1892.5</v>
      </c>
      <c r="AC747" s="54">
        <f t="shared" si="164"/>
        <v>0.12721406244748429</v>
      </c>
      <c r="AD747" s="56">
        <f>INDEX(Assumptions!$B$14:$B$16,MATCH($R747,Assumptions!$A$14:$A$16,0))</f>
        <v>0.12</v>
      </c>
      <c r="AE747" s="56">
        <f>INDEX(Assumptions!$C$14:$C$16,MATCH($R747,Assumptions!$A$14:$A$16,0))</f>
        <v>0.08</v>
      </c>
      <c r="AF747" s="49">
        <f t="shared" si="165"/>
        <v>0</v>
      </c>
      <c r="AG747" s="49">
        <f t="shared" si="166"/>
        <v>0</v>
      </c>
      <c r="AH747" s="55">
        <f t="shared" si="167"/>
        <v>0</v>
      </c>
    </row>
    <row r="748" spans="1:34" x14ac:dyDescent="0.2">
      <c r="A748" s="48" t="s">
        <v>791</v>
      </c>
      <c r="B748" s="48">
        <v>2</v>
      </c>
      <c r="C748" s="48" t="s">
        <v>737</v>
      </c>
      <c r="D748" s="48" t="s">
        <v>738</v>
      </c>
      <c r="E748" s="48" t="s">
        <v>558</v>
      </c>
      <c r="F748" s="48" t="s">
        <v>280</v>
      </c>
      <c r="G748" s="48" t="s">
        <v>288</v>
      </c>
      <c r="H748" s="48" t="s">
        <v>62</v>
      </c>
      <c r="I748" s="48" t="s">
        <v>161</v>
      </c>
      <c r="J748" s="49">
        <v>10</v>
      </c>
      <c r="K748" s="50">
        <v>120</v>
      </c>
      <c r="L748" s="50">
        <v>117.72</v>
      </c>
      <c r="M748" s="48" t="s">
        <v>276</v>
      </c>
      <c r="N748" s="51">
        <v>1</v>
      </c>
      <c r="O748" s="51">
        <v>1</v>
      </c>
      <c r="P748" s="52">
        <v>76</v>
      </c>
      <c r="Q748" s="52">
        <v>76</v>
      </c>
      <c r="R748" s="53" t="str">
        <f>INDEX(SKU_Master!$D$5:$D$34,MATCH($I748,SKU_Master!$A$5:$A$34,0))</f>
        <v>Accessory</v>
      </c>
      <c r="S748" s="54">
        <f t="shared" si="154"/>
        <v>1.9000000000000017E-2</v>
      </c>
      <c r="T748" s="55">
        <f t="shared" si="155"/>
        <v>1200</v>
      </c>
      <c r="U748" s="55">
        <f t="shared" si="156"/>
        <v>1177.2</v>
      </c>
      <c r="V748" s="55">
        <f t="shared" si="157"/>
        <v>-22.799999999999955</v>
      </c>
      <c r="W748" s="55">
        <f t="shared" si="158"/>
        <v>1177.2</v>
      </c>
      <c r="X748" s="55">
        <f t="shared" si="159"/>
        <v>0</v>
      </c>
      <c r="Y748" s="55">
        <f t="shared" si="160"/>
        <v>760</v>
      </c>
      <c r="Z748" s="55">
        <f t="shared" si="161"/>
        <v>760</v>
      </c>
      <c r="AA748" s="55">
        <f t="shared" si="162"/>
        <v>0</v>
      </c>
      <c r="AB748" s="55">
        <f t="shared" si="163"/>
        <v>417.20000000000005</v>
      </c>
      <c r="AC748" s="54">
        <f t="shared" si="164"/>
        <v>0.3544002718314645</v>
      </c>
      <c r="AD748" s="56">
        <f>INDEX(Assumptions!$B$14:$B$16,MATCH($R748,Assumptions!$A$14:$A$16,0))</f>
        <v>0.32</v>
      </c>
      <c r="AE748" s="56">
        <f>INDEX(Assumptions!$C$14:$C$16,MATCH($R748,Assumptions!$A$14:$A$16,0))</f>
        <v>0.22</v>
      </c>
      <c r="AF748" s="49">
        <f t="shared" si="165"/>
        <v>0</v>
      </c>
      <c r="AG748" s="49">
        <f t="shared" si="166"/>
        <v>0</v>
      </c>
      <c r="AH748" s="55">
        <f t="shared" si="167"/>
        <v>0</v>
      </c>
    </row>
    <row r="749" spans="1:34" x14ac:dyDescent="0.2">
      <c r="A749" s="48" t="s">
        <v>792</v>
      </c>
      <c r="B749" s="48">
        <v>1</v>
      </c>
      <c r="C749" s="48" t="s">
        <v>793</v>
      </c>
      <c r="D749" s="48" t="s">
        <v>738</v>
      </c>
      <c r="E749" s="48" t="s">
        <v>284</v>
      </c>
      <c r="F749" s="48" t="s">
        <v>274</v>
      </c>
      <c r="G749" s="48" t="s">
        <v>275</v>
      </c>
      <c r="H749" s="48" t="s">
        <v>64</v>
      </c>
      <c r="I749" s="48" t="s">
        <v>115</v>
      </c>
      <c r="J749" s="49">
        <v>7</v>
      </c>
      <c r="K749" s="50">
        <v>710</v>
      </c>
      <c r="L749" s="50">
        <v>704.3</v>
      </c>
      <c r="M749" s="48" t="s">
        <v>276</v>
      </c>
      <c r="N749" s="51">
        <v>0.79</v>
      </c>
      <c r="O749" s="51">
        <v>0.78910000000000002</v>
      </c>
      <c r="P749" s="52">
        <v>747.6</v>
      </c>
      <c r="Q749" s="52">
        <v>747.6</v>
      </c>
      <c r="R749" s="53" t="str">
        <f>INDEX(SKU_Master!$D$5:$D$34,MATCH($I749,SKU_Master!$A$5:$A$34,0))</f>
        <v>Laptop</v>
      </c>
      <c r="S749" s="54">
        <f t="shared" si="154"/>
        <v>8.0281690140845408E-3</v>
      </c>
      <c r="T749" s="55">
        <f t="shared" si="155"/>
        <v>6291.1392405063289</v>
      </c>
      <c r="U749" s="55">
        <f t="shared" si="156"/>
        <v>6240.6329113924039</v>
      </c>
      <c r="V749" s="55">
        <f t="shared" si="157"/>
        <v>-50.506329113924949</v>
      </c>
      <c r="W749" s="55">
        <f t="shared" si="158"/>
        <v>6247.7506019515895</v>
      </c>
      <c r="X749" s="55">
        <f t="shared" si="159"/>
        <v>7.1176905591855757</v>
      </c>
      <c r="Y749" s="55">
        <f t="shared" si="160"/>
        <v>5233.2</v>
      </c>
      <c r="Z749" s="55">
        <f t="shared" si="161"/>
        <v>5233.2</v>
      </c>
      <c r="AA749" s="55">
        <f t="shared" si="162"/>
        <v>0</v>
      </c>
      <c r="AB749" s="55">
        <f t="shared" si="163"/>
        <v>1014.5506019515897</v>
      </c>
      <c r="AC749" s="54">
        <f t="shared" si="164"/>
        <v>0.16238653982677825</v>
      </c>
      <c r="AD749" s="56">
        <f>INDEX(Assumptions!$B$14:$B$16,MATCH($R749,Assumptions!$A$14:$A$16,0))</f>
        <v>0.12</v>
      </c>
      <c r="AE749" s="56">
        <f>INDEX(Assumptions!$C$14:$C$16,MATCH($R749,Assumptions!$A$14:$A$16,0))</f>
        <v>0.08</v>
      </c>
      <c r="AF749" s="49">
        <f t="shared" si="165"/>
        <v>0</v>
      </c>
      <c r="AG749" s="49">
        <f t="shared" si="166"/>
        <v>0</v>
      </c>
      <c r="AH749" s="55">
        <f t="shared" si="167"/>
        <v>0</v>
      </c>
    </row>
    <row r="750" spans="1:34" x14ac:dyDescent="0.2">
      <c r="A750" s="48" t="s">
        <v>792</v>
      </c>
      <c r="B750" s="48">
        <v>2</v>
      </c>
      <c r="C750" s="48" t="s">
        <v>793</v>
      </c>
      <c r="D750" s="48" t="s">
        <v>738</v>
      </c>
      <c r="E750" s="48" t="s">
        <v>284</v>
      </c>
      <c r="F750" s="48" t="s">
        <v>274</v>
      </c>
      <c r="G750" s="48" t="s">
        <v>275</v>
      </c>
      <c r="H750" s="48" t="s">
        <v>64</v>
      </c>
      <c r="I750" s="48" t="s">
        <v>144</v>
      </c>
      <c r="J750" s="49">
        <v>7</v>
      </c>
      <c r="K750" s="50">
        <v>330</v>
      </c>
      <c r="L750" s="50">
        <v>324.72000000000003</v>
      </c>
      <c r="M750" s="48" t="s">
        <v>276</v>
      </c>
      <c r="N750" s="51">
        <v>0.79</v>
      </c>
      <c r="O750" s="51">
        <v>0.78910000000000002</v>
      </c>
      <c r="P750" s="52">
        <v>319.60000000000002</v>
      </c>
      <c r="Q750" s="52">
        <v>319.60000000000002</v>
      </c>
      <c r="R750" s="53" t="str">
        <f>INDEX(SKU_Master!$D$5:$D$34,MATCH($I750,SKU_Master!$A$5:$A$34,0))</f>
        <v>Monitor</v>
      </c>
      <c r="S750" s="54">
        <f t="shared" si="154"/>
        <v>1.5999999999999903E-2</v>
      </c>
      <c r="T750" s="55">
        <f t="shared" si="155"/>
        <v>2924.0506329113923</v>
      </c>
      <c r="U750" s="55">
        <f t="shared" si="156"/>
        <v>2877.2658227848101</v>
      </c>
      <c r="V750" s="55">
        <f t="shared" si="157"/>
        <v>-46.784810126582215</v>
      </c>
      <c r="W750" s="55">
        <f t="shared" si="158"/>
        <v>2880.5474591306552</v>
      </c>
      <c r="X750" s="55">
        <f t="shared" si="159"/>
        <v>3.2816363458450724</v>
      </c>
      <c r="Y750" s="55">
        <f t="shared" si="160"/>
        <v>2237.2000000000003</v>
      </c>
      <c r="Z750" s="55">
        <f t="shared" si="161"/>
        <v>2237.2000000000003</v>
      </c>
      <c r="AA750" s="55">
        <f t="shared" si="162"/>
        <v>0</v>
      </c>
      <c r="AB750" s="55">
        <f t="shared" si="163"/>
        <v>643.3474591306549</v>
      </c>
      <c r="AC750" s="54">
        <f t="shared" si="164"/>
        <v>0.22334207932988412</v>
      </c>
      <c r="AD750" s="56">
        <f>INDEX(Assumptions!$B$14:$B$16,MATCH($R750,Assumptions!$A$14:$A$16,0))</f>
        <v>0.18</v>
      </c>
      <c r="AE750" s="56">
        <f>INDEX(Assumptions!$C$14:$C$16,MATCH($R750,Assumptions!$A$14:$A$16,0))</f>
        <v>0.12</v>
      </c>
      <c r="AF750" s="49">
        <f t="shared" si="165"/>
        <v>0</v>
      </c>
      <c r="AG750" s="49">
        <f t="shared" si="166"/>
        <v>0</v>
      </c>
      <c r="AH750" s="55">
        <f t="shared" si="167"/>
        <v>0</v>
      </c>
    </row>
    <row r="751" spans="1:34" x14ac:dyDescent="0.2">
      <c r="A751" s="48" t="s">
        <v>794</v>
      </c>
      <c r="B751" s="48">
        <v>1</v>
      </c>
      <c r="C751" s="48" t="s">
        <v>777</v>
      </c>
      <c r="D751" s="48" t="s">
        <v>738</v>
      </c>
      <c r="E751" s="48" t="s">
        <v>427</v>
      </c>
      <c r="F751" s="48" t="s">
        <v>297</v>
      </c>
      <c r="G751" s="48" t="s">
        <v>302</v>
      </c>
      <c r="H751" s="48" t="s">
        <v>66</v>
      </c>
      <c r="I751" s="48" t="s">
        <v>115</v>
      </c>
      <c r="J751" s="49">
        <v>40</v>
      </c>
      <c r="K751" s="50">
        <v>820</v>
      </c>
      <c r="L751" s="50">
        <v>796.87</v>
      </c>
      <c r="M751" s="48" t="s">
        <v>276</v>
      </c>
      <c r="N751" s="51">
        <v>0.92</v>
      </c>
      <c r="O751" s="51">
        <v>0.92079999999999995</v>
      </c>
      <c r="P751" s="52">
        <v>743.6</v>
      </c>
      <c r="Q751" s="52">
        <v>743.6</v>
      </c>
      <c r="R751" s="53" t="str">
        <f>INDEX(SKU_Master!$D$5:$D$34,MATCH($I751,SKU_Master!$A$5:$A$34,0))</f>
        <v>Laptop</v>
      </c>
      <c r="S751" s="54">
        <f t="shared" si="154"/>
        <v>2.8207317073170701E-2</v>
      </c>
      <c r="T751" s="55">
        <f t="shared" si="155"/>
        <v>35652.17391304348</v>
      </c>
      <c r="U751" s="55">
        <f t="shared" si="156"/>
        <v>34646.521739130432</v>
      </c>
      <c r="V751" s="55">
        <f t="shared" si="157"/>
        <v>-1005.6521739130476</v>
      </c>
      <c r="W751" s="55">
        <f t="shared" si="158"/>
        <v>34616.420503909641</v>
      </c>
      <c r="X751" s="55">
        <f t="shared" si="159"/>
        <v>-30.101235220790841</v>
      </c>
      <c r="Y751" s="55">
        <f t="shared" si="160"/>
        <v>29744</v>
      </c>
      <c r="Z751" s="55">
        <f t="shared" si="161"/>
        <v>29744</v>
      </c>
      <c r="AA751" s="55">
        <f t="shared" si="162"/>
        <v>0</v>
      </c>
      <c r="AB751" s="55">
        <f t="shared" si="163"/>
        <v>4872.4205039096414</v>
      </c>
      <c r="AC751" s="54">
        <f t="shared" si="164"/>
        <v>0.14075460238181881</v>
      </c>
      <c r="AD751" s="56">
        <f>INDEX(Assumptions!$B$14:$B$16,MATCH($R751,Assumptions!$A$14:$A$16,0))</f>
        <v>0.12</v>
      </c>
      <c r="AE751" s="56">
        <f>INDEX(Assumptions!$C$14:$C$16,MATCH($R751,Assumptions!$A$14:$A$16,0))</f>
        <v>0.08</v>
      </c>
      <c r="AF751" s="49">
        <f t="shared" si="165"/>
        <v>0</v>
      </c>
      <c r="AG751" s="49">
        <f t="shared" si="166"/>
        <v>0</v>
      </c>
      <c r="AH751" s="55">
        <f t="shared" si="167"/>
        <v>0</v>
      </c>
    </row>
    <row r="752" spans="1:34" x14ac:dyDescent="0.2">
      <c r="A752" s="48" t="s">
        <v>794</v>
      </c>
      <c r="B752" s="48">
        <v>2</v>
      </c>
      <c r="C752" s="48" t="s">
        <v>777</v>
      </c>
      <c r="D752" s="48" t="s">
        <v>738</v>
      </c>
      <c r="E752" s="48" t="s">
        <v>427</v>
      </c>
      <c r="F752" s="48" t="s">
        <v>297</v>
      </c>
      <c r="G752" s="48" t="s">
        <v>302</v>
      </c>
      <c r="H752" s="48" t="s">
        <v>66</v>
      </c>
      <c r="I752" s="48" t="s">
        <v>135</v>
      </c>
      <c r="J752" s="49">
        <v>17</v>
      </c>
      <c r="K752" s="50">
        <v>255</v>
      </c>
      <c r="L752" s="50">
        <v>243.54</v>
      </c>
      <c r="M752" s="48" t="s">
        <v>276</v>
      </c>
      <c r="N752" s="51">
        <v>0.92</v>
      </c>
      <c r="O752" s="51">
        <v>0.92079999999999995</v>
      </c>
      <c r="P752" s="52">
        <v>211.7</v>
      </c>
      <c r="Q752" s="52">
        <v>211.7</v>
      </c>
      <c r="R752" s="53" t="str">
        <f>INDEX(SKU_Master!$D$5:$D$34,MATCH($I752,SKU_Master!$A$5:$A$34,0))</f>
        <v>Monitor</v>
      </c>
      <c r="S752" s="54">
        <f t="shared" si="154"/>
        <v>4.4941176470588262E-2</v>
      </c>
      <c r="T752" s="55">
        <f t="shared" si="155"/>
        <v>4711.95652173913</v>
      </c>
      <c r="U752" s="55">
        <f t="shared" si="156"/>
        <v>4500.195652173913</v>
      </c>
      <c r="V752" s="55">
        <f t="shared" si="157"/>
        <v>-211.76086956521704</v>
      </c>
      <c r="W752" s="55">
        <f t="shared" si="158"/>
        <v>4496.2858384013907</v>
      </c>
      <c r="X752" s="55">
        <f t="shared" si="159"/>
        <v>-3.9098137725222841</v>
      </c>
      <c r="Y752" s="55">
        <f t="shared" si="160"/>
        <v>3598.8999999999996</v>
      </c>
      <c r="Z752" s="55">
        <f t="shared" si="161"/>
        <v>3598.8999999999996</v>
      </c>
      <c r="AA752" s="55">
        <f t="shared" si="162"/>
        <v>0</v>
      </c>
      <c r="AB752" s="55">
        <f t="shared" si="163"/>
        <v>897.38583840139108</v>
      </c>
      <c r="AC752" s="54">
        <f t="shared" si="164"/>
        <v>0.19958380553502525</v>
      </c>
      <c r="AD752" s="56">
        <f>INDEX(Assumptions!$B$14:$B$16,MATCH($R752,Assumptions!$A$14:$A$16,0))</f>
        <v>0.18</v>
      </c>
      <c r="AE752" s="56">
        <f>INDEX(Assumptions!$C$14:$C$16,MATCH($R752,Assumptions!$A$14:$A$16,0))</f>
        <v>0.12</v>
      </c>
      <c r="AF752" s="49">
        <f t="shared" si="165"/>
        <v>0</v>
      </c>
      <c r="AG752" s="49">
        <f t="shared" si="166"/>
        <v>0</v>
      </c>
      <c r="AH752" s="55">
        <f t="shared" si="167"/>
        <v>0</v>
      </c>
    </row>
    <row r="753" spans="1:34" x14ac:dyDescent="0.2">
      <c r="A753" s="48" t="s">
        <v>795</v>
      </c>
      <c r="B753" s="48">
        <v>1</v>
      </c>
      <c r="C753" s="48" t="s">
        <v>793</v>
      </c>
      <c r="D753" s="48" t="s">
        <v>738</v>
      </c>
      <c r="E753" s="48" t="s">
        <v>333</v>
      </c>
      <c r="F753" s="48" t="s">
        <v>297</v>
      </c>
      <c r="G753" s="48" t="s">
        <v>302</v>
      </c>
      <c r="H753" s="48" t="s">
        <v>70</v>
      </c>
      <c r="I753" s="48" t="s">
        <v>98</v>
      </c>
      <c r="J753" s="49">
        <v>72</v>
      </c>
      <c r="K753" s="50">
        <v>200480</v>
      </c>
      <c r="L753" s="50">
        <v>190485.66</v>
      </c>
      <c r="M753" s="48" t="s">
        <v>276</v>
      </c>
      <c r="N753" s="51">
        <v>83.5</v>
      </c>
      <c r="O753" s="51">
        <v>84.144000000000005</v>
      </c>
      <c r="P753" s="52">
        <v>2011.04</v>
      </c>
      <c r="Q753" s="52">
        <v>2031.04</v>
      </c>
      <c r="R753" s="53" t="str">
        <f>INDEX(SKU_Master!$D$5:$D$34,MATCH($I753,SKU_Master!$A$5:$A$34,0))</f>
        <v>Laptop</v>
      </c>
      <c r="S753" s="54">
        <f t="shared" si="154"/>
        <v>4.9852055067837187E-2</v>
      </c>
      <c r="T753" s="55">
        <f t="shared" si="155"/>
        <v>172868.98203592814</v>
      </c>
      <c r="U753" s="55">
        <f t="shared" si="156"/>
        <v>164251.10802395208</v>
      </c>
      <c r="V753" s="55">
        <f t="shared" si="157"/>
        <v>-8617.8740119760623</v>
      </c>
      <c r="W753" s="55">
        <f t="shared" si="158"/>
        <v>162994.00456360524</v>
      </c>
      <c r="X753" s="55">
        <f t="shared" si="159"/>
        <v>-1257.1034603468433</v>
      </c>
      <c r="Y753" s="55">
        <f t="shared" si="160"/>
        <v>144794.88</v>
      </c>
      <c r="Z753" s="55">
        <f t="shared" si="161"/>
        <v>146234.88</v>
      </c>
      <c r="AA753" s="55">
        <f t="shared" si="162"/>
        <v>-1440</v>
      </c>
      <c r="AB753" s="55">
        <f t="shared" si="163"/>
        <v>16759.124563605234</v>
      </c>
      <c r="AC753" s="54">
        <f t="shared" si="164"/>
        <v>0.10282049703898963</v>
      </c>
      <c r="AD753" s="56">
        <f>INDEX(Assumptions!$B$14:$B$16,MATCH($R753,Assumptions!$A$14:$A$16,0))</f>
        <v>0.12</v>
      </c>
      <c r="AE753" s="56">
        <f>INDEX(Assumptions!$C$14:$C$16,MATCH($R753,Assumptions!$A$14:$A$16,0))</f>
        <v>0.08</v>
      </c>
      <c r="AF753" s="49">
        <f t="shared" si="165"/>
        <v>0</v>
      </c>
      <c r="AG753" s="49">
        <f t="shared" si="166"/>
        <v>0</v>
      </c>
      <c r="AH753" s="55">
        <f t="shared" si="167"/>
        <v>2800.1559840273949</v>
      </c>
    </row>
    <row r="754" spans="1:34" x14ac:dyDescent="0.2">
      <c r="A754" s="48" t="s">
        <v>795</v>
      </c>
      <c r="B754" s="48">
        <v>2</v>
      </c>
      <c r="C754" s="48" t="s">
        <v>793</v>
      </c>
      <c r="D754" s="48" t="s">
        <v>738</v>
      </c>
      <c r="E754" s="48" t="s">
        <v>333</v>
      </c>
      <c r="F754" s="48" t="s">
        <v>297</v>
      </c>
      <c r="G754" s="48" t="s">
        <v>302</v>
      </c>
      <c r="H754" s="48" t="s">
        <v>70</v>
      </c>
      <c r="I754" s="48" t="s">
        <v>177</v>
      </c>
      <c r="J754" s="49">
        <v>29</v>
      </c>
      <c r="K754" s="50">
        <v>7520</v>
      </c>
      <c r="L754" s="50">
        <v>7147.39</v>
      </c>
      <c r="M754" s="48" t="s">
        <v>276</v>
      </c>
      <c r="N754" s="51">
        <v>83.5</v>
      </c>
      <c r="O754" s="51">
        <v>84.144000000000005</v>
      </c>
      <c r="P754" s="52">
        <v>57.18</v>
      </c>
      <c r="Q754" s="52">
        <v>62.18</v>
      </c>
      <c r="R754" s="53" t="str">
        <f>INDEX(SKU_Master!$D$5:$D$34,MATCH($I754,SKU_Master!$A$5:$A$34,0))</f>
        <v>Accessory</v>
      </c>
      <c r="S754" s="54">
        <f t="shared" si="154"/>
        <v>4.9549202127659564E-2</v>
      </c>
      <c r="T754" s="55">
        <f t="shared" si="155"/>
        <v>2611.7365269461079</v>
      </c>
      <c r="U754" s="55">
        <f t="shared" si="156"/>
        <v>2482.3270658682636</v>
      </c>
      <c r="V754" s="55">
        <f t="shared" si="157"/>
        <v>-129.4094610778443</v>
      </c>
      <c r="W754" s="55">
        <f t="shared" si="158"/>
        <v>2463.3284607339797</v>
      </c>
      <c r="X754" s="55">
        <f t="shared" si="159"/>
        <v>-18.998605134283935</v>
      </c>
      <c r="Y754" s="55">
        <f t="shared" si="160"/>
        <v>1658.22</v>
      </c>
      <c r="Z754" s="55">
        <f t="shared" si="161"/>
        <v>1803.22</v>
      </c>
      <c r="AA754" s="55">
        <f t="shared" si="162"/>
        <v>-145</v>
      </c>
      <c r="AB754" s="55">
        <f t="shared" si="163"/>
        <v>660.10846073397965</v>
      </c>
      <c r="AC754" s="54">
        <f t="shared" si="164"/>
        <v>0.2679741947759951</v>
      </c>
      <c r="AD754" s="56">
        <f>INDEX(Assumptions!$B$14:$B$16,MATCH($R754,Assumptions!$A$14:$A$16,0))</f>
        <v>0.32</v>
      </c>
      <c r="AE754" s="56">
        <f>INDEX(Assumptions!$C$14:$C$16,MATCH($R754,Assumptions!$A$14:$A$16,0))</f>
        <v>0.22</v>
      </c>
      <c r="AF754" s="49">
        <f t="shared" si="165"/>
        <v>0</v>
      </c>
      <c r="AG754" s="49">
        <f t="shared" si="166"/>
        <v>0</v>
      </c>
      <c r="AH754" s="55">
        <f t="shared" si="167"/>
        <v>128.15664670089382</v>
      </c>
    </row>
    <row r="755" spans="1:34" x14ac:dyDescent="0.2">
      <c r="A755" s="48" t="s">
        <v>796</v>
      </c>
      <c r="B755" s="48">
        <v>1</v>
      </c>
      <c r="C755" s="48" t="s">
        <v>766</v>
      </c>
      <c r="D755" s="48" t="s">
        <v>738</v>
      </c>
      <c r="E755" s="48" t="s">
        <v>317</v>
      </c>
      <c r="F755" s="48" t="s">
        <v>280</v>
      </c>
      <c r="G755" s="48" t="s">
        <v>306</v>
      </c>
      <c r="H755" s="48" t="s">
        <v>62</v>
      </c>
      <c r="I755" s="48" t="s">
        <v>118</v>
      </c>
      <c r="J755" s="49">
        <v>17</v>
      </c>
      <c r="K755" s="50">
        <v>1365</v>
      </c>
      <c r="L755" s="50">
        <v>1322.56</v>
      </c>
      <c r="M755" s="48" t="s">
        <v>276</v>
      </c>
      <c r="N755" s="51">
        <v>1</v>
      </c>
      <c r="O755" s="51">
        <v>1</v>
      </c>
      <c r="P755" s="52">
        <v>1162.5999999999999</v>
      </c>
      <c r="Q755" s="52">
        <v>1162.5999999999999</v>
      </c>
      <c r="R755" s="53" t="str">
        <f>INDEX(SKU_Master!$D$5:$D$34,MATCH($I755,SKU_Master!$A$5:$A$34,0))</f>
        <v>Laptop</v>
      </c>
      <c r="S755" s="54">
        <f t="shared" si="154"/>
        <v>3.1091575091575119E-2</v>
      </c>
      <c r="T755" s="55">
        <f t="shared" si="155"/>
        <v>23205</v>
      </c>
      <c r="U755" s="55">
        <f t="shared" si="156"/>
        <v>22483.52</v>
      </c>
      <c r="V755" s="55">
        <f t="shared" si="157"/>
        <v>-721.47999999999956</v>
      </c>
      <c r="W755" s="55">
        <f t="shared" si="158"/>
        <v>22483.52</v>
      </c>
      <c r="X755" s="55">
        <f t="shared" si="159"/>
        <v>0</v>
      </c>
      <c r="Y755" s="55">
        <f t="shared" si="160"/>
        <v>19764.199999999997</v>
      </c>
      <c r="Z755" s="55">
        <f t="shared" si="161"/>
        <v>19764.199999999997</v>
      </c>
      <c r="AA755" s="55">
        <f t="shared" si="162"/>
        <v>0</v>
      </c>
      <c r="AB755" s="55">
        <f t="shared" si="163"/>
        <v>2719.3200000000033</v>
      </c>
      <c r="AC755" s="54">
        <f t="shared" si="164"/>
        <v>0.12094725381079134</v>
      </c>
      <c r="AD755" s="56">
        <f>INDEX(Assumptions!$B$14:$B$16,MATCH($R755,Assumptions!$A$14:$A$16,0))</f>
        <v>0.12</v>
      </c>
      <c r="AE755" s="56">
        <f>INDEX(Assumptions!$C$14:$C$16,MATCH($R755,Assumptions!$A$14:$A$16,0))</f>
        <v>0.08</v>
      </c>
      <c r="AF755" s="49">
        <f t="shared" si="165"/>
        <v>0</v>
      </c>
      <c r="AG755" s="49">
        <f t="shared" si="166"/>
        <v>0</v>
      </c>
      <c r="AH755" s="55">
        <f t="shared" si="167"/>
        <v>0</v>
      </c>
    </row>
    <row r="756" spans="1:34" x14ac:dyDescent="0.2">
      <c r="A756" s="48" t="s">
        <v>796</v>
      </c>
      <c r="B756" s="48">
        <v>2</v>
      </c>
      <c r="C756" s="48" t="s">
        <v>766</v>
      </c>
      <c r="D756" s="48" t="s">
        <v>738</v>
      </c>
      <c r="E756" s="48" t="s">
        <v>317</v>
      </c>
      <c r="F756" s="48" t="s">
        <v>280</v>
      </c>
      <c r="G756" s="48" t="s">
        <v>306</v>
      </c>
      <c r="H756" s="48" t="s">
        <v>62</v>
      </c>
      <c r="I756" s="48" t="s">
        <v>166</v>
      </c>
      <c r="J756" s="49">
        <v>11</v>
      </c>
      <c r="K756" s="50">
        <v>265</v>
      </c>
      <c r="L756" s="50">
        <v>260.87</v>
      </c>
      <c r="M756" s="48" t="s">
        <v>276</v>
      </c>
      <c r="N756" s="51">
        <v>1</v>
      </c>
      <c r="O756" s="51">
        <v>1</v>
      </c>
      <c r="P756" s="52">
        <v>169.35</v>
      </c>
      <c r="Q756" s="52">
        <v>169.35</v>
      </c>
      <c r="R756" s="53" t="str">
        <f>INDEX(SKU_Master!$D$5:$D$34,MATCH($I756,SKU_Master!$A$5:$A$34,0))</f>
        <v>Accessory</v>
      </c>
      <c r="S756" s="54">
        <f t="shared" si="154"/>
        <v>1.5584905660377291E-2</v>
      </c>
      <c r="T756" s="55">
        <f t="shared" si="155"/>
        <v>2915</v>
      </c>
      <c r="U756" s="55">
        <f t="shared" si="156"/>
        <v>2869.57</v>
      </c>
      <c r="V756" s="55">
        <f t="shared" si="157"/>
        <v>-45.429999999999836</v>
      </c>
      <c r="W756" s="55">
        <f t="shared" si="158"/>
        <v>2869.57</v>
      </c>
      <c r="X756" s="55">
        <f t="shared" si="159"/>
        <v>0</v>
      </c>
      <c r="Y756" s="55">
        <f t="shared" si="160"/>
        <v>1862.85</v>
      </c>
      <c r="Z756" s="55">
        <f t="shared" si="161"/>
        <v>1862.85</v>
      </c>
      <c r="AA756" s="55">
        <f t="shared" si="162"/>
        <v>0</v>
      </c>
      <c r="AB756" s="55">
        <f t="shared" si="163"/>
        <v>1006.7200000000003</v>
      </c>
      <c r="AC756" s="54">
        <f t="shared" si="164"/>
        <v>0.35082608195653014</v>
      </c>
      <c r="AD756" s="56">
        <f>INDEX(Assumptions!$B$14:$B$16,MATCH($R756,Assumptions!$A$14:$A$16,0))</f>
        <v>0.32</v>
      </c>
      <c r="AE756" s="56">
        <f>INDEX(Assumptions!$C$14:$C$16,MATCH($R756,Assumptions!$A$14:$A$16,0))</f>
        <v>0.22</v>
      </c>
      <c r="AF756" s="49">
        <f t="shared" si="165"/>
        <v>0</v>
      </c>
      <c r="AG756" s="49">
        <f t="shared" si="166"/>
        <v>0</v>
      </c>
      <c r="AH756" s="55">
        <f t="shared" si="167"/>
        <v>0</v>
      </c>
    </row>
    <row r="757" spans="1:34" x14ac:dyDescent="0.2">
      <c r="A757" s="48" t="s">
        <v>797</v>
      </c>
      <c r="B757" s="48">
        <v>1</v>
      </c>
      <c r="C757" s="48" t="s">
        <v>759</v>
      </c>
      <c r="D757" s="48" t="s">
        <v>738</v>
      </c>
      <c r="E757" s="48" t="s">
        <v>273</v>
      </c>
      <c r="F757" s="48" t="s">
        <v>274</v>
      </c>
      <c r="G757" s="48" t="s">
        <v>275</v>
      </c>
      <c r="H757" s="48" t="s">
        <v>66</v>
      </c>
      <c r="I757" s="48" t="s">
        <v>98</v>
      </c>
      <c r="J757" s="49">
        <v>4</v>
      </c>
      <c r="K757" s="50">
        <v>1980</v>
      </c>
      <c r="L757" s="50">
        <v>1962.14</v>
      </c>
      <c r="M757" s="48" t="s">
        <v>276</v>
      </c>
      <c r="N757" s="51">
        <v>0.92</v>
      </c>
      <c r="O757" s="51">
        <v>0.92079999999999995</v>
      </c>
      <c r="P757" s="52">
        <v>1800.2</v>
      </c>
      <c r="Q757" s="52">
        <v>1800.2</v>
      </c>
      <c r="R757" s="53" t="str">
        <f>INDEX(SKU_Master!$D$5:$D$34,MATCH($I757,SKU_Master!$A$5:$A$34,0))</f>
        <v>Laptop</v>
      </c>
      <c r="S757" s="54">
        <f t="shared" si="154"/>
        <v>9.0202020202019284E-3</v>
      </c>
      <c r="T757" s="55">
        <f t="shared" si="155"/>
        <v>8608.6956521739121</v>
      </c>
      <c r="U757" s="55">
        <f t="shared" si="156"/>
        <v>8531.04347826087</v>
      </c>
      <c r="V757" s="55">
        <f t="shared" si="157"/>
        <v>-77.652173913042134</v>
      </c>
      <c r="W757" s="55">
        <f t="shared" si="158"/>
        <v>8523.6316246741972</v>
      </c>
      <c r="X757" s="55">
        <f t="shared" si="159"/>
        <v>-7.4118535866728052</v>
      </c>
      <c r="Y757" s="55">
        <f t="shared" si="160"/>
        <v>7200.8</v>
      </c>
      <c r="Z757" s="55">
        <f t="shared" si="161"/>
        <v>7200.8</v>
      </c>
      <c r="AA757" s="55">
        <f t="shared" si="162"/>
        <v>0</v>
      </c>
      <c r="AB757" s="55">
        <f t="shared" si="163"/>
        <v>1322.831624674197</v>
      </c>
      <c r="AC757" s="54">
        <f t="shared" si="164"/>
        <v>0.15519577604044568</v>
      </c>
      <c r="AD757" s="56">
        <f>INDEX(Assumptions!$B$14:$B$16,MATCH($R757,Assumptions!$A$14:$A$16,0))</f>
        <v>0.12</v>
      </c>
      <c r="AE757" s="56">
        <f>INDEX(Assumptions!$C$14:$C$16,MATCH($R757,Assumptions!$A$14:$A$16,0))</f>
        <v>0.08</v>
      </c>
      <c r="AF757" s="49">
        <f t="shared" si="165"/>
        <v>0</v>
      </c>
      <c r="AG757" s="49">
        <f t="shared" si="166"/>
        <v>0</v>
      </c>
      <c r="AH757" s="55">
        <f t="shared" si="167"/>
        <v>0</v>
      </c>
    </row>
    <row r="758" spans="1:34" x14ac:dyDescent="0.2">
      <c r="A758" s="48" t="s">
        <v>797</v>
      </c>
      <c r="B758" s="48">
        <v>2</v>
      </c>
      <c r="C758" s="48" t="s">
        <v>759</v>
      </c>
      <c r="D758" s="48" t="s">
        <v>738</v>
      </c>
      <c r="E758" s="48" t="s">
        <v>273</v>
      </c>
      <c r="F758" s="48" t="s">
        <v>274</v>
      </c>
      <c r="G758" s="48" t="s">
        <v>275</v>
      </c>
      <c r="H758" s="48" t="s">
        <v>66</v>
      </c>
      <c r="I758" s="48" t="s">
        <v>173</v>
      </c>
      <c r="J758" s="49">
        <v>3</v>
      </c>
      <c r="K758" s="50">
        <v>60</v>
      </c>
      <c r="L758" s="50">
        <v>59.33</v>
      </c>
      <c r="M758" s="48" t="s">
        <v>276</v>
      </c>
      <c r="N758" s="51">
        <v>0.92</v>
      </c>
      <c r="O758" s="51">
        <v>0.92079999999999995</v>
      </c>
      <c r="P758" s="52">
        <v>39</v>
      </c>
      <c r="Q758" s="52">
        <v>39</v>
      </c>
      <c r="R758" s="53" t="str">
        <f>INDEX(SKU_Master!$D$5:$D$34,MATCH($I758,SKU_Master!$A$5:$A$34,0))</f>
        <v>Accessory</v>
      </c>
      <c r="S758" s="54">
        <f t="shared" si="154"/>
        <v>1.1166666666666658E-2</v>
      </c>
      <c r="T758" s="55">
        <f t="shared" si="155"/>
        <v>195.65217391304347</v>
      </c>
      <c r="U758" s="55">
        <f t="shared" si="156"/>
        <v>193.46739130434781</v>
      </c>
      <c r="V758" s="55">
        <f t="shared" si="157"/>
        <v>-2.1847826086956559</v>
      </c>
      <c r="W758" s="55">
        <f t="shared" si="158"/>
        <v>193.29930495221549</v>
      </c>
      <c r="X758" s="55">
        <f t="shared" si="159"/>
        <v>-0.16808635213232037</v>
      </c>
      <c r="Y758" s="55">
        <f t="shared" si="160"/>
        <v>117</v>
      </c>
      <c r="Z758" s="55">
        <f t="shared" si="161"/>
        <v>117</v>
      </c>
      <c r="AA758" s="55">
        <f t="shared" si="162"/>
        <v>0</v>
      </c>
      <c r="AB758" s="55">
        <f t="shared" si="163"/>
        <v>76.299304952215493</v>
      </c>
      <c r="AC758" s="54">
        <f t="shared" si="164"/>
        <v>0.39472105174448013</v>
      </c>
      <c r="AD758" s="56">
        <f>INDEX(Assumptions!$B$14:$B$16,MATCH($R758,Assumptions!$A$14:$A$16,0))</f>
        <v>0.32</v>
      </c>
      <c r="AE758" s="56">
        <f>INDEX(Assumptions!$C$14:$C$16,MATCH($R758,Assumptions!$A$14:$A$16,0))</f>
        <v>0.22</v>
      </c>
      <c r="AF758" s="49">
        <f t="shared" si="165"/>
        <v>0</v>
      </c>
      <c r="AG758" s="49">
        <f t="shared" si="166"/>
        <v>0</v>
      </c>
      <c r="AH758" s="55">
        <f t="shared" si="167"/>
        <v>0</v>
      </c>
    </row>
    <row r="759" spans="1:34" x14ac:dyDescent="0.2">
      <c r="A759" s="48" t="s">
        <v>798</v>
      </c>
      <c r="B759" s="48">
        <v>1</v>
      </c>
      <c r="C759" s="48" t="s">
        <v>769</v>
      </c>
      <c r="D759" s="48" t="s">
        <v>738</v>
      </c>
      <c r="E759" s="48" t="s">
        <v>384</v>
      </c>
      <c r="F759" s="48" t="s">
        <v>297</v>
      </c>
      <c r="G759" s="48" t="s">
        <v>281</v>
      </c>
      <c r="H759" s="48" t="s">
        <v>70</v>
      </c>
      <c r="I759" s="48" t="s">
        <v>93</v>
      </c>
      <c r="J759" s="49">
        <v>24</v>
      </c>
      <c r="K759" s="50">
        <v>134750</v>
      </c>
      <c r="L759" s="50">
        <v>128803.68</v>
      </c>
      <c r="M759" s="48" t="s">
        <v>276</v>
      </c>
      <c r="N759" s="51">
        <v>83.5</v>
      </c>
      <c r="O759" s="51">
        <v>84.144000000000005</v>
      </c>
      <c r="P759" s="52">
        <v>1351.7</v>
      </c>
      <c r="Q759" s="52">
        <v>1371.7</v>
      </c>
      <c r="R759" s="53" t="str">
        <f>INDEX(SKU_Master!$D$5:$D$34,MATCH($I759,SKU_Master!$A$5:$A$34,0))</f>
        <v>Laptop</v>
      </c>
      <c r="S759" s="54">
        <f t="shared" si="154"/>
        <v>4.4128534322820046E-2</v>
      </c>
      <c r="T759" s="55">
        <f t="shared" si="155"/>
        <v>38730.538922155691</v>
      </c>
      <c r="U759" s="55">
        <f t="shared" si="156"/>
        <v>37021.41700598802</v>
      </c>
      <c r="V759" s="55">
        <f t="shared" si="157"/>
        <v>-1709.1219161676709</v>
      </c>
      <c r="W759" s="55">
        <f t="shared" si="158"/>
        <v>36738.071876782655</v>
      </c>
      <c r="X759" s="55">
        <f t="shared" si="159"/>
        <v>-283.34512920536508</v>
      </c>
      <c r="Y759" s="55">
        <f t="shared" si="160"/>
        <v>32440.800000000003</v>
      </c>
      <c r="Z759" s="55">
        <f t="shared" si="161"/>
        <v>32920.800000000003</v>
      </c>
      <c r="AA759" s="55">
        <f t="shared" si="162"/>
        <v>-480</v>
      </c>
      <c r="AB759" s="55">
        <f t="shared" si="163"/>
        <v>3817.2718767826518</v>
      </c>
      <c r="AC759" s="54">
        <f t="shared" si="164"/>
        <v>0.10390506855083627</v>
      </c>
      <c r="AD759" s="56">
        <f>INDEX(Assumptions!$B$14:$B$16,MATCH($R759,Assumptions!$A$14:$A$16,0))</f>
        <v>0.12</v>
      </c>
      <c r="AE759" s="56">
        <f>INDEX(Assumptions!$C$14:$C$16,MATCH($R759,Assumptions!$A$14:$A$16,0))</f>
        <v>0.08</v>
      </c>
      <c r="AF759" s="49">
        <f t="shared" si="165"/>
        <v>0</v>
      </c>
      <c r="AG759" s="49">
        <f t="shared" si="166"/>
        <v>0</v>
      </c>
      <c r="AH759" s="55">
        <f t="shared" si="167"/>
        <v>591.29674843126668</v>
      </c>
    </row>
    <row r="760" spans="1:34" x14ac:dyDescent="0.2">
      <c r="A760" s="48" t="s">
        <v>798</v>
      </c>
      <c r="B760" s="48">
        <v>2</v>
      </c>
      <c r="C760" s="48" t="s">
        <v>769</v>
      </c>
      <c r="D760" s="48" t="s">
        <v>738</v>
      </c>
      <c r="E760" s="48" t="s">
        <v>384</v>
      </c>
      <c r="F760" s="48" t="s">
        <v>297</v>
      </c>
      <c r="G760" s="48" t="s">
        <v>281</v>
      </c>
      <c r="H760" s="48" t="s">
        <v>70</v>
      </c>
      <c r="I760" s="48" t="s">
        <v>164</v>
      </c>
      <c r="J760" s="49">
        <v>17</v>
      </c>
      <c r="K760" s="50">
        <v>18765</v>
      </c>
      <c r="L760" s="50">
        <v>18113.38</v>
      </c>
      <c r="M760" s="48" t="s">
        <v>276</v>
      </c>
      <c r="N760" s="51">
        <v>83.5</v>
      </c>
      <c r="O760" s="51">
        <v>84.144000000000005</v>
      </c>
      <c r="P760" s="52">
        <v>142.65</v>
      </c>
      <c r="Q760" s="52">
        <v>147.65</v>
      </c>
      <c r="R760" s="53" t="str">
        <f>INDEX(SKU_Master!$D$5:$D$34,MATCH($I760,SKU_Master!$A$5:$A$34,0))</f>
        <v>Accessory</v>
      </c>
      <c r="S760" s="54">
        <f t="shared" si="154"/>
        <v>3.47252864375166E-2</v>
      </c>
      <c r="T760" s="55">
        <f t="shared" si="155"/>
        <v>3820.4191616766466</v>
      </c>
      <c r="U760" s="55">
        <f t="shared" si="156"/>
        <v>3687.7540119760483</v>
      </c>
      <c r="V760" s="55">
        <f t="shared" si="157"/>
        <v>-132.66514970059825</v>
      </c>
      <c r="W760" s="55">
        <f t="shared" si="158"/>
        <v>3659.5296158965584</v>
      </c>
      <c r="X760" s="55">
        <f t="shared" si="159"/>
        <v>-28.224396079489907</v>
      </c>
      <c r="Y760" s="55">
        <f t="shared" si="160"/>
        <v>2425.0500000000002</v>
      </c>
      <c r="Z760" s="55">
        <f t="shared" si="161"/>
        <v>2510.0500000000002</v>
      </c>
      <c r="AA760" s="55">
        <f t="shared" si="162"/>
        <v>-85</v>
      </c>
      <c r="AB760" s="55">
        <f t="shared" si="163"/>
        <v>1149.4796158965582</v>
      </c>
      <c r="AC760" s="54">
        <f t="shared" si="164"/>
        <v>0.31410583778400275</v>
      </c>
      <c r="AD760" s="56">
        <f>INDEX(Assumptions!$B$14:$B$16,MATCH($R760,Assumptions!$A$14:$A$16,0))</f>
        <v>0.32</v>
      </c>
      <c r="AE760" s="56">
        <f>INDEX(Assumptions!$C$14:$C$16,MATCH($R760,Assumptions!$A$14:$A$16,0))</f>
        <v>0.22</v>
      </c>
      <c r="AF760" s="49">
        <f t="shared" si="165"/>
        <v>0</v>
      </c>
      <c r="AG760" s="49">
        <f t="shared" si="166"/>
        <v>0</v>
      </c>
      <c r="AH760" s="55">
        <f t="shared" si="167"/>
        <v>21.569861190340589</v>
      </c>
    </row>
    <row r="761" spans="1:34" x14ac:dyDescent="0.2">
      <c r="A761" s="48" t="s">
        <v>799</v>
      </c>
      <c r="B761" s="48">
        <v>1</v>
      </c>
      <c r="C761" s="48" t="s">
        <v>737</v>
      </c>
      <c r="D761" s="48" t="s">
        <v>738</v>
      </c>
      <c r="E761" s="48" t="s">
        <v>395</v>
      </c>
      <c r="F761" s="48" t="s">
        <v>280</v>
      </c>
      <c r="G761" s="48" t="s">
        <v>281</v>
      </c>
      <c r="H761" s="48" t="s">
        <v>66</v>
      </c>
      <c r="I761" s="48" t="s">
        <v>115</v>
      </c>
      <c r="J761" s="49">
        <v>6</v>
      </c>
      <c r="K761" s="50">
        <v>820</v>
      </c>
      <c r="L761" s="50">
        <v>796.46</v>
      </c>
      <c r="M761" s="48" t="s">
        <v>276</v>
      </c>
      <c r="N761" s="51">
        <v>0.92</v>
      </c>
      <c r="O761" s="51">
        <v>0.92079999999999995</v>
      </c>
      <c r="P761" s="52">
        <v>743.6</v>
      </c>
      <c r="Q761" s="52">
        <v>743.6</v>
      </c>
      <c r="R761" s="53" t="str">
        <f>INDEX(SKU_Master!$D$5:$D$34,MATCH($I761,SKU_Master!$A$5:$A$34,0))</f>
        <v>Laptop</v>
      </c>
      <c r="S761" s="54">
        <f t="shared" si="154"/>
        <v>2.8707317073170646E-2</v>
      </c>
      <c r="T761" s="55">
        <f t="shared" si="155"/>
        <v>5347.8260869565211</v>
      </c>
      <c r="U761" s="55">
        <f t="shared" si="156"/>
        <v>5194.304347826087</v>
      </c>
      <c r="V761" s="55">
        <f t="shared" si="157"/>
        <v>-153.52173913043407</v>
      </c>
      <c r="W761" s="55">
        <f t="shared" si="158"/>
        <v>5189.7914856646403</v>
      </c>
      <c r="X761" s="55">
        <f t="shared" si="159"/>
        <v>-4.5128621614467193</v>
      </c>
      <c r="Y761" s="55">
        <f t="shared" si="160"/>
        <v>4461.6000000000004</v>
      </c>
      <c r="Z761" s="55">
        <f t="shared" si="161"/>
        <v>4461.6000000000004</v>
      </c>
      <c r="AA761" s="55">
        <f t="shared" si="162"/>
        <v>0</v>
      </c>
      <c r="AB761" s="55">
        <f t="shared" si="163"/>
        <v>728.19148566463991</v>
      </c>
      <c r="AC761" s="54">
        <f t="shared" si="164"/>
        <v>0.14031228184717381</v>
      </c>
      <c r="AD761" s="56">
        <f>INDEX(Assumptions!$B$14:$B$16,MATCH($R761,Assumptions!$A$14:$A$16,0))</f>
        <v>0.12</v>
      </c>
      <c r="AE761" s="56">
        <f>INDEX(Assumptions!$C$14:$C$16,MATCH($R761,Assumptions!$A$14:$A$16,0))</f>
        <v>0.08</v>
      </c>
      <c r="AF761" s="49">
        <f t="shared" si="165"/>
        <v>0</v>
      </c>
      <c r="AG761" s="49">
        <f t="shared" si="166"/>
        <v>0</v>
      </c>
      <c r="AH761" s="55">
        <f t="shared" si="167"/>
        <v>0</v>
      </c>
    </row>
    <row r="762" spans="1:34" x14ac:dyDescent="0.2">
      <c r="A762" s="48" t="s">
        <v>799</v>
      </c>
      <c r="B762" s="48">
        <v>2</v>
      </c>
      <c r="C762" s="48" t="s">
        <v>737</v>
      </c>
      <c r="D762" s="48" t="s">
        <v>738</v>
      </c>
      <c r="E762" s="48" t="s">
        <v>395</v>
      </c>
      <c r="F762" s="48" t="s">
        <v>280</v>
      </c>
      <c r="G762" s="48" t="s">
        <v>281</v>
      </c>
      <c r="H762" s="48" t="s">
        <v>66</v>
      </c>
      <c r="I762" s="48" t="s">
        <v>157</v>
      </c>
      <c r="J762" s="49">
        <v>2</v>
      </c>
      <c r="K762" s="50">
        <v>135</v>
      </c>
      <c r="L762" s="50">
        <v>129.80000000000001</v>
      </c>
      <c r="M762" s="48" t="s">
        <v>276</v>
      </c>
      <c r="N762" s="51">
        <v>0.92</v>
      </c>
      <c r="O762" s="51">
        <v>0.92079999999999995</v>
      </c>
      <c r="P762" s="52">
        <v>91</v>
      </c>
      <c r="Q762" s="52">
        <v>91</v>
      </c>
      <c r="R762" s="53" t="str">
        <f>INDEX(SKU_Master!$D$5:$D$34,MATCH($I762,SKU_Master!$A$5:$A$34,0))</f>
        <v>Accessory</v>
      </c>
      <c r="S762" s="54">
        <f t="shared" si="154"/>
        <v>3.8518518518518396E-2</v>
      </c>
      <c r="T762" s="55">
        <f t="shared" si="155"/>
        <v>293.47826086956519</v>
      </c>
      <c r="U762" s="55">
        <f t="shared" si="156"/>
        <v>282.17391304347825</v>
      </c>
      <c r="V762" s="55">
        <f t="shared" si="157"/>
        <v>-11.304347826086939</v>
      </c>
      <c r="W762" s="55">
        <f t="shared" si="158"/>
        <v>281.92875760208517</v>
      </c>
      <c r="X762" s="55">
        <f t="shared" si="159"/>
        <v>-0.24515544139308076</v>
      </c>
      <c r="Y762" s="55">
        <f t="shared" si="160"/>
        <v>182</v>
      </c>
      <c r="Z762" s="55">
        <f t="shared" si="161"/>
        <v>182</v>
      </c>
      <c r="AA762" s="55">
        <f t="shared" si="162"/>
        <v>0</v>
      </c>
      <c r="AB762" s="55">
        <f t="shared" si="163"/>
        <v>99.92875760208517</v>
      </c>
      <c r="AC762" s="54">
        <f t="shared" si="164"/>
        <v>0.35444684129429899</v>
      </c>
      <c r="AD762" s="56">
        <f>INDEX(Assumptions!$B$14:$B$16,MATCH($R762,Assumptions!$A$14:$A$16,0))</f>
        <v>0.32</v>
      </c>
      <c r="AE762" s="56">
        <f>INDEX(Assumptions!$C$14:$C$16,MATCH($R762,Assumptions!$A$14:$A$16,0))</f>
        <v>0.22</v>
      </c>
      <c r="AF762" s="49">
        <f t="shared" si="165"/>
        <v>0</v>
      </c>
      <c r="AG762" s="49">
        <f t="shared" si="166"/>
        <v>0</v>
      </c>
      <c r="AH762" s="55">
        <f t="shared" si="167"/>
        <v>0</v>
      </c>
    </row>
    <row r="763" spans="1:34" x14ac:dyDescent="0.2">
      <c r="A763" s="48" t="s">
        <v>800</v>
      </c>
      <c r="B763" s="48">
        <v>1</v>
      </c>
      <c r="C763" s="48" t="s">
        <v>740</v>
      </c>
      <c r="D763" s="48" t="s">
        <v>738</v>
      </c>
      <c r="E763" s="48" t="s">
        <v>287</v>
      </c>
      <c r="F763" s="48" t="s">
        <v>274</v>
      </c>
      <c r="G763" s="48" t="s">
        <v>288</v>
      </c>
      <c r="H763" s="48" t="s">
        <v>62</v>
      </c>
      <c r="I763" s="48" t="s">
        <v>103</v>
      </c>
      <c r="J763" s="49">
        <v>4</v>
      </c>
      <c r="K763" s="50">
        <v>1135</v>
      </c>
      <c r="L763" s="50">
        <v>1129.3900000000001</v>
      </c>
      <c r="M763" s="48" t="s">
        <v>276</v>
      </c>
      <c r="N763" s="51">
        <v>1</v>
      </c>
      <c r="O763" s="51">
        <v>1</v>
      </c>
      <c r="P763" s="52">
        <v>968.6</v>
      </c>
      <c r="Q763" s="52">
        <v>968.6</v>
      </c>
      <c r="R763" s="53" t="str">
        <f>INDEX(SKU_Master!$D$5:$D$34,MATCH($I763,SKU_Master!$A$5:$A$34,0))</f>
        <v>Laptop</v>
      </c>
      <c r="S763" s="54">
        <f t="shared" si="154"/>
        <v>4.9427312775329746E-3</v>
      </c>
      <c r="T763" s="55">
        <f t="shared" si="155"/>
        <v>4540</v>
      </c>
      <c r="U763" s="55">
        <f t="shared" si="156"/>
        <v>4517.5600000000004</v>
      </c>
      <c r="V763" s="55">
        <f t="shared" si="157"/>
        <v>-22.4399999999996</v>
      </c>
      <c r="W763" s="55">
        <f t="shared" si="158"/>
        <v>4517.5600000000004</v>
      </c>
      <c r="X763" s="55">
        <f t="shared" si="159"/>
        <v>0</v>
      </c>
      <c r="Y763" s="55">
        <f t="shared" si="160"/>
        <v>3874.4</v>
      </c>
      <c r="Z763" s="55">
        <f t="shared" si="161"/>
        <v>3874.4</v>
      </c>
      <c r="AA763" s="55">
        <f t="shared" si="162"/>
        <v>0</v>
      </c>
      <c r="AB763" s="55">
        <f t="shared" si="163"/>
        <v>643.16000000000031</v>
      </c>
      <c r="AC763" s="54">
        <f t="shared" si="164"/>
        <v>0.14236888940047288</v>
      </c>
      <c r="AD763" s="56">
        <f>INDEX(Assumptions!$B$14:$B$16,MATCH($R763,Assumptions!$A$14:$A$16,0))</f>
        <v>0.12</v>
      </c>
      <c r="AE763" s="56">
        <f>INDEX(Assumptions!$C$14:$C$16,MATCH($R763,Assumptions!$A$14:$A$16,0))</f>
        <v>0.08</v>
      </c>
      <c r="AF763" s="49">
        <f t="shared" si="165"/>
        <v>0</v>
      </c>
      <c r="AG763" s="49">
        <f t="shared" si="166"/>
        <v>0</v>
      </c>
      <c r="AH763" s="55">
        <f t="shared" si="167"/>
        <v>0</v>
      </c>
    </row>
    <row r="764" spans="1:34" x14ac:dyDescent="0.2">
      <c r="A764" s="48" t="s">
        <v>800</v>
      </c>
      <c r="B764" s="48">
        <v>2</v>
      </c>
      <c r="C764" s="48" t="s">
        <v>740</v>
      </c>
      <c r="D764" s="48" t="s">
        <v>738</v>
      </c>
      <c r="E764" s="48" t="s">
        <v>287</v>
      </c>
      <c r="F764" s="48" t="s">
        <v>274</v>
      </c>
      <c r="G764" s="48" t="s">
        <v>288</v>
      </c>
      <c r="H764" s="48" t="s">
        <v>62</v>
      </c>
      <c r="I764" s="48" t="s">
        <v>146</v>
      </c>
      <c r="J764" s="49">
        <v>2</v>
      </c>
      <c r="K764" s="50">
        <v>235</v>
      </c>
      <c r="L764" s="50">
        <v>234.01</v>
      </c>
      <c r="M764" s="48" t="s">
        <v>276</v>
      </c>
      <c r="N764" s="51">
        <v>1</v>
      </c>
      <c r="O764" s="51">
        <v>1</v>
      </c>
      <c r="P764" s="52">
        <v>181.8</v>
      </c>
      <c r="Q764" s="52">
        <v>181.8</v>
      </c>
      <c r="R764" s="53" t="str">
        <f>INDEX(SKU_Master!$D$5:$D$34,MATCH($I764,SKU_Master!$A$5:$A$34,0))</f>
        <v>Monitor</v>
      </c>
      <c r="S764" s="54">
        <f t="shared" si="154"/>
        <v>4.2127659574467957E-3</v>
      </c>
      <c r="T764" s="55">
        <f t="shared" si="155"/>
        <v>470</v>
      </c>
      <c r="U764" s="55">
        <f t="shared" si="156"/>
        <v>468.02</v>
      </c>
      <c r="V764" s="55">
        <f t="shared" si="157"/>
        <v>-1.9800000000000182</v>
      </c>
      <c r="W764" s="55">
        <f t="shared" si="158"/>
        <v>468.02</v>
      </c>
      <c r="X764" s="55">
        <f t="shared" si="159"/>
        <v>0</v>
      </c>
      <c r="Y764" s="55">
        <f t="shared" si="160"/>
        <v>363.6</v>
      </c>
      <c r="Z764" s="55">
        <f t="shared" si="161"/>
        <v>363.6</v>
      </c>
      <c r="AA764" s="55">
        <f t="shared" si="162"/>
        <v>0</v>
      </c>
      <c r="AB764" s="55">
        <f t="shared" si="163"/>
        <v>104.41999999999996</v>
      </c>
      <c r="AC764" s="54">
        <f t="shared" si="164"/>
        <v>0.2231101234989957</v>
      </c>
      <c r="AD764" s="56">
        <f>INDEX(Assumptions!$B$14:$B$16,MATCH($R764,Assumptions!$A$14:$A$16,0))</f>
        <v>0.18</v>
      </c>
      <c r="AE764" s="56">
        <f>INDEX(Assumptions!$C$14:$C$16,MATCH($R764,Assumptions!$A$14:$A$16,0))</f>
        <v>0.12</v>
      </c>
      <c r="AF764" s="49">
        <f t="shared" si="165"/>
        <v>0</v>
      </c>
      <c r="AG764" s="49">
        <f t="shared" si="166"/>
        <v>0</v>
      </c>
      <c r="AH764" s="55">
        <f t="shared" si="167"/>
        <v>0</v>
      </c>
    </row>
    <row r="765" spans="1:34" x14ac:dyDescent="0.2">
      <c r="A765" s="48" t="s">
        <v>801</v>
      </c>
      <c r="B765" s="48">
        <v>1</v>
      </c>
      <c r="C765" s="48" t="s">
        <v>785</v>
      </c>
      <c r="D765" s="48" t="s">
        <v>738</v>
      </c>
      <c r="E765" s="48" t="s">
        <v>358</v>
      </c>
      <c r="F765" s="48" t="s">
        <v>274</v>
      </c>
      <c r="G765" s="48" t="s">
        <v>288</v>
      </c>
      <c r="H765" s="48" t="s">
        <v>62</v>
      </c>
      <c r="I765" s="48" t="s">
        <v>93</v>
      </c>
      <c r="J765" s="49">
        <v>4</v>
      </c>
      <c r="K765" s="50">
        <v>1390</v>
      </c>
      <c r="L765" s="50">
        <v>1385.59</v>
      </c>
      <c r="M765" s="48" t="s">
        <v>276</v>
      </c>
      <c r="N765" s="51">
        <v>1</v>
      </c>
      <c r="O765" s="51">
        <v>1</v>
      </c>
      <c r="P765" s="52">
        <v>1186.2</v>
      </c>
      <c r="Q765" s="52">
        <v>1186.2</v>
      </c>
      <c r="R765" s="53" t="str">
        <f>INDEX(SKU_Master!$D$5:$D$34,MATCH($I765,SKU_Master!$A$5:$A$34,0))</f>
        <v>Laptop</v>
      </c>
      <c r="S765" s="54">
        <f t="shared" si="154"/>
        <v>3.1726618705036902E-3</v>
      </c>
      <c r="T765" s="55">
        <f t="shared" si="155"/>
        <v>5560</v>
      </c>
      <c r="U765" s="55">
        <f t="shared" si="156"/>
        <v>5542.36</v>
      </c>
      <c r="V765" s="55">
        <f t="shared" si="157"/>
        <v>-17.640000000000327</v>
      </c>
      <c r="W765" s="55">
        <f t="shared" si="158"/>
        <v>5542.36</v>
      </c>
      <c r="X765" s="55">
        <f t="shared" si="159"/>
        <v>0</v>
      </c>
      <c r="Y765" s="55">
        <f t="shared" si="160"/>
        <v>4744.8</v>
      </c>
      <c r="Z765" s="55">
        <f t="shared" si="161"/>
        <v>4744.8</v>
      </c>
      <c r="AA765" s="55">
        <f t="shared" si="162"/>
        <v>0</v>
      </c>
      <c r="AB765" s="55">
        <f t="shared" si="163"/>
        <v>797.55999999999949</v>
      </c>
      <c r="AC765" s="54">
        <f t="shared" si="164"/>
        <v>0.14390259744946188</v>
      </c>
      <c r="AD765" s="56">
        <f>INDEX(Assumptions!$B$14:$B$16,MATCH($R765,Assumptions!$A$14:$A$16,0))</f>
        <v>0.12</v>
      </c>
      <c r="AE765" s="56">
        <f>INDEX(Assumptions!$C$14:$C$16,MATCH($R765,Assumptions!$A$14:$A$16,0))</f>
        <v>0.08</v>
      </c>
      <c r="AF765" s="49">
        <f t="shared" si="165"/>
        <v>0</v>
      </c>
      <c r="AG765" s="49">
        <f t="shared" si="166"/>
        <v>0</v>
      </c>
      <c r="AH765" s="55">
        <f t="shared" si="167"/>
        <v>0</v>
      </c>
    </row>
    <row r="766" spans="1:34" x14ac:dyDescent="0.2">
      <c r="A766" s="48" t="s">
        <v>801</v>
      </c>
      <c r="B766" s="48">
        <v>2</v>
      </c>
      <c r="C766" s="48" t="s">
        <v>785</v>
      </c>
      <c r="D766" s="48" t="s">
        <v>738</v>
      </c>
      <c r="E766" s="48" t="s">
        <v>358</v>
      </c>
      <c r="F766" s="48" t="s">
        <v>274</v>
      </c>
      <c r="G766" s="48" t="s">
        <v>288</v>
      </c>
      <c r="H766" s="48" t="s">
        <v>62</v>
      </c>
      <c r="I766" s="48" t="s">
        <v>138</v>
      </c>
      <c r="J766" s="49">
        <v>4</v>
      </c>
      <c r="K766" s="50">
        <v>455</v>
      </c>
      <c r="L766" s="50">
        <v>454.48</v>
      </c>
      <c r="M766" s="48" t="s">
        <v>276</v>
      </c>
      <c r="N766" s="51">
        <v>1</v>
      </c>
      <c r="O766" s="51">
        <v>1</v>
      </c>
      <c r="P766" s="52">
        <v>358.2</v>
      </c>
      <c r="Q766" s="52">
        <v>358.2</v>
      </c>
      <c r="R766" s="53" t="str">
        <f>INDEX(SKU_Master!$D$5:$D$34,MATCH($I766,SKU_Master!$A$5:$A$34,0))</f>
        <v>Monitor</v>
      </c>
      <c r="S766" s="54">
        <f t="shared" si="154"/>
        <v>1.1428571428571122E-3</v>
      </c>
      <c r="T766" s="55">
        <f t="shared" si="155"/>
        <v>1820</v>
      </c>
      <c r="U766" s="55">
        <f t="shared" si="156"/>
        <v>1817.92</v>
      </c>
      <c r="V766" s="55">
        <f t="shared" si="157"/>
        <v>-2.0799999999999272</v>
      </c>
      <c r="W766" s="55">
        <f t="shared" si="158"/>
        <v>1817.92</v>
      </c>
      <c r="X766" s="55">
        <f t="shared" si="159"/>
        <v>0</v>
      </c>
      <c r="Y766" s="55">
        <f t="shared" si="160"/>
        <v>1432.8</v>
      </c>
      <c r="Z766" s="55">
        <f t="shared" si="161"/>
        <v>1432.8</v>
      </c>
      <c r="AA766" s="55">
        <f t="shared" si="162"/>
        <v>0</v>
      </c>
      <c r="AB766" s="55">
        <f t="shared" si="163"/>
        <v>385.12000000000012</v>
      </c>
      <c r="AC766" s="54">
        <f t="shared" si="164"/>
        <v>0.2118465058968492</v>
      </c>
      <c r="AD766" s="56">
        <f>INDEX(Assumptions!$B$14:$B$16,MATCH($R766,Assumptions!$A$14:$A$16,0))</f>
        <v>0.18</v>
      </c>
      <c r="AE766" s="56">
        <f>INDEX(Assumptions!$C$14:$C$16,MATCH($R766,Assumptions!$A$14:$A$16,0))</f>
        <v>0.12</v>
      </c>
      <c r="AF766" s="49">
        <f t="shared" si="165"/>
        <v>0</v>
      </c>
      <c r="AG766" s="49">
        <f t="shared" si="166"/>
        <v>0</v>
      </c>
      <c r="AH766" s="55">
        <f t="shared" si="167"/>
        <v>0</v>
      </c>
    </row>
    <row r="767" spans="1:34" x14ac:dyDescent="0.2">
      <c r="A767" s="48" t="s">
        <v>801</v>
      </c>
      <c r="B767" s="48">
        <v>3</v>
      </c>
      <c r="C767" s="48" t="s">
        <v>785</v>
      </c>
      <c r="D767" s="48" t="s">
        <v>738</v>
      </c>
      <c r="E767" s="48" t="s">
        <v>358</v>
      </c>
      <c r="F767" s="48" t="s">
        <v>274</v>
      </c>
      <c r="G767" s="48" t="s">
        <v>288</v>
      </c>
      <c r="H767" s="48" t="s">
        <v>62</v>
      </c>
      <c r="I767" s="48" t="s">
        <v>154</v>
      </c>
      <c r="J767" s="49">
        <v>4</v>
      </c>
      <c r="K767" s="50">
        <v>475</v>
      </c>
      <c r="L767" s="50">
        <v>466.54</v>
      </c>
      <c r="M767" s="48" t="s">
        <v>276</v>
      </c>
      <c r="N767" s="51">
        <v>1</v>
      </c>
      <c r="O767" s="51">
        <v>1</v>
      </c>
      <c r="P767" s="52">
        <v>306</v>
      </c>
      <c r="Q767" s="52">
        <v>306</v>
      </c>
      <c r="R767" s="53" t="str">
        <f>INDEX(SKU_Master!$D$5:$D$34,MATCH($I767,SKU_Master!$A$5:$A$34,0))</f>
        <v>Accessory</v>
      </c>
      <c r="S767" s="54">
        <f t="shared" si="154"/>
        <v>1.7810526315789388E-2</v>
      </c>
      <c r="T767" s="55">
        <f t="shared" si="155"/>
        <v>1900</v>
      </c>
      <c r="U767" s="55">
        <f t="shared" si="156"/>
        <v>1866.16</v>
      </c>
      <c r="V767" s="55">
        <f t="shared" si="157"/>
        <v>-33.839999999999918</v>
      </c>
      <c r="W767" s="55">
        <f t="shared" si="158"/>
        <v>1866.16</v>
      </c>
      <c r="X767" s="55">
        <f t="shared" si="159"/>
        <v>0</v>
      </c>
      <c r="Y767" s="55">
        <f t="shared" si="160"/>
        <v>1224</v>
      </c>
      <c r="Z767" s="55">
        <f t="shared" si="161"/>
        <v>1224</v>
      </c>
      <c r="AA767" s="55">
        <f t="shared" si="162"/>
        <v>0</v>
      </c>
      <c r="AB767" s="55">
        <f t="shared" si="163"/>
        <v>642.16000000000008</v>
      </c>
      <c r="AC767" s="54">
        <f t="shared" si="164"/>
        <v>0.34410768637201528</v>
      </c>
      <c r="AD767" s="56">
        <f>INDEX(Assumptions!$B$14:$B$16,MATCH($R767,Assumptions!$A$14:$A$16,0))</f>
        <v>0.32</v>
      </c>
      <c r="AE767" s="56">
        <f>INDEX(Assumptions!$C$14:$C$16,MATCH($R767,Assumptions!$A$14:$A$16,0))</f>
        <v>0.22</v>
      </c>
      <c r="AF767" s="49">
        <f t="shared" si="165"/>
        <v>0</v>
      </c>
      <c r="AG767" s="49">
        <f t="shared" si="166"/>
        <v>0</v>
      </c>
      <c r="AH767" s="55">
        <f t="shared" si="167"/>
        <v>0</v>
      </c>
    </row>
    <row r="768" spans="1:34" x14ac:dyDescent="0.2">
      <c r="A768" s="48" t="s">
        <v>802</v>
      </c>
      <c r="B768" s="48">
        <v>1</v>
      </c>
      <c r="C768" s="48" t="s">
        <v>747</v>
      </c>
      <c r="D768" s="48" t="s">
        <v>738</v>
      </c>
      <c r="E768" s="48" t="s">
        <v>301</v>
      </c>
      <c r="F768" s="48" t="s">
        <v>274</v>
      </c>
      <c r="G768" s="48" t="s">
        <v>302</v>
      </c>
      <c r="H768" s="48" t="s">
        <v>62</v>
      </c>
      <c r="I768" s="48" t="s">
        <v>93</v>
      </c>
      <c r="J768" s="49">
        <v>4</v>
      </c>
      <c r="K768" s="50">
        <v>1390</v>
      </c>
      <c r="L768" s="50">
        <v>1336.63</v>
      </c>
      <c r="M768" s="48" t="s">
        <v>276</v>
      </c>
      <c r="N768" s="51">
        <v>1</v>
      </c>
      <c r="O768" s="51">
        <v>1</v>
      </c>
      <c r="P768" s="52">
        <v>1186.2</v>
      </c>
      <c r="Q768" s="52">
        <v>1186.2</v>
      </c>
      <c r="R768" s="53" t="str">
        <f>INDEX(SKU_Master!$D$5:$D$34,MATCH($I768,SKU_Master!$A$5:$A$34,0))</f>
        <v>Laptop</v>
      </c>
      <c r="S768" s="54">
        <f t="shared" si="154"/>
        <v>3.8395683453237295E-2</v>
      </c>
      <c r="T768" s="55">
        <f t="shared" si="155"/>
        <v>5560</v>
      </c>
      <c r="U768" s="55">
        <f t="shared" si="156"/>
        <v>5346.52</v>
      </c>
      <c r="V768" s="55">
        <f t="shared" si="157"/>
        <v>-213.47999999999956</v>
      </c>
      <c r="W768" s="55">
        <f t="shared" si="158"/>
        <v>5346.52</v>
      </c>
      <c r="X768" s="55">
        <f t="shared" si="159"/>
        <v>0</v>
      </c>
      <c r="Y768" s="55">
        <f t="shared" si="160"/>
        <v>4744.8</v>
      </c>
      <c r="Z768" s="55">
        <f t="shared" si="161"/>
        <v>4744.8</v>
      </c>
      <c r="AA768" s="55">
        <f t="shared" si="162"/>
        <v>0</v>
      </c>
      <c r="AB768" s="55">
        <f t="shared" si="163"/>
        <v>601.72000000000025</v>
      </c>
      <c r="AC768" s="54">
        <f t="shared" si="164"/>
        <v>0.11254423438049427</v>
      </c>
      <c r="AD768" s="56">
        <f>INDEX(Assumptions!$B$14:$B$16,MATCH($R768,Assumptions!$A$14:$A$16,0))</f>
        <v>0.12</v>
      </c>
      <c r="AE768" s="56">
        <f>INDEX(Assumptions!$C$14:$C$16,MATCH($R768,Assumptions!$A$14:$A$16,0))</f>
        <v>0.08</v>
      </c>
      <c r="AF768" s="49">
        <f t="shared" si="165"/>
        <v>0</v>
      </c>
      <c r="AG768" s="49">
        <f t="shared" si="166"/>
        <v>0</v>
      </c>
      <c r="AH768" s="55">
        <f t="shared" si="167"/>
        <v>39.862399999999752</v>
      </c>
    </row>
    <row r="769" spans="1:34" x14ac:dyDescent="0.2">
      <c r="A769" s="48" t="s">
        <v>802</v>
      </c>
      <c r="B769" s="48">
        <v>2</v>
      </c>
      <c r="C769" s="48" t="s">
        <v>747</v>
      </c>
      <c r="D769" s="48" t="s">
        <v>738</v>
      </c>
      <c r="E769" s="48" t="s">
        <v>301</v>
      </c>
      <c r="F769" s="48" t="s">
        <v>274</v>
      </c>
      <c r="G769" s="48" t="s">
        <v>302</v>
      </c>
      <c r="H769" s="48" t="s">
        <v>62</v>
      </c>
      <c r="I769" s="48" t="s">
        <v>141</v>
      </c>
      <c r="J769" s="49">
        <v>2</v>
      </c>
      <c r="K769" s="50">
        <v>450</v>
      </c>
      <c r="L769" s="50">
        <v>446.89</v>
      </c>
      <c r="M769" s="48" t="s">
        <v>276</v>
      </c>
      <c r="N769" s="51">
        <v>1</v>
      </c>
      <c r="O769" s="51">
        <v>1</v>
      </c>
      <c r="P769" s="52">
        <v>351.7</v>
      </c>
      <c r="Q769" s="52">
        <v>351.7</v>
      </c>
      <c r="R769" s="53" t="str">
        <f>INDEX(SKU_Master!$D$5:$D$34,MATCH($I769,SKU_Master!$A$5:$A$34,0))</f>
        <v>Monitor</v>
      </c>
      <c r="S769" s="54">
        <f t="shared" si="154"/>
        <v>6.9111111111110901E-3</v>
      </c>
      <c r="T769" s="55">
        <f t="shared" si="155"/>
        <v>900</v>
      </c>
      <c r="U769" s="55">
        <f t="shared" si="156"/>
        <v>893.78</v>
      </c>
      <c r="V769" s="55">
        <f t="shared" si="157"/>
        <v>-6.2200000000000273</v>
      </c>
      <c r="W769" s="55">
        <f t="shared" si="158"/>
        <v>893.78</v>
      </c>
      <c r="X769" s="55">
        <f t="shared" si="159"/>
        <v>0</v>
      </c>
      <c r="Y769" s="55">
        <f t="shared" si="160"/>
        <v>703.4</v>
      </c>
      <c r="Z769" s="55">
        <f t="shared" si="161"/>
        <v>703.4</v>
      </c>
      <c r="AA769" s="55">
        <f t="shared" si="162"/>
        <v>0</v>
      </c>
      <c r="AB769" s="55">
        <f t="shared" si="163"/>
        <v>190.38</v>
      </c>
      <c r="AC769" s="54">
        <f t="shared" si="164"/>
        <v>0.2130054375797176</v>
      </c>
      <c r="AD769" s="56">
        <f>INDEX(Assumptions!$B$14:$B$16,MATCH($R769,Assumptions!$A$14:$A$16,0))</f>
        <v>0.18</v>
      </c>
      <c r="AE769" s="56">
        <f>INDEX(Assumptions!$C$14:$C$16,MATCH($R769,Assumptions!$A$14:$A$16,0))</f>
        <v>0.12</v>
      </c>
      <c r="AF769" s="49">
        <f t="shared" si="165"/>
        <v>0</v>
      </c>
      <c r="AG769" s="49">
        <f t="shared" si="166"/>
        <v>0</v>
      </c>
      <c r="AH769" s="55">
        <f t="shared" si="167"/>
        <v>0</v>
      </c>
    </row>
    <row r="770" spans="1:34" x14ac:dyDescent="0.2">
      <c r="A770" s="48" t="s">
        <v>802</v>
      </c>
      <c r="B770" s="48">
        <v>3</v>
      </c>
      <c r="C770" s="48" t="s">
        <v>747</v>
      </c>
      <c r="D770" s="48" t="s">
        <v>738</v>
      </c>
      <c r="E770" s="48" t="s">
        <v>301</v>
      </c>
      <c r="F770" s="48" t="s">
        <v>274</v>
      </c>
      <c r="G770" s="48" t="s">
        <v>302</v>
      </c>
      <c r="H770" s="48" t="s">
        <v>62</v>
      </c>
      <c r="I770" s="48" t="s">
        <v>173</v>
      </c>
      <c r="J770" s="49">
        <v>2</v>
      </c>
      <c r="K770" s="50">
        <v>55</v>
      </c>
      <c r="L770" s="50">
        <v>53.18</v>
      </c>
      <c r="M770" s="48" t="s">
        <v>276</v>
      </c>
      <c r="N770" s="51">
        <v>1</v>
      </c>
      <c r="O770" s="51">
        <v>1</v>
      </c>
      <c r="P770" s="52">
        <v>34</v>
      </c>
      <c r="Q770" s="52">
        <v>34</v>
      </c>
      <c r="R770" s="53" t="str">
        <f>INDEX(SKU_Master!$D$5:$D$34,MATCH($I770,SKU_Master!$A$5:$A$34,0))</f>
        <v>Accessory</v>
      </c>
      <c r="S770" s="54">
        <f t="shared" si="154"/>
        <v>3.309090909090906E-2</v>
      </c>
      <c r="T770" s="55">
        <f t="shared" si="155"/>
        <v>110</v>
      </c>
      <c r="U770" s="55">
        <f t="shared" si="156"/>
        <v>106.36</v>
      </c>
      <c r="V770" s="55">
        <f t="shared" si="157"/>
        <v>-3.6400000000000006</v>
      </c>
      <c r="W770" s="55">
        <f t="shared" si="158"/>
        <v>106.36</v>
      </c>
      <c r="X770" s="55">
        <f t="shared" si="159"/>
        <v>0</v>
      </c>
      <c r="Y770" s="55">
        <f t="shared" si="160"/>
        <v>68</v>
      </c>
      <c r="Z770" s="55">
        <f t="shared" si="161"/>
        <v>68</v>
      </c>
      <c r="AA770" s="55">
        <f t="shared" si="162"/>
        <v>0</v>
      </c>
      <c r="AB770" s="55">
        <f t="shared" si="163"/>
        <v>38.36</v>
      </c>
      <c r="AC770" s="54">
        <f t="shared" si="164"/>
        <v>0.36066190297104173</v>
      </c>
      <c r="AD770" s="56">
        <f>INDEX(Assumptions!$B$14:$B$16,MATCH($R770,Assumptions!$A$14:$A$16,0))</f>
        <v>0.32</v>
      </c>
      <c r="AE770" s="56">
        <f>INDEX(Assumptions!$C$14:$C$16,MATCH($R770,Assumptions!$A$14:$A$16,0))</f>
        <v>0.22</v>
      </c>
      <c r="AF770" s="49">
        <f t="shared" si="165"/>
        <v>0</v>
      </c>
      <c r="AG770" s="49">
        <f t="shared" si="166"/>
        <v>0</v>
      </c>
      <c r="AH770" s="55">
        <f t="shared" si="167"/>
        <v>0</v>
      </c>
    </row>
    <row r="771" spans="1:34" x14ac:dyDescent="0.2">
      <c r="A771" s="48" t="s">
        <v>803</v>
      </c>
      <c r="B771" s="48">
        <v>1</v>
      </c>
      <c r="C771" s="48" t="s">
        <v>743</v>
      </c>
      <c r="D771" s="48" t="s">
        <v>738</v>
      </c>
      <c r="E771" s="48" t="s">
        <v>558</v>
      </c>
      <c r="F771" s="48" t="s">
        <v>280</v>
      </c>
      <c r="G771" s="48" t="s">
        <v>288</v>
      </c>
      <c r="H771" s="48" t="s">
        <v>62</v>
      </c>
      <c r="I771" s="48" t="s">
        <v>108</v>
      </c>
      <c r="J771" s="49">
        <v>23</v>
      </c>
      <c r="K771" s="50">
        <v>1345</v>
      </c>
      <c r="L771" s="50">
        <v>1322.87</v>
      </c>
      <c r="M771" s="48" t="s">
        <v>276</v>
      </c>
      <c r="N771" s="51">
        <v>1</v>
      </c>
      <c r="O771" s="51">
        <v>1</v>
      </c>
      <c r="P771" s="52">
        <v>1145</v>
      </c>
      <c r="Q771" s="52">
        <v>1145</v>
      </c>
      <c r="R771" s="53" t="str">
        <f>INDEX(SKU_Master!$D$5:$D$34,MATCH($I771,SKU_Master!$A$5:$A$34,0))</f>
        <v>Laptop</v>
      </c>
      <c r="S771" s="54">
        <f t="shared" si="154"/>
        <v>1.6453531598513038E-2</v>
      </c>
      <c r="T771" s="55">
        <f t="shared" si="155"/>
        <v>30935</v>
      </c>
      <c r="U771" s="55">
        <f t="shared" si="156"/>
        <v>30426.01</v>
      </c>
      <c r="V771" s="55">
        <f t="shared" si="157"/>
        <v>-508.9900000000016</v>
      </c>
      <c r="W771" s="55">
        <f t="shared" si="158"/>
        <v>30426.01</v>
      </c>
      <c r="X771" s="55">
        <f t="shared" si="159"/>
        <v>0</v>
      </c>
      <c r="Y771" s="55">
        <f t="shared" si="160"/>
        <v>26335</v>
      </c>
      <c r="Z771" s="55">
        <f t="shared" si="161"/>
        <v>26335</v>
      </c>
      <c r="AA771" s="55">
        <f t="shared" si="162"/>
        <v>0</v>
      </c>
      <c r="AB771" s="55">
        <f t="shared" si="163"/>
        <v>4091.0099999999984</v>
      </c>
      <c r="AC771" s="54">
        <f t="shared" si="164"/>
        <v>0.13445765645906244</v>
      </c>
      <c r="AD771" s="56">
        <f>INDEX(Assumptions!$B$14:$B$16,MATCH($R771,Assumptions!$A$14:$A$16,0))</f>
        <v>0.12</v>
      </c>
      <c r="AE771" s="56">
        <f>INDEX(Assumptions!$C$14:$C$16,MATCH($R771,Assumptions!$A$14:$A$16,0))</f>
        <v>0.08</v>
      </c>
      <c r="AF771" s="49">
        <f t="shared" si="165"/>
        <v>0</v>
      </c>
      <c r="AG771" s="49">
        <f t="shared" si="166"/>
        <v>0</v>
      </c>
      <c r="AH771" s="55">
        <f t="shared" si="167"/>
        <v>0</v>
      </c>
    </row>
    <row r="772" spans="1:34" x14ac:dyDescent="0.2">
      <c r="A772" s="48" t="s">
        <v>803</v>
      </c>
      <c r="B772" s="48">
        <v>2</v>
      </c>
      <c r="C772" s="48" t="s">
        <v>743</v>
      </c>
      <c r="D772" s="48" t="s">
        <v>738</v>
      </c>
      <c r="E772" s="48" t="s">
        <v>558</v>
      </c>
      <c r="F772" s="48" t="s">
        <v>280</v>
      </c>
      <c r="G772" s="48" t="s">
        <v>288</v>
      </c>
      <c r="H772" s="48" t="s">
        <v>62</v>
      </c>
      <c r="I772" s="48" t="s">
        <v>135</v>
      </c>
      <c r="J772" s="49">
        <v>15</v>
      </c>
      <c r="K772" s="50">
        <v>240</v>
      </c>
      <c r="L772" s="50">
        <v>229.6</v>
      </c>
      <c r="M772" s="48" t="s">
        <v>276</v>
      </c>
      <c r="N772" s="51">
        <v>1</v>
      </c>
      <c r="O772" s="51">
        <v>1</v>
      </c>
      <c r="P772" s="52">
        <v>186.7</v>
      </c>
      <c r="Q772" s="52">
        <v>186.7</v>
      </c>
      <c r="R772" s="53" t="str">
        <f>INDEX(SKU_Master!$D$5:$D$34,MATCH($I772,SKU_Master!$A$5:$A$34,0))</f>
        <v>Monitor</v>
      </c>
      <c r="S772" s="54">
        <f t="shared" si="154"/>
        <v>4.3333333333333335E-2</v>
      </c>
      <c r="T772" s="55">
        <f t="shared" si="155"/>
        <v>3600</v>
      </c>
      <c r="U772" s="55">
        <f t="shared" si="156"/>
        <v>3444</v>
      </c>
      <c r="V772" s="55">
        <f t="shared" si="157"/>
        <v>-156</v>
      </c>
      <c r="W772" s="55">
        <f t="shared" si="158"/>
        <v>3444</v>
      </c>
      <c r="X772" s="55">
        <f t="shared" si="159"/>
        <v>0</v>
      </c>
      <c r="Y772" s="55">
        <f t="shared" si="160"/>
        <v>2800.5</v>
      </c>
      <c r="Z772" s="55">
        <f t="shared" si="161"/>
        <v>2800.5</v>
      </c>
      <c r="AA772" s="55">
        <f t="shared" si="162"/>
        <v>0</v>
      </c>
      <c r="AB772" s="55">
        <f t="shared" si="163"/>
        <v>643.5</v>
      </c>
      <c r="AC772" s="54">
        <f t="shared" si="164"/>
        <v>0.18684668989547037</v>
      </c>
      <c r="AD772" s="56">
        <f>INDEX(Assumptions!$B$14:$B$16,MATCH($R772,Assumptions!$A$14:$A$16,0))</f>
        <v>0.18</v>
      </c>
      <c r="AE772" s="56">
        <f>INDEX(Assumptions!$C$14:$C$16,MATCH($R772,Assumptions!$A$14:$A$16,0))</f>
        <v>0.12</v>
      </c>
      <c r="AF772" s="49">
        <f t="shared" si="165"/>
        <v>0</v>
      </c>
      <c r="AG772" s="49">
        <f t="shared" si="166"/>
        <v>0</v>
      </c>
      <c r="AH772" s="55">
        <f t="shared" si="167"/>
        <v>0</v>
      </c>
    </row>
    <row r="773" spans="1:34" x14ac:dyDescent="0.2">
      <c r="A773" s="48" t="s">
        <v>803</v>
      </c>
      <c r="B773" s="48">
        <v>3</v>
      </c>
      <c r="C773" s="48" t="s">
        <v>743</v>
      </c>
      <c r="D773" s="48" t="s">
        <v>738</v>
      </c>
      <c r="E773" s="48" t="s">
        <v>558</v>
      </c>
      <c r="F773" s="48" t="s">
        <v>280</v>
      </c>
      <c r="G773" s="48" t="s">
        <v>288</v>
      </c>
      <c r="H773" s="48" t="s">
        <v>62</v>
      </c>
      <c r="I773" s="48" t="s">
        <v>164</v>
      </c>
      <c r="J773" s="49">
        <v>16</v>
      </c>
      <c r="K773" s="50">
        <v>190</v>
      </c>
      <c r="L773" s="50">
        <v>187.84</v>
      </c>
      <c r="M773" s="48" t="s">
        <v>276</v>
      </c>
      <c r="N773" s="51">
        <v>1</v>
      </c>
      <c r="O773" s="51">
        <v>1</v>
      </c>
      <c r="P773" s="52">
        <v>121</v>
      </c>
      <c r="Q773" s="52">
        <v>121</v>
      </c>
      <c r="R773" s="53" t="str">
        <f>INDEX(SKU_Master!$D$5:$D$34,MATCH($I773,SKU_Master!$A$5:$A$34,0))</f>
        <v>Accessory</v>
      </c>
      <c r="S773" s="54">
        <f t="shared" ref="S773:S836" si="168">IF(K773=0,0,1-L773/K773)</f>
        <v>1.1368421052631583E-2</v>
      </c>
      <c r="T773" s="55">
        <f t="shared" ref="T773:T836" si="169">J773*K773/N773</f>
        <v>3040</v>
      </c>
      <c r="U773" s="55">
        <f t="shared" ref="U773:U836" si="170">J773*L773/N773</f>
        <v>3005.44</v>
      </c>
      <c r="V773" s="55">
        <f t="shared" ref="V773:V836" si="171">U773-T773</f>
        <v>-34.559999999999945</v>
      </c>
      <c r="W773" s="55">
        <f t="shared" ref="W773:W836" si="172">J773*L773/O773</f>
        <v>3005.44</v>
      </c>
      <c r="X773" s="55">
        <f t="shared" ref="X773:X836" si="173">W773-U773</f>
        <v>0</v>
      </c>
      <c r="Y773" s="55">
        <f t="shared" ref="Y773:Y836" si="174">J773*P773</f>
        <v>1936</v>
      </c>
      <c r="Z773" s="55">
        <f t="shared" ref="Z773:Z836" si="175">J773*Q773</f>
        <v>1936</v>
      </c>
      <c r="AA773" s="55">
        <f t="shared" ref="AA773:AA836" si="176">Y773-Z773</f>
        <v>0</v>
      </c>
      <c r="AB773" s="55">
        <f t="shared" ref="AB773:AB836" si="177">W773-Z773</f>
        <v>1069.44</v>
      </c>
      <c r="AC773" s="54">
        <f t="shared" ref="AC773:AC836" si="178">IF(W773=0,0,AB773/W773)</f>
        <v>0.35583475298126066</v>
      </c>
      <c r="AD773" s="56">
        <f>INDEX(Assumptions!$B$14:$B$16,MATCH($R773,Assumptions!$A$14:$A$16,0))</f>
        <v>0.32</v>
      </c>
      <c r="AE773" s="56">
        <f>INDEX(Assumptions!$C$14:$C$16,MATCH($R773,Assumptions!$A$14:$A$16,0))</f>
        <v>0.22</v>
      </c>
      <c r="AF773" s="49">
        <f t="shared" ref="AF773:AF836" si="179">IF(AC773&lt;AE773,1,0)</f>
        <v>0</v>
      </c>
      <c r="AG773" s="49">
        <f t="shared" ref="AG773:AG836" si="180">IF(AND(AF773=1,M773="N"),1,0)</f>
        <v>0</v>
      </c>
      <c r="AH773" s="55">
        <f t="shared" ref="AH773:AH836" si="181">MAX(0,W773*AD773-AB773)</f>
        <v>0</v>
      </c>
    </row>
    <row r="774" spans="1:34" x14ac:dyDescent="0.2">
      <c r="A774" s="48" t="s">
        <v>804</v>
      </c>
      <c r="B774" s="48">
        <v>1</v>
      </c>
      <c r="C774" s="48" t="s">
        <v>757</v>
      </c>
      <c r="D774" s="48" t="s">
        <v>738</v>
      </c>
      <c r="E774" s="48" t="s">
        <v>301</v>
      </c>
      <c r="F774" s="48" t="s">
        <v>274</v>
      </c>
      <c r="G774" s="48" t="s">
        <v>302</v>
      </c>
      <c r="H774" s="48" t="s">
        <v>62</v>
      </c>
      <c r="I774" s="48" t="s">
        <v>106</v>
      </c>
      <c r="J774" s="49">
        <v>3</v>
      </c>
      <c r="K774" s="50">
        <v>1520</v>
      </c>
      <c r="L774" s="50">
        <v>1479.37</v>
      </c>
      <c r="M774" s="48" t="s">
        <v>276</v>
      </c>
      <c r="N774" s="51">
        <v>1</v>
      </c>
      <c r="O774" s="51">
        <v>1</v>
      </c>
      <c r="P774" s="52">
        <v>1298.4000000000001</v>
      </c>
      <c r="Q774" s="52">
        <v>1298.4000000000001</v>
      </c>
      <c r="R774" s="53" t="str">
        <f>INDEX(SKU_Master!$D$5:$D$34,MATCH($I774,SKU_Master!$A$5:$A$34,0))</f>
        <v>Laptop</v>
      </c>
      <c r="S774" s="54">
        <f t="shared" si="168"/>
        <v>2.673026315789484E-2</v>
      </c>
      <c r="T774" s="55">
        <f t="shared" si="169"/>
        <v>4560</v>
      </c>
      <c r="U774" s="55">
        <f t="shared" si="170"/>
        <v>4438.1099999999997</v>
      </c>
      <c r="V774" s="55">
        <f t="shared" si="171"/>
        <v>-121.89000000000033</v>
      </c>
      <c r="W774" s="55">
        <f t="shared" si="172"/>
        <v>4438.1099999999997</v>
      </c>
      <c r="X774" s="55">
        <f t="shared" si="173"/>
        <v>0</v>
      </c>
      <c r="Y774" s="55">
        <f t="shared" si="174"/>
        <v>3895.2000000000003</v>
      </c>
      <c r="Z774" s="55">
        <f t="shared" si="175"/>
        <v>3895.2000000000003</v>
      </c>
      <c r="AA774" s="55">
        <f t="shared" si="176"/>
        <v>0</v>
      </c>
      <c r="AB774" s="55">
        <f t="shared" si="177"/>
        <v>542.9099999999994</v>
      </c>
      <c r="AC774" s="54">
        <f t="shared" si="178"/>
        <v>0.12232909954913228</v>
      </c>
      <c r="AD774" s="56">
        <f>INDEX(Assumptions!$B$14:$B$16,MATCH($R774,Assumptions!$A$14:$A$16,0))</f>
        <v>0.12</v>
      </c>
      <c r="AE774" s="56">
        <f>INDEX(Assumptions!$C$14:$C$16,MATCH($R774,Assumptions!$A$14:$A$16,0))</f>
        <v>0.08</v>
      </c>
      <c r="AF774" s="49">
        <f t="shared" si="179"/>
        <v>0</v>
      </c>
      <c r="AG774" s="49">
        <f t="shared" si="180"/>
        <v>0</v>
      </c>
      <c r="AH774" s="55">
        <f t="shared" si="181"/>
        <v>0</v>
      </c>
    </row>
    <row r="775" spans="1:34" x14ac:dyDescent="0.2">
      <c r="A775" s="48" t="s">
        <v>804</v>
      </c>
      <c r="B775" s="48">
        <v>2</v>
      </c>
      <c r="C775" s="48" t="s">
        <v>757</v>
      </c>
      <c r="D775" s="48" t="s">
        <v>738</v>
      </c>
      <c r="E775" s="48" t="s">
        <v>301</v>
      </c>
      <c r="F775" s="48" t="s">
        <v>274</v>
      </c>
      <c r="G775" s="48" t="s">
        <v>302</v>
      </c>
      <c r="H775" s="48" t="s">
        <v>62</v>
      </c>
      <c r="I775" s="48" t="s">
        <v>138</v>
      </c>
      <c r="J775" s="49">
        <v>3</v>
      </c>
      <c r="K775" s="50">
        <v>455</v>
      </c>
      <c r="L775" s="50">
        <v>434.34</v>
      </c>
      <c r="M775" s="48" t="s">
        <v>276</v>
      </c>
      <c r="N775" s="51">
        <v>1</v>
      </c>
      <c r="O775" s="51">
        <v>1</v>
      </c>
      <c r="P775" s="52">
        <v>358.2</v>
      </c>
      <c r="Q775" s="52">
        <v>358.2</v>
      </c>
      <c r="R775" s="53" t="str">
        <f>INDEX(SKU_Master!$D$5:$D$34,MATCH($I775,SKU_Master!$A$5:$A$34,0))</f>
        <v>Monitor</v>
      </c>
      <c r="S775" s="54">
        <f t="shared" si="168"/>
        <v>4.5406593406593476E-2</v>
      </c>
      <c r="T775" s="55">
        <f t="shared" si="169"/>
        <v>1365</v>
      </c>
      <c r="U775" s="55">
        <f t="shared" si="170"/>
        <v>1303.02</v>
      </c>
      <c r="V775" s="55">
        <f t="shared" si="171"/>
        <v>-61.980000000000018</v>
      </c>
      <c r="W775" s="55">
        <f t="shared" si="172"/>
        <v>1303.02</v>
      </c>
      <c r="X775" s="55">
        <f t="shared" si="173"/>
        <v>0</v>
      </c>
      <c r="Y775" s="55">
        <f t="shared" si="174"/>
        <v>1074.5999999999999</v>
      </c>
      <c r="Z775" s="55">
        <f t="shared" si="175"/>
        <v>1074.5999999999999</v>
      </c>
      <c r="AA775" s="55">
        <f t="shared" si="176"/>
        <v>0</v>
      </c>
      <c r="AB775" s="55">
        <f t="shared" si="177"/>
        <v>228.42000000000007</v>
      </c>
      <c r="AC775" s="54">
        <f t="shared" si="178"/>
        <v>0.17530045586406967</v>
      </c>
      <c r="AD775" s="56">
        <f>INDEX(Assumptions!$B$14:$B$16,MATCH($R775,Assumptions!$A$14:$A$16,0))</f>
        <v>0.18</v>
      </c>
      <c r="AE775" s="56">
        <f>INDEX(Assumptions!$C$14:$C$16,MATCH($R775,Assumptions!$A$14:$A$16,0))</f>
        <v>0.12</v>
      </c>
      <c r="AF775" s="49">
        <f t="shared" si="179"/>
        <v>0</v>
      </c>
      <c r="AG775" s="49">
        <f t="shared" si="180"/>
        <v>0</v>
      </c>
      <c r="AH775" s="55">
        <f t="shared" si="181"/>
        <v>6.1235999999999251</v>
      </c>
    </row>
    <row r="776" spans="1:34" x14ac:dyDescent="0.2">
      <c r="A776" s="48" t="s">
        <v>804</v>
      </c>
      <c r="B776" s="48">
        <v>3</v>
      </c>
      <c r="C776" s="48" t="s">
        <v>757</v>
      </c>
      <c r="D776" s="48" t="s">
        <v>738</v>
      </c>
      <c r="E776" s="48" t="s">
        <v>301</v>
      </c>
      <c r="F776" s="48" t="s">
        <v>274</v>
      </c>
      <c r="G776" s="48" t="s">
        <v>302</v>
      </c>
      <c r="H776" s="48" t="s">
        <v>62</v>
      </c>
      <c r="I776" s="48" t="s">
        <v>151</v>
      </c>
      <c r="J776" s="49">
        <v>1</v>
      </c>
      <c r="K776" s="50">
        <v>335</v>
      </c>
      <c r="L776" s="50">
        <v>332.78</v>
      </c>
      <c r="M776" s="48" t="s">
        <v>276</v>
      </c>
      <c r="N776" s="51">
        <v>1</v>
      </c>
      <c r="O776" s="51">
        <v>1</v>
      </c>
      <c r="P776" s="52">
        <v>216.7</v>
      </c>
      <c r="Q776" s="52">
        <v>216.7</v>
      </c>
      <c r="R776" s="53" t="str">
        <f>INDEX(SKU_Master!$D$5:$D$34,MATCH($I776,SKU_Master!$A$5:$A$34,0))</f>
        <v>Accessory</v>
      </c>
      <c r="S776" s="54">
        <f t="shared" si="168"/>
        <v>6.626865671641835E-3</v>
      </c>
      <c r="T776" s="55">
        <f t="shared" si="169"/>
        <v>335</v>
      </c>
      <c r="U776" s="55">
        <f t="shared" si="170"/>
        <v>332.78</v>
      </c>
      <c r="V776" s="55">
        <f t="shared" si="171"/>
        <v>-2.2200000000000273</v>
      </c>
      <c r="W776" s="55">
        <f t="shared" si="172"/>
        <v>332.78</v>
      </c>
      <c r="X776" s="55">
        <f t="shared" si="173"/>
        <v>0</v>
      </c>
      <c r="Y776" s="55">
        <f t="shared" si="174"/>
        <v>216.7</v>
      </c>
      <c r="Z776" s="55">
        <f t="shared" si="175"/>
        <v>216.7</v>
      </c>
      <c r="AA776" s="55">
        <f t="shared" si="176"/>
        <v>0</v>
      </c>
      <c r="AB776" s="55">
        <f t="shared" si="177"/>
        <v>116.07999999999998</v>
      </c>
      <c r="AC776" s="54">
        <f t="shared" si="178"/>
        <v>0.34881903960574551</v>
      </c>
      <c r="AD776" s="56">
        <f>INDEX(Assumptions!$B$14:$B$16,MATCH($R776,Assumptions!$A$14:$A$16,0))</f>
        <v>0.32</v>
      </c>
      <c r="AE776" s="56">
        <f>INDEX(Assumptions!$C$14:$C$16,MATCH($R776,Assumptions!$A$14:$A$16,0))</f>
        <v>0.22</v>
      </c>
      <c r="AF776" s="49">
        <f t="shared" si="179"/>
        <v>0</v>
      </c>
      <c r="AG776" s="49">
        <f t="shared" si="180"/>
        <v>0</v>
      </c>
      <c r="AH776" s="55">
        <f t="shared" si="181"/>
        <v>0</v>
      </c>
    </row>
    <row r="777" spans="1:34" x14ac:dyDescent="0.2">
      <c r="A777" s="48" t="s">
        <v>805</v>
      </c>
      <c r="B777" s="48">
        <v>1</v>
      </c>
      <c r="C777" s="48" t="s">
        <v>755</v>
      </c>
      <c r="D777" s="48" t="s">
        <v>738</v>
      </c>
      <c r="E777" s="48" t="s">
        <v>393</v>
      </c>
      <c r="F777" s="48" t="s">
        <v>274</v>
      </c>
      <c r="G777" s="48" t="s">
        <v>275</v>
      </c>
      <c r="H777" s="48" t="s">
        <v>66</v>
      </c>
      <c r="I777" s="48" t="s">
        <v>113</v>
      </c>
      <c r="J777" s="49">
        <v>5</v>
      </c>
      <c r="K777" s="50">
        <v>1655</v>
      </c>
      <c r="L777" s="50">
        <v>1622.16</v>
      </c>
      <c r="M777" s="48" t="s">
        <v>276</v>
      </c>
      <c r="N777" s="51">
        <v>0.92</v>
      </c>
      <c r="O777" s="51">
        <v>0.92079999999999995</v>
      </c>
      <c r="P777" s="52">
        <v>1504.8</v>
      </c>
      <c r="Q777" s="52">
        <v>1504.8</v>
      </c>
      <c r="R777" s="53" t="str">
        <f>INDEX(SKU_Master!$D$5:$D$34,MATCH($I777,SKU_Master!$A$5:$A$34,0))</f>
        <v>Laptop</v>
      </c>
      <c r="S777" s="54">
        <f t="shared" si="168"/>
        <v>1.9842900302114774E-2</v>
      </c>
      <c r="T777" s="55">
        <f t="shared" si="169"/>
        <v>8994.565217391304</v>
      </c>
      <c r="U777" s="55">
        <f t="shared" si="170"/>
        <v>8816.0869565217381</v>
      </c>
      <c r="V777" s="55">
        <f t="shared" si="171"/>
        <v>-178.47826086956593</v>
      </c>
      <c r="W777" s="55">
        <f t="shared" si="172"/>
        <v>8808.427454387489</v>
      </c>
      <c r="X777" s="55">
        <f t="shared" si="173"/>
        <v>-7.6595021342491236</v>
      </c>
      <c r="Y777" s="55">
        <f t="shared" si="174"/>
        <v>7524</v>
      </c>
      <c r="Z777" s="55">
        <f t="shared" si="175"/>
        <v>7524</v>
      </c>
      <c r="AA777" s="55">
        <f t="shared" si="176"/>
        <v>0</v>
      </c>
      <c r="AB777" s="55">
        <f t="shared" si="177"/>
        <v>1284.427454387489</v>
      </c>
      <c r="AC777" s="54">
        <f t="shared" si="178"/>
        <v>0.14581802041722147</v>
      </c>
      <c r="AD777" s="56">
        <f>INDEX(Assumptions!$B$14:$B$16,MATCH($R777,Assumptions!$A$14:$A$16,0))</f>
        <v>0.12</v>
      </c>
      <c r="AE777" s="56">
        <f>INDEX(Assumptions!$C$14:$C$16,MATCH($R777,Assumptions!$A$14:$A$16,0))</f>
        <v>0.08</v>
      </c>
      <c r="AF777" s="49">
        <f t="shared" si="179"/>
        <v>0</v>
      </c>
      <c r="AG777" s="49">
        <f t="shared" si="180"/>
        <v>0</v>
      </c>
      <c r="AH777" s="55">
        <f t="shared" si="181"/>
        <v>0</v>
      </c>
    </row>
    <row r="778" spans="1:34" x14ac:dyDescent="0.2">
      <c r="A778" s="48" t="s">
        <v>806</v>
      </c>
      <c r="B778" s="48">
        <v>1</v>
      </c>
      <c r="C778" s="48" t="s">
        <v>807</v>
      </c>
      <c r="D778" s="48" t="s">
        <v>738</v>
      </c>
      <c r="E778" s="48" t="s">
        <v>314</v>
      </c>
      <c r="F778" s="48" t="s">
        <v>274</v>
      </c>
      <c r="G778" s="48" t="s">
        <v>298</v>
      </c>
      <c r="H778" s="48" t="s">
        <v>68</v>
      </c>
      <c r="I778" s="48" t="s">
        <v>115</v>
      </c>
      <c r="J778" s="49">
        <v>5</v>
      </c>
      <c r="K778" s="50">
        <v>1205</v>
      </c>
      <c r="L778" s="50">
        <v>1182.47</v>
      </c>
      <c r="M778" s="48" t="s">
        <v>276</v>
      </c>
      <c r="N778" s="51">
        <v>1.37</v>
      </c>
      <c r="O778" s="51">
        <v>1.3734999999999999</v>
      </c>
      <c r="P778" s="52">
        <v>735.6</v>
      </c>
      <c r="Q778" s="52">
        <v>735.6</v>
      </c>
      <c r="R778" s="53" t="str">
        <f>INDEX(SKU_Master!$D$5:$D$34,MATCH($I778,SKU_Master!$A$5:$A$34,0))</f>
        <v>Laptop</v>
      </c>
      <c r="S778" s="54">
        <f t="shared" si="168"/>
        <v>1.8697095435684652E-2</v>
      </c>
      <c r="T778" s="55">
        <f t="shared" si="169"/>
        <v>4397.8102189781021</v>
      </c>
      <c r="U778" s="55">
        <f t="shared" si="170"/>
        <v>4315.5839416058398</v>
      </c>
      <c r="V778" s="55">
        <f t="shared" si="171"/>
        <v>-82.226277372262302</v>
      </c>
      <c r="W778" s="55">
        <f t="shared" si="172"/>
        <v>4304.5868219876229</v>
      </c>
      <c r="X778" s="55">
        <f t="shared" si="173"/>
        <v>-10.997119618216857</v>
      </c>
      <c r="Y778" s="55">
        <f t="shared" si="174"/>
        <v>3678</v>
      </c>
      <c r="Z778" s="55">
        <f t="shared" si="175"/>
        <v>3678</v>
      </c>
      <c r="AA778" s="55">
        <f t="shared" si="176"/>
        <v>0</v>
      </c>
      <c r="AB778" s="55">
        <f t="shared" si="177"/>
        <v>626.5868219876229</v>
      </c>
      <c r="AC778" s="54">
        <f t="shared" si="178"/>
        <v>0.14556259355417051</v>
      </c>
      <c r="AD778" s="56">
        <f>INDEX(Assumptions!$B$14:$B$16,MATCH($R778,Assumptions!$A$14:$A$16,0))</f>
        <v>0.12</v>
      </c>
      <c r="AE778" s="56">
        <f>INDEX(Assumptions!$C$14:$C$16,MATCH($R778,Assumptions!$A$14:$A$16,0))</f>
        <v>0.08</v>
      </c>
      <c r="AF778" s="49">
        <f t="shared" si="179"/>
        <v>0</v>
      </c>
      <c r="AG778" s="49">
        <f t="shared" si="180"/>
        <v>0</v>
      </c>
      <c r="AH778" s="55">
        <f t="shared" si="181"/>
        <v>0</v>
      </c>
    </row>
    <row r="779" spans="1:34" x14ac:dyDescent="0.2">
      <c r="A779" s="48" t="s">
        <v>808</v>
      </c>
      <c r="B779" s="48">
        <v>1</v>
      </c>
      <c r="C779" s="48" t="s">
        <v>757</v>
      </c>
      <c r="D779" s="48" t="s">
        <v>738</v>
      </c>
      <c r="E779" s="48" t="s">
        <v>296</v>
      </c>
      <c r="F779" s="48" t="s">
        <v>297</v>
      </c>
      <c r="G779" s="48" t="s">
        <v>298</v>
      </c>
      <c r="H779" s="48" t="s">
        <v>66</v>
      </c>
      <c r="I779" s="48" t="s">
        <v>118</v>
      </c>
      <c r="J779" s="49">
        <v>45</v>
      </c>
      <c r="K779" s="50">
        <v>1300</v>
      </c>
      <c r="L779" s="50">
        <v>1259.98</v>
      </c>
      <c r="M779" s="48" t="s">
        <v>276</v>
      </c>
      <c r="N779" s="51">
        <v>0.92</v>
      </c>
      <c r="O779" s="51">
        <v>0.92079999999999995</v>
      </c>
      <c r="P779" s="52">
        <v>1182.5999999999999</v>
      </c>
      <c r="Q779" s="52">
        <v>1182.5999999999999</v>
      </c>
      <c r="R779" s="53" t="str">
        <f>INDEX(SKU_Master!$D$5:$D$34,MATCH($I779,SKU_Master!$A$5:$A$34,0))</f>
        <v>Laptop</v>
      </c>
      <c r="S779" s="54">
        <f t="shared" si="168"/>
        <v>3.078461538461541E-2</v>
      </c>
      <c r="T779" s="55">
        <f t="shared" si="169"/>
        <v>63586.956521739128</v>
      </c>
      <c r="U779" s="55">
        <f t="shared" si="170"/>
        <v>61629.456521739128</v>
      </c>
      <c r="V779" s="55">
        <f t="shared" si="171"/>
        <v>-1957.5</v>
      </c>
      <c r="W779" s="55">
        <f t="shared" si="172"/>
        <v>61575.912250217203</v>
      </c>
      <c r="X779" s="55">
        <f t="shared" si="173"/>
        <v>-53.544271521925111</v>
      </c>
      <c r="Y779" s="55">
        <f t="shared" si="174"/>
        <v>53216.999999999993</v>
      </c>
      <c r="Z779" s="55">
        <f t="shared" si="175"/>
        <v>53216.999999999993</v>
      </c>
      <c r="AA779" s="55">
        <f t="shared" si="176"/>
        <v>0</v>
      </c>
      <c r="AB779" s="55">
        <f t="shared" si="177"/>
        <v>8358.9122502172104</v>
      </c>
      <c r="AC779" s="54">
        <f t="shared" si="178"/>
        <v>0.13574971031286223</v>
      </c>
      <c r="AD779" s="56">
        <f>INDEX(Assumptions!$B$14:$B$16,MATCH($R779,Assumptions!$A$14:$A$16,0))</f>
        <v>0.12</v>
      </c>
      <c r="AE779" s="56">
        <f>INDEX(Assumptions!$C$14:$C$16,MATCH($R779,Assumptions!$A$14:$A$16,0))</f>
        <v>0.08</v>
      </c>
      <c r="AF779" s="49">
        <f t="shared" si="179"/>
        <v>0</v>
      </c>
      <c r="AG779" s="49">
        <f t="shared" si="180"/>
        <v>0</v>
      </c>
      <c r="AH779" s="55">
        <f t="shared" si="181"/>
        <v>0</v>
      </c>
    </row>
    <row r="780" spans="1:34" x14ac:dyDescent="0.2">
      <c r="A780" s="48" t="s">
        <v>808</v>
      </c>
      <c r="B780" s="48">
        <v>2</v>
      </c>
      <c r="C780" s="48" t="s">
        <v>757</v>
      </c>
      <c r="D780" s="48" t="s">
        <v>738</v>
      </c>
      <c r="E780" s="48" t="s">
        <v>296</v>
      </c>
      <c r="F780" s="48" t="s">
        <v>297</v>
      </c>
      <c r="G780" s="48" t="s">
        <v>298</v>
      </c>
      <c r="H780" s="48" t="s">
        <v>66</v>
      </c>
      <c r="I780" s="48" t="s">
        <v>173</v>
      </c>
      <c r="J780" s="49">
        <v>46</v>
      </c>
      <c r="K780" s="50">
        <v>60</v>
      </c>
      <c r="L780" s="50">
        <v>57.36</v>
      </c>
      <c r="M780" s="48" t="s">
        <v>276</v>
      </c>
      <c r="N780" s="51">
        <v>0.92</v>
      </c>
      <c r="O780" s="51">
        <v>0.92079999999999995</v>
      </c>
      <c r="P780" s="52">
        <v>39</v>
      </c>
      <c r="Q780" s="52">
        <v>39</v>
      </c>
      <c r="R780" s="53" t="str">
        <f>INDEX(SKU_Master!$D$5:$D$34,MATCH($I780,SKU_Master!$A$5:$A$34,0))</f>
        <v>Accessory</v>
      </c>
      <c r="S780" s="54">
        <f t="shared" si="168"/>
        <v>4.4000000000000039E-2</v>
      </c>
      <c r="T780" s="55">
        <f t="shared" si="169"/>
        <v>3000</v>
      </c>
      <c r="U780" s="55">
        <f t="shared" si="170"/>
        <v>2868</v>
      </c>
      <c r="V780" s="55">
        <f t="shared" si="171"/>
        <v>-132</v>
      </c>
      <c r="W780" s="55">
        <f t="shared" si="172"/>
        <v>2865.5082536924415</v>
      </c>
      <c r="X780" s="55">
        <f t="shared" si="173"/>
        <v>-2.4917463075585147</v>
      </c>
      <c r="Y780" s="55">
        <f t="shared" si="174"/>
        <v>1794</v>
      </c>
      <c r="Z780" s="55">
        <f t="shared" si="175"/>
        <v>1794</v>
      </c>
      <c r="AA780" s="55">
        <f t="shared" si="176"/>
        <v>0</v>
      </c>
      <c r="AB780" s="55">
        <f t="shared" si="177"/>
        <v>1071.5082536924415</v>
      </c>
      <c r="AC780" s="54">
        <f t="shared" si="178"/>
        <v>0.37393305439330549</v>
      </c>
      <c r="AD780" s="56">
        <f>INDEX(Assumptions!$B$14:$B$16,MATCH($R780,Assumptions!$A$14:$A$16,0))</f>
        <v>0.32</v>
      </c>
      <c r="AE780" s="56">
        <f>INDEX(Assumptions!$C$14:$C$16,MATCH($R780,Assumptions!$A$14:$A$16,0))</f>
        <v>0.22</v>
      </c>
      <c r="AF780" s="49">
        <f t="shared" si="179"/>
        <v>0</v>
      </c>
      <c r="AG780" s="49">
        <f t="shared" si="180"/>
        <v>0</v>
      </c>
      <c r="AH780" s="55">
        <f t="shared" si="181"/>
        <v>0</v>
      </c>
    </row>
    <row r="781" spans="1:34" x14ac:dyDescent="0.2">
      <c r="A781" s="48" t="s">
        <v>809</v>
      </c>
      <c r="B781" s="48">
        <v>1</v>
      </c>
      <c r="C781" s="48" t="s">
        <v>766</v>
      </c>
      <c r="D781" s="48" t="s">
        <v>738</v>
      </c>
      <c r="E781" s="48" t="s">
        <v>273</v>
      </c>
      <c r="F781" s="48" t="s">
        <v>274</v>
      </c>
      <c r="G781" s="48" t="s">
        <v>275</v>
      </c>
      <c r="H781" s="48" t="s">
        <v>66</v>
      </c>
      <c r="I781" s="48" t="s">
        <v>121</v>
      </c>
      <c r="J781" s="49">
        <v>6</v>
      </c>
      <c r="K781" s="50">
        <v>885</v>
      </c>
      <c r="L781" s="50">
        <v>874.85</v>
      </c>
      <c r="M781" s="48" t="s">
        <v>276</v>
      </c>
      <c r="N781" s="51">
        <v>0.92</v>
      </c>
      <c r="O781" s="51">
        <v>0.92079999999999995</v>
      </c>
      <c r="P781" s="52">
        <v>802.4</v>
      </c>
      <c r="Q781" s="52">
        <v>802.4</v>
      </c>
      <c r="R781" s="53" t="str">
        <f>INDEX(SKU_Master!$D$5:$D$34,MATCH($I781,SKU_Master!$A$5:$A$34,0))</f>
        <v>Laptop</v>
      </c>
      <c r="S781" s="54">
        <f t="shared" si="168"/>
        <v>1.1468926553672265E-2</v>
      </c>
      <c r="T781" s="55">
        <f t="shared" si="169"/>
        <v>5771.7391304347821</v>
      </c>
      <c r="U781" s="55">
        <f t="shared" si="170"/>
        <v>5705.54347826087</v>
      </c>
      <c r="V781" s="55">
        <f t="shared" si="171"/>
        <v>-66.195652173912094</v>
      </c>
      <c r="W781" s="55">
        <f t="shared" si="172"/>
        <v>5700.5864465682025</v>
      </c>
      <c r="X781" s="55">
        <f t="shared" si="173"/>
        <v>-4.9570316926674423</v>
      </c>
      <c r="Y781" s="55">
        <f t="shared" si="174"/>
        <v>4814.3999999999996</v>
      </c>
      <c r="Z781" s="55">
        <f t="shared" si="175"/>
        <v>4814.3999999999996</v>
      </c>
      <c r="AA781" s="55">
        <f t="shared" si="176"/>
        <v>0</v>
      </c>
      <c r="AB781" s="55">
        <f t="shared" si="177"/>
        <v>886.18644656820288</v>
      </c>
      <c r="AC781" s="54">
        <f t="shared" si="178"/>
        <v>0.15545531233925836</v>
      </c>
      <c r="AD781" s="56">
        <f>INDEX(Assumptions!$B$14:$B$16,MATCH($R781,Assumptions!$A$14:$A$16,0))</f>
        <v>0.12</v>
      </c>
      <c r="AE781" s="56">
        <f>INDEX(Assumptions!$C$14:$C$16,MATCH($R781,Assumptions!$A$14:$A$16,0))</f>
        <v>0.08</v>
      </c>
      <c r="AF781" s="49">
        <f t="shared" si="179"/>
        <v>0</v>
      </c>
      <c r="AG781" s="49">
        <f t="shared" si="180"/>
        <v>0</v>
      </c>
      <c r="AH781" s="55">
        <f t="shared" si="181"/>
        <v>0</v>
      </c>
    </row>
    <row r="782" spans="1:34" x14ac:dyDescent="0.2">
      <c r="A782" s="48" t="s">
        <v>810</v>
      </c>
      <c r="B782" s="48">
        <v>1</v>
      </c>
      <c r="C782" s="48" t="s">
        <v>811</v>
      </c>
      <c r="D782" s="48" t="s">
        <v>738</v>
      </c>
      <c r="E782" s="48" t="s">
        <v>374</v>
      </c>
      <c r="F782" s="48" t="s">
        <v>274</v>
      </c>
      <c r="G782" s="48" t="s">
        <v>281</v>
      </c>
      <c r="H782" s="48" t="s">
        <v>62</v>
      </c>
      <c r="I782" s="48" t="s">
        <v>98</v>
      </c>
      <c r="J782" s="49">
        <v>6</v>
      </c>
      <c r="K782" s="50">
        <v>2085</v>
      </c>
      <c r="L782" s="50">
        <v>2054.7800000000002</v>
      </c>
      <c r="M782" s="48" t="s">
        <v>276</v>
      </c>
      <c r="N782" s="51">
        <v>1</v>
      </c>
      <c r="O782" s="51">
        <v>1</v>
      </c>
      <c r="P782" s="52">
        <v>1780.2</v>
      </c>
      <c r="Q782" s="52">
        <v>1780.2</v>
      </c>
      <c r="R782" s="53" t="str">
        <f>INDEX(SKU_Master!$D$5:$D$34,MATCH($I782,SKU_Master!$A$5:$A$34,0))</f>
        <v>Laptop</v>
      </c>
      <c r="S782" s="54">
        <f t="shared" si="168"/>
        <v>1.4494004796162918E-2</v>
      </c>
      <c r="T782" s="55">
        <f t="shared" si="169"/>
        <v>12510</v>
      </c>
      <c r="U782" s="55">
        <f t="shared" si="170"/>
        <v>12328.68</v>
      </c>
      <c r="V782" s="55">
        <f t="shared" si="171"/>
        <v>-181.31999999999971</v>
      </c>
      <c r="W782" s="55">
        <f t="shared" si="172"/>
        <v>12328.68</v>
      </c>
      <c r="X782" s="55">
        <f t="shared" si="173"/>
        <v>0</v>
      </c>
      <c r="Y782" s="55">
        <f t="shared" si="174"/>
        <v>10681.2</v>
      </c>
      <c r="Z782" s="55">
        <f t="shared" si="175"/>
        <v>10681.2</v>
      </c>
      <c r="AA782" s="55">
        <f t="shared" si="176"/>
        <v>0</v>
      </c>
      <c r="AB782" s="55">
        <f t="shared" si="177"/>
        <v>1647.4799999999996</v>
      </c>
      <c r="AC782" s="54">
        <f t="shared" si="178"/>
        <v>0.13362987765113538</v>
      </c>
      <c r="AD782" s="56">
        <f>INDEX(Assumptions!$B$14:$B$16,MATCH($R782,Assumptions!$A$14:$A$16,0))</f>
        <v>0.12</v>
      </c>
      <c r="AE782" s="56">
        <f>INDEX(Assumptions!$C$14:$C$16,MATCH($R782,Assumptions!$A$14:$A$16,0))</f>
        <v>0.08</v>
      </c>
      <c r="AF782" s="49">
        <f t="shared" si="179"/>
        <v>0</v>
      </c>
      <c r="AG782" s="49">
        <f t="shared" si="180"/>
        <v>0</v>
      </c>
      <c r="AH782" s="55">
        <f t="shared" si="181"/>
        <v>0</v>
      </c>
    </row>
    <row r="783" spans="1:34" x14ac:dyDescent="0.2">
      <c r="A783" s="48" t="s">
        <v>810</v>
      </c>
      <c r="B783" s="48">
        <v>2</v>
      </c>
      <c r="C783" s="48" t="s">
        <v>811</v>
      </c>
      <c r="D783" s="48" t="s">
        <v>738</v>
      </c>
      <c r="E783" s="48" t="s">
        <v>374</v>
      </c>
      <c r="F783" s="48" t="s">
        <v>274</v>
      </c>
      <c r="G783" s="48" t="s">
        <v>281</v>
      </c>
      <c r="H783" s="48" t="s">
        <v>62</v>
      </c>
      <c r="I783" s="48" t="s">
        <v>144</v>
      </c>
      <c r="J783" s="49">
        <v>4</v>
      </c>
      <c r="K783" s="50">
        <v>370</v>
      </c>
      <c r="L783" s="50">
        <v>368.44</v>
      </c>
      <c r="M783" s="48" t="s">
        <v>276</v>
      </c>
      <c r="N783" s="51">
        <v>1</v>
      </c>
      <c r="O783" s="51">
        <v>1</v>
      </c>
      <c r="P783" s="52">
        <v>289.60000000000002</v>
      </c>
      <c r="Q783" s="52">
        <v>289.60000000000002</v>
      </c>
      <c r="R783" s="53" t="str">
        <f>INDEX(SKU_Master!$D$5:$D$34,MATCH($I783,SKU_Master!$A$5:$A$34,0))</f>
        <v>Monitor</v>
      </c>
      <c r="S783" s="54">
        <f t="shared" si="168"/>
        <v>4.216216216216262E-3</v>
      </c>
      <c r="T783" s="55">
        <f t="shared" si="169"/>
        <v>1480</v>
      </c>
      <c r="U783" s="55">
        <f t="shared" si="170"/>
        <v>1473.76</v>
      </c>
      <c r="V783" s="55">
        <f t="shared" si="171"/>
        <v>-6.2400000000000091</v>
      </c>
      <c r="W783" s="55">
        <f t="shared" si="172"/>
        <v>1473.76</v>
      </c>
      <c r="X783" s="55">
        <f t="shared" si="173"/>
        <v>0</v>
      </c>
      <c r="Y783" s="55">
        <f t="shared" si="174"/>
        <v>1158.4000000000001</v>
      </c>
      <c r="Z783" s="55">
        <f t="shared" si="175"/>
        <v>1158.4000000000001</v>
      </c>
      <c r="AA783" s="55">
        <f t="shared" si="176"/>
        <v>0</v>
      </c>
      <c r="AB783" s="55">
        <f t="shared" si="177"/>
        <v>315.3599999999999</v>
      </c>
      <c r="AC783" s="54">
        <f t="shared" si="178"/>
        <v>0.21398328085984142</v>
      </c>
      <c r="AD783" s="56">
        <f>INDEX(Assumptions!$B$14:$B$16,MATCH($R783,Assumptions!$A$14:$A$16,0))</f>
        <v>0.18</v>
      </c>
      <c r="AE783" s="56">
        <f>INDEX(Assumptions!$C$14:$C$16,MATCH($R783,Assumptions!$A$14:$A$16,0))</f>
        <v>0.12</v>
      </c>
      <c r="AF783" s="49">
        <f t="shared" si="179"/>
        <v>0</v>
      </c>
      <c r="AG783" s="49">
        <f t="shared" si="180"/>
        <v>0</v>
      </c>
      <c r="AH783" s="55">
        <f t="shared" si="181"/>
        <v>0</v>
      </c>
    </row>
    <row r="784" spans="1:34" x14ac:dyDescent="0.2">
      <c r="A784" s="48" t="s">
        <v>812</v>
      </c>
      <c r="B784" s="48">
        <v>1</v>
      </c>
      <c r="C784" s="48" t="s">
        <v>813</v>
      </c>
      <c r="D784" s="48" t="s">
        <v>738</v>
      </c>
      <c r="E784" s="48" t="s">
        <v>360</v>
      </c>
      <c r="F784" s="48" t="s">
        <v>280</v>
      </c>
      <c r="G784" s="48" t="s">
        <v>275</v>
      </c>
      <c r="H784" s="48" t="s">
        <v>68</v>
      </c>
      <c r="I784" s="48" t="s">
        <v>113</v>
      </c>
      <c r="J784" s="49">
        <v>5</v>
      </c>
      <c r="K784" s="50">
        <v>2450</v>
      </c>
      <c r="L784" s="50">
        <v>2404.0500000000002</v>
      </c>
      <c r="M784" s="48" t="s">
        <v>276</v>
      </c>
      <c r="N784" s="51">
        <v>1.37</v>
      </c>
      <c r="O784" s="51">
        <v>1.3734999999999999</v>
      </c>
      <c r="P784" s="52">
        <v>1496.8</v>
      </c>
      <c r="Q784" s="52">
        <v>1496.8</v>
      </c>
      <c r="R784" s="53" t="str">
        <f>INDEX(SKU_Master!$D$5:$D$34,MATCH($I784,SKU_Master!$A$5:$A$34,0))</f>
        <v>Laptop</v>
      </c>
      <c r="S784" s="54">
        <f t="shared" si="168"/>
        <v>1.8755102040816207E-2</v>
      </c>
      <c r="T784" s="55">
        <f t="shared" si="169"/>
        <v>8941.6058394160573</v>
      </c>
      <c r="U784" s="55">
        <f t="shared" si="170"/>
        <v>8773.905109489051</v>
      </c>
      <c r="V784" s="55">
        <f t="shared" si="171"/>
        <v>-167.70072992700625</v>
      </c>
      <c r="W784" s="55">
        <f t="shared" si="172"/>
        <v>8751.5471423370946</v>
      </c>
      <c r="X784" s="55">
        <f t="shared" si="173"/>
        <v>-22.357967151956473</v>
      </c>
      <c r="Y784" s="55">
        <f t="shared" si="174"/>
        <v>7484</v>
      </c>
      <c r="Z784" s="55">
        <f t="shared" si="175"/>
        <v>7484</v>
      </c>
      <c r="AA784" s="55">
        <f t="shared" si="176"/>
        <v>0</v>
      </c>
      <c r="AB784" s="55">
        <f t="shared" si="177"/>
        <v>1267.5471423370946</v>
      </c>
      <c r="AC784" s="54">
        <f t="shared" si="178"/>
        <v>0.14483692102909668</v>
      </c>
      <c r="AD784" s="56">
        <f>INDEX(Assumptions!$B$14:$B$16,MATCH($R784,Assumptions!$A$14:$A$16,0))</f>
        <v>0.12</v>
      </c>
      <c r="AE784" s="56">
        <f>INDEX(Assumptions!$C$14:$C$16,MATCH($R784,Assumptions!$A$14:$A$16,0))</f>
        <v>0.08</v>
      </c>
      <c r="AF784" s="49">
        <f t="shared" si="179"/>
        <v>0</v>
      </c>
      <c r="AG784" s="49">
        <f t="shared" si="180"/>
        <v>0</v>
      </c>
      <c r="AH784" s="55">
        <f t="shared" si="181"/>
        <v>0</v>
      </c>
    </row>
    <row r="785" spans="1:34" x14ac:dyDescent="0.2">
      <c r="A785" s="48" t="s">
        <v>812</v>
      </c>
      <c r="B785" s="48">
        <v>2</v>
      </c>
      <c r="C785" s="48" t="s">
        <v>813</v>
      </c>
      <c r="D785" s="48" t="s">
        <v>738</v>
      </c>
      <c r="E785" s="48" t="s">
        <v>360</v>
      </c>
      <c r="F785" s="48" t="s">
        <v>280</v>
      </c>
      <c r="G785" s="48" t="s">
        <v>275</v>
      </c>
      <c r="H785" s="48" t="s">
        <v>68</v>
      </c>
      <c r="I785" s="48" t="s">
        <v>173</v>
      </c>
      <c r="J785" s="49">
        <v>3</v>
      </c>
      <c r="K785" s="50">
        <v>80</v>
      </c>
      <c r="L785" s="50">
        <v>78.64</v>
      </c>
      <c r="M785" s="48" t="s">
        <v>276</v>
      </c>
      <c r="N785" s="51">
        <v>1.37</v>
      </c>
      <c r="O785" s="51">
        <v>1.3734999999999999</v>
      </c>
      <c r="P785" s="52">
        <v>37</v>
      </c>
      <c r="Q785" s="52">
        <v>37</v>
      </c>
      <c r="R785" s="53" t="str">
        <f>INDEX(SKU_Master!$D$5:$D$34,MATCH($I785,SKU_Master!$A$5:$A$34,0))</f>
        <v>Accessory</v>
      </c>
      <c r="S785" s="54">
        <f t="shared" si="168"/>
        <v>1.7000000000000015E-2</v>
      </c>
      <c r="T785" s="55">
        <f t="shared" si="169"/>
        <v>175.18248175182481</v>
      </c>
      <c r="U785" s="55">
        <f t="shared" si="170"/>
        <v>172.20437956204378</v>
      </c>
      <c r="V785" s="55">
        <f t="shared" si="171"/>
        <v>-2.9781021897810263</v>
      </c>
      <c r="W785" s="55">
        <f t="shared" si="172"/>
        <v>171.76556243174375</v>
      </c>
      <c r="X785" s="55">
        <f t="shared" si="173"/>
        <v>-0.43881713030003766</v>
      </c>
      <c r="Y785" s="55">
        <f t="shared" si="174"/>
        <v>111</v>
      </c>
      <c r="Z785" s="55">
        <f t="shared" si="175"/>
        <v>111</v>
      </c>
      <c r="AA785" s="55">
        <f t="shared" si="176"/>
        <v>0</v>
      </c>
      <c r="AB785" s="55">
        <f t="shared" si="177"/>
        <v>60.765562431743746</v>
      </c>
      <c r="AC785" s="54">
        <f t="shared" si="178"/>
        <v>0.35377034587995942</v>
      </c>
      <c r="AD785" s="56">
        <f>INDEX(Assumptions!$B$14:$B$16,MATCH($R785,Assumptions!$A$14:$A$16,0))</f>
        <v>0.32</v>
      </c>
      <c r="AE785" s="56">
        <f>INDEX(Assumptions!$C$14:$C$16,MATCH($R785,Assumptions!$A$14:$A$16,0))</f>
        <v>0.22</v>
      </c>
      <c r="AF785" s="49">
        <f t="shared" si="179"/>
        <v>0</v>
      </c>
      <c r="AG785" s="49">
        <f t="shared" si="180"/>
        <v>0</v>
      </c>
      <c r="AH785" s="55">
        <f t="shared" si="181"/>
        <v>0</v>
      </c>
    </row>
    <row r="786" spans="1:34" x14ac:dyDescent="0.2">
      <c r="A786" s="48" t="s">
        <v>814</v>
      </c>
      <c r="B786" s="48">
        <v>1</v>
      </c>
      <c r="C786" s="48" t="s">
        <v>769</v>
      </c>
      <c r="D786" s="48" t="s">
        <v>738</v>
      </c>
      <c r="E786" s="48" t="s">
        <v>498</v>
      </c>
      <c r="F786" s="48" t="s">
        <v>280</v>
      </c>
      <c r="G786" s="48" t="s">
        <v>302</v>
      </c>
      <c r="H786" s="48" t="s">
        <v>66</v>
      </c>
      <c r="I786" s="48" t="s">
        <v>113</v>
      </c>
      <c r="J786" s="49">
        <v>7</v>
      </c>
      <c r="K786" s="50">
        <v>1655</v>
      </c>
      <c r="L786" s="50">
        <v>1565.45</v>
      </c>
      <c r="M786" s="48" t="s">
        <v>276</v>
      </c>
      <c r="N786" s="51">
        <v>0.92</v>
      </c>
      <c r="O786" s="51">
        <v>0.92079999999999995</v>
      </c>
      <c r="P786" s="52">
        <v>1504.8</v>
      </c>
      <c r="Q786" s="52">
        <v>1504.8</v>
      </c>
      <c r="R786" s="53" t="str">
        <f>INDEX(SKU_Master!$D$5:$D$34,MATCH($I786,SKU_Master!$A$5:$A$34,0))</f>
        <v>Laptop</v>
      </c>
      <c r="S786" s="54">
        <f t="shared" si="168"/>
        <v>5.4108761329305088E-2</v>
      </c>
      <c r="T786" s="55">
        <f t="shared" si="169"/>
        <v>12592.391304347826</v>
      </c>
      <c r="U786" s="55">
        <f t="shared" si="170"/>
        <v>11911.032608695652</v>
      </c>
      <c r="V786" s="55">
        <f t="shared" si="171"/>
        <v>-681.35869565217399</v>
      </c>
      <c r="W786" s="55">
        <f t="shared" si="172"/>
        <v>11900.684187662902</v>
      </c>
      <c r="X786" s="55">
        <f t="shared" si="173"/>
        <v>-10.348421032749684</v>
      </c>
      <c r="Y786" s="55">
        <f t="shared" si="174"/>
        <v>10533.6</v>
      </c>
      <c r="Z786" s="55">
        <f t="shared" si="175"/>
        <v>10533.6</v>
      </c>
      <c r="AA786" s="55">
        <f t="shared" si="176"/>
        <v>0</v>
      </c>
      <c r="AB786" s="55">
        <f t="shared" si="177"/>
        <v>1367.084187662902</v>
      </c>
      <c r="AC786" s="54">
        <f t="shared" si="178"/>
        <v>0.11487441949599157</v>
      </c>
      <c r="AD786" s="56">
        <f>INDEX(Assumptions!$B$14:$B$16,MATCH($R786,Assumptions!$A$14:$A$16,0))</f>
        <v>0.12</v>
      </c>
      <c r="AE786" s="56">
        <f>INDEX(Assumptions!$C$14:$C$16,MATCH($R786,Assumptions!$A$14:$A$16,0))</f>
        <v>0.08</v>
      </c>
      <c r="AF786" s="49">
        <f t="shared" si="179"/>
        <v>0</v>
      </c>
      <c r="AG786" s="49">
        <f t="shared" si="180"/>
        <v>0</v>
      </c>
      <c r="AH786" s="55">
        <f t="shared" si="181"/>
        <v>60.997914856646275</v>
      </c>
    </row>
    <row r="787" spans="1:34" x14ac:dyDescent="0.2">
      <c r="A787" s="48" t="s">
        <v>814</v>
      </c>
      <c r="B787" s="48">
        <v>2</v>
      </c>
      <c r="C787" s="48" t="s">
        <v>769</v>
      </c>
      <c r="D787" s="48" t="s">
        <v>738</v>
      </c>
      <c r="E787" s="48" t="s">
        <v>498</v>
      </c>
      <c r="F787" s="48" t="s">
        <v>280</v>
      </c>
      <c r="G787" s="48" t="s">
        <v>302</v>
      </c>
      <c r="H787" s="48" t="s">
        <v>66</v>
      </c>
      <c r="I787" s="48" t="s">
        <v>135</v>
      </c>
      <c r="J787" s="49">
        <v>7</v>
      </c>
      <c r="K787" s="50">
        <v>255</v>
      </c>
      <c r="L787" s="50">
        <v>250.98</v>
      </c>
      <c r="M787" s="48" t="s">
        <v>276</v>
      </c>
      <c r="N787" s="51">
        <v>0.92</v>
      </c>
      <c r="O787" s="51">
        <v>0.92079999999999995</v>
      </c>
      <c r="P787" s="52">
        <v>211.7</v>
      </c>
      <c r="Q787" s="52">
        <v>211.7</v>
      </c>
      <c r="R787" s="53" t="str">
        <f>INDEX(SKU_Master!$D$5:$D$34,MATCH($I787,SKU_Master!$A$5:$A$34,0))</f>
        <v>Monitor</v>
      </c>
      <c r="S787" s="54">
        <f t="shared" si="168"/>
        <v>1.5764705882353014E-2</v>
      </c>
      <c r="T787" s="55">
        <f t="shared" si="169"/>
        <v>1940.2173913043478</v>
      </c>
      <c r="U787" s="55">
        <f t="shared" si="170"/>
        <v>1909.6304347826085</v>
      </c>
      <c r="V787" s="55">
        <f t="shared" si="171"/>
        <v>-30.586956521739239</v>
      </c>
      <c r="W787" s="55">
        <f t="shared" si="172"/>
        <v>1907.9713292788879</v>
      </c>
      <c r="X787" s="55">
        <f t="shared" si="173"/>
        <v>-1.6591055037206388</v>
      </c>
      <c r="Y787" s="55">
        <f t="shared" si="174"/>
        <v>1481.8999999999999</v>
      </c>
      <c r="Z787" s="55">
        <f t="shared" si="175"/>
        <v>1481.8999999999999</v>
      </c>
      <c r="AA787" s="55">
        <f t="shared" si="176"/>
        <v>0</v>
      </c>
      <c r="AB787" s="55">
        <f t="shared" si="177"/>
        <v>426.07132927888802</v>
      </c>
      <c r="AC787" s="54">
        <f t="shared" si="178"/>
        <v>0.22331118017371906</v>
      </c>
      <c r="AD787" s="56">
        <f>INDEX(Assumptions!$B$14:$B$16,MATCH($R787,Assumptions!$A$14:$A$16,0))</f>
        <v>0.18</v>
      </c>
      <c r="AE787" s="56">
        <f>INDEX(Assumptions!$C$14:$C$16,MATCH($R787,Assumptions!$A$14:$A$16,0))</f>
        <v>0.12</v>
      </c>
      <c r="AF787" s="49">
        <f t="shared" si="179"/>
        <v>0</v>
      </c>
      <c r="AG787" s="49">
        <f t="shared" si="180"/>
        <v>0</v>
      </c>
      <c r="AH787" s="55">
        <f t="shared" si="181"/>
        <v>0</v>
      </c>
    </row>
    <row r="788" spans="1:34" x14ac:dyDescent="0.2">
      <c r="A788" s="48" t="s">
        <v>814</v>
      </c>
      <c r="B788" s="48">
        <v>3</v>
      </c>
      <c r="C788" s="48" t="s">
        <v>769</v>
      </c>
      <c r="D788" s="48" t="s">
        <v>738</v>
      </c>
      <c r="E788" s="48" t="s">
        <v>498</v>
      </c>
      <c r="F788" s="48" t="s">
        <v>280</v>
      </c>
      <c r="G788" s="48" t="s">
        <v>302</v>
      </c>
      <c r="H788" s="48" t="s">
        <v>66</v>
      </c>
      <c r="I788" s="48" t="s">
        <v>157</v>
      </c>
      <c r="J788" s="49">
        <v>3</v>
      </c>
      <c r="K788" s="50">
        <v>135</v>
      </c>
      <c r="L788" s="50">
        <v>126.58</v>
      </c>
      <c r="M788" s="48" t="s">
        <v>276</v>
      </c>
      <c r="N788" s="51">
        <v>0.92</v>
      </c>
      <c r="O788" s="51">
        <v>0.92079999999999995</v>
      </c>
      <c r="P788" s="52">
        <v>91</v>
      </c>
      <c r="Q788" s="52">
        <v>91</v>
      </c>
      <c r="R788" s="53" t="str">
        <f>INDEX(SKU_Master!$D$5:$D$34,MATCH($I788,SKU_Master!$A$5:$A$34,0))</f>
        <v>Accessory</v>
      </c>
      <c r="S788" s="54">
        <f t="shared" si="168"/>
        <v>6.2370370370370409E-2</v>
      </c>
      <c r="T788" s="55">
        <f t="shared" si="169"/>
        <v>440.21739130434781</v>
      </c>
      <c r="U788" s="55">
        <f t="shared" si="170"/>
        <v>412.76086956521738</v>
      </c>
      <c r="V788" s="55">
        <f t="shared" si="171"/>
        <v>-27.456521739130437</v>
      </c>
      <c r="W788" s="55">
        <f t="shared" si="172"/>
        <v>412.40225890529979</v>
      </c>
      <c r="X788" s="55">
        <f t="shared" si="173"/>
        <v>-0.35861065991758778</v>
      </c>
      <c r="Y788" s="55">
        <f t="shared" si="174"/>
        <v>273</v>
      </c>
      <c r="Z788" s="55">
        <f t="shared" si="175"/>
        <v>273</v>
      </c>
      <c r="AA788" s="55">
        <f t="shared" si="176"/>
        <v>0</v>
      </c>
      <c r="AB788" s="55">
        <f t="shared" si="177"/>
        <v>139.40225890529979</v>
      </c>
      <c r="AC788" s="54">
        <f t="shared" si="178"/>
        <v>0.33802496444936014</v>
      </c>
      <c r="AD788" s="56">
        <f>INDEX(Assumptions!$B$14:$B$16,MATCH($R788,Assumptions!$A$14:$A$16,0))</f>
        <v>0.32</v>
      </c>
      <c r="AE788" s="56">
        <f>INDEX(Assumptions!$C$14:$C$16,MATCH($R788,Assumptions!$A$14:$A$16,0))</f>
        <v>0.22</v>
      </c>
      <c r="AF788" s="49">
        <f t="shared" si="179"/>
        <v>0</v>
      </c>
      <c r="AG788" s="49">
        <f t="shared" si="180"/>
        <v>0</v>
      </c>
      <c r="AH788" s="55">
        <f t="shared" si="181"/>
        <v>0</v>
      </c>
    </row>
    <row r="789" spans="1:34" x14ac:dyDescent="0.2">
      <c r="A789" s="48" t="s">
        <v>815</v>
      </c>
      <c r="B789" s="48">
        <v>1</v>
      </c>
      <c r="C789" s="48" t="s">
        <v>753</v>
      </c>
      <c r="D789" s="48" t="s">
        <v>738</v>
      </c>
      <c r="E789" s="48" t="s">
        <v>437</v>
      </c>
      <c r="F789" s="48" t="s">
        <v>274</v>
      </c>
      <c r="G789" s="48" t="s">
        <v>302</v>
      </c>
      <c r="H789" s="48" t="s">
        <v>62</v>
      </c>
      <c r="I789" s="48" t="s">
        <v>123</v>
      </c>
      <c r="J789" s="49">
        <v>4</v>
      </c>
      <c r="K789" s="50">
        <v>1465</v>
      </c>
      <c r="L789" s="50">
        <v>1436.84</v>
      </c>
      <c r="M789" s="48" t="s">
        <v>276</v>
      </c>
      <c r="N789" s="51">
        <v>1</v>
      </c>
      <c r="O789" s="51">
        <v>1</v>
      </c>
      <c r="P789" s="52">
        <v>1249.25</v>
      </c>
      <c r="Q789" s="52">
        <v>1249.25</v>
      </c>
      <c r="R789" s="53" t="str">
        <f>INDEX(SKU_Master!$D$5:$D$34,MATCH($I789,SKU_Master!$A$5:$A$34,0))</f>
        <v>Laptop</v>
      </c>
      <c r="S789" s="54">
        <f t="shared" si="168"/>
        <v>1.9221843003413008E-2</v>
      </c>
      <c r="T789" s="55">
        <f t="shared" si="169"/>
        <v>5860</v>
      </c>
      <c r="U789" s="55">
        <f t="shared" si="170"/>
        <v>5747.36</v>
      </c>
      <c r="V789" s="55">
        <f t="shared" si="171"/>
        <v>-112.64000000000033</v>
      </c>
      <c r="W789" s="55">
        <f t="shared" si="172"/>
        <v>5747.36</v>
      </c>
      <c r="X789" s="55">
        <f t="shared" si="173"/>
        <v>0</v>
      </c>
      <c r="Y789" s="55">
        <f t="shared" si="174"/>
        <v>4997</v>
      </c>
      <c r="Z789" s="55">
        <f t="shared" si="175"/>
        <v>4997</v>
      </c>
      <c r="AA789" s="55">
        <f t="shared" si="176"/>
        <v>0</v>
      </c>
      <c r="AB789" s="55">
        <f t="shared" si="177"/>
        <v>750.35999999999967</v>
      </c>
      <c r="AC789" s="54">
        <f t="shared" si="178"/>
        <v>0.13055733414994009</v>
      </c>
      <c r="AD789" s="56">
        <f>INDEX(Assumptions!$B$14:$B$16,MATCH($R789,Assumptions!$A$14:$A$16,0))</f>
        <v>0.12</v>
      </c>
      <c r="AE789" s="56">
        <f>INDEX(Assumptions!$C$14:$C$16,MATCH($R789,Assumptions!$A$14:$A$16,0))</f>
        <v>0.08</v>
      </c>
      <c r="AF789" s="49">
        <f t="shared" si="179"/>
        <v>0</v>
      </c>
      <c r="AG789" s="49">
        <f t="shared" si="180"/>
        <v>0</v>
      </c>
      <c r="AH789" s="55">
        <f t="shared" si="181"/>
        <v>0</v>
      </c>
    </row>
    <row r="790" spans="1:34" x14ac:dyDescent="0.2">
      <c r="A790" s="48" t="s">
        <v>815</v>
      </c>
      <c r="B790" s="48">
        <v>2</v>
      </c>
      <c r="C790" s="48" t="s">
        <v>753</v>
      </c>
      <c r="D790" s="48" t="s">
        <v>738</v>
      </c>
      <c r="E790" s="48" t="s">
        <v>437</v>
      </c>
      <c r="F790" s="48" t="s">
        <v>274</v>
      </c>
      <c r="G790" s="48" t="s">
        <v>302</v>
      </c>
      <c r="H790" s="48" t="s">
        <v>62</v>
      </c>
      <c r="I790" s="48" t="s">
        <v>144</v>
      </c>
      <c r="J790" s="49">
        <v>4</v>
      </c>
      <c r="K790" s="50">
        <v>370</v>
      </c>
      <c r="L790" s="50">
        <v>366.36</v>
      </c>
      <c r="M790" s="48" t="s">
        <v>276</v>
      </c>
      <c r="N790" s="51">
        <v>1</v>
      </c>
      <c r="O790" s="51">
        <v>1</v>
      </c>
      <c r="P790" s="52">
        <v>289.60000000000002</v>
      </c>
      <c r="Q790" s="52">
        <v>289.60000000000002</v>
      </c>
      <c r="R790" s="53" t="str">
        <f>INDEX(SKU_Master!$D$5:$D$34,MATCH($I790,SKU_Master!$A$5:$A$34,0))</f>
        <v>Monitor</v>
      </c>
      <c r="S790" s="54">
        <f t="shared" si="168"/>
        <v>9.8378378378377596E-3</v>
      </c>
      <c r="T790" s="55">
        <f t="shared" si="169"/>
        <v>1480</v>
      </c>
      <c r="U790" s="55">
        <f t="shared" si="170"/>
        <v>1465.44</v>
      </c>
      <c r="V790" s="55">
        <f t="shared" si="171"/>
        <v>-14.559999999999945</v>
      </c>
      <c r="W790" s="55">
        <f t="shared" si="172"/>
        <v>1465.44</v>
      </c>
      <c r="X790" s="55">
        <f t="shared" si="173"/>
        <v>0</v>
      </c>
      <c r="Y790" s="55">
        <f t="shared" si="174"/>
        <v>1158.4000000000001</v>
      </c>
      <c r="Z790" s="55">
        <f t="shared" si="175"/>
        <v>1158.4000000000001</v>
      </c>
      <c r="AA790" s="55">
        <f t="shared" si="176"/>
        <v>0</v>
      </c>
      <c r="AB790" s="55">
        <f t="shared" si="177"/>
        <v>307.03999999999996</v>
      </c>
      <c r="AC790" s="54">
        <f t="shared" si="178"/>
        <v>0.20952069003166282</v>
      </c>
      <c r="AD790" s="56">
        <f>INDEX(Assumptions!$B$14:$B$16,MATCH($R790,Assumptions!$A$14:$A$16,0))</f>
        <v>0.18</v>
      </c>
      <c r="AE790" s="56">
        <f>INDEX(Assumptions!$C$14:$C$16,MATCH($R790,Assumptions!$A$14:$A$16,0))</f>
        <v>0.12</v>
      </c>
      <c r="AF790" s="49">
        <f t="shared" si="179"/>
        <v>0</v>
      </c>
      <c r="AG790" s="49">
        <f t="shared" si="180"/>
        <v>0</v>
      </c>
      <c r="AH790" s="55">
        <f t="shared" si="181"/>
        <v>0</v>
      </c>
    </row>
    <row r="791" spans="1:34" x14ac:dyDescent="0.2">
      <c r="A791" s="48" t="s">
        <v>815</v>
      </c>
      <c r="B791" s="48">
        <v>3</v>
      </c>
      <c r="C791" s="48" t="s">
        <v>753</v>
      </c>
      <c r="D791" s="48" t="s">
        <v>738</v>
      </c>
      <c r="E791" s="48" t="s">
        <v>437</v>
      </c>
      <c r="F791" s="48" t="s">
        <v>274</v>
      </c>
      <c r="G791" s="48" t="s">
        <v>302</v>
      </c>
      <c r="H791" s="48" t="s">
        <v>62</v>
      </c>
      <c r="I791" s="48" t="s">
        <v>151</v>
      </c>
      <c r="J791" s="49">
        <v>4</v>
      </c>
      <c r="K791" s="50">
        <v>335</v>
      </c>
      <c r="L791" s="50">
        <v>313.45</v>
      </c>
      <c r="M791" s="48" t="s">
        <v>276</v>
      </c>
      <c r="N791" s="51">
        <v>1</v>
      </c>
      <c r="O791" s="51">
        <v>1</v>
      </c>
      <c r="P791" s="52">
        <v>216.7</v>
      </c>
      <c r="Q791" s="52">
        <v>216.7</v>
      </c>
      <c r="R791" s="53" t="str">
        <f>INDEX(SKU_Master!$D$5:$D$34,MATCH($I791,SKU_Master!$A$5:$A$34,0))</f>
        <v>Accessory</v>
      </c>
      <c r="S791" s="54">
        <f t="shared" si="168"/>
        <v>6.4328358208955216E-2</v>
      </c>
      <c r="T791" s="55">
        <f t="shared" si="169"/>
        <v>1340</v>
      </c>
      <c r="U791" s="55">
        <f t="shared" si="170"/>
        <v>1253.8</v>
      </c>
      <c r="V791" s="55">
        <f t="shared" si="171"/>
        <v>-86.200000000000045</v>
      </c>
      <c r="W791" s="55">
        <f t="shared" si="172"/>
        <v>1253.8</v>
      </c>
      <c r="X791" s="55">
        <f t="shared" si="173"/>
        <v>0</v>
      </c>
      <c r="Y791" s="55">
        <f t="shared" si="174"/>
        <v>866.8</v>
      </c>
      <c r="Z791" s="55">
        <f t="shared" si="175"/>
        <v>866.8</v>
      </c>
      <c r="AA791" s="55">
        <f t="shared" si="176"/>
        <v>0</v>
      </c>
      <c r="AB791" s="55">
        <f t="shared" si="177"/>
        <v>387</v>
      </c>
      <c r="AC791" s="54">
        <f t="shared" si="178"/>
        <v>0.3086616685276759</v>
      </c>
      <c r="AD791" s="56">
        <f>INDEX(Assumptions!$B$14:$B$16,MATCH($R791,Assumptions!$A$14:$A$16,0))</f>
        <v>0.32</v>
      </c>
      <c r="AE791" s="56">
        <f>INDEX(Assumptions!$C$14:$C$16,MATCH($R791,Assumptions!$A$14:$A$16,0))</f>
        <v>0.22</v>
      </c>
      <c r="AF791" s="49">
        <f t="shared" si="179"/>
        <v>0</v>
      </c>
      <c r="AG791" s="49">
        <f t="shared" si="180"/>
        <v>0</v>
      </c>
      <c r="AH791" s="55">
        <f t="shared" si="181"/>
        <v>14.216000000000008</v>
      </c>
    </row>
    <row r="792" spans="1:34" x14ac:dyDescent="0.2">
      <c r="A792" s="48" t="s">
        <v>816</v>
      </c>
      <c r="B792" s="48">
        <v>1</v>
      </c>
      <c r="C792" s="48" t="s">
        <v>817</v>
      </c>
      <c r="D792" s="48" t="s">
        <v>738</v>
      </c>
      <c r="E792" s="48" t="s">
        <v>343</v>
      </c>
      <c r="F792" s="48" t="s">
        <v>280</v>
      </c>
      <c r="G792" s="48" t="s">
        <v>281</v>
      </c>
      <c r="H792" s="48" t="s">
        <v>62</v>
      </c>
      <c r="I792" s="48" t="s">
        <v>123</v>
      </c>
      <c r="J792" s="49">
        <v>28</v>
      </c>
      <c r="K792" s="50">
        <v>1465</v>
      </c>
      <c r="L792" s="50">
        <v>1401.11</v>
      </c>
      <c r="M792" s="48" t="s">
        <v>276</v>
      </c>
      <c r="N792" s="51">
        <v>1</v>
      </c>
      <c r="O792" s="51">
        <v>1</v>
      </c>
      <c r="P792" s="52">
        <v>1249.25</v>
      </c>
      <c r="Q792" s="52">
        <v>1249.25</v>
      </c>
      <c r="R792" s="53" t="str">
        <f>INDEX(SKU_Master!$D$5:$D$34,MATCH($I792,SKU_Master!$A$5:$A$34,0))</f>
        <v>Laptop</v>
      </c>
      <c r="S792" s="54">
        <f t="shared" si="168"/>
        <v>4.3610921501706534E-2</v>
      </c>
      <c r="T792" s="55">
        <f t="shared" si="169"/>
        <v>41020</v>
      </c>
      <c r="U792" s="55">
        <f t="shared" si="170"/>
        <v>39231.079999999994</v>
      </c>
      <c r="V792" s="55">
        <f t="shared" si="171"/>
        <v>-1788.9200000000055</v>
      </c>
      <c r="W792" s="55">
        <f t="shared" si="172"/>
        <v>39231.079999999994</v>
      </c>
      <c r="X792" s="55">
        <f t="shared" si="173"/>
        <v>0</v>
      </c>
      <c r="Y792" s="55">
        <f t="shared" si="174"/>
        <v>34979</v>
      </c>
      <c r="Z792" s="55">
        <f t="shared" si="175"/>
        <v>34979</v>
      </c>
      <c r="AA792" s="55">
        <f t="shared" si="176"/>
        <v>0</v>
      </c>
      <c r="AB792" s="55">
        <f t="shared" si="177"/>
        <v>4252.0799999999945</v>
      </c>
      <c r="AC792" s="54">
        <f t="shared" si="178"/>
        <v>0.10838549435804457</v>
      </c>
      <c r="AD792" s="56">
        <f>INDEX(Assumptions!$B$14:$B$16,MATCH($R792,Assumptions!$A$14:$A$16,0))</f>
        <v>0.12</v>
      </c>
      <c r="AE792" s="56">
        <f>INDEX(Assumptions!$C$14:$C$16,MATCH($R792,Assumptions!$A$14:$A$16,0))</f>
        <v>0.08</v>
      </c>
      <c r="AF792" s="49">
        <f t="shared" si="179"/>
        <v>0</v>
      </c>
      <c r="AG792" s="49">
        <f t="shared" si="180"/>
        <v>0</v>
      </c>
      <c r="AH792" s="55">
        <f t="shared" si="181"/>
        <v>455.64960000000428</v>
      </c>
    </row>
    <row r="793" spans="1:34" x14ac:dyDescent="0.2">
      <c r="A793" s="48" t="s">
        <v>816</v>
      </c>
      <c r="B793" s="48">
        <v>2</v>
      </c>
      <c r="C793" s="48" t="s">
        <v>817</v>
      </c>
      <c r="D793" s="48" t="s">
        <v>738</v>
      </c>
      <c r="E793" s="48" t="s">
        <v>343</v>
      </c>
      <c r="F793" s="48" t="s">
        <v>280</v>
      </c>
      <c r="G793" s="48" t="s">
        <v>281</v>
      </c>
      <c r="H793" s="48" t="s">
        <v>62</v>
      </c>
      <c r="I793" s="48" t="s">
        <v>135</v>
      </c>
      <c r="J793" s="49">
        <v>19</v>
      </c>
      <c r="K793" s="50">
        <v>240</v>
      </c>
      <c r="L793" s="50">
        <v>231.74</v>
      </c>
      <c r="M793" s="48" t="s">
        <v>276</v>
      </c>
      <c r="N793" s="51">
        <v>1</v>
      </c>
      <c r="O793" s="51">
        <v>1</v>
      </c>
      <c r="P793" s="52">
        <v>186.7</v>
      </c>
      <c r="Q793" s="52">
        <v>186.7</v>
      </c>
      <c r="R793" s="53" t="str">
        <f>INDEX(SKU_Master!$D$5:$D$34,MATCH($I793,SKU_Master!$A$5:$A$34,0))</f>
        <v>Monitor</v>
      </c>
      <c r="S793" s="54">
        <f t="shared" si="168"/>
        <v>3.4416666666666651E-2</v>
      </c>
      <c r="T793" s="55">
        <f t="shared" si="169"/>
        <v>4560</v>
      </c>
      <c r="U793" s="55">
        <f t="shared" si="170"/>
        <v>4403.0600000000004</v>
      </c>
      <c r="V793" s="55">
        <f t="shared" si="171"/>
        <v>-156.9399999999996</v>
      </c>
      <c r="W793" s="55">
        <f t="shared" si="172"/>
        <v>4403.0600000000004</v>
      </c>
      <c r="X793" s="55">
        <f t="shared" si="173"/>
        <v>0</v>
      </c>
      <c r="Y793" s="55">
        <f t="shared" si="174"/>
        <v>3547.2999999999997</v>
      </c>
      <c r="Z793" s="55">
        <f t="shared" si="175"/>
        <v>3547.2999999999997</v>
      </c>
      <c r="AA793" s="55">
        <f t="shared" si="176"/>
        <v>0</v>
      </c>
      <c r="AB793" s="55">
        <f t="shared" si="177"/>
        <v>855.76000000000067</v>
      </c>
      <c r="AC793" s="54">
        <f t="shared" si="178"/>
        <v>0.19435574350565302</v>
      </c>
      <c r="AD793" s="56">
        <f>INDEX(Assumptions!$B$14:$B$16,MATCH($R793,Assumptions!$A$14:$A$16,0))</f>
        <v>0.18</v>
      </c>
      <c r="AE793" s="56">
        <f>INDEX(Assumptions!$C$14:$C$16,MATCH($R793,Assumptions!$A$14:$A$16,0))</f>
        <v>0.12</v>
      </c>
      <c r="AF793" s="49">
        <f t="shared" si="179"/>
        <v>0</v>
      </c>
      <c r="AG793" s="49">
        <f t="shared" si="180"/>
        <v>0</v>
      </c>
      <c r="AH793" s="55">
        <f t="shared" si="181"/>
        <v>0</v>
      </c>
    </row>
    <row r="794" spans="1:34" x14ac:dyDescent="0.2">
      <c r="A794" s="48" t="s">
        <v>816</v>
      </c>
      <c r="B794" s="48">
        <v>3</v>
      </c>
      <c r="C794" s="48" t="s">
        <v>817</v>
      </c>
      <c r="D794" s="48" t="s">
        <v>738</v>
      </c>
      <c r="E794" s="48" t="s">
        <v>343</v>
      </c>
      <c r="F794" s="48" t="s">
        <v>280</v>
      </c>
      <c r="G794" s="48" t="s">
        <v>281</v>
      </c>
      <c r="H794" s="48" t="s">
        <v>62</v>
      </c>
      <c r="I794" s="48" t="s">
        <v>154</v>
      </c>
      <c r="J794" s="49">
        <v>18</v>
      </c>
      <c r="K794" s="50">
        <v>475</v>
      </c>
      <c r="L794" s="50">
        <v>469.86</v>
      </c>
      <c r="M794" s="48" t="s">
        <v>276</v>
      </c>
      <c r="N794" s="51">
        <v>1</v>
      </c>
      <c r="O794" s="51">
        <v>1</v>
      </c>
      <c r="P794" s="52">
        <v>306</v>
      </c>
      <c r="Q794" s="52">
        <v>306</v>
      </c>
      <c r="R794" s="53" t="str">
        <f>INDEX(SKU_Master!$D$5:$D$34,MATCH($I794,SKU_Master!$A$5:$A$34,0))</f>
        <v>Accessory</v>
      </c>
      <c r="S794" s="54">
        <f t="shared" si="168"/>
        <v>1.0821052631578953E-2</v>
      </c>
      <c r="T794" s="55">
        <f t="shared" si="169"/>
        <v>8550</v>
      </c>
      <c r="U794" s="55">
        <f t="shared" si="170"/>
        <v>8457.48</v>
      </c>
      <c r="V794" s="55">
        <f t="shared" si="171"/>
        <v>-92.520000000000437</v>
      </c>
      <c r="W794" s="55">
        <f t="shared" si="172"/>
        <v>8457.48</v>
      </c>
      <c r="X794" s="55">
        <f t="shared" si="173"/>
        <v>0</v>
      </c>
      <c r="Y794" s="55">
        <f t="shared" si="174"/>
        <v>5508</v>
      </c>
      <c r="Z794" s="55">
        <f t="shared" si="175"/>
        <v>5508</v>
      </c>
      <c r="AA794" s="55">
        <f t="shared" si="176"/>
        <v>0</v>
      </c>
      <c r="AB794" s="55">
        <f t="shared" si="177"/>
        <v>2949.4799999999996</v>
      </c>
      <c r="AC794" s="54">
        <f t="shared" si="178"/>
        <v>0.3487421785212616</v>
      </c>
      <c r="AD794" s="56">
        <f>INDEX(Assumptions!$B$14:$B$16,MATCH($R794,Assumptions!$A$14:$A$16,0))</f>
        <v>0.32</v>
      </c>
      <c r="AE794" s="56">
        <f>INDEX(Assumptions!$C$14:$C$16,MATCH($R794,Assumptions!$A$14:$A$16,0))</f>
        <v>0.22</v>
      </c>
      <c r="AF794" s="49">
        <f t="shared" si="179"/>
        <v>0</v>
      </c>
      <c r="AG794" s="49">
        <f t="shared" si="180"/>
        <v>0</v>
      </c>
      <c r="AH794" s="55">
        <f t="shared" si="181"/>
        <v>0</v>
      </c>
    </row>
    <row r="795" spans="1:34" x14ac:dyDescent="0.2">
      <c r="A795" s="48" t="s">
        <v>818</v>
      </c>
      <c r="B795" s="48">
        <v>1</v>
      </c>
      <c r="C795" s="48" t="s">
        <v>740</v>
      </c>
      <c r="D795" s="48" t="s">
        <v>738</v>
      </c>
      <c r="E795" s="48" t="s">
        <v>437</v>
      </c>
      <c r="F795" s="48" t="s">
        <v>274</v>
      </c>
      <c r="G795" s="48" t="s">
        <v>302</v>
      </c>
      <c r="H795" s="48" t="s">
        <v>62</v>
      </c>
      <c r="I795" s="48" t="s">
        <v>113</v>
      </c>
      <c r="J795" s="49">
        <v>6</v>
      </c>
      <c r="K795" s="50">
        <v>1740</v>
      </c>
      <c r="L795" s="50">
        <v>1689.93</v>
      </c>
      <c r="M795" s="48" t="s">
        <v>276</v>
      </c>
      <c r="N795" s="51">
        <v>1</v>
      </c>
      <c r="O795" s="51">
        <v>1</v>
      </c>
      <c r="P795" s="52">
        <v>1484.8</v>
      </c>
      <c r="Q795" s="52">
        <v>1484.8</v>
      </c>
      <c r="R795" s="53" t="str">
        <f>INDEX(SKU_Master!$D$5:$D$34,MATCH($I795,SKU_Master!$A$5:$A$34,0))</f>
        <v>Laptop</v>
      </c>
      <c r="S795" s="54">
        <f t="shared" si="168"/>
        <v>2.877586206896543E-2</v>
      </c>
      <c r="T795" s="55">
        <f t="shared" si="169"/>
        <v>10440</v>
      </c>
      <c r="U795" s="55">
        <f t="shared" si="170"/>
        <v>10139.58</v>
      </c>
      <c r="V795" s="55">
        <f t="shared" si="171"/>
        <v>-300.42000000000007</v>
      </c>
      <c r="W795" s="55">
        <f t="shared" si="172"/>
        <v>10139.58</v>
      </c>
      <c r="X795" s="55">
        <f t="shared" si="173"/>
        <v>0</v>
      </c>
      <c r="Y795" s="55">
        <f t="shared" si="174"/>
        <v>8908.7999999999993</v>
      </c>
      <c r="Z795" s="55">
        <f t="shared" si="175"/>
        <v>8908.7999999999993</v>
      </c>
      <c r="AA795" s="55">
        <f t="shared" si="176"/>
        <v>0</v>
      </c>
      <c r="AB795" s="55">
        <f t="shared" si="177"/>
        <v>1230.7800000000007</v>
      </c>
      <c r="AC795" s="54">
        <f t="shared" si="178"/>
        <v>0.12138372595314606</v>
      </c>
      <c r="AD795" s="56">
        <f>INDEX(Assumptions!$B$14:$B$16,MATCH($R795,Assumptions!$A$14:$A$16,0))</f>
        <v>0.12</v>
      </c>
      <c r="AE795" s="56">
        <f>INDEX(Assumptions!$C$14:$C$16,MATCH($R795,Assumptions!$A$14:$A$16,0))</f>
        <v>0.08</v>
      </c>
      <c r="AF795" s="49">
        <f t="shared" si="179"/>
        <v>0</v>
      </c>
      <c r="AG795" s="49">
        <f t="shared" si="180"/>
        <v>0</v>
      </c>
      <c r="AH795" s="55">
        <f t="shared" si="181"/>
        <v>0</v>
      </c>
    </row>
    <row r="796" spans="1:34" x14ac:dyDescent="0.2">
      <c r="A796" s="48" t="s">
        <v>818</v>
      </c>
      <c r="B796" s="48">
        <v>2</v>
      </c>
      <c r="C796" s="48" t="s">
        <v>740</v>
      </c>
      <c r="D796" s="48" t="s">
        <v>738</v>
      </c>
      <c r="E796" s="48" t="s">
        <v>437</v>
      </c>
      <c r="F796" s="48" t="s">
        <v>274</v>
      </c>
      <c r="G796" s="48" t="s">
        <v>302</v>
      </c>
      <c r="H796" s="48" t="s">
        <v>62</v>
      </c>
      <c r="I796" s="48" t="s">
        <v>151</v>
      </c>
      <c r="J796" s="49">
        <v>3</v>
      </c>
      <c r="K796" s="50">
        <v>335</v>
      </c>
      <c r="L796" s="50">
        <v>325.52</v>
      </c>
      <c r="M796" s="48" t="s">
        <v>276</v>
      </c>
      <c r="N796" s="51">
        <v>1</v>
      </c>
      <c r="O796" s="51">
        <v>1</v>
      </c>
      <c r="P796" s="52">
        <v>216.7</v>
      </c>
      <c r="Q796" s="52">
        <v>216.7</v>
      </c>
      <c r="R796" s="53" t="str">
        <f>INDEX(SKU_Master!$D$5:$D$34,MATCH($I796,SKU_Master!$A$5:$A$34,0))</f>
        <v>Accessory</v>
      </c>
      <c r="S796" s="54">
        <f t="shared" si="168"/>
        <v>2.8298507462686584E-2</v>
      </c>
      <c r="T796" s="55">
        <f t="shared" si="169"/>
        <v>1005</v>
      </c>
      <c r="U796" s="55">
        <f t="shared" si="170"/>
        <v>976.56</v>
      </c>
      <c r="V796" s="55">
        <f t="shared" si="171"/>
        <v>-28.440000000000055</v>
      </c>
      <c r="W796" s="55">
        <f t="shared" si="172"/>
        <v>976.56</v>
      </c>
      <c r="X796" s="55">
        <f t="shared" si="173"/>
        <v>0</v>
      </c>
      <c r="Y796" s="55">
        <f t="shared" si="174"/>
        <v>650.09999999999991</v>
      </c>
      <c r="Z796" s="55">
        <f t="shared" si="175"/>
        <v>650.09999999999991</v>
      </c>
      <c r="AA796" s="55">
        <f t="shared" si="176"/>
        <v>0</v>
      </c>
      <c r="AB796" s="55">
        <f t="shared" si="177"/>
        <v>326.46000000000004</v>
      </c>
      <c r="AC796" s="54">
        <f t="shared" si="178"/>
        <v>0.3342958957974933</v>
      </c>
      <c r="AD796" s="56">
        <f>INDEX(Assumptions!$B$14:$B$16,MATCH($R796,Assumptions!$A$14:$A$16,0))</f>
        <v>0.32</v>
      </c>
      <c r="AE796" s="56">
        <f>INDEX(Assumptions!$C$14:$C$16,MATCH($R796,Assumptions!$A$14:$A$16,0))</f>
        <v>0.22</v>
      </c>
      <c r="AF796" s="49">
        <f t="shared" si="179"/>
        <v>0</v>
      </c>
      <c r="AG796" s="49">
        <f t="shared" si="180"/>
        <v>0</v>
      </c>
      <c r="AH796" s="55">
        <f t="shared" si="181"/>
        <v>0</v>
      </c>
    </row>
    <row r="797" spans="1:34" x14ac:dyDescent="0.2">
      <c r="A797" s="48" t="s">
        <v>819</v>
      </c>
      <c r="B797" s="48">
        <v>1</v>
      </c>
      <c r="C797" s="48" t="s">
        <v>779</v>
      </c>
      <c r="D797" s="48" t="s">
        <v>738</v>
      </c>
      <c r="E797" s="48" t="s">
        <v>343</v>
      </c>
      <c r="F797" s="48" t="s">
        <v>280</v>
      </c>
      <c r="G797" s="48" t="s">
        <v>281</v>
      </c>
      <c r="H797" s="48" t="s">
        <v>62</v>
      </c>
      <c r="I797" s="48" t="s">
        <v>115</v>
      </c>
      <c r="J797" s="49">
        <v>21</v>
      </c>
      <c r="K797" s="50">
        <v>850</v>
      </c>
      <c r="L797" s="50">
        <v>824.61</v>
      </c>
      <c r="M797" s="48" t="s">
        <v>276</v>
      </c>
      <c r="N797" s="51">
        <v>1</v>
      </c>
      <c r="O797" s="51">
        <v>1</v>
      </c>
      <c r="P797" s="52">
        <v>723.6</v>
      </c>
      <c r="Q797" s="52">
        <v>723.6</v>
      </c>
      <c r="R797" s="53" t="str">
        <f>INDEX(SKU_Master!$D$5:$D$34,MATCH($I797,SKU_Master!$A$5:$A$34,0))</f>
        <v>Laptop</v>
      </c>
      <c r="S797" s="54">
        <f t="shared" si="168"/>
        <v>2.9870588235294093E-2</v>
      </c>
      <c r="T797" s="55">
        <f t="shared" si="169"/>
        <v>17850</v>
      </c>
      <c r="U797" s="55">
        <f t="shared" si="170"/>
        <v>17316.810000000001</v>
      </c>
      <c r="V797" s="55">
        <f t="shared" si="171"/>
        <v>-533.18999999999869</v>
      </c>
      <c r="W797" s="55">
        <f t="shared" si="172"/>
        <v>17316.810000000001</v>
      </c>
      <c r="X797" s="55">
        <f t="shared" si="173"/>
        <v>0</v>
      </c>
      <c r="Y797" s="55">
        <f t="shared" si="174"/>
        <v>15195.6</v>
      </c>
      <c r="Z797" s="55">
        <f t="shared" si="175"/>
        <v>15195.6</v>
      </c>
      <c r="AA797" s="55">
        <f t="shared" si="176"/>
        <v>0</v>
      </c>
      <c r="AB797" s="55">
        <f t="shared" si="177"/>
        <v>2121.2100000000009</v>
      </c>
      <c r="AC797" s="54">
        <f t="shared" si="178"/>
        <v>0.12249427001855427</v>
      </c>
      <c r="AD797" s="56">
        <f>INDEX(Assumptions!$B$14:$B$16,MATCH($R797,Assumptions!$A$14:$A$16,0))</f>
        <v>0.12</v>
      </c>
      <c r="AE797" s="56">
        <f>INDEX(Assumptions!$C$14:$C$16,MATCH($R797,Assumptions!$A$14:$A$16,0))</f>
        <v>0.08</v>
      </c>
      <c r="AF797" s="49">
        <f t="shared" si="179"/>
        <v>0</v>
      </c>
      <c r="AG797" s="49">
        <f t="shared" si="180"/>
        <v>0</v>
      </c>
      <c r="AH797" s="55">
        <f t="shared" si="181"/>
        <v>0</v>
      </c>
    </row>
    <row r="798" spans="1:34" x14ac:dyDescent="0.2">
      <c r="A798" s="48" t="s">
        <v>820</v>
      </c>
      <c r="B798" s="48">
        <v>1</v>
      </c>
      <c r="C798" s="48" t="s">
        <v>762</v>
      </c>
      <c r="D798" s="48" t="s">
        <v>738</v>
      </c>
      <c r="E798" s="48" t="s">
        <v>437</v>
      </c>
      <c r="F798" s="48" t="s">
        <v>274</v>
      </c>
      <c r="G798" s="48" t="s">
        <v>302</v>
      </c>
      <c r="H798" s="48" t="s">
        <v>62</v>
      </c>
      <c r="I798" s="48" t="s">
        <v>103</v>
      </c>
      <c r="J798" s="49">
        <v>7</v>
      </c>
      <c r="K798" s="50">
        <v>1135</v>
      </c>
      <c r="L798" s="50">
        <v>1079.24</v>
      </c>
      <c r="M798" s="48" t="s">
        <v>276</v>
      </c>
      <c r="N798" s="51">
        <v>1</v>
      </c>
      <c r="O798" s="51">
        <v>1</v>
      </c>
      <c r="P798" s="52">
        <v>968.6</v>
      </c>
      <c r="Q798" s="52">
        <v>968.6</v>
      </c>
      <c r="R798" s="53" t="str">
        <f>INDEX(SKU_Master!$D$5:$D$34,MATCH($I798,SKU_Master!$A$5:$A$34,0))</f>
        <v>Laptop</v>
      </c>
      <c r="S798" s="54">
        <f t="shared" si="168"/>
        <v>4.9127753303964794E-2</v>
      </c>
      <c r="T798" s="55">
        <f t="shared" si="169"/>
        <v>7945</v>
      </c>
      <c r="U798" s="55">
        <f t="shared" si="170"/>
        <v>7554.68</v>
      </c>
      <c r="V798" s="55">
        <f t="shared" si="171"/>
        <v>-390.31999999999971</v>
      </c>
      <c r="W798" s="55">
        <f t="shared" si="172"/>
        <v>7554.68</v>
      </c>
      <c r="X798" s="55">
        <f t="shared" si="173"/>
        <v>0</v>
      </c>
      <c r="Y798" s="55">
        <f t="shared" si="174"/>
        <v>6780.2</v>
      </c>
      <c r="Z798" s="55">
        <f t="shared" si="175"/>
        <v>6780.2</v>
      </c>
      <c r="AA798" s="55">
        <f t="shared" si="176"/>
        <v>0</v>
      </c>
      <c r="AB798" s="55">
        <f t="shared" si="177"/>
        <v>774.48000000000047</v>
      </c>
      <c r="AC798" s="54">
        <f t="shared" si="178"/>
        <v>0.10251658574552469</v>
      </c>
      <c r="AD798" s="56">
        <f>INDEX(Assumptions!$B$14:$B$16,MATCH($R798,Assumptions!$A$14:$A$16,0))</f>
        <v>0.12</v>
      </c>
      <c r="AE798" s="56">
        <f>INDEX(Assumptions!$C$14:$C$16,MATCH($R798,Assumptions!$A$14:$A$16,0))</f>
        <v>0.08</v>
      </c>
      <c r="AF798" s="49">
        <f t="shared" si="179"/>
        <v>0</v>
      </c>
      <c r="AG798" s="49">
        <f t="shared" si="180"/>
        <v>0</v>
      </c>
      <c r="AH798" s="55">
        <f t="shared" si="181"/>
        <v>132.08159999999953</v>
      </c>
    </row>
    <row r="799" spans="1:34" x14ac:dyDescent="0.2">
      <c r="A799" s="48" t="s">
        <v>820</v>
      </c>
      <c r="B799" s="48">
        <v>2</v>
      </c>
      <c r="C799" s="48" t="s">
        <v>762</v>
      </c>
      <c r="D799" s="48" t="s">
        <v>738</v>
      </c>
      <c r="E799" s="48" t="s">
        <v>437</v>
      </c>
      <c r="F799" s="48" t="s">
        <v>274</v>
      </c>
      <c r="G799" s="48" t="s">
        <v>302</v>
      </c>
      <c r="H799" s="48" t="s">
        <v>62</v>
      </c>
      <c r="I799" s="48" t="s">
        <v>173</v>
      </c>
      <c r="J799" s="49">
        <v>7</v>
      </c>
      <c r="K799" s="50">
        <v>55</v>
      </c>
      <c r="L799" s="50">
        <v>53.16</v>
      </c>
      <c r="M799" s="48" t="s">
        <v>276</v>
      </c>
      <c r="N799" s="51">
        <v>1</v>
      </c>
      <c r="O799" s="51">
        <v>1</v>
      </c>
      <c r="P799" s="52">
        <v>34</v>
      </c>
      <c r="Q799" s="52">
        <v>34</v>
      </c>
      <c r="R799" s="53" t="str">
        <f>INDEX(SKU_Master!$D$5:$D$34,MATCH($I799,SKU_Master!$A$5:$A$34,0))</f>
        <v>Accessory</v>
      </c>
      <c r="S799" s="54">
        <f t="shared" si="168"/>
        <v>3.3454545454545515E-2</v>
      </c>
      <c r="T799" s="55">
        <f t="shared" si="169"/>
        <v>385</v>
      </c>
      <c r="U799" s="55">
        <f t="shared" si="170"/>
        <v>372.12</v>
      </c>
      <c r="V799" s="55">
        <f t="shared" si="171"/>
        <v>-12.879999999999995</v>
      </c>
      <c r="W799" s="55">
        <f t="shared" si="172"/>
        <v>372.12</v>
      </c>
      <c r="X799" s="55">
        <f t="shared" si="173"/>
        <v>0</v>
      </c>
      <c r="Y799" s="55">
        <f t="shared" si="174"/>
        <v>238</v>
      </c>
      <c r="Z799" s="55">
        <f t="shared" si="175"/>
        <v>238</v>
      </c>
      <c r="AA799" s="55">
        <f t="shared" si="176"/>
        <v>0</v>
      </c>
      <c r="AB799" s="55">
        <f t="shared" si="177"/>
        <v>134.12</v>
      </c>
      <c r="AC799" s="54">
        <f t="shared" si="178"/>
        <v>0.36042136945071485</v>
      </c>
      <c r="AD799" s="56">
        <f>INDEX(Assumptions!$B$14:$B$16,MATCH($R799,Assumptions!$A$14:$A$16,0))</f>
        <v>0.32</v>
      </c>
      <c r="AE799" s="56">
        <f>INDEX(Assumptions!$C$14:$C$16,MATCH($R799,Assumptions!$A$14:$A$16,0))</f>
        <v>0.22</v>
      </c>
      <c r="AF799" s="49">
        <f t="shared" si="179"/>
        <v>0</v>
      </c>
      <c r="AG799" s="49">
        <f t="shared" si="180"/>
        <v>0</v>
      </c>
      <c r="AH799" s="55">
        <f t="shared" si="181"/>
        <v>0</v>
      </c>
    </row>
    <row r="800" spans="1:34" x14ac:dyDescent="0.2">
      <c r="A800" s="48" t="s">
        <v>821</v>
      </c>
      <c r="B800" s="48">
        <v>1</v>
      </c>
      <c r="C800" s="48" t="s">
        <v>822</v>
      </c>
      <c r="D800" s="48" t="s">
        <v>738</v>
      </c>
      <c r="E800" s="48" t="s">
        <v>417</v>
      </c>
      <c r="F800" s="48" t="s">
        <v>280</v>
      </c>
      <c r="G800" s="48" t="s">
        <v>298</v>
      </c>
      <c r="H800" s="48" t="s">
        <v>62</v>
      </c>
      <c r="I800" s="48" t="s">
        <v>103</v>
      </c>
      <c r="J800" s="49">
        <v>23</v>
      </c>
      <c r="K800" s="50">
        <v>1135</v>
      </c>
      <c r="L800" s="50">
        <v>1086.48</v>
      </c>
      <c r="M800" s="48" t="s">
        <v>276</v>
      </c>
      <c r="N800" s="51">
        <v>1</v>
      </c>
      <c r="O800" s="51">
        <v>1</v>
      </c>
      <c r="P800" s="52">
        <v>968.6</v>
      </c>
      <c r="Q800" s="52">
        <v>968.6</v>
      </c>
      <c r="R800" s="53" t="str">
        <f>INDEX(SKU_Master!$D$5:$D$34,MATCH($I800,SKU_Master!$A$5:$A$34,0))</f>
        <v>Laptop</v>
      </c>
      <c r="S800" s="54">
        <f t="shared" si="168"/>
        <v>4.2748898678414027E-2</v>
      </c>
      <c r="T800" s="55">
        <f t="shared" si="169"/>
        <v>26105</v>
      </c>
      <c r="U800" s="55">
        <f t="shared" si="170"/>
        <v>24989.040000000001</v>
      </c>
      <c r="V800" s="55">
        <f t="shared" si="171"/>
        <v>-1115.9599999999991</v>
      </c>
      <c r="W800" s="55">
        <f t="shared" si="172"/>
        <v>24989.040000000001</v>
      </c>
      <c r="X800" s="55">
        <f t="shared" si="173"/>
        <v>0</v>
      </c>
      <c r="Y800" s="55">
        <f t="shared" si="174"/>
        <v>22277.8</v>
      </c>
      <c r="Z800" s="55">
        <f t="shared" si="175"/>
        <v>22277.8</v>
      </c>
      <c r="AA800" s="55">
        <f t="shared" si="176"/>
        <v>0</v>
      </c>
      <c r="AB800" s="55">
        <f t="shared" si="177"/>
        <v>2711.2400000000016</v>
      </c>
      <c r="AC800" s="54">
        <f t="shared" si="178"/>
        <v>0.10849716515720498</v>
      </c>
      <c r="AD800" s="56">
        <f>INDEX(Assumptions!$B$14:$B$16,MATCH($R800,Assumptions!$A$14:$A$16,0))</f>
        <v>0.12</v>
      </c>
      <c r="AE800" s="56">
        <f>INDEX(Assumptions!$C$14:$C$16,MATCH($R800,Assumptions!$A$14:$A$16,0))</f>
        <v>0.08</v>
      </c>
      <c r="AF800" s="49">
        <f t="shared" si="179"/>
        <v>0</v>
      </c>
      <c r="AG800" s="49">
        <f t="shared" si="180"/>
        <v>0</v>
      </c>
      <c r="AH800" s="55">
        <f t="shared" si="181"/>
        <v>287.44479999999839</v>
      </c>
    </row>
    <row r="801" spans="1:34" x14ac:dyDescent="0.2">
      <c r="A801" s="48" t="s">
        <v>821</v>
      </c>
      <c r="B801" s="48">
        <v>2</v>
      </c>
      <c r="C801" s="48" t="s">
        <v>822</v>
      </c>
      <c r="D801" s="48" t="s">
        <v>738</v>
      </c>
      <c r="E801" s="48" t="s">
        <v>417</v>
      </c>
      <c r="F801" s="48" t="s">
        <v>280</v>
      </c>
      <c r="G801" s="48" t="s">
        <v>298</v>
      </c>
      <c r="H801" s="48" t="s">
        <v>62</v>
      </c>
      <c r="I801" s="48" t="s">
        <v>141</v>
      </c>
      <c r="J801" s="49">
        <v>17</v>
      </c>
      <c r="K801" s="50">
        <v>450</v>
      </c>
      <c r="L801" s="50">
        <v>435.72</v>
      </c>
      <c r="M801" s="48" t="s">
        <v>276</v>
      </c>
      <c r="N801" s="51">
        <v>1</v>
      </c>
      <c r="O801" s="51">
        <v>1</v>
      </c>
      <c r="P801" s="52">
        <v>351.7</v>
      </c>
      <c r="Q801" s="52">
        <v>351.7</v>
      </c>
      <c r="R801" s="53" t="str">
        <f>INDEX(SKU_Master!$D$5:$D$34,MATCH($I801,SKU_Master!$A$5:$A$34,0))</f>
        <v>Monitor</v>
      </c>
      <c r="S801" s="54">
        <f t="shared" si="168"/>
        <v>3.173333333333328E-2</v>
      </c>
      <c r="T801" s="55">
        <f t="shared" si="169"/>
        <v>7650</v>
      </c>
      <c r="U801" s="55">
        <f t="shared" si="170"/>
        <v>7407.2400000000007</v>
      </c>
      <c r="V801" s="55">
        <f t="shared" si="171"/>
        <v>-242.75999999999931</v>
      </c>
      <c r="W801" s="55">
        <f t="shared" si="172"/>
        <v>7407.2400000000007</v>
      </c>
      <c r="X801" s="55">
        <f t="shared" si="173"/>
        <v>0</v>
      </c>
      <c r="Y801" s="55">
        <f t="shared" si="174"/>
        <v>5978.9</v>
      </c>
      <c r="Z801" s="55">
        <f t="shared" si="175"/>
        <v>5978.9</v>
      </c>
      <c r="AA801" s="55">
        <f t="shared" si="176"/>
        <v>0</v>
      </c>
      <c r="AB801" s="55">
        <f t="shared" si="177"/>
        <v>1428.3400000000011</v>
      </c>
      <c r="AC801" s="54">
        <f t="shared" si="178"/>
        <v>0.1928302579638301</v>
      </c>
      <c r="AD801" s="56">
        <f>INDEX(Assumptions!$B$14:$B$16,MATCH($R801,Assumptions!$A$14:$A$16,0))</f>
        <v>0.18</v>
      </c>
      <c r="AE801" s="56">
        <f>INDEX(Assumptions!$C$14:$C$16,MATCH($R801,Assumptions!$A$14:$A$16,0))</f>
        <v>0.12</v>
      </c>
      <c r="AF801" s="49">
        <f t="shared" si="179"/>
        <v>0</v>
      </c>
      <c r="AG801" s="49">
        <f t="shared" si="180"/>
        <v>0</v>
      </c>
      <c r="AH801" s="55">
        <f t="shared" si="181"/>
        <v>0</v>
      </c>
    </row>
    <row r="802" spans="1:34" x14ac:dyDescent="0.2">
      <c r="A802" s="48" t="s">
        <v>821</v>
      </c>
      <c r="B802" s="48">
        <v>3</v>
      </c>
      <c r="C802" s="48" t="s">
        <v>822</v>
      </c>
      <c r="D802" s="48" t="s">
        <v>738</v>
      </c>
      <c r="E802" s="48" t="s">
        <v>417</v>
      </c>
      <c r="F802" s="48" t="s">
        <v>280</v>
      </c>
      <c r="G802" s="48" t="s">
        <v>298</v>
      </c>
      <c r="H802" s="48" t="s">
        <v>62</v>
      </c>
      <c r="I802" s="48" t="s">
        <v>161</v>
      </c>
      <c r="J802" s="49">
        <v>17</v>
      </c>
      <c r="K802" s="50">
        <v>120</v>
      </c>
      <c r="L802" s="50">
        <v>117.58</v>
      </c>
      <c r="M802" s="48" t="s">
        <v>276</v>
      </c>
      <c r="N802" s="51">
        <v>1</v>
      </c>
      <c r="O802" s="51">
        <v>1</v>
      </c>
      <c r="P802" s="52">
        <v>76</v>
      </c>
      <c r="Q802" s="52">
        <v>76</v>
      </c>
      <c r="R802" s="53" t="str">
        <f>INDEX(SKU_Master!$D$5:$D$34,MATCH($I802,SKU_Master!$A$5:$A$34,0))</f>
        <v>Accessory</v>
      </c>
      <c r="S802" s="54">
        <f t="shared" si="168"/>
        <v>2.0166666666666666E-2</v>
      </c>
      <c r="T802" s="55">
        <f t="shared" si="169"/>
        <v>2040</v>
      </c>
      <c r="U802" s="55">
        <f t="shared" si="170"/>
        <v>1998.86</v>
      </c>
      <c r="V802" s="55">
        <f t="shared" si="171"/>
        <v>-41.1400000000001</v>
      </c>
      <c r="W802" s="55">
        <f t="shared" si="172"/>
        <v>1998.86</v>
      </c>
      <c r="X802" s="55">
        <f t="shared" si="173"/>
        <v>0</v>
      </c>
      <c r="Y802" s="55">
        <f t="shared" si="174"/>
        <v>1292</v>
      </c>
      <c r="Z802" s="55">
        <f t="shared" si="175"/>
        <v>1292</v>
      </c>
      <c r="AA802" s="55">
        <f t="shared" si="176"/>
        <v>0</v>
      </c>
      <c r="AB802" s="55">
        <f t="shared" si="177"/>
        <v>706.8599999999999</v>
      </c>
      <c r="AC802" s="54">
        <f t="shared" si="178"/>
        <v>0.35363156999489703</v>
      </c>
      <c r="AD802" s="56">
        <f>INDEX(Assumptions!$B$14:$B$16,MATCH($R802,Assumptions!$A$14:$A$16,0))</f>
        <v>0.32</v>
      </c>
      <c r="AE802" s="56">
        <f>INDEX(Assumptions!$C$14:$C$16,MATCH($R802,Assumptions!$A$14:$A$16,0))</f>
        <v>0.22</v>
      </c>
      <c r="AF802" s="49">
        <f t="shared" si="179"/>
        <v>0</v>
      </c>
      <c r="AG802" s="49">
        <f t="shared" si="180"/>
        <v>0</v>
      </c>
      <c r="AH802" s="55">
        <f t="shared" si="181"/>
        <v>0</v>
      </c>
    </row>
    <row r="803" spans="1:34" x14ac:dyDescent="0.2">
      <c r="A803" s="48" t="s">
        <v>823</v>
      </c>
      <c r="B803" s="48">
        <v>1</v>
      </c>
      <c r="C803" s="48" t="s">
        <v>779</v>
      </c>
      <c r="D803" s="48" t="s">
        <v>738</v>
      </c>
      <c r="E803" s="48" t="s">
        <v>498</v>
      </c>
      <c r="F803" s="48" t="s">
        <v>280</v>
      </c>
      <c r="G803" s="48" t="s">
        <v>302</v>
      </c>
      <c r="H803" s="48" t="s">
        <v>66</v>
      </c>
      <c r="I803" s="48" t="s">
        <v>98</v>
      </c>
      <c r="J803" s="49">
        <v>24</v>
      </c>
      <c r="K803" s="50">
        <v>1980</v>
      </c>
      <c r="L803" s="50">
        <v>1912.9</v>
      </c>
      <c r="M803" s="48" t="s">
        <v>276</v>
      </c>
      <c r="N803" s="51">
        <v>0.92</v>
      </c>
      <c r="O803" s="51">
        <v>0.92079999999999995</v>
      </c>
      <c r="P803" s="52">
        <v>1800.2</v>
      </c>
      <c r="Q803" s="52">
        <v>1800.2</v>
      </c>
      <c r="R803" s="53" t="str">
        <f>INDEX(SKU_Master!$D$5:$D$34,MATCH($I803,SKU_Master!$A$5:$A$34,0))</f>
        <v>Laptop</v>
      </c>
      <c r="S803" s="54">
        <f t="shared" si="168"/>
        <v>3.3888888888888857E-2</v>
      </c>
      <c r="T803" s="55">
        <f t="shared" si="169"/>
        <v>51652.173913043473</v>
      </c>
      <c r="U803" s="55">
        <f t="shared" si="170"/>
        <v>49901.739130434784</v>
      </c>
      <c r="V803" s="55">
        <f t="shared" si="171"/>
        <v>-1750.4347826086887</v>
      </c>
      <c r="W803" s="55">
        <f t="shared" si="172"/>
        <v>49858.384013900963</v>
      </c>
      <c r="X803" s="55">
        <f t="shared" si="173"/>
        <v>-43.355116533821274</v>
      </c>
      <c r="Y803" s="55">
        <f t="shared" si="174"/>
        <v>43204.800000000003</v>
      </c>
      <c r="Z803" s="55">
        <f t="shared" si="175"/>
        <v>43204.800000000003</v>
      </c>
      <c r="AA803" s="55">
        <f t="shared" si="176"/>
        <v>0</v>
      </c>
      <c r="AB803" s="55">
        <f t="shared" si="177"/>
        <v>6653.5840139009597</v>
      </c>
      <c r="AC803" s="54">
        <f t="shared" si="178"/>
        <v>0.13344965236029072</v>
      </c>
      <c r="AD803" s="56">
        <f>INDEX(Assumptions!$B$14:$B$16,MATCH($R803,Assumptions!$A$14:$A$16,0))</f>
        <v>0.12</v>
      </c>
      <c r="AE803" s="56">
        <f>INDEX(Assumptions!$C$14:$C$16,MATCH($R803,Assumptions!$A$14:$A$16,0))</f>
        <v>0.08</v>
      </c>
      <c r="AF803" s="49">
        <f t="shared" si="179"/>
        <v>0</v>
      </c>
      <c r="AG803" s="49">
        <f t="shared" si="180"/>
        <v>0</v>
      </c>
      <c r="AH803" s="55">
        <f t="shared" si="181"/>
        <v>0</v>
      </c>
    </row>
    <row r="804" spans="1:34" x14ac:dyDescent="0.2">
      <c r="A804" s="48" t="s">
        <v>823</v>
      </c>
      <c r="B804" s="48">
        <v>2</v>
      </c>
      <c r="C804" s="48" t="s">
        <v>779</v>
      </c>
      <c r="D804" s="48" t="s">
        <v>738</v>
      </c>
      <c r="E804" s="48" t="s">
        <v>498</v>
      </c>
      <c r="F804" s="48" t="s">
        <v>280</v>
      </c>
      <c r="G804" s="48" t="s">
        <v>302</v>
      </c>
      <c r="H804" s="48" t="s">
        <v>66</v>
      </c>
      <c r="I804" s="48" t="s">
        <v>164</v>
      </c>
      <c r="J804" s="49">
        <v>21</v>
      </c>
      <c r="K804" s="50">
        <v>185</v>
      </c>
      <c r="L804" s="50">
        <v>169.18</v>
      </c>
      <c r="M804" s="48" t="s">
        <v>276</v>
      </c>
      <c r="N804" s="51">
        <v>0.92</v>
      </c>
      <c r="O804" s="51">
        <v>0.92079999999999995</v>
      </c>
      <c r="P804" s="52">
        <v>126</v>
      </c>
      <c r="Q804" s="52">
        <v>126</v>
      </c>
      <c r="R804" s="53" t="str">
        <f>INDEX(SKU_Master!$D$5:$D$34,MATCH($I804,SKU_Master!$A$5:$A$34,0))</f>
        <v>Accessory</v>
      </c>
      <c r="S804" s="54">
        <f t="shared" si="168"/>
        <v>8.5513513513513439E-2</v>
      </c>
      <c r="T804" s="55">
        <f t="shared" si="169"/>
        <v>4222.826086956522</v>
      </c>
      <c r="U804" s="55">
        <f t="shared" si="170"/>
        <v>3861.717391304348</v>
      </c>
      <c r="V804" s="55">
        <f t="shared" si="171"/>
        <v>-361.10869565217399</v>
      </c>
      <c r="W804" s="55">
        <f t="shared" si="172"/>
        <v>3858.3622936576894</v>
      </c>
      <c r="X804" s="55">
        <f t="shared" si="173"/>
        <v>-3.355097646658578</v>
      </c>
      <c r="Y804" s="55">
        <f t="shared" si="174"/>
        <v>2646</v>
      </c>
      <c r="Z804" s="55">
        <f t="shared" si="175"/>
        <v>2646</v>
      </c>
      <c r="AA804" s="55">
        <f t="shared" si="176"/>
        <v>0</v>
      </c>
      <c r="AB804" s="55">
        <f t="shared" si="177"/>
        <v>1212.3622936576894</v>
      </c>
      <c r="AC804" s="54">
        <f t="shared" si="178"/>
        <v>0.31421681049769484</v>
      </c>
      <c r="AD804" s="56">
        <f>INDEX(Assumptions!$B$14:$B$16,MATCH($R804,Assumptions!$A$14:$A$16,0))</f>
        <v>0.32</v>
      </c>
      <c r="AE804" s="56">
        <f>INDEX(Assumptions!$C$14:$C$16,MATCH($R804,Assumptions!$A$14:$A$16,0))</f>
        <v>0.22</v>
      </c>
      <c r="AF804" s="49">
        <f t="shared" si="179"/>
        <v>0</v>
      </c>
      <c r="AG804" s="49">
        <f t="shared" si="180"/>
        <v>0</v>
      </c>
      <c r="AH804" s="55">
        <f t="shared" si="181"/>
        <v>22.313640312771213</v>
      </c>
    </row>
    <row r="805" spans="1:34" x14ac:dyDescent="0.2">
      <c r="A805" s="48" t="s">
        <v>824</v>
      </c>
      <c r="B805" s="48">
        <v>1</v>
      </c>
      <c r="C805" s="48" t="s">
        <v>788</v>
      </c>
      <c r="D805" s="48" t="s">
        <v>738</v>
      </c>
      <c r="E805" s="48" t="s">
        <v>384</v>
      </c>
      <c r="F805" s="48" t="s">
        <v>297</v>
      </c>
      <c r="G805" s="48" t="s">
        <v>281</v>
      </c>
      <c r="H805" s="48" t="s">
        <v>70</v>
      </c>
      <c r="I805" s="48" t="s">
        <v>106</v>
      </c>
      <c r="J805" s="49">
        <v>60</v>
      </c>
      <c r="K805" s="50">
        <v>147165</v>
      </c>
      <c r="L805" s="50">
        <v>143200.01</v>
      </c>
      <c r="M805" s="48" t="s">
        <v>276</v>
      </c>
      <c r="N805" s="51">
        <v>83.5</v>
      </c>
      <c r="O805" s="51">
        <v>84.144000000000005</v>
      </c>
      <c r="P805" s="52">
        <v>1476.24</v>
      </c>
      <c r="Q805" s="52">
        <v>1496.24</v>
      </c>
      <c r="R805" s="53" t="str">
        <f>INDEX(SKU_Master!$D$5:$D$34,MATCH($I805,SKU_Master!$A$5:$A$34,0))</f>
        <v>Laptop</v>
      </c>
      <c r="S805" s="54">
        <f t="shared" si="168"/>
        <v>2.6942479529779462E-2</v>
      </c>
      <c r="T805" s="55">
        <f t="shared" si="169"/>
        <v>105747.30538922155</v>
      </c>
      <c r="U805" s="55">
        <f t="shared" si="170"/>
        <v>102898.21077844313</v>
      </c>
      <c r="V805" s="55">
        <f t="shared" si="171"/>
        <v>-2849.0946107784257</v>
      </c>
      <c r="W805" s="55">
        <f t="shared" si="172"/>
        <v>102110.67455790075</v>
      </c>
      <c r="X805" s="55">
        <f t="shared" si="173"/>
        <v>-787.53622054237348</v>
      </c>
      <c r="Y805" s="55">
        <f t="shared" si="174"/>
        <v>88574.399999999994</v>
      </c>
      <c r="Z805" s="55">
        <f t="shared" si="175"/>
        <v>89774.399999999994</v>
      </c>
      <c r="AA805" s="55">
        <f t="shared" si="176"/>
        <v>-1200</v>
      </c>
      <c r="AB805" s="55">
        <f t="shared" si="177"/>
        <v>12336.274557900761</v>
      </c>
      <c r="AC805" s="54">
        <f t="shared" si="178"/>
        <v>0.12081278094882832</v>
      </c>
      <c r="AD805" s="56">
        <f>INDEX(Assumptions!$B$14:$B$16,MATCH($R805,Assumptions!$A$14:$A$16,0))</f>
        <v>0.12</v>
      </c>
      <c r="AE805" s="56">
        <f>INDEX(Assumptions!$C$14:$C$16,MATCH($R805,Assumptions!$A$14:$A$16,0))</f>
        <v>0.08</v>
      </c>
      <c r="AF805" s="49">
        <f t="shared" si="179"/>
        <v>0</v>
      </c>
      <c r="AG805" s="49">
        <f t="shared" si="180"/>
        <v>0</v>
      </c>
      <c r="AH805" s="55">
        <f t="shared" si="181"/>
        <v>0</v>
      </c>
    </row>
    <row r="806" spans="1:34" x14ac:dyDescent="0.2">
      <c r="A806" s="48" t="s">
        <v>824</v>
      </c>
      <c r="B806" s="48">
        <v>2</v>
      </c>
      <c r="C806" s="48" t="s">
        <v>788</v>
      </c>
      <c r="D806" s="48" t="s">
        <v>738</v>
      </c>
      <c r="E806" s="48" t="s">
        <v>384</v>
      </c>
      <c r="F806" s="48" t="s">
        <v>297</v>
      </c>
      <c r="G806" s="48" t="s">
        <v>281</v>
      </c>
      <c r="H806" s="48" t="s">
        <v>70</v>
      </c>
      <c r="I806" s="48" t="s">
        <v>138</v>
      </c>
      <c r="J806" s="49">
        <v>42</v>
      </c>
      <c r="K806" s="50">
        <v>47515</v>
      </c>
      <c r="L806" s="50">
        <v>45847.38</v>
      </c>
      <c r="M806" s="48" t="s">
        <v>276</v>
      </c>
      <c r="N806" s="51">
        <v>83.5</v>
      </c>
      <c r="O806" s="51">
        <v>84.144000000000005</v>
      </c>
      <c r="P806" s="52">
        <v>439.85</v>
      </c>
      <c r="Q806" s="52">
        <v>459.85</v>
      </c>
      <c r="R806" s="53" t="str">
        <f>INDEX(SKU_Master!$D$5:$D$34,MATCH($I806,SKU_Master!$A$5:$A$34,0))</f>
        <v>Monitor</v>
      </c>
      <c r="S806" s="54">
        <f t="shared" si="168"/>
        <v>3.5096706303272662E-2</v>
      </c>
      <c r="T806" s="55">
        <f t="shared" si="169"/>
        <v>23899.760479041917</v>
      </c>
      <c r="U806" s="55">
        <f t="shared" si="170"/>
        <v>23060.957604790419</v>
      </c>
      <c r="V806" s="55">
        <f t="shared" si="171"/>
        <v>-838.802874251498</v>
      </c>
      <c r="W806" s="55">
        <f t="shared" si="172"/>
        <v>22884.45949800342</v>
      </c>
      <c r="X806" s="55">
        <f t="shared" si="173"/>
        <v>-176.49810678699941</v>
      </c>
      <c r="Y806" s="55">
        <f t="shared" si="174"/>
        <v>18473.7</v>
      </c>
      <c r="Z806" s="55">
        <f t="shared" si="175"/>
        <v>19313.7</v>
      </c>
      <c r="AA806" s="55">
        <f t="shared" si="176"/>
        <v>-840</v>
      </c>
      <c r="AB806" s="55">
        <f t="shared" si="177"/>
        <v>3570.7594980034191</v>
      </c>
      <c r="AC806" s="54">
        <f t="shared" si="178"/>
        <v>0.15603425103026594</v>
      </c>
      <c r="AD806" s="56">
        <f>INDEX(Assumptions!$B$14:$B$16,MATCH($R806,Assumptions!$A$14:$A$16,0))</f>
        <v>0.18</v>
      </c>
      <c r="AE806" s="56">
        <f>INDEX(Assumptions!$C$14:$C$16,MATCH($R806,Assumptions!$A$14:$A$16,0))</f>
        <v>0.12</v>
      </c>
      <c r="AF806" s="49">
        <f t="shared" si="179"/>
        <v>0</v>
      </c>
      <c r="AG806" s="49">
        <f t="shared" si="180"/>
        <v>0</v>
      </c>
      <c r="AH806" s="55">
        <f t="shared" si="181"/>
        <v>548.44321163719633</v>
      </c>
    </row>
    <row r="807" spans="1:34" x14ac:dyDescent="0.2">
      <c r="A807" s="48" t="s">
        <v>824</v>
      </c>
      <c r="B807" s="48">
        <v>3</v>
      </c>
      <c r="C807" s="48" t="s">
        <v>788</v>
      </c>
      <c r="D807" s="48" t="s">
        <v>738</v>
      </c>
      <c r="E807" s="48" t="s">
        <v>384</v>
      </c>
      <c r="F807" s="48" t="s">
        <v>297</v>
      </c>
      <c r="G807" s="48" t="s">
        <v>281</v>
      </c>
      <c r="H807" s="48" t="s">
        <v>70</v>
      </c>
      <c r="I807" s="48" t="s">
        <v>154</v>
      </c>
      <c r="J807" s="49">
        <v>62</v>
      </c>
      <c r="K807" s="50">
        <v>45770</v>
      </c>
      <c r="L807" s="50">
        <v>44353.95</v>
      </c>
      <c r="M807" s="48" t="s">
        <v>276</v>
      </c>
      <c r="N807" s="51">
        <v>83.5</v>
      </c>
      <c r="O807" s="51">
        <v>84.144000000000005</v>
      </c>
      <c r="P807" s="52">
        <v>348</v>
      </c>
      <c r="Q807" s="52">
        <v>353</v>
      </c>
      <c r="R807" s="53" t="str">
        <f>INDEX(SKU_Master!$D$5:$D$34,MATCH($I807,SKU_Master!$A$5:$A$34,0))</f>
        <v>Accessory</v>
      </c>
      <c r="S807" s="54">
        <f t="shared" si="168"/>
        <v>3.0938387590124572E-2</v>
      </c>
      <c r="T807" s="55">
        <f t="shared" si="169"/>
        <v>33984.910179640719</v>
      </c>
      <c r="U807" s="55">
        <f t="shared" si="170"/>
        <v>32933.471856287426</v>
      </c>
      <c r="V807" s="55">
        <f t="shared" si="171"/>
        <v>-1051.4383233532935</v>
      </c>
      <c r="W807" s="55">
        <f t="shared" si="172"/>
        <v>32681.414004563601</v>
      </c>
      <c r="X807" s="55">
        <f t="shared" si="173"/>
        <v>-252.05785172382457</v>
      </c>
      <c r="Y807" s="55">
        <f t="shared" si="174"/>
        <v>21576</v>
      </c>
      <c r="Z807" s="55">
        <f t="shared" si="175"/>
        <v>21886</v>
      </c>
      <c r="AA807" s="55">
        <f t="shared" si="176"/>
        <v>-310</v>
      </c>
      <c r="AB807" s="55">
        <f t="shared" si="177"/>
        <v>10795.414004563601</v>
      </c>
      <c r="AC807" s="54">
        <f t="shared" si="178"/>
        <v>0.33032273337549412</v>
      </c>
      <c r="AD807" s="56">
        <f>INDEX(Assumptions!$B$14:$B$16,MATCH($R807,Assumptions!$A$14:$A$16,0))</f>
        <v>0.32</v>
      </c>
      <c r="AE807" s="56">
        <f>INDEX(Assumptions!$C$14:$C$16,MATCH($R807,Assumptions!$A$14:$A$16,0))</f>
        <v>0.22</v>
      </c>
      <c r="AF807" s="49">
        <f t="shared" si="179"/>
        <v>0</v>
      </c>
      <c r="AG807" s="49">
        <f t="shared" si="180"/>
        <v>0</v>
      </c>
      <c r="AH807" s="55">
        <f t="shared" si="181"/>
        <v>0</v>
      </c>
    </row>
    <row r="808" spans="1:34" x14ac:dyDescent="0.2">
      <c r="A808" s="48" t="s">
        <v>825</v>
      </c>
      <c r="B808" s="48">
        <v>1</v>
      </c>
      <c r="C808" s="48" t="s">
        <v>747</v>
      </c>
      <c r="D808" s="48" t="s">
        <v>738</v>
      </c>
      <c r="E808" s="48" t="s">
        <v>287</v>
      </c>
      <c r="F808" s="48" t="s">
        <v>274</v>
      </c>
      <c r="G808" s="48" t="s">
        <v>288</v>
      </c>
      <c r="H808" s="48" t="s">
        <v>62</v>
      </c>
      <c r="I808" s="48" t="s">
        <v>110</v>
      </c>
      <c r="J808" s="49">
        <v>8</v>
      </c>
      <c r="K808" s="50">
        <v>1165</v>
      </c>
      <c r="L808" s="50">
        <v>1156.99</v>
      </c>
      <c r="M808" s="48" t="s">
        <v>276</v>
      </c>
      <c r="N808" s="51">
        <v>1</v>
      </c>
      <c r="O808" s="51">
        <v>1</v>
      </c>
      <c r="P808" s="52">
        <v>992.65</v>
      </c>
      <c r="Q808" s="52">
        <v>992.65</v>
      </c>
      <c r="R808" s="53" t="str">
        <f>INDEX(SKU_Master!$D$5:$D$34,MATCH($I808,SKU_Master!$A$5:$A$34,0))</f>
        <v>Laptop</v>
      </c>
      <c r="S808" s="54">
        <f t="shared" si="168"/>
        <v>6.8755364806867281E-3</v>
      </c>
      <c r="T808" s="55">
        <f t="shared" si="169"/>
        <v>9320</v>
      </c>
      <c r="U808" s="55">
        <f t="shared" si="170"/>
        <v>9255.92</v>
      </c>
      <c r="V808" s="55">
        <f t="shared" si="171"/>
        <v>-64.079999999999927</v>
      </c>
      <c r="W808" s="55">
        <f t="shared" si="172"/>
        <v>9255.92</v>
      </c>
      <c r="X808" s="55">
        <f t="shared" si="173"/>
        <v>0</v>
      </c>
      <c r="Y808" s="55">
        <f t="shared" si="174"/>
        <v>7941.2</v>
      </c>
      <c r="Z808" s="55">
        <f t="shared" si="175"/>
        <v>7941.2</v>
      </c>
      <c r="AA808" s="55">
        <f t="shared" si="176"/>
        <v>0</v>
      </c>
      <c r="AB808" s="55">
        <f t="shared" si="177"/>
        <v>1314.7200000000003</v>
      </c>
      <c r="AC808" s="54">
        <f t="shared" si="178"/>
        <v>0.14204098566106885</v>
      </c>
      <c r="AD808" s="56">
        <f>INDEX(Assumptions!$B$14:$B$16,MATCH($R808,Assumptions!$A$14:$A$16,0))</f>
        <v>0.12</v>
      </c>
      <c r="AE808" s="56">
        <f>INDEX(Assumptions!$C$14:$C$16,MATCH($R808,Assumptions!$A$14:$A$16,0))</f>
        <v>0.08</v>
      </c>
      <c r="AF808" s="49">
        <f t="shared" si="179"/>
        <v>0</v>
      </c>
      <c r="AG808" s="49">
        <f t="shared" si="180"/>
        <v>0</v>
      </c>
      <c r="AH808" s="55">
        <f t="shared" si="181"/>
        <v>0</v>
      </c>
    </row>
    <row r="809" spans="1:34" x14ac:dyDescent="0.2">
      <c r="A809" s="48" t="s">
        <v>825</v>
      </c>
      <c r="B809" s="48">
        <v>2</v>
      </c>
      <c r="C809" s="48" t="s">
        <v>747</v>
      </c>
      <c r="D809" s="48" t="s">
        <v>738</v>
      </c>
      <c r="E809" s="48" t="s">
        <v>287</v>
      </c>
      <c r="F809" s="48" t="s">
        <v>274</v>
      </c>
      <c r="G809" s="48" t="s">
        <v>288</v>
      </c>
      <c r="H809" s="48" t="s">
        <v>62</v>
      </c>
      <c r="I809" s="48" t="s">
        <v>146</v>
      </c>
      <c r="J809" s="49">
        <v>5</v>
      </c>
      <c r="K809" s="50">
        <v>235</v>
      </c>
      <c r="L809" s="50">
        <v>232.35</v>
      </c>
      <c r="M809" s="48" t="s">
        <v>276</v>
      </c>
      <c r="N809" s="51">
        <v>1</v>
      </c>
      <c r="O809" s="51">
        <v>1</v>
      </c>
      <c r="P809" s="52">
        <v>181.8</v>
      </c>
      <c r="Q809" s="52">
        <v>181.8</v>
      </c>
      <c r="R809" s="53" t="str">
        <f>INDEX(SKU_Master!$D$5:$D$34,MATCH($I809,SKU_Master!$A$5:$A$34,0))</f>
        <v>Monitor</v>
      </c>
      <c r="S809" s="54">
        <f t="shared" si="168"/>
        <v>1.1276595744680873E-2</v>
      </c>
      <c r="T809" s="55">
        <f t="shared" si="169"/>
        <v>1175</v>
      </c>
      <c r="U809" s="55">
        <f t="shared" si="170"/>
        <v>1161.75</v>
      </c>
      <c r="V809" s="55">
        <f t="shared" si="171"/>
        <v>-13.25</v>
      </c>
      <c r="W809" s="55">
        <f t="shared" si="172"/>
        <v>1161.75</v>
      </c>
      <c r="X809" s="55">
        <f t="shared" si="173"/>
        <v>0</v>
      </c>
      <c r="Y809" s="55">
        <f t="shared" si="174"/>
        <v>909</v>
      </c>
      <c r="Z809" s="55">
        <f t="shared" si="175"/>
        <v>909</v>
      </c>
      <c r="AA809" s="55">
        <f t="shared" si="176"/>
        <v>0</v>
      </c>
      <c r="AB809" s="55">
        <f t="shared" si="177"/>
        <v>252.75</v>
      </c>
      <c r="AC809" s="54">
        <f t="shared" si="178"/>
        <v>0.21755971594577148</v>
      </c>
      <c r="AD809" s="56">
        <f>INDEX(Assumptions!$B$14:$B$16,MATCH($R809,Assumptions!$A$14:$A$16,0))</f>
        <v>0.18</v>
      </c>
      <c r="AE809" s="56">
        <f>INDEX(Assumptions!$C$14:$C$16,MATCH($R809,Assumptions!$A$14:$A$16,0))</f>
        <v>0.12</v>
      </c>
      <c r="AF809" s="49">
        <f t="shared" si="179"/>
        <v>0</v>
      </c>
      <c r="AG809" s="49">
        <f t="shared" si="180"/>
        <v>0</v>
      </c>
      <c r="AH809" s="55">
        <f t="shared" si="181"/>
        <v>0</v>
      </c>
    </row>
    <row r="810" spans="1:34" x14ac:dyDescent="0.2">
      <c r="A810" s="48" t="s">
        <v>825</v>
      </c>
      <c r="B810" s="48">
        <v>3</v>
      </c>
      <c r="C810" s="48" t="s">
        <v>747</v>
      </c>
      <c r="D810" s="48" t="s">
        <v>738</v>
      </c>
      <c r="E810" s="48" t="s">
        <v>287</v>
      </c>
      <c r="F810" s="48" t="s">
        <v>274</v>
      </c>
      <c r="G810" s="48" t="s">
        <v>288</v>
      </c>
      <c r="H810" s="48" t="s">
        <v>62</v>
      </c>
      <c r="I810" s="48" t="s">
        <v>157</v>
      </c>
      <c r="J810" s="49">
        <v>7</v>
      </c>
      <c r="K810" s="50">
        <v>135</v>
      </c>
      <c r="L810" s="50">
        <v>133.74</v>
      </c>
      <c r="M810" s="48" t="s">
        <v>276</v>
      </c>
      <c r="N810" s="51">
        <v>1</v>
      </c>
      <c r="O810" s="51">
        <v>1</v>
      </c>
      <c r="P810" s="52">
        <v>86</v>
      </c>
      <c r="Q810" s="52">
        <v>86</v>
      </c>
      <c r="R810" s="53" t="str">
        <f>INDEX(SKU_Master!$D$5:$D$34,MATCH($I810,SKU_Master!$A$5:$A$34,0))</f>
        <v>Accessory</v>
      </c>
      <c r="S810" s="54">
        <f t="shared" si="168"/>
        <v>9.3333333333333046E-3</v>
      </c>
      <c r="T810" s="55">
        <f t="shared" si="169"/>
        <v>945</v>
      </c>
      <c r="U810" s="55">
        <f t="shared" si="170"/>
        <v>936.18000000000006</v>
      </c>
      <c r="V810" s="55">
        <f t="shared" si="171"/>
        <v>-8.8199999999999363</v>
      </c>
      <c r="W810" s="55">
        <f t="shared" si="172"/>
        <v>936.18000000000006</v>
      </c>
      <c r="X810" s="55">
        <f t="shared" si="173"/>
        <v>0</v>
      </c>
      <c r="Y810" s="55">
        <f t="shared" si="174"/>
        <v>602</v>
      </c>
      <c r="Z810" s="55">
        <f t="shared" si="175"/>
        <v>602</v>
      </c>
      <c r="AA810" s="55">
        <f t="shared" si="176"/>
        <v>0</v>
      </c>
      <c r="AB810" s="55">
        <f t="shared" si="177"/>
        <v>334.18000000000006</v>
      </c>
      <c r="AC810" s="54">
        <f t="shared" si="178"/>
        <v>0.35696126813219686</v>
      </c>
      <c r="AD810" s="56">
        <f>INDEX(Assumptions!$B$14:$B$16,MATCH($R810,Assumptions!$A$14:$A$16,0))</f>
        <v>0.32</v>
      </c>
      <c r="AE810" s="56">
        <f>INDEX(Assumptions!$C$14:$C$16,MATCH($R810,Assumptions!$A$14:$A$16,0))</f>
        <v>0.22</v>
      </c>
      <c r="AF810" s="49">
        <f t="shared" si="179"/>
        <v>0</v>
      </c>
      <c r="AG810" s="49">
        <f t="shared" si="180"/>
        <v>0</v>
      </c>
      <c r="AH810" s="55">
        <f t="shared" si="181"/>
        <v>0</v>
      </c>
    </row>
    <row r="811" spans="1:34" x14ac:dyDescent="0.2">
      <c r="A811" s="48" t="s">
        <v>826</v>
      </c>
      <c r="B811" s="48">
        <v>1</v>
      </c>
      <c r="C811" s="48" t="s">
        <v>762</v>
      </c>
      <c r="D811" s="48" t="s">
        <v>738</v>
      </c>
      <c r="E811" s="48" t="s">
        <v>588</v>
      </c>
      <c r="F811" s="48" t="s">
        <v>274</v>
      </c>
      <c r="G811" s="48" t="s">
        <v>281</v>
      </c>
      <c r="H811" s="48" t="s">
        <v>62</v>
      </c>
      <c r="I811" s="48" t="s">
        <v>93</v>
      </c>
      <c r="J811" s="49">
        <v>4</v>
      </c>
      <c r="K811" s="50">
        <v>1390</v>
      </c>
      <c r="L811" s="50">
        <v>1362.23</v>
      </c>
      <c r="M811" s="48" t="s">
        <v>276</v>
      </c>
      <c r="N811" s="51">
        <v>1</v>
      </c>
      <c r="O811" s="51">
        <v>1</v>
      </c>
      <c r="P811" s="52">
        <v>1186.2</v>
      </c>
      <c r="Q811" s="52">
        <v>1186.2</v>
      </c>
      <c r="R811" s="53" t="str">
        <f>INDEX(SKU_Master!$D$5:$D$34,MATCH($I811,SKU_Master!$A$5:$A$34,0))</f>
        <v>Laptop</v>
      </c>
      <c r="S811" s="54">
        <f t="shared" si="168"/>
        <v>1.9978417266186987E-2</v>
      </c>
      <c r="T811" s="55">
        <f t="shared" si="169"/>
        <v>5560</v>
      </c>
      <c r="U811" s="55">
        <f t="shared" si="170"/>
        <v>5448.92</v>
      </c>
      <c r="V811" s="55">
        <f t="shared" si="171"/>
        <v>-111.07999999999993</v>
      </c>
      <c r="W811" s="55">
        <f t="shared" si="172"/>
        <v>5448.92</v>
      </c>
      <c r="X811" s="55">
        <f t="shared" si="173"/>
        <v>0</v>
      </c>
      <c r="Y811" s="55">
        <f t="shared" si="174"/>
        <v>4744.8</v>
      </c>
      <c r="Z811" s="55">
        <f t="shared" si="175"/>
        <v>4744.8</v>
      </c>
      <c r="AA811" s="55">
        <f t="shared" si="176"/>
        <v>0</v>
      </c>
      <c r="AB811" s="55">
        <f t="shared" si="177"/>
        <v>704.11999999999989</v>
      </c>
      <c r="AC811" s="54">
        <f t="shared" si="178"/>
        <v>0.12922193755826841</v>
      </c>
      <c r="AD811" s="56">
        <f>INDEX(Assumptions!$B$14:$B$16,MATCH($R811,Assumptions!$A$14:$A$16,0))</f>
        <v>0.12</v>
      </c>
      <c r="AE811" s="56">
        <f>INDEX(Assumptions!$C$14:$C$16,MATCH($R811,Assumptions!$A$14:$A$16,0))</f>
        <v>0.08</v>
      </c>
      <c r="AF811" s="49">
        <f t="shared" si="179"/>
        <v>0</v>
      </c>
      <c r="AG811" s="49">
        <f t="shared" si="180"/>
        <v>0</v>
      </c>
      <c r="AH811" s="55">
        <f t="shared" si="181"/>
        <v>0</v>
      </c>
    </row>
    <row r="812" spans="1:34" x14ac:dyDescent="0.2">
      <c r="A812" s="48" t="s">
        <v>826</v>
      </c>
      <c r="B812" s="48">
        <v>2</v>
      </c>
      <c r="C812" s="48" t="s">
        <v>762</v>
      </c>
      <c r="D812" s="48" t="s">
        <v>738</v>
      </c>
      <c r="E812" s="48" t="s">
        <v>588</v>
      </c>
      <c r="F812" s="48" t="s">
        <v>274</v>
      </c>
      <c r="G812" s="48" t="s">
        <v>281</v>
      </c>
      <c r="H812" s="48" t="s">
        <v>62</v>
      </c>
      <c r="I812" s="48" t="s">
        <v>138</v>
      </c>
      <c r="J812" s="49">
        <v>1</v>
      </c>
      <c r="K812" s="50">
        <v>455</v>
      </c>
      <c r="L812" s="50">
        <v>446.33</v>
      </c>
      <c r="M812" s="48" t="s">
        <v>276</v>
      </c>
      <c r="N812" s="51">
        <v>1</v>
      </c>
      <c r="O812" s="51">
        <v>1</v>
      </c>
      <c r="P812" s="52">
        <v>358.2</v>
      </c>
      <c r="Q812" s="52">
        <v>358.2</v>
      </c>
      <c r="R812" s="53" t="str">
        <f>INDEX(SKU_Master!$D$5:$D$34,MATCH($I812,SKU_Master!$A$5:$A$34,0))</f>
        <v>Monitor</v>
      </c>
      <c r="S812" s="54">
        <f t="shared" si="168"/>
        <v>1.9054945054945094E-2</v>
      </c>
      <c r="T812" s="55">
        <f t="shared" si="169"/>
        <v>455</v>
      </c>
      <c r="U812" s="55">
        <f t="shared" si="170"/>
        <v>446.33</v>
      </c>
      <c r="V812" s="55">
        <f t="shared" si="171"/>
        <v>-8.6700000000000159</v>
      </c>
      <c r="W812" s="55">
        <f t="shared" si="172"/>
        <v>446.33</v>
      </c>
      <c r="X812" s="55">
        <f t="shared" si="173"/>
        <v>0</v>
      </c>
      <c r="Y812" s="55">
        <f t="shared" si="174"/>
        <v>358.2</v>
      </c>
      <c r="Z812" s="55">
        <f t="shared" si="175"/>
        <v>358.2</v>
      </c>
      <c r="AA812" s="55">
        <f t="shared" si="176"/>
        <v>0</v>
      </c>
      <c r="AB812" s="55">
        <f t="shared" si="177"/>
        <v>88.13</v>
      </c>
      <c r="AC812" s="54">
        <f t="shared" si="178"/>
        <v>0.19745479801940269</v>
      </c>
      <c r="AD812" s="56">
        <f>INDEX(Assumptions!$B$14:$B$16,MATCH($R812,Assumptions!$A$14:$A$16,0))</f>
        <v>0.18</v>
      </c>
      <c r="AE812" s="56">
        <f>INDEX(Assumptions!$C$14:$C$16,MATCH($R812,Assumptions!$A$14:$A$16,0))</f>
        <v>0.12</v>
      </c>
      <c r="AF812" s="49">
        <f t="shared" si="179"/>
        <v>0</v>
      </c>
      <c r="AG812" s="49">
        <f t="shared" si="180"/>
        <v>0</v>
      </c>
      <c r="AH812" s="55">
        <f t="shared" si="181"/>
        <v>0</v>
      </c>
    </row>
    <row r="813" spans="1:34" x14ac:dyDescent="0.2">
      <c r="A813" s="48" t="s">
        <v>826</v>
      </c>
      <c r="B813" s="48">
        <v>3</v>
      </c>
      <c r="C813" s="48" t="s">
        <v>762</v>
      </c>
      <c r="D813" s="48" t="s">
        <v>738</v>
      </c>
      <c r="E813" s="48" t="s">
        <v>588</v>
      </c>
      <c r="F813" s="48" t="s">
        <v>274</v>
      </c>
      <c r="G813" s="48" t="s">
        <v>281</v>
      </c>
      <c r="H813" s="48" t="s">
        <v>62</v>
      </c>
      <c r="I813" s="48" t="s">
        <v>151</v>
      </c>
      <c r="J813" s="49">
        <v>2</v>
      </c>
      <c r="K813" s="50">
        <v>335</v>
      </c>
      <c r="L813" s="50">
        <v>330.19</v>
      </c>
      <c r="M813" s="48" t="s">
        <v>276</v>
      </c>
      <c r="N813" s="51">
        <v>1</v>
      </c>
      <c r="O813" s="51">
        <v>1</v>
      </c>
      <c r="P813" s="52">
        <v>216.7</v>
      </c>
      <c r="Q813" s="52">
        <v>216.7</v>
      </c>
      <c r="R813" s="53" t="str">
        <f>INDEX(SKU_Master!$D$5:$D$34,MATCH($I813,SKU_Master!$A$5:$A$34,0))</f>
        <v>Accessory</v>
      </c>
      <c r="S813" s="54">
        <f t="shared" si="168"/>
        <v>1.4358208955223883E-2</v>
      </c>
      <c r="T813" s="55">
        <f t="shared" si="169"/>
        <v>670</v>
      </c>
      <c r="U813" s="55">
        <f t="shared" si="170"/>
        <v>660.38</v>
      </c>
      <c r="V813" s="55">
        <f t="shared" si="171"/>
        <v>-9.6200000000000045</v>
      </c>
      <c r="W813" s="55">
        <f t="shared" si="172"/>
        <v>660.38</v>
      </c>
      <c r="X813" s="55">
        <f t="shared" si="173"/>
        <v>0</v>
      </c>
      <c r="Y813" s="55">
        <f t="shared" si="174"/>
        <v>433.4</v>
      </c>
      <c r="Z813" s="55">
        <f t="shared" si="175"/>
        <v>433.4</v>
      </c>
      <c r="AA813" s="55">
        <f t="shared" si="176"/>
        <v>0</v>
      </c>
      <c r="AB813" s="55">
        <f t="shared" si="177"/>
        <v>226.98000000000002</v>
      </c>
      <c r="AC813" s="54">
        <f t="shared" si="178"/>
        <v>0.34371119658378513</v>
      </c>
      <c r="AD813" s="56">
        <f>INDEX(Assumptions!$B$14:$B$16,MATCH($R813,Assumptions!$A$14:$A$16,0))</f>
        <v>0.32</v>
      </c>
      <c r="AE813" s="56">
        <f>INDEX(Assumptions!$C$14:$C$16,MATCH($R813,Assumptions!$A$14:$A$16,0))</f>
        <v>0.22</v>
      </c>
      <c r="AF813" s="49">
        <f t="shared" si="179"/>
        <v>0</v>
      </c>
      <c r="AG813" s="49">
        <f t="shared" si="180"/>
        <v>0</v>
      </c>
      <c r="AH813" s="55">
        <f t="shared" si="181"/>
        <v>0</v>
      </c>
    </row>
    <row r="814" spans="1:34" x14ac:dyDescent="0.2">
      <c r="A814" s="48" t="s">
        <v>827</v>
      </c>
      <c r="B814" s="48">
        <v>1</v>
      </c>
      <c r="C814" s="48" t="s">
        <v>785</v>
      </c>
      <c r="D814" s="48" t="s">
        <v>738</v>
      </c>
      <c r="E814" s="48" t="s">
        <v>366</v>
      </c>
      <c r="F814" s="48" t="s">
        <v>297</v>
      </c>
      <c r="G814" s="48" t="s">
        <v>302</v>
      </c>
      <c r="H814" s="48" t="s">
        <v>66</v>
      </c>
      <c r="I814" s="48" t="s">
        <v>93</v>
      </c>
      <c r="J814" s="49">
        <v>33</v>
      </c>
      <c r="K814" s="50">
        <v>1325</v>
      </c>
      <c r="L814" s="50">
        <v>1265.81</v>
      </c>
      <c r="M814" s="48" t="s">
        <v>276</v>
      </c>
      <c r="N814" s="51">
        <v>0.92</v>
      </c>
      <c r="O814" s="51">
        <v>0.92079999999999995</v>
      </c>
      <c r="P814" s="52">
        <v>1206.2</v>
      </c>
      <c r="Q814" s="52">
        <v>1206.2</v>
      </c>
      <c r="R814" s="53" t="str">
        <f>INDEX(SKU_Master!$D$5:$D$34,MATCH($I814,SKU_Master!$A$5:$A$34,0))</f>
        <v>Laptop</v>
      </c>
      <c r="S814" s="54">
        <f t="shared" si="168"/>
        <v>4.4671698113207592E-2</v>
      </c>
      <c r="T814" s="55">
        <f t="shared" si="169"/>
        <v>47527.173913043473</v>
      </c>
      <c r="U814" s="55">
        <f t="shared" si="170"/>
        <v>45404.054347826081</v>
      </c>
      <c r="V814" s="55">
        <f t="shared" si="171"/>
        <v>-2123.1195652173919</v>
      </c>
      <c r="W814" s="55">
        <f t="shared" si="172"/>
        <v>45364.60686359687</v>
      </c>
      <c r="X814" s="55">
        <f t="shared" si="173"/>
        <v>-39.447484229211113</v>
      </c>
      <c r="Y814" s="55">
        <f t="shared" si="174"/>
        <v>39804.6</v>
      </c>
      <c r="Z814" s="55">
        <f t="shared" si="175"/>
        <v>39804.6</v>
      </c>
      <c r="AA814" s="55">
        <f t="shared" si="176"/>
        <v>0</v>
      </c>
      <c r="AB814" s="55">
        <f t="shared" si="177"/>
        <v>5560.006863596871</v>
      </c>
      <c r="AC814" s="54">
        <f t="shared" si="178"/>
        <v>0.12256265948286076</v>
      </c>
      <c r="AD814" s="56">
        <f>INDEX(Assumptions!$B$14:$B$16,MATCH($R814,Assumptions!$A$14:$A$16,0))</f>
        <v>0.12</v>
      </c>
      <c r="AE814" s="56">
        <f>INDEX(Assumptions!$C$14:$C$16,MATCH($R814,Assumptions!$A$14:$A$16,0))</f>
        <v>0.08</v>
      </c>
      <c r="AF814" s="49">
        <f t="shared" si="179"/>
        <v>0</v>
      </c>
      <c r="AG814" s="49">
        <f t="shared" si="180"/>
        <v>0</v>
      </c>
      <c r="AH814" s="55">
        <f t="shared" si="181"/>
        <v>0</v>
      </c>
    </row>
    <row r="815" spans="1:34" x14ac:dyDescent="0.2">
      <c r="A815" s="48" t="s">
        <v>827</v>
      </c>
      <c r="B815" s="48">
        <v>2</v>
      </c>
      <c r="C815" s="48" t="s">
        <v>785</v>
      </c>
      <c r="D815" s="48" t="s">
        <v>738</v>
      </c>
      <c r="E815" s="48" t="s">
        <v>366</v>
      </c>
      <c r="F815" s="48" t="s">
        <v>297</v>
      </c>
      <c r="G815" s="48" t="s">
        <v>302</v>
      </c>
      <c r="H815" s="48" t="s">
        <v>66</v>
      </c>
      <c r="I815" s="48" t="s">
        <v>177</v>
      </c>
      <c r="J815" s="49">
        <v>19</v>
      </c>
      <c r="K815" s="50">
        <v>75</v>
      </c>
      <c r="L815" s="50">
        <v>73.23</v>
      </c>
      <c r="M815" s="48" t="s">
        <v>276</v>
      </c>
      <c r="N815" s="51">
        <v>0.92</v>
      </c>
      <c r="O815" s="51">
        <v>0.92079999999999995</v>
      </c>
      <c r="P815" s="52">
        <v>49</v>
      </c>
      <c r="Q815" s="52">
        <v>49</v>
      </c>
      <c r="R815" s="53" t="str">
        <f>INDEX(SKU_Master!$D$5:$D$34,MATCH($I815,SKU_Master!$A$5:$A$34,0))</f>
        <v>Accessory</v>
      </c>
      <c r="S815" s="54">
        <f t="shared" si="168"/>
        <v>2.3599999999999954E-2</v>
      </c>
      <c r="T815" s="55">
        <f t="shared" si="169"/>
        <v>1548.9130434782608</v>
      </c>
      <c r="U815" s="55">
        <f t="shared" si="170"/>
        <v>1512.358695652174</v>
      </c>
      <c r="V815" s="55">
        <f t="shared" si="171"/>
        <v>-36.554347826086769</v>
      </c>
      <c r="W815" s="55">
        <f t="shared" si="172"/>
        <v>1511.0447437011296</v>
      </c>
      <c r="X815" s="55">
        <f t="shared" si="173"/>
        <v>-1.3139519510443733</v>
      </c>
      <c r="Y815" s="55">
        <f t="shared" si="174"/>
        <v>931</v>
      </c>
      <c r="Z815" s="55">
        <f t="shared" si="175"/>
        <v>931</v>
      </c>
      <c r="AA815" s="55">
        <f t="shared" si="176"/>
        <v>0</v>
      </c>
      <c r="AB815" s="55">
        <f t="shared" si="177"/>
        <v>580.04474370112962</v>
      </c>
      <c r="AC815" s="54">
        <f t="shared" si="178"/>
        <v>0.38386999863443949</v>
      </c>
      <c r="AD815" s="56">
        <f>INDEX(Assumptions!$B$14:$B$16,MATCH($R815,Assumptions!$A$14:$A$16,0))</f>
        <v>0.32</v>
      </c>
      <c r="AE815" s="56">
        <f>INDEX(Assumptions!$C$14:$C$16,MATCH($R815,Assumptions!$A$14:$A$16,0))</f>
        <v>0.22</v>
      </c>
      <c r="AF815" s="49">
        <f t="shared" si="179"/>
        <v>0</v>
      </c>
      <c r="AG815" s="49">
        <f t="shared" si="180"/>
        <v>0</v>
      </c>
      <c r="AH815" s="55">
        <f t="shared" si="181"/>
        <v>0</v>
      </c>
    </row>
    <row r="816" spans="1:34" x14ac:dyDescent="0.2">
      <c r="A816" s="48" t="s">
        <v>828</v>
      </c>
      <c r="B816" s="48">
        <v>1</v>
      </c>
      <c r="C816" s="48" t="s">
        <v>829</v>
      </c>
      <c r="D816" s="48" t="s">
        <v>738</v>
      </c>
      <c r="E816" s="48" t="s">
        <v>336</v>
      </c>
      <c r="F816" s="48" t="s">
        <v>274</v>
      </c>
      <c r="G816" s="48" t="s">
        <v>288</v>
      </c>
      <c r="H816" s="48" t="s">
        <v>62</v>
      </c>
      <c r="I816" s="48" t="s">
        <v>110</v>
      </c>
      <c r="J816" s="49">
        <v>6</v>
      </c>
      <c r="K816" s="50">
        <v>1165</v>
      </c>
      <c r="L816" s="50">
        <v>1157.75</v>
      </c>
      <c r="M816" s="48" t="s">
        <v>276</v>
      </c>
      <c r="N816" s="51">
        <v>1</v>
      </c>
      <c r="O816" s="51">
        <v>1</v>
      </c>
      <c r="P816" s="52">
        <v>992.65</v>
      </c>
      <c r="Q816" s="52">
        <v>992.65</v>
      </c>
      <c r="R816" s="53" t="str">
        <f>INDEX(SKU_Master!$D$5:$D$34,MATCH($I816,SKU_Master!$A$5:$A$34,0))</f>
        <v>Laptop</v>
      </c>
      <c r="S816" s="54">
        <f t="shared" si="168"/>
        <v>6.2231759656652397E-3</v>
      </c>
      <c r="T816" s="55">
        <f t="shared" si="169"/>
        <v>6990</v>
      </c>
      <c r="U816" s="55">
        <f t="shared" si="170"/>
        <v>6946.5</v>
      </c>
      <c r="V816" s="55">
        <f t="shared" si="171"/>
        <v>-43.5</v>
      </c>
      <c r="W816" s="55">
        <f t="shared" si="172"/>
        <v>6946.5</v>
      </c>
      <c r="X816" s="55">
        <f t="shared" si="173"/>
        <v>0</v>
      </c>
      <c r="Y816" s="55">
        <f t="shared" si="174"/>
        <v>5955.9</v>
      </c>
      <c r="Z816" s="55">
        <f t="shared" si="175"/>
        <v>5955.9</v>
      </c>
      <c r="AA816" s="55">
        <f t="shared" si="176"/>
        <v>0</v>
      </c>
      <c r="AB816" s="55">
        <f t="shared" si="177"/>
        <v>990.60000000000036</v>
      </c>
      <c r="AC816" s="54">
        <f t="shared" si="178"/>
        <v>0.14260418916000869</v>
      </c>
      <c r="AD816" s="56">
        <f>INDEX(Assumptions!$B$14:$B$16,MATCH($R816,Assumptions!$A$14:$A$16,0))</f>
        <v>0.12</v>
      </c>
      <c r="AE816" s="56">
        <f>INDEX(Assumptions!$C$14:$C$16,MATCH($R816,Assumptions!$A$14:$A$16,0))</f>
        <v>0.08</v>
      </c>
      <c r="AF816" s="49">
        <f t="shared" si="179"/>
        <v>0</v>
      </c>
      <c r="AG816" s="49">
        <f t="shared" si="180"/>
        <v>0</v>
      </c>
      <c r="AH816" s="55">
        <f t="shared" si="181"/>
        <v>0</v>
      </c>
    </row>
    <row r="817" spans="1:34" x14ac:dyDescent="0.2">
      <c r="A817" s="48" t="s">
        <v>828</v>
      </c>
      <c r="B817" s="48">
        <v>2</v>
      </c>
      <c r="C817" s="48" t="s">
        <v>829</v>
      </c>
      <c r="D817" s="48" t="s">
        <v>738</v>
      </c>
      <c r="E817" s="48" t="s">
        <v>336</v>
      </c>
      <c r="F817" s="48" t="s">
        <v>274</v>
      </c>
      <c r="G817" s="48" t="s">
        <v>288</v>
      </c>
      <c r="H817" s="48" t="s">
        <v>62</v>
      </c>
      <c r="I817" s="48" t="s">
        <v>138</v>
      </c>
      <c r="J817" s="49">
        <v>3</v>
      </c>
      <c r="K817" s="50">
        <v>455</v>
      </c>
      <c r="L817" s="50">
        <v>453.25</v>
      </c>
      <c r="M817" s="48" t="s">
        <v>276</v>
      </c>
      <c r="N817" s="51">
        <v>1</v>
      </c>
      <c r="O817" s="51">
        <v>1</v>
      </c>
      <c r="P817" s="52">
        <v>358.2</v>
      </c>
      <c r="Q817" s="52">
        <v>358.2</v>
      </c>
      <c r="R817" s="53" t="str">
        <f>INDEX(SKU_Master!$D$5:$D$34,MATCH($I817,SKU_Master!$A$5:$A$34,0))</f>
        <v>Monitor</v>
      </c>
      <c r="S817" s="54">
        <f t="shared" si="168"/>
        <v>3.8461538461538325E-3</v>
      </c>
      <c r="T817" s="55">
        <f t="shared" si="169"/>
        <v>1365</v>
      </c>
      <c r="U817" s="55">
        <f t="shared" si="170"/>
        <v>1359.75</v>
      </c>
      <c r="V817" s="55">
        <f t="shared" si="171"/>
        <v>-5.25</v>
      </c>
      <c r="W817" s="55">
        <f t="shared" si="172"/>
        <v>1359.75</v>
      </c>
      <c r="X817" s="55">
        <f t="shared" si="173"/>
        <v>0</v>
      </c>
      <c r="Y817" s="55">
        <f t="shared" si="174"/>
        <v>1074.5999999999999</v>
      </c>
      <c r="Z817" s="55">
        <f t="shared" si="175"/>
        <v>1074.5999999999999</v>
      </c>
      <c r="AA817" s="55">
        <f t="shared" si="176"/>
        <v>0</v>
      </c>
      <c r="AB817" s="55">
        <f t="shared" si="177"/>
        <v>285.15000000000009</v>
      </c>
      <c r="AC817" s="54">
        <f t="shared" si="178"/>
        <v>0.20970766685052405</v>
      </c>
      <c r="AD817" s="56">
        <f>INDEX(Assumptions!$B$14:$B$16,MATCH($R817,Assumptions!$A$14:$A$16,0))</f>
        <v>0.18</v>
      </c>
      <c r="AE817" s="56">
        <f>INDEX(Assumptions!$C$14:$C$16,MATCH($R817,Assumptions!$A$14:$A$16,0))</f>
        <v>0.12</v>
      </c>
      <c r="AF817" s="49">
        <f t="shared" si="179"/>
        <v>0</v>
      </c>
      <c r="AG817" s="49">
        <f t="shared" si="180"/>
        <v>0</v>
      </c>
      <c r="AH817" s="55">
        <f t="shared" si="181"/>
        <v>0</v>
      </c>
    </row>
    <row r="818" spans="1:34" x14ac:dyDescent="0.2">
      <c r="A818" s="48" t="s">
        <v>830</v>
      </c>
      <c r="B818" s="48">
        <v>1</v>
      </c>
      <c r="C818" s="48" t="s">
        <v>740</v>
      </c>
      <c r="D818" s="48" t="s">
        <v>738</v>
      </c>
      <c r="E818" s="48" t="s">
        <v>417</v>
      </c>
      <c r="F818" s="48" t="s">
        <v>280</v>
      </c>
      <c r="G818" s="48" t="s">
        <v>298</v>
      </c>
      <c r="H818" s="48" t="s">
        <v>62</v>
      </c>
      <c r="I818" s="48" t="s">
        <v>103</v>
      </c>
      <c r="J818" s="49">
        <v>10</v>
      </c>
      <c r="K818" s="50">
        <v>1135</v>
      </c>
      <c r="L818" s="50">
        <v>1097.0899999999999</v>
      </c>
      <c r="M818" s="48" t="s">
        <v>276</v>
      </c>
      <c r="N818" s="51">
        <v>1</v>
      </c>
      <c r="O818" s="51">
        <v>1</v>
      </c>
      <c r="P818" s="52">
        <v>968.6</v>
      </c>
      <c r="Q818" s="52">
        <v>968.6</v>
      </c>
      <c r="R818" s="53" t="str">
        <f>INDEX(SKU_Master!$D$5:$D$34,MATCH($I818,SKU_Master!$A$5:$A$34,0))</f>
        <v>Laptop</v>
      </c>
      <c r="S818" s="54">
        <f t="shared" si="168"/>
        <v>3.3400881057268794E-2</v>
      </c>
      <c r="T818" s="55">
        <f t="shared" si="169"/>
        <v>11350</v>
      </c>
      <c r="U818" s="55">
        <f t="shared" si="170"/>
        <v>10970.9</v>
      </c>
      <c r="V818" s="55">
        <f t="shared" si="171"/>
        <v>-379.10000000000036</v>
      </c>
      <c r="W818" s="55">
        <f t="shared" si="172"/>
        <v>10970.9</v>
      </c>
      <c r="X818" s="55">
        <f t="shared" si="173"/>
        <v>0</v>
      </c>
      <c r="Y818" s="55">
        <f t="shared" si="174"/>
        <v>9686</v>
      </c>
      <c r="Z818" s="55">
        <f t="shared" si="175"/>
        <v>9686</v>
      </c>
      <c r="AA818" s="55">
        <f t="shared" si="176"/>
        <v>0</v>
      </c>
      <c r="AB818" s="55">
        <f t="shared" si="177"/>
        <v>1284.8999999999996</v>
      </c>
      <c r="AC818" s="54">
        <f t="shared" si="178"/>
        <v>0.11711892369814689</v>
      </c>
      <c r="AD818" s="56">
        <f>INDEX(Assumptions!$B$14:$B$16,MATCH($R818,Assumptions!$A$14:$A$16,0))</f>
        <v>0.12</v>
      </c>
      <c r="AE818" s="56">
        <f>INDEX(Assumptions!$C$14:$C$16,MATCH($R818,Assumptions!$A$14:$A$16,0))</f>
        <v>0.08</v>
      </c>
      <c r="AF818" s="49">
        <f t="shared" si="179"/>
        <v>0</v>
      </c>
      <c r="AG818" s="49">
        <f t="shared" si="180"/>
        <v>0</v>
      </c>
      <c r="AH818" s="55">
        <f t="shared" si="181"/>
        <v>31.608000000000175</v>
      </c>
    </row>
    <row r="819" spans="1:34" x14ac:dyDescent="0.2">
      <c r="A819" s="48" t="s">
        <v>831</v>
      </c>
      <c r="B819" s="48">
        <v>1</v>
      </c>
      <c r="C819" s="48" t="s">
        <v>749</v>
      </c>
      <c r="D819" s="48" t="s">
        <v>738</v>
      </c>
      <c r="E819" s="48" t="s">
        <v>355</v>
      </c>
      <c r="F819" s="48" t="s">
        <v>280</v>
      </c>
      <c r="G819" s="48" t="s">
        <v>302</v>
      </c>
      <c r="H819" s="48" t="s">
        <v>62</v>
      </c>
      <c r="I819" s="48" t="s">
        <v>115</v>
      </c>
      <c r="J819" s="49">
        <v>25</v>
      </c>
      <c r="K819" s="50">
        <v>850</v>
      </c>
      <c r="L819" s="50">
        <v>787.22</v>
      </c>
      <c r="M819" s="48" t="s">
        <v>276</v>
      </c>
      <c r="N819" s="51">
        <v>1</v>
      </c>
      <c r="O819" s="51">
        <v>1</v>
      </c>
      <c r="P819" s="52">
        <v>723.6</v>
      </c>
      <c r="Q819" s="52">
        <v>723.6</v>
      </c>
      <c r="R819" s="53" t="str">
        <f>INDEX(SKU_Master!$D$5:$D$34,MATCH($I819,SKU_Master!$A$5:$A$34,0))</f>
        <v>Laptop</v>
      </c>
      <c r="S819" s="54">
        <f t="shared" si="168"/>
        <v>7.3858823529411755E-2</v>
      </c>
      <c r="T819" s="55">
        <f t="shared" si="169"/>
        <v>21250</v>
      </c>
      <c r="U819" s="55">
        <f t="shared" si="170"/>
        <v>19680.5</v>
      </c>
      <c r="V819" s="55">
        <f t="shared" si="171"/>
        <v>-1569.5</v>
      </c>
      <c r="W819" s="55">
        <f t="shared" si="172"/>
        <v>19680.5</v>
      </c>
      <c r="X819" s="55">
        <f t="shared" si="173"/>
        <v>0</v>
      </c>
      <c r="Y819" s="55">
        <f t="shared" si="174"/>
        <v>18090</v>
      </c>
      <c r="Z819" s="55">
        <f t="shared" si="175"/>
        <v>18090</v>
      </c>
      <c r="AA819" s="55">
        <f t="shared" si="176"/>
        <v>0</v>
      </c>
      <c r="AB819" s="55">
        <f t="shared" si="177"/>
        <v>1590.5</v>
      </c>
      <c r="AC819" s="54">
        <f t="shared" si="178"/>
        <v>8.0816036177942627E-2</v>
      </c>
      <c r="AD819" s="56">
        <f>INDEX(Assumptions!$B$14:$B$16,MATCH($R819,Assumptions!$A$14:$A$16,0))</f>
        <v>0.12</v>
      </c>
      <c r="AE819" s="56">
        <f>INDEX(Assumptions!$C$14:$C$16,MATCH($R819,Assumptions!$A$14:$A$16,0))</f>
        <v>0.08</v>
      </c>
      <c r="AF819" s="49">
        <f t="shared" si="179"/>
        <v>0</v>
      </c>
      <c r="AG819" s="49">
        <f t="shared" si="180"/>
        <v>0</v>
      </c>
      <c r="AH819" s="55">
        <f t="shared" si="181"/>
        <v>771.15999999999985</v>
      </c>
    </row>
    <row r="820" spans="1:34" x14ac:dyDescent="0.2">
      <c r="A820" s="48" t="s">
        <v>831</v>
      </c>
      <c r="B820" s="48">
        <v>2</v>
      </c>
      <c r="C820" s="48" t="s">
        <v>749</v>
      </c>
      <c r="D820" s="48" t="s">
        <v>738</v>
      </c>
      <c r="E820" s="48" t="s">
        <v>355</v>
      </c>
      <c r="F820" s="48" t="s">
        <v>280</v>
      </c>
      <c r="G820" s="48" t="s">
        <v>302</v>
      </c>
      <c r="H820" s="48" t="s">
        <v>62</v>
      </c>
      <c r="I820" s="48" t="s">
        <v>161</v>
      </c>
      <c r="J820" s="49">
        <v>17</v>
      </c>
      <c r="K820" s="50">
        <v>120</v>
      </c>
      <c r="L820" s="50">
        <v>113.16</v>
      </c>
      <c r="M820" s="48" t="s">
        <v>276</v>
      </c>
      <c r="N820" s="51">
        <v>1</v>
      </c>
      <c r="O820" s="51">
        <v>1</v>
      </c>
      <c r="P820" s="52">
        <v>76</v>
      </c>
      <c r="Q820" s="52">
        <v>76</v>
      </c>
      <c r="R820" s="53" t="str">
        <f>INDEX(SKU_Master!$D$5:$D$34,MATCH($I820,SKU_Master!$A$5:$A$34,0))</f>
        <v>Accessory</v>
      </c>
      <c r="S820" s="54">
        <f t="shared" si="168"/>
        <v>5.7000000000000051E-2</v>
      </c>
      <c r="T820" s="55">
        <f t="shared" si="169"/>
        <v>2040</v>
      </c>
      <c r="U820" s="55">
        <f t="shared" si="170"/>
        <v>1923.72</v>
      </c>
      <c r="V820" s="55">
        <f t="shared" si="171"/>
        <v>-116.27999999999997</v>
      </c>
      <c r="W820" s="55">
        <f t="shared" si="172"/>
        <v>1923.72</v>
      </c>
      <c r="X820" s="55">
        <f t="shared" si="173"/>
        <v>0</v>
      </c>
      <c r="Y820" s="55">
        <f t="shared" si="174"/>
        <v>1292</v>
      </c>
      <c r="Z820" s="55">
        <f t="shared" si="175"/>
        <v>1292</v>
      </c>
      <c r="AA820" s="55">
        <f t="shared" si="176"/>
        <v>0</v>
      </c>
      <c r="AB820" s="55">
        <f t="shared" si="177"/>
        <v>631.72</v>
      </c>
      <c r="AC820" s="54">
        <f t="shared" si="178"/>
        <v>0.32838458819370803</v>
      </c>
      <c r="AD820" s="56">
        <f>INDEX(Assumptions!$B$14:$B$16,MATCH($R820,Assumptions!$A$14:$A$16,0))</f>
        <v>0.32</v>
      </c>
      <c r="AE820" s="56">
        <f>INDEX(Assumptions!$C$14:$C$16,MATCH($R820,Assumptions!$A$14:$A$16,0))</f>
        <v>0.22</v>
      </c>
      <c r="AF820" s="49">
        <f t="shared" si="179"/>
        <v>0</v>
      </c>
      <c r="AG820" s="49">
        <f t="shared" si="180"/>
        <v>0</v>
      </c>
      <c r="AH820" s="55">
        <f t="shared" si="181"/>
        <v>0</v>
      </c>
    </row>
    <row r="821" spans="1:34" x14ac:dyDescent="0.2">
      <c r="A821" s="48" t="s">
        <v>832</v>
      </c>
      <c r="B821" s="48">
        <v>1</v>
      </c>
      <c r="C821" s="48" t="s">
        <v>811</v>
      </c>
      <c r="D821" s="48" t="s">
        <v>738</v>
      </c>
      <c r="E821" s="48" t="s">
        <v>407</v>
      </c>
      <c r="F821" s="48" t="s">
        <v>274</v>
      </c>
      <c r="G821" s="48" t="s">
        <v>302</v>
      </c>
      <c r="H821" s="48" t="s">
        <v>62</v>
      </c>
      <c r="I821" s="48" t="s">
        <v>103</v>
      </c>
      <c r="J821" s="49">
        <v>8</v>
      </c>
      <c r="K821" s="50">
        <v>1135</v>
      </c>
      <c r="L821" s="50">
        <v>1072.28</v>
      </c>
      <c r="M821" s="48" t="s">
        <v>276</v>
      </c>
      <c r="N821" s="51">
        <v>1</v>
      </c>
      <c r="O821" s="51">
        <v>1</v>
      </c>
      <c r="P821" s="52">
        <v>968.6</v>
      </c>
      <c r="Q821" s="52">
        <v>968.6</v>
      </c>
      <c r="R821" s="53" t="str">
        <f>INDEX(SKU_Master!$D$5:$D$34,MATCH($I821,SKU_Master!$A$5:$A$34,0))</f>
        <v>Laptop</v>
      </c>
      <c r="S821" s="54">
        <f t="shared" si="168"/>
        <v>5.525991189427315E-2</v>
      </c>
      <c r="T821" s="55">
        <f t="shared" si="169"/>
        <v>9080</v>
      </c>
      <c r="U821" s="55">
        <f t="shared" si="170"/>
        <v>8578.24</v>
      </c>
      <c r="V821" s="55">
        <f t="shared" si="171"/>
        <v>-501.76000000000022</v>
      </c>
      <c r="W821" s="55">
        <f t="shared" si="172"/>
        <v>8578.24</v>
      </c>
      <c r="X821" s="55">
        <f t="shared" si="173"/>
        <v>0</v>
      </c>
      <c r="Y821" s="55">
        <f t="shared" si="174"/>
        <v>7748.8</v>
      </c>
      <c r="Z821" s="55">
        <f t="shared" si="175"/>
        <v>7748.8</v>
      </c>
      <c r="AA821" s="55">
        <f t="shared" si="176"/>
        <v>0</v>
      </c>
      <c r="AB821" s="55">
        <f t="shared" si="177"/>
        <v>829.4399999999996</v>
      </c>
      <c r="AC821" s="54">
        <f t="shared" si="178"/>
        <v>9.6691162755996526E-2</v>
      </c>
      <c r="AD821" s="56">
        <f>INDEX(Assumptions!$B$14:$B$16,MATCH($R821,Assumptions!$A$14:$A$16,0))</f>
        <v>0.12</v>
      </c>
      <c r="AE821" s="56">
        <f>INDEX(Assumptions!$C$14:$C$16,MATCH($R821,Assumptions!$A$14:$A$16,0))</f>
        <v>0.08</v>
      </c>
      <c r="AF821" s="49">
        <f t="shared" si="179"/>
        <v>0</v>
      </c>
      <c r="AG821" s="49">
        <f t="shared" si="180"/>
        <v>0</v>
      </c>
      <c r="AH821" s="55">
        <f t="shared" si="181"/>
        <v>199.94880000000035</v>
      </c>
    </row>
    <row r="822" spans="1:34" x14ac:dyDescent="0.2">
      <c r="A822" s="48" t="s">
        <v>832</v>
      </c>
      <c r="B822" s="48">
        <v>2</v>
      </c>
      <c r="C822" s="48" t="s">
        <v>811</v>
      </c>
      <c r="D822" s="48" t="s">
        <v>738</v>
      </c>
      <c r="E822" s="48" t="s">
        <v>407</v>
      </c>
      <c r="F822" s="48" t="s">
        <v>274</v>
      </c>
      <c r="G822" s="48" t="s">
        <v>302</v>
      </c>
      <c r="H822" s="48" t="s">
        <v>62</v>
      </c>
      <c r="I822" s="48" t="s">
        <v>138</v>
      </c>
      <c r="J822" s="49">
        <v>8</v>
      </c>
      <c r="K822" s="50">
        <v>455</v>
      </c>
      <c r="L822" s="50">
        <v>453.74</v>
      </c>
      <c r="M822" s="48" t="s">
        <v>276</v>
      </c>
      <c r="N822" s="51">
        <v>1</v>
      </c>
      <c r="O822" s="51">
        <v>1</v>
      </c>
      <c r="P822" s="52">
        <v>358.2</v>
      </c>
      <c r="Q822" s="52">
        <v>358.2</v>
      </c>
      <c r="R822" s="53" t="str">
        <f>INDEX(SKU_Master!$D$5:$D$34,MATCH($I822,SKU_Master!$A$5:$A$34,0))</f>
        <v>Monitor</v>
      </c>
      <c r="S822" s="54">
        <f t="shared" si="168"/>
        <v>2.7692307692307461E-3</v>
      </c>
      <c r="T822" s="55">
        <f t="shared" si="169"/>
        <v>3640</v>
      </c>
      <c r="U822" s="55">
        <f t="shared" si="170"/>
        <v>3629.92</v>
      </c>
      <c r="V822" s="55">
        <f t="shared" si="171"/>
        <v>-10.079999999999927</v>
      </c>
      <c r="W822" s="55">
        <f t="shared" si="172"/>
        <v>3629.92</v>
      </c>
      <c r="X822" s="55">
        <f t="shared" si="173"/>
        <v>0</v>
      </c>
      <c r="Y822" s="55">
        <f t="shared" si="174"/>
        <v>2865.6</v>
      </c>
      <c r="Z822" s="55">
        <f t="shared" si="175"/>
        <v>2865.6</v>
      </c>
      <c r="AA822" s="55">
        <f t="shared" si="176"/>
        <v>0</v>
      </c>
      <c r="AB822" s="55">
        <f t="shared" si="177"/>
        <v>764.32000000000016</v>
      </c>
      <c r="AC822" s="54">
        <f t="shared" si="178"/>
        <v>0.21056111429452995</v>
      </c>
      <c r="AD822" s="56">
        <f>INDEX(Assumptions!$B$14:$B$16,MATCH($R822,Assumptions!$A$14:$A$16,0))</f>
        <v>0.18</v>
      </c>
      <c r="AE822" s="56">
        <f>INDEX(Assumptions!$C$14:$C$16,MATCH($R822,Assumptions!$A$14:$A$16,0))</f>
        <v>0.12</v>
      </c>
      <c r="AF822" s="49">
        <f t="shared" si="179"/>
        <v>0</v>
      </c>
      <c r="AG822" s="49">
        <f t="shared" si="180"/>
        <v>0</v>
      </c>
      <c r="AH822" s="55">
        <f t="shared" si="181"/>
        <v>0</v>
      </c>
    </row>
    <row r="823" spans="1:34" x14ac:dyDescent="0.2">
      <c r="A823" s="48" t="s">
        <v>832</v>
      </c>
      <c r="B823" s="48">
        <v>3</v>
      </c>
      <c r="C823" s="48" t="s">
        <v>811</v>
      </c>
      <c r="D823" s="48" t="s">
        <v>738</v>
      </c>
      <c r="E823" s="48" t="s">
        <v>407</v>
      </c>
      <c r="F823" s="48" t="s">
        <v>274</v>
      </c>
      <c r="G823" s="48" t="s">
        <v>302</v>
      </c>
      <c r="H823" s="48" t="s">
        <v>62</v>
      </c>
      <c r="I823" s="48" t="s">
        <v>161</v>
      </c>
      <c r="J823" s="49">
        <v>6</v>
      </c>
      <c r="K823" s="50">
        <v>120</v>
      </c>
      <c r="L823" s="50">
        <v>114.59</v>
      </c>
      <c r="M823" s="48" t="s">
        <v>276</v>
      </c>
      <c r="N823" s="51">
        <v>1</v>
      </c>
      <c r="O823" s="51">
        <v>1</v>
      </c>
      <c r="P823" s="52">
        <v>76</v>
      </c>
      <c r="Q823" s="52">
        <v>76</v>
      </c>
      <c r="R823" s="53" t="str">
        <f>INDEX(SKU_Master!$D$5:$D$34,MATCH($I823,SKU_Master!$A$5:$A$34,0))</f>
        <v>Accessory</v>
      </c>
      <c r="S823" s="54">
        <f t="shared" si="168"/>
        <v>4.5083333333333253E-2</v>
      </c>
      <c r="T823" s="55">
        <f t="shared" si="169"/>
        <v>720</v>
      </c>
      <c r="U823" s="55">
        <f t="shared" si="170"/>
        <v>687.54</v>
      </c>
      <c r="V823" s="55">
        <f t="shared" si="171"/>
        <v>-32.460000000000036</v>
      </c>
      <c r="W823" s="55">
        <f t="shared" si="172"/>
        <v>687.54</v>
      </c>
      <c r="X823" s="55">
        <f t="shared" si="173"/>
        <v>0</v>
      </c>
      <c r="Y823" s="55">
        <f t="shared" si="174"/>
        <v>456</v>
      </c>
      <c r="Z823" s="55">
        <f t="shared" si="175"/>
        <v>456</v>
      </c>
      <c r="AA823" s="55">
        <f t="shared" si="176"/>
        <v>0</v>
      </c>
      <c r="AB823" s="55">
        <f t="shared" si="177"/>
        <v>231.53999999999996</v>
      </c>
      <c r="AC823" s="54">
        <f t="shared" si="178"/>
        <v>0.33676586089536603</v>
      </c>
      <c r="AD823" s="56">
        <f>INDEX(Assumptions!$B$14:$B$16,MATCH($R823,Assumptions!$A$14:$A$16,0))</f>
        <v>0.32</v>
      </c>
      <c r="AE823" s="56">
        <f>INDEX(Assumptions!$C$14:$C$16,MATCH($R823,Assumptions!$A$14:$A$16,0))</f>
        <v>0.22</v>
      </c>
      <c r="AF823" s="49">
        <f t="shared" si="179"/>
        <v>0</v>
      </c>
      <c r="AG823" s="49">
        <f t="shared" si="180"/>
        <v>0</v>
      </c>
      <c r="AH823" s="55">
        <f t="shared" si="181"/>
        <v>0</v>
      </c>
    </row>
    <row r="824" spans="1:34" x14ac:dyDescent="0.2">
      <c r="A824" s="48" t="s">
        <v>833</v>
      </c>
      <c r="B824" s="48">
        <v>1</v>
      </c>
      <c r="C824" s="48" t="s">
        <v>743</v>
      </c>
      <c r="D824" s="48" t="s">
        <v>738</v>
      </c>
      <c r="E824" s="48" t="s">
        <v>305</v>
      </c>
      <c r="F824" s="48" t="s">
        <v>274</v>
      </c>
      <c r="G824" s="48" t="s">
        <v>306</v>
      </c>
      <c r="H824" s="48" t="s">
        <v>62</v>
      </c>
      <c r="I824" s="48" t="s">
        <v>108</v>
      </c>
      <c r="J824" s="49">
        <v>4</v>
      </c>
      <c r="K824" s="50">
        <v>1345</v>
      </c>
      <c r="L824" s="50">
        <v>1342.49</v>
      </c>
      <c r="M824" s="48" t="s">
        <v>276</v>
      </c>
      <c r="N824" s="51">
        <v>1</v>
      </c>
      <c r="O824" s="51">
        <v>1</v>
      </c>
      <c r="P824" s="52">
        <v>1145</v>
      </c>
      <c r="Q824" s="52">
        <v>1145</v>
      </c>
      <c r="R824" s="53" t="str">
        <f>INDEX(SKU_Master!$D$5:$D$34,MATCH($I824,SKU_Master!$A$5:$A$34,0))</f>
        <v>Laptop</v>
      </c>
      <c r="S824" s="54">
        <f t="shared" si="168"/>
        <v>1.8661710037174428E-3</v>
      </c>
      <c r="T824" s="55">
        <f t="shared" si="169"/>
        <v>5380</v>
      </c>
      <c r="U824" s="55">
        <f t="shared" si="170"/>
        <v>5369.96</v>
      </c>
      <c r="V824" s="55">
        <f t="shared" si="171"/>
        <v>-10.039999999999964</v>
      </c>
      <c r="W824" s="55">
        <f t="shared" si="172"/>
        <v>5369.96</v>
      </c>
      <c r="X824" s="55">
        <f t="shared" si="173"/>
        <v>0</v>
      </c>
      <c r="Y824" s="55">
        <f t="shared" si="174"/>
        <v>4580</v>
      </c>
      <c r="Z824" s="55">
        <f t="shared" si="175"/>
        <v>4580</v>
      </c>
      <c r="AA824" s="55">
        <f t="shared" si="176"/>
        <v>0</v>
      </c>
      <c r="AB824" s="55">
        <f t="shared" si="177"/>
        <v>789.96</v>
      </c>
      <c r="AC824" s="54">
        <f t="shared" si="178"/>
        <v>0.14710724102227951</v>
      </c>
      <c r="AD824" s="56">
        <f>INDEX(Assumptions!$B$14:$B$16,MATCH($R824,Assumptions!$A$14:$A$16,0))</f>
        <v>0.12</v>
      </c>
      <c r="AE824" s="56">
        <f>INDEX(Assumptions!$C$14:$C$16,MATCH($R824,Assumptions!$A$14:$A$16,0))</f>
        <v>0.08</v>
      </c>
      <c r="AF824" s="49">
        <f t="shared" si="179"/>
        <v>0</v>
      </c>
      <c r="AG824" s="49">
        <f t="shared" si="180"/>
        <v>0</v>
      </c>
      <c r="AH824" s="55">
        <f t="shared" si="181"/>
        <v>0</v>
      </c>
    </row>
    <row r="825" spans="1:34" x14ac:dyDescent="0.2">
      <c r="A825" s="48" t="s">
        <v>833</v>
      </c>
      <c r="B825" s="48">
        <v>2</v>
      </c>
      <c r="C825" s="48" t="s">
        <v>743</v>
      </c>
      <c r="D825" s="48" t="s">
        <v>738</v>
      </c>
      <c r="E825" s="48" t="s">
        <v>305</v>
      </c>
      <c r="F825" s="48" t="s">
        <v>274</v>
      </c>
      <c r="G825" s="48" t="s">
        <v>306</v>
      </c>
      <c r="H825" s="48" t="s">
        <v>62</v>
      </c>
      <c r="I825" s="48" t="s">
        <v>135</v>
      </c>
      <c r="J825" s="49">
        <v>2</v>
      </c>
      <c r="K825" s="50">
        <v>240</v>
      </c>
      <c r="L825" s="50">
        <v>239.08</v>
      </c>
      <c r="M825" s="48" t="s">
        <v>276</v>
      </c>
      <c r="N825" s="51">
        <v>1</v>
      </c>
      <c r="O825" s="51">
        <v>1</v>
      </c>
      <c r="P825" s="52">
        <v>186.7</v>
      </c>
      <c r="Q825" s="52">
        <v>186.7</v>
      </c>
      <c r="R825" s="53" t="str">
        <f>INDEX(SKU_Master!$D$5:$D$34,MATCH($I825,SKU_Master!$A$5:$A$34,0))</f>
        <v>Monitor</v>
      </c>
      <c r="S825" s="54">
        <f t="shared" si="168"/>
        <v>3.8333333333332442E-3</v>
      </c>
      <c r="T825" s="55">
        <f t="shared" si="169"/>
        <v>480</v>
      </c>
      <c r="U825" s="55">
        <f t="shared" si="170"/>
        <v>478.16</v>
      </c>
      <c r="V825" s="55">
        <f t="shared" si="171"/>
        <v>-1.839999999999975</v>
      </c>
      <c r="W825" s="55">
        <f t="shared" si="172"/>
        <v>478.16</v>
      </c>
      <c r="X825" s="55">
        <f t="shared" si="173"/>
        <v>0</v>
      </c>
      <c r="Y825" s="55">
        <f t="shared" si="174"/>
        <v>373.4</v>
      </c>
      <c r="Z825" s="55">
        <f t="shared" si="175"/>
        <v>373.4</v>
      </c>
      <c r="AA825" s="55">
        <f t="shared" si="176"/>
        <v>0</v>
      </c>
      <c r="AB825" s="55">
        <f t="shared" si="177"/>
        <v>104.76000000000005</v>
      </c>
      <c r="AC825" s="54">
        <f t="shared" si="178"/>
        <v>0.21908984440354701</v>
      </c>
      <c r="AD825" s="56">
        <f>INDEX(Assumptions!$B$14:$B$16,MATCH($R825,Assumptions!$A$14:$A$16,0))</f>
        <v>0.18</v>
      </c>
      <c r="AE825" s="56">
        <f>INDEX(Assumptions!$C$14:$C$16,MATCH($R825,Assumptions!$A$14:$A$16,0))</f>
        <v>0.12</v>
      </c>
      <c r="AF825" s="49">
        <f t="shared" si="179"/>
        <v>0</v>
      </c>
      <c r="AG825" s="49">
        <f t="shared" si="180"/>
        <v>0</v>
      </c>
      <c r="AH825" s="55">
        <f t="shared" si="181"/>
        <v>0</v>
      </c>
    </row>
    <row r="826" spans="1:34" x14ac:dyDescent="0.2">
      <c r="A826" s="48" t="s">
        <v>833</v>
      </c>
      <c r="B826" s="48">
        <v>3</v>
      </c>
      <c r="C826" s="48" t="s">
        <v>743</v>
      </c>
      <c r="D826" s="48" t="s">
        <v>738</v>
      </c>
      <c r="E826" s="48" t="s">
        <v>305</v>
      </c>
      <c r="F826" s="48" t="s">
        <v>274</v>
      </c>
      <c r="G826" s="48" t="s">
        <v>306</v>
      </c>
      <c r="H826" s="48" t="s">
        <v>62</v>
      </c>
      <c r="I826" s="48" t="s">
        <v>164</v>
      </c>
      <c r="J826" s="49">
        <v>2</v>
      </c>
      <c r="K826" s="50">
        <v>190</v>
      </c>
      <c r="L826" s="50">
        <v>186.65</v>
      </c>
      <c r="M826" s="48" t="s">
        <v>276</v>
      </c>
      <c r="N826" s="51">
        <v>1</v>
      </c>
      <c r="O826" s="51">
        <v>1</v>
      </c>
      <c r="P826" s="52">
        <v>121</v>
      </c>
      <c r="Q826" s="52">
        <v>121</v>
      </c>
      <c r="R826" s="53" t="str">
        <f>INDEX(SKU_Master!$D$5:$D$34,MATCH($I826,SKU_Master!$A$5:$A$34,0))</f>
        <v>Accessory</v>
      </c>
      <c r="S826" s="54">
        <f t="shared" si="168"/>
        <v>1.7631578947368443E-2</v>
      </c>
      <c r="T826" s="55">
        <f t="shared" si="169"/>
        <v>380</v>
      </c>
      <c r="U826" s="55">
        <f t="shared" si="170"/>
        <v>373.3</v>
      </c>
      <c r="V826" s="55">
        <f t="shared" si="171"/>
        <v>-6.6999999999999886</v>
      </c>
      <c r="W826" s="55">
        <f t="shared" si="172"/>
        <v>373.3</v>
      </c>
      <c r="X826" s="55">
        <f t="shared" si="173"/>
        <v>0</v>
      </c>
      <c r="Y826" s="55">
        <f t="shared" si="174"/>
        <v>242</v>
      </c>
      <c r="Z826" s="55">
        <f t="shared" si="175"/>
        <v>242</v>
      </c>
      <c r="AA826" s="55">
        <f t="shared" si="176"/>
        <v>0</v>
      </c>
      <c r="AB826" s="55">
        <f t="shared" si="177"/>
        <v>131.30000000000001</v>
      </c>
      <c r="AC826" s="54">
        <f t="shared" si="178"/>
        <v>0.35172783284221809</v>
      </c>
      <c r="AD826" s="56">
        <f>INDEX(Assumptions!$B$14:$B$16,MATCH($R826,Assumptions!$A$14:$A$16,0))</f>
        <v>0.32</v>
      </c>
      <c r="AE826" s="56">
        <f>INDEX(Assumptions!$C$14:$C$16,MATCH($R826,Assumptions!$A$14:$A$16,0))</f>
        <v>0.22</v>
      </c>
      <c r="AF826" s="49">
        <f t="shared" si="179"/>
        <v>0</v>
      </c>
      <c r="AG826" s="49">
        <f t="shared" si="180"/>
        <v>0</v>
      </c>
      <c r="AH826" s="55">
        <f t="shared" si="181"/>
        <v>0</v>
      </c>
    </row>
    <row r="827" spans="1:34" x14ac:dyDescent="0.2">
      <c r="A827" s="48" t="s">
        <v>834</v>
      </c>
      <c r="B827" s="48">
        <v>1</v>
      </c>
      <c r="C827" s="48" t="s">
        <v>813</v>
      </c>
      <c r="D827" s="48" t="s">
        <v>738</v>
      </c>
      <c r="E827" s="48" t="s">
        <v>284</v>
      </c>
      <c r="F827" s="48" t="s">
        <v>274</v>
      </c>
      <c r="G827" s="48" t="s">
        <v>275</v>
      </c>
      <c r="H827" s="48" t="s">
        <v>64</v>
      </c>
      <c r="I827" s="48" t="s">
        <v>106</v>
      </c>
      <c r="J827" s="49">
        <v>8</v>
      </c>
      <c r="K827" s="50">
        <v>1250</v>
      </c>
      <c r="L827" s="50">
        <v>1226.02</v>
      </c>
      <c r="M827" s="48" t="s">
        <v>276</v>
      </c>
      <c r="N827" s="51">
        <v>0.79</v>
      </c>
      <c r="O827" s="51">
        <v>0.78910000000000002</v>
      </c>
      <c r="P827" s="52">
        <v>1322.4</v>
      </c>
      <c r="Q827" s="52">
        <v>1322.4</v>
      </c>
      <c r="R827" s="53" t="str">
        <f>INDEX(SKU_Master!$D$5:$D$34,MATCH($I827,SKU_Master!$A$5:$A$34,0))</f>
        <v>Laptop</v>
      </c>
      <c r="S827" s="54">
        <f t="shared" si="168"/>
        <v>1.9183999999999979E-2</v>
      </c>
      <c r="T827" s="55">
        <f t="shared" si="169"/>
        <v>12658.227848101265</v>
      </c>
      <c r="U827" s="55">
        <f t="shared" si="170"/>
        <v>12415.39240506329</v>
      </c>
      <c r="V827" s="55">
        <f t="shared" si="171"/>
        <v>-242.83544303797498</v>
      </c>
      <c r="W827" s="55">
        <f t="shared" si="172"/>
        <v>12429.552654923329</v>
      </c>
      <c r="X827" s="55">
        <f t="shared" si="173"/>
        <v>14.160249860038675</v>
      </c>
      <c r="Y827" s="55">
        <f t="shared" si="174"/>
        <v>10579.2</v>
      </c>
      <c r="Z827" s="55">
        <f t="shared" si="175"/>
        <v>10579.2</v>
      </c>
      <c r="AA827" s="55">
        <f t="shared" si="176"/>
        <v>0</v>
      </c>
      <c r="AB827" s="55">
        <f t="shared" si="177"/>
        <v>1850.3526549233284</v>
      </c>
      <c r="AC827" s="54">
        <f t="shared" si="178"/>
        <v>0.14886719629369816</v>
      </c>
      <c r="AD827" s="56">
        <f>INDEX(Assumptions!$B$14:$B$16,MATCH($R827,Assumptions!$A$14:$A$16,0))</f>
        <v>0.12</v>
      </c>
      <c r="AE827" s="56">
        <f>INDEX(Assumptions!$C$14:$C$16,MATCH($R827,Assumptions!$A$14:$A$16,0))</f>
        <v>0.08</v>
      </c>
      <c r="AF827" s="49">
        <f t="shared" si="179"/>
        <v>0</v>
      </c>
      <c r="AG827" s="49">
        <f t="shared" si="180"/>
        <v>0</v>
      </c>
      <c r="AH827" s="55">
        <f t="shared" si="181"/>
        <v>0</v>
      </c>
    </row>
    <row r="828" spans="1:34" x14ac:dyDescent="0.2">
      <c r="A828" s="48" t="s">
        <v>834</v>
      </c>
      <c r="B828" s="48">
        <v>2</v>
      </c>
      <c r="C828" s="48" t="s">
        <v>813</v>
      </c>
      <c r="D828" s="48" t="s">
        <v>738</v>
      </c>
      <c r="E828" s="48" t="s">
        <v>284</v>
      </c>
      <c r="F828" s="48" t="s">
        <v>274</v>
      </c>
      <c r="G828" s="48" t="s">
        <v>275</v>
      </c>
      <c r="H828" s="48" t="s">
        <v>64</v>
      </c>
      <c r="I828" s="48" t="s">
        <v>146</v>
      </c>
      <c r="J828" s="49">
        <v>7</v>
      </c>
      <c r="K828" s="50">
        <v>220</v>
      </c>
      <c r="L828" s="50">
        <v>219.7</v>
      </c>
      <c r="M828" s="48" t="s">
        <v>276</v>
      </c>
      <c r="N828" s="51">
        <v>0.79</v>
      </c>
      <c r="O828" s="51">
        <v>0.78910000000000002</v>
      </c>
      <c r="P828" s="52">
        <v>211.8</v>
      </c>
      <c r="Q828" s="52">
        <v>211.8</v>
      </c>
      <c r="R828" s="53" t="str">
        <f>INDEX(SKU_Master!$D$5:$D$34,MATCH($I828,SKU_Master!$A$5:$A$34,0))</f>
        <v>Monitor</v>
      </c>
      <c r="S828" s="54">
        <f t="shared" si="168"/>
        <v>1.3636363636364557E-3</v>
      </c>
      <c r="T828" s="55">
        <f t="shared" si="169"/>
        <v>1949.367088607595</v>
      </c>
      <c r="U828" s="55">
        <f t="shared" si="170"/>
        <v>1946.7088607594935</v>
      </c>
      <c r="V828" s="55">
        <f t="shared" si="171"/>
        <v>-2.6582278481014328</v>
      </c>
      <c r="W828" s="55">
        <f t="shared" si="172"/>
        <v>1948.9291598023062</v>
      </c>
      <c r="X828" s="55">
        <f t="shared" si="173"/>
        <v>2.2202990428127123</v>
      </c>
      <c r="Y828" s="55">
        <f t="shared" si="174"/>
        <v>1482.6000000000001</v>
      </c>
      <c r="Z828" s="55">
        <f t="shared" si="175"/>
        <v>1482.6000000000001</v>
      </c>
      <c r="AA828" s="55">
        <f t="shared" si="176"/>
        <v>0</v>
      </c>
      <c r="AB828" s="55">
        <f t="shared" si="177"/>
        <v>466.32915980230609</v>
      </c>
      <c r="AC828" s="54">
        <f t="shared" si="178"/>
        <v>0.2392745562130176</v>
      </c>
      <c r="AD828" s="56">
        <f>INDEX(Assumptions!$B$14:$B$16,MATCH($R828,Assumptions!$A$14:$A$16,0))</f>
        <v>0.18</v>
      </c>
      <c r="AE828" s="56">
        <f>INDEX(Assumptions!$C$14:$C$16,MATCH($R828,Assumptions!$A$14:$A$16,0))</f>
        <v>0.12</v>
      </c>
      <c r="AF828" s="49">
        <f t="shared" si="179"/>
        <v>0</v>
      </c>
      <c r="AG828" s="49">
        <f t="shared" si="180"/>
        <v>0</v>
      </c>
      <c r="AH828" s="55">
        <f t="shared" si="181"/>
        <v>0</v>
      </c>
    </row>
    <row r="829" spans="1:34" x14ac:dyDescent="0.2">
      <c r="A829" s="48" t="s">
        <v>835</v>
      </c>
      <c r="B829" s="48">
        <v>1</v>
      </c>
      <c r="C829" s="48" t="s">
        <v>743</v>
      </c>
      <c r="D829" s="48" t="s">
        <v>738</v>
      </c>
      <c r="E829" s="48" t="s">
        <v>333</v>
      </c>
      <c r="F829" s="48" t="s">
        <v>297</v>
      </c>
      <c r="G829" s="48" t="s">
        <v>302</v>
      </c>
      <c r="H829" s="48" t="s">
        <v>70</v>
      </c>
      <c r="I829" s="48" t="s">
        <v>93</v>
      </c>
      <c r="J829" s="49">
        <v>53</v>
      </c>
      <c r="K829" s="50">
        <v>134750</v>
      </c>
      <c r="L829" s="50">
        <v>127501.66</v>
      </c>
      <c r="M829" s="48" t="s">
        <v>276</v>
      </c>
      <c r="N829" s="51">
        <v>83.5</v>
      </c>
      <c r="O829" s="51">
        <v>84.144000000000005</v>
      </c>
      <c r="P829" s="52">
        <v>1351.7</v>
      </c>
      <c r="Q829" s="52">
        <v>1371.7</v>
      </c>
      <c r="R829" s="53" t="str">
        <f>INDEX(SKU_Master!$D$5:$D$34,MATCH($I829,SKU_Master!$A$5:$A$34,0))</f>
        <v>Laptop</v>
      </c>
      <c r="S829" s="54">
        <f t="shared" si="168"/>
        <v>5.3791020408163193E-2</v>
      </c>
      <c r="T829" s="55">
        <f t="shared" si="169"/>
        <v>85529.940119760475</v>
      </c>
      <c r="U829" s="55">
        <f t="shared" si="170"/>
        <v>80929.197365269472</v>
      </c>
      <c r="V829" s="55">
        <f t="shared" si="171"/>
        <v>-4600.7427544910024</v>
      </c>
      <c r="W829" s="55">
        <f t="shared" si="172"/>
        <v>80309.802006084807</v>
      </c>
      <c r="X829" s="55">
        <f t="shared" si="173"/>
        <v>-619.39535918466572</v>
      </c>
      <c r="Y829" s="55">
        <f t="shared" si="174"/>
        <v>71640.100000000006</v>
      </c>
      <c r="Z829" s="55">
        <f t="shared" si="175"/>
        <v>72700.100000000006</v>
      </c>
      <c r="AA829" s="55">
        <f t="shared" si="176"/>
        <v>-1060</v>
      </c>
      <c r="AB829" s="55">
        <f t="shared" si="177"/>
        <v>7609.7020060848008</v>
      </c>
      <c r="AC829" s="54">
        <f t="shared" si="178"/>
        <v>9.4754336531775271E-2</v>
      </c>
      <c r="AD829" s="56">
        <f>INDEX(Assumptions!$B$14:$B$16,MATCH($R829,Assumptions!$A$14:$A$16,0))</f>
        <v>0.12</v>
      </c>
      <c r="AE829" s="56">
        <f>INDEX(Assumptions!$C$14:$C$16,MATCH($R829,Assumptions!$A$14:$A$16,0))</f>
        <v>0.08</v>
      </c>
      <c r="AF829" s="49">
        <f t="shared" si="179"/>
        <v>0</v>
      </c>
      <c r="AG829" s="49">
        <f t="shared" si="180"/>
        <v>0</v>
      </c>
      <c r="AH829" s="55">
        <f t="shared" si="181"/>
        <v>2027.474234645375</v>
      </c>
    </row>
    <row r="830" spans="1:34" x14ac:dyDescent="0.2">
      <c r="A830" s="48" t="s">
        <v>836</v>
      </c>
      <c r="B830" s="48">
        <v>1</v>
      </c>
      <c r="C830" s="48" t="s">
        <v>747</v>
      </c>
      <c r="D830" s="48" t="s">
        <v>738</v>
      </c>
      <c r="E830" s="48" t="s">
        <v>309</v>
      </c>
      <c r="F830" s="48" t="s">
        <v>280</v>
      </c>
      <c r="G830" s="48" t="s">
        <v>298</v>
      </c>
      <c r="H830" s="48" t="s">
        <v>70</v>
      </c>
      <c r="I830" s="48" t="s">
        <v>108</v>
      </c>
      <c r="J830" s="49">
        <v>13</v>
      </c>
      <c r="K830" s="50">
        <v>130190</v>
      </c>
      <c r="L830" s="50">
        <v>128167.38</v>
      </c>
      <c r="M830" s="48" t="s">
        <v>276</v>
      </c>
      <c r="N830" s="51">
        <v>83.5</v>
      </c>
      <c r="O830" s="51">
        <v>84.144000000000005</v>
      </c>
      <c r="P830" s="52">
        <v>1305.97</v>
      </c>
      <c r="Q830" s="52">
        <v>1325.97</v>
      </c>
      <c r="R830" s="53" t="str">
        <f>INDEX(SKU_Master!$D$5:$D$34,MATCH($I830,SKU_Master!$A$5:$A$34,0))</f>
        <v>Laptop</v>
      </c>
      <c r="S830" s="54">
        <f t="shared" si="168"/>
        <v>1.5535909055995001E-2</v>
      </c>
      <c r="T830" s="55">
        <f t="shared" si="169"/>
        <v>20269.101796407187</v>
      </c>
      <c r="U830" s="55">
        <f t="shared" si="170"/>
        <v>19954.202874251496</v>
      </c>
      <c r="V830" s="55">
        <f t="shared" si="171"/>
        <v>-314.89892215569125</v>
      </c>
      <c r="W830" s="55">
        <f t="shared" si="172"/>
        <v>19801.482458642324</v>
      </c>
      <c r="X830" s="55">
        <f t="shared" si="173"/>
        <v>-152.72041560917205</v>
      </c>
      <c r="Y830" s="55">
        <f t="shared" si="174"/>
        <v>16977.61</v>
      </c>
      <c r="Z830" s="55">
        <f t="shared" si="175"/>
        <v>17237.61</v>
      </c>
      <c r="AA830" s="55">
        <f t="shared" si="176"/>
        <v>-260</v>
      </c>
      <c r="AB830" s="55">
        <f t="shared" si="177"/>
        <v>2563.8724586423232</v>
      </c>
      <c r="AC830" s="54">
        <f t="shared" si="178"/>
        <v>0.12947881371999628</v>
      </c>
      <c r="AD830" s="56">
        <f>INDEX(Assumptions!$B$14:$B$16,MATCH($R830,Assumptions!$A$14:$A$16,0))</f>
        <v>0.12</v>
      </c>
      <c r="AE830" s="56">
        <f>INDEX(Assumptions!$C$14:$C$16,MATCH($R830,Assumptions!$A$14:$A$16,0))</f>
        <v>0.08</v>
      </c>
      <c r="AF830" s="49">
        <f t="shared" si="179"/>
        <v>0</v>
      </c>
      <c r="AG830" s="49">
        <f t="shared" si="180"/>
        <v>0</v>
      </c>
      <c r="AH830" s="55">
        <f t="shared" si="181"/>
        <v>0</v>
      </c>
    </row>
    <row r="831" spans="1:34" x14ac:dyDescent="0.2">
      <c r="A831" s="48" t="s">
        <v>836</v>
      </c>
      <c r="B831" s="48">
        <v>2</v>
      </c>
      <c r="C831" s="48" t="s">
        <v>747</v>
      </c>
      <c r="D831" s="48" t="s">
        <v>738</v>
      </c>
      <c r="E831" s="48" t="s">
        <v>309</v>
      </c>
      <c r="F831" s="48" t="s">
        <v>280</v>
      </c>
      <c r="G831" s="48" t="s">
        <v>298</v>
      </c>
      <c r="H831" s="48" t="s">
        <v>70</v>
      </c>
      <c r="I831" s="48" t="s">
        <v>138</v>
      </c>
      <c r="J831" s="49">
        <v>6</v>
      </c>
      <c r="K831" s="50">
        <v>47515</v>
      </c>
      <c r="L831" s="50">
        <v>45453.57</v>
      </c>
      <c r="M831" s="48" t="s">
        <v>276</v>
      </c>
      <c r="N831" s="51">
        <v>83.5</v>
      </c>
      <c r="O831" s="51">
        <v>84.144000000000005</v>
      </c>
      <c r="P831" s="52">
        <v>439.85</v>
      </c>
      <c r="Q831" s="52">
        <v>459.85</v>
      </c>
      <c r="R831" s="53" t="str">
        <f>INDEX(SKU_Master!$D$5:$D$34,MATCH($I831,SKU_Master!$A$5:$A$34,0))</f>
        <v>Monitor</v>
      </c>
      <c r="S831" s="54">
        <f t="shared" si="168"/>
        <v>4.3384825844470121E-2</v>
      </c>
      <c r="T831" s="55">
        <f t="shared" si="169"/>
        <v>3414.2514970059879</v>
      </c>
      <c r="U831" s="55">
        <f t="shared" si="170"/>
        <v>3266.1247904191614</v>
      </c>
      <c r="V831" s="55">
        <f t="shared" si="171"/>
        <v>-148.12670658682646</v>
      </c>
      <c r="W831" s="55">
        <f t="shared" si="172"/>
        <v>3241.1273531089555</v>
      </c>
      <c r="X831" s="55">
        <f t="shared" si="173"/>
        <v>-24.997437310205896</v>
      </c>
      <c r="Y831" s="55">
        <f t="shared" si="174"/>
        <v>2639.1000000000004</v>
      </c>
      <c r="Z831" s="55">
        <f t="shared" si="175"/>
        <v>2759.1000000000004</v>
      </c>
      <c r="AA831" s="55">
        <f t="shared" si="176"/>
        <v>-120</v>
      </c>
      <c r="AB831" s="55">
        <f t="shared" si="177"/>
        <v>482.02735310895514</v>
      </c>
      <c r="AC831" s="54">
        <f t="shared" si="178"/>
        <v>0.14872212677684038</v>
      </c>
      <c r="AD831" s="56">
        <f>INDEX(Assumptions!$B$14:$B$16,MATCH($R831,Assumptions!$A$14:$A$16,0))</f>
        <v>0.18</v>
      </c>
      <c r="AE831" s="56">
        <f>INDEX(Assumptions!$C$14:$C$16,MATCH($R831,Assumptions!$A$14:$A$16,0))</f>
        <v>0.12</v>
      </c>
      <c r="AF831" s="49">
        <f t="shared" si="179"/>
        <v>0</v>
      </c>
      <c r="AG831" s="49">
        <f t="shared" si="180"/>
        <v>0</v>
      </c>
      <c r="AH831" s="55">
        <f t="shared" si="181"/>
        <v>101.37557045065682</v>
      </c>
    </row>
    <row r="832" spans="1:34" x14ac:dyDescent="0.2">
      <c r="A832" s="48" t="s">
        <v>836</v>
      </c>
      <c r="B832" s="48">
        <v>3</v>
      </c>
      <c r="C832" s="48" t="s">
        <v>747</v>
      </c>
      <c r="D832" s="48" t="s">
        <v>738</v>
      </c>
      <c r="E832" s="48" t="s">
        <v>309</v>
      </c>
      <c r="F832" s="48" t="s">
        <v>280</v>
      </c>
      <c r="G832" s="48" t="s">
        <v>298</v>
      </c>
      <c r="H832" s="48" t="s">
        <v>70</v>
      </c>
      <c r="I832" s="48" t="s">
        <v>151</v>
      </c>
      <c r="J832" s="49">
        <v>10</v>
      </c>
      <c r="K832" s="50">
        <v>32735</v>
      </c>
      <c r="L832" s="50">
        <v>32181.97</v>
      </c>
      <c r="M832" s="48" t="s">
        <v>276</v>
      </c>
      <c r="N832" s="51">
        <v>83.5</v>
      </c>
      <c r="O832" s="51">
        <v>84.144000000000005</v>
      </c>
      <c r="P832" s="52">
        <v>248.88</v>
      </c>
      <c r="Q832" s="52">
        <v>253.88</v>
      </c>
      <c r="R832" s="53" t="str">
        <f>INDEX(SKU_Master!$D$5:$D$34,MATCH($I832,SKU_Master!$A$5:$A$34,0))</f>
        <v>Accessory</v>
      </c>
      <c r="S832" s="54">
        <f t="shared" si="168"/>
        <v>1.6894149992362828E-2</v>
      </c>
      <c r="T832" s="55">
        <f t="shared" si="169"/>
        <v>3920.3592814371259</v>
      </c>
      <c r="U832" s="55">
        <f t="shared" si="170"/>
        <v>3854.1281437125749</v>
      </c>
      <c r="V832" s="55">
        <f t="shared" si="171"/>
        <v>-66.23113772455099</v>
      </c>
      <c r="W832" s="55">
        <f t="shared" si="172"/>
        <v>3824.6303955124549</v>
      </c>
      <c r="X832" s="55">
        <f t="shared" si="173"/>
        <v>-29.497748200119986</v>
      </c>
      <c r="Y832" s="55">
        <f t="shared" si="174"/>
        <v>2488.8000000000002</v>
      </c>
      <c r="Z832" s="55">
        <f t="shared" si="175"/>
        <v>2538.8000000000002</v>
      </c>
      <c r="AA832" s="55">
        <f t="shared" si="176"/>
        <v>-50</v>
      </c>
      <c r="AB832" s="55">
        <f t="shared" si="177"/>
        <v>1285.8303955124547</v>
      </c>
      <c r="AC832" s="54">
        <f t="shared" si="178"/>
        <v>0.33619729556643047</v>
      </c>
      <c r="AD832" s="56">
        <f>INDEX(Assumptions!$B$14:$B$16,MATCH($R832,Assumptions!$A$14:$A$16,0))</f>
        <v>0.32</v>
      </c>
      <c r="AE832" s="56">
        <f>INDEX(Assumptions!$C$14:$C$16,MATCH($R832,Assumptions!$A$14:$A$16,0))</f>
        <v>0.22</v>
      </c>
      <c r="AF832" s="49">
        <f t="shared" si="179"/>
        <v>0</v>
      </c>
      <c r="AG832" s="49">
        <f t="shared" si="180"/>
        <v>0</v>
      </c>
      <c r="AH832" s="55">
        <f t="shared" si="181"/>
        <v>0</v>
      </c>
    </row>
    <row r="833" spans="1:34" x14ac:dyDescent="0.2">
      <c r="A833" s="48" t="s">
        <v>837</v>
      </c>
      <c r="B833" s="48">
        <v>1</v>
      </c>
      <c r="C833" s="48" t="s">
        <v>757</v>
      </c>
      <c r="D833" s="48" t="s">
        <v>738</v>
      </c>
      <c r="E833" s="48" t="s">
        <v>498</v>
      </c>
      <c r="F833" s="48" t="s">
        <v>280</v>
      </c>
      <c r="G833" s="48" t="s">
        <v>302</v>
      </c>
      <c r="H833" s="48" t="s">
        <v>66</v>
      </c>
      <c r="I833" s="48" t="s">
        <v>93</v>
      </c>
      <c r="J833" s="49">
        <v>6</v>
      </c>
      <c r="K833" s="50">
        <v>1325</v>
      </c>
      <c r="L833" s="50">
        <v>1288.8599999999999</v>
      </c>
      <c r="M833" s="48" t="s">
        <v>276</v>
      </c>
      <c r="N833" s="51">
        <v>0.92</v>
      </c>
      <c r="O833" s="51">
        <v>0.92079999999999995</v>
      </c>
      <c r="P833" s="52">
        <v>1206.2</v>
      </c>
      <c r="Q833" s="52">
        <v>1206.2</v>
      </c>
      <c r="R833" s="53" t="str">
        <f>INDEX(SKU_Master!$D$5:$D$34,MATCH($I833,SKU_Master!$A$5:$A$34,0))</f>
        <v>Laptop</v>
      </c>
      <c r="S833" s="54">
        <f t="shared" si="168"/>
        <v>2.7275471698113285E-2</v>
      </c>
      <c r="T833" s="55">
        <f t="shared" si="169"/>
        <v>8641.3043478260861</v>
      </c>
      <c r="U833" s="55">
        <f t="shared" si="170"/>
        <v>8405.608695652174</v>
      </c>
      <c r="V833" s="55">
        <f t="shared" si="171"/>
        <v>-235.69565217391209</v>
      </c>
      <c r="W833" s="55">
        <f t="shared" si="172"/>
        <v>8398.3058210251966</v>
      </c>
      <c r="X833" s="55">
        <f t="shared" si="173"/>
        <v>-7.3028746269774274</v>
      </c>
      <c r="Y833" s="55">
        <f t="shared" si="174"/>
        <v>7237.2000000000007</v>
      </c>
      <c r="Z833" s="55">
        <f t="shared" si="175"/>
        <v>7237.2000000000007</v>
      </c>
      <c r="AA833" s="55">
        <f t="shared" si="176"/>
        <v>0</v>
      </c>
      <c r="AB833" s="55">
        <f t="shared" si="177"/>
        <v>1161.1058210251958</v>
      </c>
      <c r="AC833" s="54">
        <f t="shared" si="178"/>
        <v>0.13825476777927784</v>
      </c>
      <c r="AD833" s="56">
        <f>INDEX(Assumptions!$B$14:$B$16,MATCH($R833,Assumptions!$A$14:$A$16,0))</f>
        <v>0.12</v>
      </c>
      <c r="AE833" s="56">
        <f>INDEX(Assumptions!$C$14:$C$16,MATCH($R833,Assumptions!$A$14:$A$16,0))</f>
        <v>0.08</v>
      </c>
      <c r="AF833" s="49">
        <f t="shared" si="179"/>
        <v>0</v>
      </c>
      <c r="AG833" s="49">
        <f t="shared" si="180"/>
        <v>0</v>
      </c>
      <c r="AH833" s="55">
        <f t="shared" si="181"/>
        <v>0</v>
      </c>
    </row>
    <row r="834" spans="1:34" x14ac:dyDescent="0.2">
      <c r="A834" s="48" t="s">
        <v>837</v>
      </c>
      <c r="B834" s="48">
        <v>2</v>
      </c>
      <c r="C834" s="48" t="s">
        <v>757</v>
      </c>
      <c r="D834" s="48" t="s">
        <v>738</v>
      </c>
      <c r="E834" s="48" t="s">
        <v>498</v>
      </c>
      <c r="F834" s="48" t="s">
        <v>280</v>
      </c>
      <c r="G834" s="48" t="s">
        <v>302</v>
      </c>
      <c r="H834" s="48" t="s">
        <v>66</v>
      </c>
      <c r="I834" s="48" t="s">
        <v>135</v>
      </c>
      <c r="J834" s="49">
        <v>4</v>
      </c>
      <c r="K834" s="50">
        <v>255</v>
      </c>
      <c r="L834" s="50">
        <v>239.32</v>
      </c>
      <c r="M834" s="48" t="s">
        <v>276</v>
      </c>
      <c r="N834" s="51">
        <v>0.92</v>
      </c>
      <c r="O834" s="51">
        <v>0.92079999999999995</v>
      </c>
      <c r="P834" s="52">
        <v>211.7</v>
      </c>
      <c r="Q834" s="52">
        <v>211.7</v>
      </c>
      <c r="R834" s="53" t="str">
        <f>INDEX(SKU_Master!$D$5:$D$34,MATCH($I834,SKU_Master!$A$5:$A$34,0))</f>
        <v>Monitor</v>
      </c>
      <c r="S834" s="54">
        <f t="shared" si="168"/>
        <v>6.1490196078431425E-2</v>
      </c>
      <c r="T834" s="55">
        <f t="shared" si="169"/>
        <v>1108.695652173913</v>
      </c>
      <c r="U834" s="55">
        <f t="shared" si="170"/>
        <v>1040.5217391304348</v>
      </c>
      <c r="V834" s="55">
        <f t="shared" si="171"/>
        <v>-68.173913043478251</v>
      </c>
      <c r="W834" s="55">
        <f t="shared" si="172"/>
        <v>1039.6177237185057</v>
      </c>
      <c r="X834" s="55">
        <f t="shared" si="173"/>
        <v>-0.90401541192909463</v>
      </c>
      <c r="Y834" s="55">
        <f t="shared" si="174"/>
        <v>846.8</v>
      </c>
      <c r="Z834" s="55">
        <f t="shared" si="175"/>
        <v>846.8</v>
      </c>
      <c r="AA834" s="55">
        <f t="shared" si="176"/>
        <v>0</v>
      </c>
      <c r="AB834" s="55">
        <f t="shared" si="177"/>
        <v>192.8177237185057</v>
      </c>
      <c r="AC834" s="54">
        <f t="shared" si="178"/>
        <v>0.1854698311883671</v>
      </c>
      <c r="AD834" s="56">
        <f>INDEX(Assumptions!$B$14:$B$16,MATCH($R834,Assumptions!$A$14:$A$16,0))</f>
        <v>0.18</v>
      </c>
      <c r="AE834" s="56">
        <f>INDEX(Assumptions!$C$14:$C$16,MATCH($R834,Assumptions!$A$14:$A$16,0))</f>
        <v>0.12</v>
      </c>
      <c r="AF834" s="49">
        <f t="shared" si="179"/>
        <v>0</v>
      </c>
      <c r="AG834" s="49">
        <f t="shared" si="180"/>
        <v>0</v>
      </c>
      <c r="AH834" s="55">
        <f t="shared" si="181"/>
        <v>0</v>
      </c>
    </row>
    <row r="835" spans="1:34" x14ac:dyDescent="0.2">
      <c r="A835" s="48" t="s">
        <v>837</v>
      </c>
      <c r="B835" s="48">
        <v>3</v>
      </c>
      <c r="C835" s="48" t="s">
        <v>757</v>
      </c>
      <c r="D835" s="48" t="s">
        <v>738</v>
      </c>
      <c r="E835" s="48" t="s">
        <v>498</v>
      </c>
      <c r="F835" s="48" t="s">
        <v>280</v>
      </c>
      <c r="G835" s="48" t="s">
        <v>302</v>
      </c>
      <c r="H835" s="48" t="s">
        <v>66</v>
      </c>
      <c r="I835" s="48" t="s">
        <v>151</v>
      </c>
      <c r="J835" s="49">
        <v>3</v>
      </c>
      <c r="K835" s="50">
        <v>325</v>
      </c>
      <c r="L835" s="50">
        <v>316.44</v>
      </c>
      <c r="M835" s="48" t="s">
        <v>276</v>
      </c>
      <c r="N835" s="51">
        <v>0.92</v>
      </c>
      <c r="O835" s="51">
        <v>0.92079999999999995</v>
      </c>
      <c r="P835" s="52">
        <v>221.7</v>
      </c>
      <c r="Q835" s="52">
        <v>221.7</v>
      </c>
      <c r="R835" s="53" t="str">
        <f>INDEX(SKU_Master!$D$5:$D$34,MATCH($I835,SKU_Master!$A$5:$A$34,0))</f>
        <v>Accessory</v>
      </c>
      <c r="S835" s="54">
        <f t="shared" si="168"/>
        <v>2.6338461538461533E-2</v>
      </c>
      <c r="T835" s="55">
        <f t="shared" si="169"/>
        <v>1059.782608695652</v>
      </c>
      <c r="U835" s="55">
        <f t="shared" si="170"/>
        <v>1031.8695652173913</v>
      </c>
      <c r="V835" s="55">
        <f t="shared" si="171"/>
        <v>-27.913043478260761</v>
      </c>
      <c r="W835" s="55">
        <f t="shared" si="172"/>
        <v>1030.9730668983493</v>
      </c>
      <c r="X835" s="55">
        <f t="shared" si="173"/>
        <v>-0.89649831904193888</v>
      </c>
      <c r="Y835" s="55">
        <f t="shared" si="174"/>
        <v>665.09999999999991</v>
      </c>
      <c r="Z835" s="55">
        <f t="shared" si="175"/>
        <v>665.09999999999991</v>
      </c>
      <c r="AA835" s="55">
        <f t="shared" si="176"/>
        <v>0</v>
      </c>
      <c r="AB835" s="55">
        <f t="shared" si="177"/>
        <v>365.87306689834941</v>
      </c>
      <c r="AC835" s="54">
        <f t="shared" si="178"/>
        <v>0.35488130451270394</v>
      </c>
      <c r="AD835" s="56">
        <f>INDEX(Assumptions!$B$14:$B$16,MATCH($R835,Assumptions!$A$14:$A$16,0))</f>
        <v>0.32</v>
      </c>
      <c r="AE835" s="56">
        <f>INDEX(Assumptions!$C$14:$C$16,MATCH($R835,Assumptions!$A$14:$A$16,0))</f>
        <v>0.22</v>
      </c>
      <c r="AF835" s="49">
        <f t="shared" si="179"/>
        <v>0</v>
      </c>
      <c r="AG835" s="49">
        <f t="shared" si="180"/>
        <v>0</v>
      </c>
      <c r="AH835" s="55">
        <f t="shared" si="181"/>
        <v>0</v>
      </c>
    </row>
    <row r="836" spans="1:34" x14ac:dyDescent="0.2">
      <c r="A836" s="48" t="s">
        <v>838</v>
      </c>
      <c r="B836" s="48">
        <v>1</v>
      </c>
      <c r="C836" s="48" t="s">
        <v>839</v>
      </c>
      <c r="D836" s="48" t="s">
        <v>738</v>
      </c>
      <c r="E836" s="48" t="s">
        <v>360</v>
      </c>
      <c r="F836" s="48" t="s">
        <v>280</v>
      </c>
      <c r="G836" s="48" t="s">
        <v>275</v>
      </c>
      <c r="H836" s="48" t="s">
        <v>68</v>
      </c>
      <c r="I836" s="48" t="s">
        <v>101</v>
      </c>
      <c r="J836" s="49">
        <v>22</v>
      </c>
      <c r="K836" s="50">
        <v>4830</v>
      </c>
      <c r="L836" s="50">
        <v>4741.51</v>
      </c>
      <c r="M836" s="48" t="s">
        <v>276</v>
      </c>
      <c r="N836" s="51">
        <v>1.37</v>
      </c>
      <c r="O836" s="51">
        <v>1.3734999999999999</v>
      </c>
      <c r="P836" s="52">
        <v>2950.5</v>
      </c>
      <c r="Q836" s="52">
        <v>2950.5</v>
      </c>
      <c r="R836" s="53" t="str">
        <f>INDEX(SKU_Master!$D$5:$D$34,MATCH($I836,SKU_Master!$A$5:$A$34,0))</f>
        <v>Laptop</v>
      </c>
      <c r="S836" s="54">
        <f t="shared" si="168"/>
        <v>1.8320910973084858E-2</v>
      </c>
      <c r="T836" s="55">
        <f t="shared" si="169"/>
        <v>77562.043795620426</v>
      </c>
      <c r="U836" s="55">
        <f t="shared" si="170"/>
        <v>76141.036496350367</v>
      </c>
      <c r="V836" s="55">
        <f t="shared" si="171"/>
        <v>-1421.0072992700589</v>
      </c>
      <c r="W836" s="55">
        <f t="shared" si="172"/>
        <v>75947.011285038228</v>
      </c>
      <c r="X836" s="55">
        <f t="shared" si="173"/>
        <v>-194.02521131213871</v>
      </c>
      <c r="Y836" s="55">
        <f t="shared" si="174"/>
        <v>64911</v>
      </c>
      <c r="Z836" s="55">
        <f t="shared" si="175"/>
        <v>64911</v>
      </c>
      <c r="AA836" s="55">
        <f t="shared" si="176"/>
        <v>0</v>
      </c>
      <c r="AB836" s="55">
        <f t="shared" si="177"/>
        <v>11036.011285038228</v>
      </c>
      <c r="AC836" s="54">
        <f t="shared" si="178"/>
        <v>0.14531198921862451</v>
      </c>
      <c r="AD836" s="56">
        <f>INDEX(Assumptions!$B$14:$B$16,MATCH($R836,Assumptions!$A$14:$A$16,0))</f>
        <v>0.12</v>
      </c>
      <c r="AE836" s="56">
        <f>INDEX(Assumptions!$C$14:$C$16,MATCH($R836,Assumptions!$A$14:$A$16,0))</f>
        <v>0.08</v>
      </c>
      <c r="AF836" s="49">
        <f t="shared" si="179"/>
        <v>0</v>
      </c>
      <c r="AG836" s="49">
        <f t="shared" si="180"/>
        <v>0</v>
      </c>
      <c r="AH836" s="55">
        <f t="shared" si="181"/>
        <v>0</v>
      </c>
    </row>
    <row r="837" spans="1:34" x14ac:dyDescent="0.2">
      <c r="A837" s="48" t="s">
        <v>838</v>
      </c>
      <c r="B837" s="48">
        <v>2</v>
      </c>
      <c r="C837" s="48" t="s">
        <v>839</v>
      </c>
      <c r="D837" s="48" t="s">
        <v>738</v>
      </c>
      <c r="E837" s="48" t="s">
        <v>360</v>
      </c>
      <c r="F837" s="48" t="s">
        <v>280</v>
      </c>
      <c r="G837" s="48" t="s">
        <v>275</v>
      </c>
      <c r="H837" s="48" t="s">
        <v>68</v>
      </c>
      <c r="I837" s="48" t="s">
        <v>151</v>
      </c>
      <c r="J837" s="49">
        <v>10</v>
      </c>
      <c r="K837" s="50">
        <v>475</v>
      </c>
      <c r="L837" s="50">
        <v>462.72</v>
      </c>
      <c r="M837" s="48" t="s">
        <v>276</v>
      </c>
      <c r="N837" s="51">
        <v>1.37</v>
      </c>
      <c r="O837" s="51">
        <v>1.3734999999999999</v>
      </c>
      <c r="P837" s="52">
        <v>219.7</v>
      </c>
      <c r="Q837" s="52">
        <v>219.7</v>
      </c>
      <c r="R837" s="53" t="str">
        <f>INDEX(SKU_Master!$D$5:$D$34,MATCH($I837,SKU_Master!$A$5:$A$34,0))</f>
        <v>Accessory</v>
      </c>
      <c r="S837" s="54">
        <f t="shared" ref="S837:S900" si="182">IF(K837=0,0,1-L837/K837)</f>
        <v>2.5852631578947349E-2</v>
      </c>
      <c r="T837" s="55">
        <f t="shared" ref="T837:T900" si="183">J837*K837/N837</f>
        <v>3467.1532846715327</v>
      </c>
      <c r="U837" s="55">
        <f t="shared" ref="U837:U900" si="184">J837*L837/N837</f>
        <v>3377.5182481751826</v>
      </c>
      <c r="V837" s="55">
        <f t="shared" ref="V837:V900" si="185">U837-T837</f>
        <v>-89.63503649635004</v>
      </c>
      <c r="W837" s="55">
        <f t="shared" ref="W837:W900" si="186">J837*L837/O837</f>
        <v>3368.9115398616677</v>
      </c>
      <c r="X837" s="55">
        <f t="shared" ref="X837:X900" si="187">W837-U837</f>
        <v>-8.6067083135149005</v>
      </c>
      <c r="Y837" s="55">
        <f t="shared" ref="Y837:Y900" si="188">J837*P837</f>
        <v>2197</v>
      </c>
      <c r="Z837" s="55">
        <f t="shared" ref="Z837:Z900" si="189">J837*Q837</f>
        <v>2197</v>
      </c>
      <c r="AA837" s="55">
        <f t="shared" ref="AA837:AA900" si="190">Y837-Z837</f>
        <v>0</v>
      </c>
      <c r="AB837" s="55">
        <f t="shared" ref="AB837:AB900" si="191">W837-Z837</f>
        <v>1171.9115398616677</v>
      </c>
      <c r="AC837" s="54">
        <f t="shared" ref="AC837:AC900" si="192">IF(W837=0,0,AB837/W837)</f>
        <v>0.34786058523513147</v>
      </c>
      <c r="AD837" s="56">
        <f>INDEX(Assumptions!$B$14:$B$16,MATCH($R837,Assumptions!$A$14:$A$16,0))</f>
        <v>0.32</v>
      </c>
      <c r="AE837" s="56">
        <f>INDEX(Assumptions!$C$14:$C$16,MATCH($R837,Assumptions!$A$14:$A$16,0))</f>
        <v>0.22</v>
      </c>
      <c r="AF837" s="49">
        <f t="shared" ref="AF837:AF900" si="193">IF(AC837&lt;AE837,1,0)</f>
        <v>0</v>
      </c>
      <c r="AG837" s="49">
        <f t="shared" ref="AG837:AG900" si="194">IF(AND(AF837=1,M837="N"),1,0)</f>
        <v>0</v>
      </c>
      <c r="AH837" s="55">
        <f t="shared" ref="AH837:AH900" si="195">MAX(0,W837*AD837-AB837)</f>
        <v>0</v>
      </c>
    </row>
    <row r="838" spans="1:34" x14ac:dyDescent="0.2">
      <c r="A838" s="48" t="s">
        <v>840</v>
      </c>
      <c r="B838" s="48">
        <v>1</v>
      </c>
      <c r="C838" s="48" t="s">
        <v>793</v>
      </c>
      <c r="D838" s="48" t="s">
        <v>738</v>
      </c>
      <c r="E838" s="48" t="s">
        <v>498</v>
      </c>
      <c r="F838" s="48" t="s">
        <v>280</v>
      </c>
      <c r="G838" s="48" t="s">
        <v>302</v>
      </c>
      <c r="H838" s="48" t="s">
        <v>66</v>
      </c>
      <c r="I838" s="48" t="s">
        <v>103</v>
      </c>
      <c r="J838" s="49">
        <v>13</v>
      </c>
      <c r="K838" s="50">
        <v>1090</v>
      </c>
      <c r="L838" s="50">
        <v>1007.2</v>
      </c>
      <c r="M838" s="48" t="s">
        <v>312</v>
      </c>
      <c r="N838" s="51">
        <v>0.92</v>
      </c>
      <c r="O838" s="51">
        <v>0.92079999999999995</v>
      </c>
      <c r="P838" s="52">
        <v>988.6</v>
      </c>
      <c r="Q838" s="52">
        <v>988.6</v>
      </c>
      <c r="R838" s="53" t="str">
        <f>INDEX(SKU_Master!$D$5:$D$34,MATCH($I838,SKU_Master!$A$5:$A$34,0))</f>
        <v>Laptop</v>
      </c>
      <c r="S838" s="54">
        <f t="shared" si="182"/>
        <v>7.5963302752293571E-2</v>
      </c>
      <c r="T838" s="55">
        <f t="shared" si="183"/>
        <v>15402.173913043478</v>
      </c>
      <c r="U838" s="55">
        <f t="shared" si="184"/>
        <v>14232.173913043478</v>
      </c>
      <c r="V838" s="55">
        <f t="shared" si="185"/>
        <v>-1170</v>
      </c>
      <c r="W838" s="55">
        <f t="shared" si="186"/>
        <v>14219.808861859254</v>
      </c>
      <c r="X838" s="55">
        <f t="shared" si="187"/>
        <v>-12.365051184224285</v>
      </c>
      <c r="Y838" s="55">
        <f t="shared" si="188"/>
        <v>12851.800000000001</v>
      </c>
      <c r="Z838" s="55">
        <f t="shared" si="189"/>
        <v>12851.800000000001</v>
      </c>
      <c r="AA838" s="55">
        <f t="shared" si="190"/>
        <v>0</v>
      </c>
      <c r="AB838" s="55">
        <f t="shared" si="191"/>
        <v>1368.0088618592526</v>
      </c>
      <c r="AC838" s="54">
        <f t="shared" si="192"/>
        <v>9.6204447974582982E-2</v>
      </c>
      <c r="AD838" s="56">
        <f>INDEX(Assumptions!$B$14:$B$16,MATCH($R838,Assumptions!$A$14:$A$16,0))</f>
        <v>0.12</v>
      </c>
      <c r="AE838" s="56">
        <f>INDEX(Assumptions!$C$14:$C$16,MATCH($R838,Assumptions!$A$14:$A$16,0))</f>
        <v>0.08</v>
      </c>
      <c r="AF838" s="49">
        <f t="shared" si="193"/>
        <v>0</v>
      </c>
      <c r="AG838" s="49">
        <f t="shared" si="194"/>
        <v>0</v>
      </c>
      <c r="AH838" s="55">
        <f t="shared" si="195"/>
        <v>338.36820156385784</v>
      </c>
    </row>
    <row r="839" spans="1:34" x14ac:dyDescent="0.2">
      <c r="A839" s="48" t="s">
        <v>840</v>
      </c>
      <c r="B839" s="48">
        <v>2</v>
      </c>
      <c r="C839" s="48" t="s">
        <v>793</v>
      </c>
      <c r="D839" s="48" t="s">
        <v>738</v>
      </c>
      <c r="E839" s="48" t="s">
        <v>498</v>
      </c>
      <c r="F839" s="48" t="s">
        <v>280</v>
      </c>
      <c r="G839" s="48" t="s">
        <v>302</v>
      </c>
      <c r="H839" s="48" t="s">
        <v>66</v>
      </c>
      <c r="I839" s="48" t="s">
        <v>138</v>
      </c>
      <c r="J839" s="49">
        <v>6</v>
      </c>
      <c r="K839" s="50">
        <v>460</v>
      </c>
      <c r="L839" s="50">
        <v>452.8</v>
      </c>
      <c r="M839" s="48" t="s">
        <v>276</v>
      </c>
      <c r="N839" s="51">
        <v>0.92</v>
      </c>
      <c r="O839" s="51">
        <v>0.92079999999999995</v>
      </c>
      <c r="P839" s="52">
        <v>383.2</v>
      </c>
      <c r="Q839" s="52">
        <v>383.2</v>
      </c>
      <c r="R839" s="53" t="str">
        <f>INDEX(SKU_Master!$D$5:$D$34,MATCH($I839,SKU_Master!$A$5:$A$34,0))</f>
        <v>Monitor</v>
      </c>
      <c r="S839" s="54">
        <f t="shared" si="182"/>
        <v>1.565217391304341E-2</v>
      </c>
      <c r="T839" s="55">
        <f t="shared" si="183"/>
        <v>3000</v>
      </c>
      <c r="U839" s="55">
        <f t="shared" si="184"/>
        <v>2953.0434782608695</v>
      </c>
      <c r="V839" s="55">
        <f t="shared" si="185"/>
        <v>-46.956521739130494</v>
      </c>
      <c r="W839" s="55">
        <f t="shared" si="186"/>
        <v>2950.4778453518684</v>
      </c>
      <c r="X839" s="55">
        <f t="shared" si="187"/>
        <v>-2.5656329090011241</v>
      </c>
      <c r="Y839" s="55">
        <f t="shared" si="188"/>
        <v>2299.1999999999998</v>
      </c>
      <c r="Z839" s="55">
        <f t="shared" si="189"/>
        <v>2299.1999999999998</v>
      </c>
      <c r="AA839" s="55">
        <f t="shared" si="190"/>
        <v>0</v>
      </c>
      <c r="AB839" s="55">
        <f t="shared" si="191"/>
        <v>651.27784535186856</v>
      </c>
      <c r="AC839" s="54">
        <f t="shared" si="192"/>
        <v>0.22073639575971749</v>
      </c>
      <c r="AD839" s="56">
        <f>INDEX(Assumptions!$B$14:$B$16,MATCH($R839,Assumptions!$A$14:$A$16,0))</f>
        <v>0.18</v>
      </c>
      <c r="AE839" s="56">
        <f>INDEX(Assumptions!$C$14:$C$16,MATCH($R839,Assumptions!$A$14:$A$16,0))</f>
        <v>0.12</v>
      </c>
      <c r="AF839" s="49">
        <f t="shared" si="193"/>
        <v>0</v>
      </c>
      <c r="AG839" s="49">
        <f t="shared" si="194"/>
        <v>0</v>
      </c>
      <c r="AH839" s="55">
        <f t="shared" si="195"/>
        <v>0</v>
      </c>
    </row>
    <row r="840" spans="1:34" x14ac:dyDescent="0.2">
      <c r="A840" s="48" t="s">
        <v>841</v>
      </c>
      <c r="B840" s="48">
        <v>1</v>
      </c>
      <c r="C840" s="48" t="s">
        <v>817</v>
      </c>
      <c r="D840" s="48" t="s">
        <v>738</v>
      </c>
      <c r="E840" s="48" t="s">
        <v>333</v>
      </c>
      <c r="F840" s="48" t="s">
        <v>297</v>
      </c>
      <c r="G840" s="48" t="s">
        <v>302</v>
      </c>
      <c r="H840" s="48" t="s">
        <v>70</v>
      </c>
      <c r="I840" s="48" t="s">
        <v>108</v>
      </c>
      <c r="J840" s="49">
        <v>50</v>
      </c>
      <c r="K840" s="50">
        <v>130190</v>
      </c>
      <c r="L840" s="50">
        <v>121429.55</v>
      </c>
      <c r="M840" s="48" t="s">
        <v>276</v>
      </c>
      <c r="N840" s="51">
        <v>83.5</v>
      </c>
      <c r="O840" s="51">
        <v>84.144000000000005</v>
      </c>
      <c r="P840" s="52">
        <v>1305.97</v>
      </c>
      <c r="Q840" s="52">
        <v>1325.97</v>
      </c>
      <c r="R840" s="53" t="str">
        <f>INDEX(SKU_Master!$D$5:$D$34,MATCH($I840,SKU_Master!$A$5:$A$34,0))</f>
        <v>Laptop</v>
      </c>
      <c r="S840" s="54">
        <f t="shared" si="182"/>
        <v>6.7289730394039404E-2</v>
      </c>
      <c r="T840" s="55">
        <f t="shared" si="183"/>
        <v>77958.083832335324</v>
      </c>
      <c r="U840" s="55">
        <f t="shared" si="184"/>
        <v>72712.305389221554</v>
      </c>
      <c r="V840" s="55">
        <f t="shared" si="185"/>
        <v>-5245.7784431137698</v>
      </c>
      <c r="W840" s="55">
        <f t="shared" si="186"/>
        <v>72155.798393230652</v>
      </c>
      <c r="X840" s="55">
        <f t="shared" si="187"/>
        <v>-556.50699599090149</v>
      </c>
      <c r="Y840" s="55">
        <f t="shared" si="188"/>
        <v>65298.5</v>
      </c>
      <c r="Z840" s="55">
        <f t="shared" si="189"/>
        <v>66298.5</v>
      </c>
      <c r="AA840" s="55">
        <f t="shared" si="190"/>
        <v>-1000</v>
      </c>
      <c r="AB840" s="55">
        <f t="shared" si="191"/>
        <v>5857.2983932306524</v>
      </c>
      <c r="AC840" s="54">
        <f t="shared" si="192"/>
        <v>8.1175713160429236E-2</v>
      </c>
      <c r="AD840" s="56">
        <f>INDEX(Assumptions!$B$14:$B$16,MATCH($R840,Assumptions!$A$14:$A$16,0))</f>
        <v>0.12</v>
      </c>
      <c r="AE840" s="56">
        <f>INDEX(Assumptions!$C$14:$C$16,MATCH($R840,Assumptions!$A$14:$A$16,0))</f>
        <v>0.08</v>
      </c>
      <c r="AF840" s="49">
        <f t="shared" si="193"/>
        <v>0</v>
      </c>
      <c r="AG840" s="49">
        <f t="shared" si="194"/>
        <v>0</v>
      </c>
      <c r="AH840" s="55">
        <f t="shared" si="195"/>
        <v>2801.3974139570255</v>
      </c>
    </row>
    <row r="841" spans="1:34" x14ac:dyDescent="0.2">
      <c r="A841" s="48" t="s">
        <v>841</v>
      </c>
      <c r="B841" s="48">
        <v>2</v>
      </c>
      <c r="C841" s="48" t="s">
        <v>817</v>
      </c>
      <c r="D841" s="48" t="s">
        <v>738</v>
      </c>
      <c r="E841" s="48" t="s">
        <v>333</v>
      </c>
      <c r="F841" s="48" t="s">
        <v>297</v>
      </c>
      <c r="G841" s="48" t="s">
        <v>302</v>
      </c>
      <c r="H841" s="48" t="s">
        <v>70</v>
      </c>
      <c r="I841" s="48" t="s">
        <v>135</v>
      </c>
      <c r="J841" s="49">
        <v>48</v>
      </c>
      <c r="K841" s="50">
        <v>26950</v>
      </c>
      <c r="L841" s="50">
        <v>25468.05</v>
      </c>
      <c r="M841" s="48" t="s">
        <v>276</v>
      </c>
      <c r="N841" s="51">
        <v>83.5</v>
      </c>
      <c r="O841" s="51">
        <v>84.144000000000005</v>
      </c>
      <c r="P841" s="52">
        <v>249.49</v>
      </c>
      <c r="Q841" s="52">
        <v>269.49</v>
      </c>
      <c r="R841" s="53" t="str">
        <f>INDEX(SKU_Master!$D$5:$D$34,MATCH($I841,SKU_Master!$A$5:$A$34,0))</f>
        <v>Monitor</v>
      </c>
      <c r="S841" s="54">
        <f t="shared" si="182"/>
        <v>5.4988868274582603E-2</v>
      </c>
      <c r="T841" s="55">
        <f t="shared" si="183"/>
        <v>15492.215568862275</v>
      </c>
      <c r="U841" s="55">
        <f t="shared" si="184"/>
        <v>14640.316167664669</v>
      </c>
      <c r="V841" s="55">
        <f t="shared" si="185"/>
        <v>-851.89940119760649</v>
      </c>
      <c r="W841" s="55">
        <f t="shared" si="186"/>
        <v>14528.265830005703</v>
      </c>
      <c r="X841" s="55">
        <f t="shared" si="187"/>
        <v>-112.05033765896587</v>
      </c>
      <c r="Y841" s="55">
        <f t="shared" si="188"/>
        <v>11975.52</v>
      </c>
      <c r="Z841" s="55">
        <f t="shared" si="189"/>
        <v>12935.52</v>
      </c>
      <c r="AA841" s="55">
        <f t="shared" si="190"/>
        <v>-960</v>
      </c>
      <c r="AB841" s="55">
        <f t="shared" si="191"/>
        <v>1592.7458300057024</v>
      </c>
      <c r="AC841" s="54">
        <f t="shared" si="192"/>
        <v>0.1096308292154286</v>
      </c>
      <c r="AD841" s="56">
        <f>INDEX(Assumptions!$B$14:$B$16,MATCH($R841,Assumptions!$A$14:$A$16,0))</f>
        <v>0.18</v>
      </c>
      <c r="AE841" s="56">
        <f>INDEX(Assumptions!$C$14:$C$16,MATCH($R841,Assumptions!$A$14:$A$16,0))</f>
        <v>0.12</v>
      </c>
      <c r="AF841" s="49">
        <f t="shared" si="193"/>
        <v>1</v>
      </c>
      <c r="AG841" s="49">
        <f t="shared" si="194"/>
        <v>1</v>
      </c>
      <c r="AH841" s="55">
        <f t="shared" si="195"/>
        <v>1022.3420193953239</v>
      </c>
    </row>
    <row r="842" spans="1:34" x14ac:dyDescent="0.2">
      <c r="A842" s="48" t="s">
        <v>842</v>
      </c>
      <c r="B842" s="48">
        <v>1</v>
      </c>
      <c r="C842" s="48" t="s">
        <v>843</v>
      </c>
      <c r="D842" s="48" t="s">
        <v>844</v>
      </c>
      <c r="E842" s="48" t="s">
        <v>588</v>
      </c>
      <c r="F842" s="48" t="s">
        <v>274</v>
      </c>
      <c r="G842" s="48" t="s">
        <v>281</v>
      </c>
      <c r="H842" s="48" t="s">
        <v>62</v>
      </c>
      <c r="I842" s="48" t="s">
        <v>106</v>
      </c>
      <c r="J842" s="49">
        <v>9</v>
      </c>
      <c r="K842" s="50">
        <v>1520</v>
      </c>
      <c r="L842" s="50">
        <v>1492.48</v>
      </c>
      <c r="M842" s="48" t="s">
        <v>276</v>
      </c>
      <c r="N842" s="51">
        <v>1</v>
      </c>
      <c r="O842" s="51">
        <v>1</v>
      </c>
      <c r="P842" s="52">
        <v>1298.4000000000001</v>
      </c>
      <c r="Q842" s="52">
        <v>1298.4000000000001</v>
      </c>
      <c r="R842" s="53" t="str">
        <f>INDEX(SKU_Master!$D$5:$D$34,MATCH($I842,SKU_Master!$A$5:$A$34,0))</f>
        <v>Laptop</v>
      </c>
      <c r="S842" s="54">
        <f t="shared" si="182"/>
        <v>1.8105263157894735E-2</v>
      </c>
      <c r="T842" s="55">
        <f t="shared" si="183"/>
        <v>13680</v>
      </c>
      <c r="U842" s="55">
        <f t="shared" si="184"/>
        <v>13432.32</v>
      </c>
      <c r="V842" s="55">
        <f t="shared" si="185"/>
        <v>-247.68000000000029</v>
      </c>
      <c r="W842" s="55">
        <f t="shared" si="186"/>
        <v>13432.32</v>
      </c>
      <c r="X842" s="55">
        <f t="shared" si="187"/>
        <v>0</v>
      </c>
      <c r="Y842" s="55">
        <f t="shared" si="188"/>
        <v>11685.6</v>
      </c>
      <c r="Z842" s="55">
        <f t="shared" si="189"/>
        <v>11685.6</v>
      </c>
      <c r="AA842" s="55">
        <f t="shared" si="190"/>
        <v>0</v>
      </c>
      <c r="AB842" s="55">
        <f t="shared" si="191"/>
        <v>1746.7199999999993</v>
      </c>
      <c r="AC842" s="54">
        <f t="shared" si="192"/>
        <v>0.13003859348198965</v>
      </c>
      <c r="AD842" s="56">
        <f>INDEX(Assumptions!$B$14:$B$16,MATCH($R842,Assumptions!$A$14:$A$16,0))</f>
        <v>0.12</v>
      </c>
      <c r="AE842" s="56">
        <f>INDEX(Assumptions!$C$14:$C$16,MATCH($R842,Assumptions!$A$14:$A$16,0))</f>
        <v>0.08</v>
      </c>
      <c r="AF842" s="49">
        <f t="shared" si="193"/>
        <v>0</v>
      </c>
      <c r="AG842" s="49">
        <f t="shared" si="194"/>
        <v>0</v>
      </c>
      <c r="AH842" s="55">
        <f t="shared" si="195"/>
        <v>0</v>
      </c>
    </row>
    <row r="843" spans="1:34" x14ac:dyDescent="0.2">
      <c r="A843" s="48" t="s">
        <v>842</v>
      </c>
      <c r="B843" s="48">
        <v>2</v>
      </c>
      <c r="C843" s="48" t="s">
        <v>843</v>
      </c>
      <c r="D843" s="48" t="s">
        <v>844</v>
      </c>
      <c r="E843" s="48" t="s">
        <v>588</v>
      </c>
      <c r="F843" s="48" t="s">
        <v>274</v>
      </c>
      <c r="G843" s="48" t="s">
        <v>281</v>
      </c>
      <c r="H843" s="48" t="s">
        <v>62</v>
      </c>
      <c r="I843" s="48" t="s">
        <v>161</v>
      </c>
      <c r="J843" s="49">
        <v>6</v>
      </c>
      <c r="K843" s="50">
        <v>120</v>
      </c>
      <c r="L843" s="50">
        <v>118.46</v>
      </c>
      <c r="M843" s="48" t="s">
        <v>276</v>
      </c>
      <c r="N843" s="51">
        <v>1</v>
      </c>
      <c r="O843" s="51">
        <v>1</v>
      </c>
      <c r="P843" s="52">
        <v>76</v>
      </c>
      <c r="Q843" s="52">
        <v>76</v>
      </c>
      <c r="R843" s="53" t="str">
        <f>INDEX(SKU_Master!$D$5:$D$34,MATCH($I843,SKU_Master!$A$5:$A$34,0))</f>
        <v>Accessory</v>
      </c>
      <c r="S843" s="54">
        <f t="shared" si="182"/>
        <v>1.2833333333333363E-2</v>
      </c>
      <c r="T843" s="55">
        <f t="shared" si="183"/>
        <v>720</v>
      </c>
      <c r="U843" s="55">
        <f t="shared" si="184"/>
        <v>710.76</v>
      </c>
      <c r="V843" s="55">
        <f t="shared" si="185"/>
        <v>-9.2400000000000091</v>
      </c>
      <c r="W843" s="55">
        <f t="shared" si="186"/>
        <v>710.76</v>
      </c>
      <c r="X843" s="55">
        <f t="shared" si="187"/>
        <v>0</v>
      </c>
      <c r="Y843" s="55">
        <f t="shared" si="188"/>
        <v>456</v>
      </c>
      <c r="Z843" s="55">
        <f t="shared" si="189"/>
        <v>456</v>
      </c>
      <c r="AA843" s="55">
        <f t="shared" si="190"/>
        <v>0</v>
      </c>
      <c r="AB843" s="55">
        <f t="shared" si="191"/>
        <v>254.76</v>
      </c>
      <c r="AC843" s="54">
        <f t="shared" si="192"/>
        <v>0.35843322640553771</v>
      </c>
      <c r="AD843" s="56">
        <f>INDEX(Assumptions!$B$14:$B$16,MATCH($R843,Assumptions!$A$14:$A$16,0))</f>
        <v>0.32</v>
      </c>
      <c r="AE843" s="56">
        <f>INDEX(Assumptions!$C$14:$C$16,MATCH($R843,Assumptions!$A$14:$A$16,0))</f>
        <v>0.22</v>
      </c>
      <c r="AF843" s="49">
        <f t="shared" si="193"/>
        <v>0</v>
      </c>
      <c r="AG843" s="49">
        <f t="shared" si="194"/>
        <v>0</v>
      </c>
      <c r="AH843" s="55">
        <f t="shared" si="195"/>
        <v>0</v>
      </c>
    </row>
    <row r="844" spans="1:34" x14ac:dyDescent="0.2">
      <c r="A844" s="48" t="s">
        <v>845</v>
      </c>
      <c r="B844" s="48">
        <v>1</v>
      </c>
      <c r="C844" s="48" t="s">
        <v>846</v>
      </c>
      <c r="D844" s="48" t="s">
        <v>844</v>
      </c>
      <c r="E844" s="48" t="s">
        <v>558</v>
      </c>
      <c r="F844" s="48" t="s">
        <v>280</v>
      </c>
      <c r="G844" s="48" t="s">
        <v>288</v>
      </c>
      <c r="H844" s="48" t="s">
        <v>62</v>
      </c>
      <c r="I844" s="48" t="s">
        <v>115</v>
      </c>
      <c r="J844" s="49">
        <v>21</v>
      </c>
      <c r="K844" s="50">
        <v>850</v>
      </c>
      <c r="L844" s="50">
        <v>830.23</v>
      </c>
      <c r="M844" s="48" t="s">
        <v>276</v>
      </c>
      <c r="N844" s="51">
        <v>1</v>
      </c>
      <c r="O844" s="51">
        <v>1</v>
      </c>
      <c r="P844" s="52">
        <v>723.6</v>
      </c>
      <c r="Q844" s="52">
        <v>723.6</v>
      </c>
      <c r="R844" s="53" t="str">
        <f>INDEX(SKU_Master!$D$5:$D$34,MATCH($I844,SKU_Master!$A$5:$A$34,0))</f>
        <v>Laptop</v>
      </c>
      <c r="S844" s="54">
        <f t="shared" si="182"/>
        <v>2.3258823529411776E-2</v>
      </c>
      <c r="T844" s="55">
        <f t="shared" si="183"/>
        <v>17850</v>
      </c>
      <c r="U844" s="55">
        <f t="shared" si="184"/>
        <v>17434.830000000002</v>
      </c>
      <c r="V844" s="55">
        <f t="shared" si="185"/>
        <v>-415.16999999999825</v>
      </c>
      <c r="W844" s="55">
        <f t="shared" si="186"/>
        <v>17434.830000000002</v>
      </c>
      <c r="X844" s="55">
        <f t="shared" si="187"/>
        <v>0</v>
      </c>
      <c r="Y844" s="55">
        <f t="shared" si="188"/>
        <v>15195.6</v>
      </c>
      <c r="Z844" s="55">
        <f t="shared" si="189"/>
        <v>15195.6</v>
      </c>
      <c r="AA844" s="55">
        <f t="shared" si="190"/>
        <v>0</v>
      </c>
      <c r="AB844" s="55">
        <f t="shared" si="191"/>
        <v>2239.2300000000014</v>
      </c>
      <c r="AC844" s="54">
        <f t="shared" si="192"/>
        <v>0.12843428929332842</v>
      </c>
      <c r="AD844" s="56">
        <f>INDEX(Assumptions!$B$14:$B$16,MATCH($R844,Assumptions!$A$14:$A$16,0))</f>
        <v>0.12</v>
      </c>
      <c r="AE844" s="56">
        <f>INDEX(Assumptions!$C$14:$C$16,MATCH($R844,Assumptions!$A$14:$A$16,0))</f>
        <v>0.08</v>
      </c>
      <c r="AF844" s="49">
        <f t="shared" si="193"/>
        <v>0</v>
      </c>
      <c r="AG844" s="49">
        <f t="shared" si="194"/>
        <v>0</v>
      </c>
      <c r="AH844" s="55">
        <f t="shared" si="195"/>
        <v>0</v>
      </c>
    </row>
    <row r="845" spans="1:34" x14ac:dyDescent="0.2">
      <c r="A845" s="48" t="s">
        <v>845</v>
      </c>
      <c r="B845" s="48">
        <v>2</v>
      </c>
      <c r="C845" s="48" t="s">
        <v>846</v>
      </c>
      <c r="D845" s="48" t="s">
        <v>844</v>
      </c>
      <c r="E845" s="48" t="s">
        <v>558</v>
      </c>
      <c r="F845" s="48" t="s">
        <v>280</v>
      </c>
      <c r="G845" s="48" t="s">
        <v>288</v>
      </c>
      <c r="H845" s="48" t="s">
        <v>62</v>
      </c>
      <c r="I845" s="48" t="s">
        <v>144</v>
      </c>
      <c r="J845" s="49">
        <v>15</v>
      </c>
      <c r="K845" s="50">
        <v>370</v>
      </c>
      <c r="L845" s="50">
        <v>356.54</v>
      </c>
      <c r="M845" s="48" t="s">
        <v>276</v>
      </c>
      <c r="N845" s="51">
        <v>1</v>
      </c>
      <c r="O845" s="51">
        <v>1</v>
      </c>
      <c r="P845" s="52">
        <v>289.60000000000002</v>
      </c>
      <c r="Q845" s="52">
        <v>289.60000000000002</v>
      </c>
      <c r="R845" s="53" t="str">
        <f>INDEX(SKU_Master!$D$5:$D$34,MATCH($I845,SKU_Master!$A$5:$A$34,0))</f>
        <v>Monitor</v>
      </c>
      <c r="S845" s="54">
        <f t="shared" si="182"/>
        <v>3.6378378378378318E-2</v>
      </c>
      <c r="T845" s="55">
        <f t="shared" si="183"/>
        <v>5550</v>
      </c>
      <c r="U845" s="55">
        <f t="shared" si="184"/>
        <v>5348.1</v>
      </c>
      <c r="V845" s="55">
        <f t="shared" si="185"/>
        <v>-201.89999999999964</v>
      </c>
      <c r="W845" s="55">
        <f t="shared" si="186"/>
        <v>5348.1</v>
      </c>
      <c r="X845" s="55">
        <f t="shared" si="187"/>
        <v>0</v>
      </c>
      <c r="Y845" s="55">
        <f t="shared" si="188"/>
        <v>4344</v>
      </c>
      <c r="Z845" s="55">
        <f t="shared" si="189"/>
        <v>4344</v>
      </c>
      <c r="AA845" s="55">
        <f t="shared" si="190"/>
        <v>0</v>
      </c>
      <c r="AB845" s="55">
        <f t="shared" si="191"/>
        <v>1004.1000000000004</v>
      </c>
      <c r="AC845" s="54">
        <f t="shared" si="192"/>
        <v>0.18774892017725928</v>
      </c>
      <c r="AD845" s="56">
        <f>INDEX(Assumptions!$B$14:$B$16,MATCH($R845,Assumptions!$A$14:$A$16,0))</f>
        <v>0.18</v>
      </c>
      <c r="AE845" s="56">
        <f>INDEX(Assumptions!$C$14:$C$16,MATCH($R845,Assumptions!$A$14:$A$16,0))</f>
        <v>0.12</v>
      </c>
      <c r="AF845" s="49">
        <f t="shared" si="193"/>
        <v>0</v>
      </c>
      <c r="AG845" s="49">
        <f t="shared" si="194"/>
        <v>0</v>
      </c>
      <c r="AH845" s="55">
        <f t="shared" si="195"/>
        <v>0</v>
      </c>
    </row>
    <row r="846" spans="1:34" x14ac:dyDescent="0.2">
      <c r="A846" s="48" t="s">
        <v>845</v>
      </c>
      <c r="B846" s="48">
        <v>3</v>
      </c>
      <c r="C846" s="48" t="s">
        <v>846</v>
      </c>
      <c r="D846" s="48" t="s">
        <v>844</v>
      </c>
      <c r="E846" s="48" t="s">
        <v>558</v>
      </c>
      <c r="F846" s="48" t="s">
        <v>280</v>
      </c>
      <c r="G846" s="48" t="s">
        <v>288</v>
      </c>
      <c r="H846" s="48" t="s">
        <v>62</v>
      </c>
      <c r="I846" s="48" t="s">
        <v>151</v>
      </c>
      <c r="J846" s="49">
        <v>23</v>
      </c>
      <c r="K846" s="50">
        <v>335</v>
      </c>
      <c r="L846" s="50">
        <v>326.02</v>
      </c>
      <c r="M846" s="48" t="s">
        <v>276</v>
      </c>
      <c r="N846" s="51">
        <v>1</v>
      </c>
      <c r="O846" s="51">
        <v>1</v>
      </c>
      <c r="P846" s="52">
        <v>216.7</v>
      </c>
      <c r="Q846" s="52">
        <v>216.7</v>
      </c>
      <c r="R846" s="53" t="str">
        <f>INDEX(SKU_Master!$D$5:$D$34,MATCH($I846,SKU_Master!$A$5:$A$34,0))</f>
        <v>Accessory</v>
      </c>
      <c r="S846" s="54">
        <f t="shared" si="182"/>
        <v>2.6805970149253788E-2</v>
      </c>
      <c r="T846" s="55">
        <f t="shared" si="183"/>
        <v>7705</v>
      </c>
      <c r="U846" s="55">
        <f t="shared" si="184"/>
        <v>7498.4599999999991</v>
      </c>
      <c r="V846" s="55">
        <f t="shared" si="185"/>
        <v>-206.54000000000087</v>
      </c>
      <c r="W846" s="55">
        <f t="shared" si="186"/>
        <v>7498.4599999999991</v>
      </c>
      <c r="X846" s="55">
        <f t="shared" si="187"/>
        <v>0</v>
      </c>
      <c r="Y846" s="55">
        <f t="shared" si="188"/>
        <v>4984.0999999999995</v>
      </c>
      <c r="Z846" s="55">
        <f t="shared" si="189"/>
        <v>4984.0999999999995</v>
      </c>
      <c r="AA846" s="55">
        <f t="shared" si="190"/>
        <v>0</v>
      </c>
      <c r="AB846" s="55">
        <f t="shared" si="191"/>
        <v>2514.3599999999997</v>
      </c>
      <c r="AC846" s="54">
        <f t="shared" si="192"/>
        <v>0.33531685172688791</v>
      </c>
      <c r="AD846" s="56">
        <f>INDEX(Assumptions!$B$14:$B$16,MATCH($R846,Assumptions!$A$14:$A$16,0))</f>
        <v>0.32</v>
      </c>
      <c r="AE846" s="56">
        <f>INDEX(Assumptions!$C$14:$C$16,MATCH($R846,Assumptions!$A$14:$A$16,0))</f>
        <v>0.22</v>
      </c>
      <c r="AF846" s="49">
        <f t="shared" si="193"/>
        <v>0</v>
      </c>
      <c r="AG846" s="49">
        <f t="shared" si="194"/>
        <v>0</v>
      </c>
      <c r="AH846" s="55">
        <f t="shared" si="195"/>
        <v>0</v>
      </c>
    </row>
    <row r="847" spans="1:34" x14ac:dyDescent="0.2">
      <c r="A847" s="48" t="s">
        <v>847</v>
      </c>
      <c r="B847" s="48">
        <v>1</v>
      </c>
      <c r="C847" s="48" t="s">
        <v>846</v>
      </c>
      <c r="D847" s="48" t="s">
        <v>844</v>
      </c>
      <c r="E847" s="48" t="s">
        <v>284</v>
      </c>
      <c r="F847" s="48" t="s">
        <v>274</v>
      </c>
      <c r="G847" s="48" t="s">
        <v>275</v>
      </c>
      <c r="H847" s="48" t="s">
        <v>64</v>
      </c>
      <c r="I847" s="48" t="s">
        <v>103</v>
      </c>
      <c r="J847" s="49">
        <v>4</v>
      </c>
      <c r="K847" s="50">
        <v>940</v>
      </c>
      <c r="L847" s="50">
        <v>926.51</v>
      </c>
      <c r="M847" s="48" t="s">
        <v>276</v>
      </c>
      <c r="N847" s="51">
        <v>0.79</v>
      </c>
      <c r="O847" s="51">
        <v>0.79600000000000004</v>
      </c>
      <c r="P847" s="52">
        <v>992.6</v>
      </c>
      <c r="Q847" s="52">
        <v>992.6</v>
      </c>
      <c r="R847" s="53" t="str">
        <f>INDEX(SKU_Master!$D$5:$D$34,MATCH($I847,SKU_Master!$A$5:$A$34,0))</f>
        <v>Laptop</v>
      </c>
      <c r="S847" s="54">
        <f t="shared" si="182"/>
        <v>1.4351063829787236E-2</v>
      </c>
      <c r="T847" s="55">
        <f t="shared" si="183"/>
        <v>4759.493670886076</v>
      </c>
      <c r="U847" s="55">
        <f t="shared" si="184"/>
        <v>4691.1898734177212</v>
      </c>
      <c r="V847" s="55">
        <f t="shared" si="185"/>
        <v>-68.303797468354787</v>
      </c>
      <c r="W847" s="55">
        <f t="shared" si="186"/>
        <v>4655.8291457286432</v>
      </c>
      <c r="X847" s="55">
        <f t="shared" si="187"/>
        <v>-35.360727689077976</v>
      </c>
      <c r="Y847" s="55">
        <f t="shared" si="188"/>
        <v>3970.4</v>
      </c>
      <c r="Z847" s="55">
        <f t="shared" si="189"/>
        <v>3970.4</v>
      </c>
      <c r="AA847" s="55">
        <f t="shared" si="190"/>
        <v>0</v>
      </c>
      <c r="AB847" s="55">
        <f t="shared" si="191"/>
        <v>685.42914572864311</v>
      </c>
      <c r="AC847" s="54">
        <f t="shared" si="192"/>
        <v>0.14721956589783161</v>
      </c>
      <c r="AD847" s="56">
        <f>INDEX(Assumptions!$B$14:$B$16,MATCH($R847,Assumptions!$A$14:$A$16,0))</f>
        <v>0.12</v>
      </c>
      <c r="AE847" s="56">
        <f>INDEX(Assumptions!$C$14:$C$16,MATCH($R847,Assumptions!$A$14:$A$16,0))</f>
        <v>0.08</v>
      </c>
      <c r="AF847" s="49">
        <f t="shared" si="193"/>
        <v>0</v>
      </c>
      <c r="AG847" s="49">
        <f t="shared" si="194"/>
        <v>0</v>
      </c>
      <c r="AH847" s="55">
        <f t="shared" si="195"/>
        <v>0</v>
      </c>
    </row>
    <row r="848" spans="1:34" x14ac:dyDescent="0.2">
      <c r="A848" s="48" t="s">
        <v>847</v>
      </c>
      <c r="B848" s="48">
        <v>2</v>
      </c>
      <c r="C848" s="48" t="s">
        <v>846</v>
      </c>
      <c r="D848" s="48" t="s">
        <v>844</v>
      </c>
      <c r="E848" s="48" t="s">
        <v>284</v>
      </c>
      <c r="F848" s="48" t="s">
        <v>274</v>
      </c>
      <c r="G848" s="48" t="s">
        <v>275</v>
      </c>
      <c r="H848" s="48" t="s">
        <v>64</v>
      </c>
      <c r="I848" s="48" t="s">
        <v>146</v>
      </c>
      <c r="J848" s="49">
        <v>3</v>
      </c>
      <c r="K848" s="50">
        <v>220</v>
      </c>
      <c r="L848" s="50">
        <v>217.59</v>
      </c>
      <c r="M848" s="48" t="s">
        <v>276</v>
      </c>
      <c r="N848" s="51">
        <v>0.79</v>
      </c>
      <c r="O848" s="51">
        <v>0.79600000000000004</v>
      </c>
      <c r="P848" s="52">
        <v>211.8</v>
      </c>
      <c r="Q848" s="52">
        <v>211.8</v>
      </c>
      <c r="R848" s="53" t="str">
        <f>INDEX(SKU_Master!$D$5:$D$34,MATCH($I848,SKU_Master!$A$5:$A$34,0))</f>
        <v>Monitor</v>
      </c>
      <c r="S848" s="54">
        <f t="shared" si="182"/>
        <v>1.0954545454545439E-2</v>
      </c>
      <c r="T848" s="55">
        <f t="shared" si="183"/>
        <v>835.44303797468353</v>
      </c>
      <c r="U848" s="55">
        <f t="shared" si="184"/>
        <v>826.29113924050625</v>
      </c>
      <c r="V848" s="55">
        <f t="shared" si="185"/>
        <v>-9.1518987341772799</v>
      </c>
      <c r="W848" s="55">
        <f t="shared" si="186"/>
        <v>820.06281407035169</v>
      </c>
      <c r="X848" s="55">
        <f t="shared" si="187"/>
        <v>-6.2283251701545623</v>
      </c>
      <c r="Y848" s="55">
        <f t="shared" si="188"/>
        <v>635.40000000000009</v>
      </c>
      <c r="Z848" s="55">
        <f t="shared" si="189"/>
        <v>635.40000000000009</v>
      </c>
      <c r="AA848" s="55">
        <f t="shared" si="190"/>
        <v>0</v>
      </c>
      <c r="AB848" s="55">
        <f t="shared" si="191"/>
        <v>184.6628140703516</v>
      </c>
      <c r="AC848" s="54">
        <f t="shared" si="192"/>
        <v>0.22518130428788069</v>
      </c>
      <c r="AD848" s="56">
        <f>INDEX(Assumptions!$B$14:$B$16,MATCH($R848,Assumptions!$A$14:$A$16,0))</f>
        <v>0.18</v>
      </c>
      <c r="AE848" s="56">
        <f>INDEX(Assumptions!$C$14:$C$16,MATCH($R848,Assumptions!$A$14:$A$16,0))</f>
        <v>0.12</v>
      </c>
      <c r="AF848" s="49">
        <f t="shared" si="193"/>
        <v>0</v>
      </c>
      <c r="AG848" s="49">
        <f t="shared" si="194"/>
        <v>0</v>
      </c>
      <c r="AH848" s="55">
        <f t="shared" si="195"/>
        <v>0</v>
      </c>
    </row>
    <row r="849" spans="1:34" x14ac:dyDescent="0.2">
      <c r="A849" s="48" t="s">
        <v>847</v>
      </c>
      <c r="B849" s="48">
        <v>3</v>
      </c>
      <c r="C849" s="48" t="s">
        <v>846</v>
      </c>
      <c r="D849" s="48" t="s">
        <v>844</v>
      </c>
      <c r="E849" s="48" t="s">
        <v>284</v>
      </c>
      <c r="F849" s="48" t="s">
        <v>274</v>
      </c>
      <c r="G849" s="48" t="s">
        <v>275</v>
      </c>
      <c r="H849" s="48" t="s">
        <v>64</v>
      </c>
      <c r="I849" s="48" t="s">
        <v>161</v>
      </c>
      <c r="J849" s="49">
        <v>4</v>
      </c>
      <c r="K849" s="50">
        <v>105</v>
      </c>
      <c r="L849" s="50">
        <v>103.22</v>
      </c>
      <c r="M849" s="48" t="s">
        <v>276</v>
      </c>
      <c r="N849" s="51">
        <v>0.79</v>
      </c>
      <c r="O849" s="51">
        <v>0.79600000000000004</v>
      </c>
      <c r="P849" s="52">
        <v>82</v>
      </c>
      <c r="Q849" s="52">
        <v>82</v>
      </c>
      <c r="R849" s="53" t="str">
        <f>INDEX(SKU_Master!$D$5:$D$34,MATCH($I849,SKU_Master!$A$5:$A$34,0))</f>
        <v>Accessory</v>
      </c>
      <c r="S849" s="54">
        <f t="shared" si="182"/>
        <v>1.6952380952380941E-2</v>
      </c>
      <c r="T849" s="55">
        <f t="shared" si="183"/>
        <v>531.64556962025313</v>
      </c>
      <c r="U849" s="55">
        <f t="shared" si="184"/>
        <v>522.63291139240505</v>
      </c>
      <c r="V849" s="55">
        <f t="shared" si="185"/>
        <v>-9.0126582278480782</v>
      </c>
      <c r="W849" s="55">
        <f t="shared" si="186"/>
        <v>518.6934673366834</v>
      </c>
      <c r="X849" s="55">
        <f t="shared" si="187"/>
        <v>-3.9394440557216512</v>
      </c>
      <c r="Y849" s="55">
        <f t="shared" si="188"/>
        <v>328</v>
      </c>
      <c r="Z849" s="55">
        <f t="shared" si="189"/>
        <v>328</v>
      </c>
      <c r="AA849" s="55">
        <f t="shared" si="190"/>
        <v>0</v>
      </c>
      <c r="AB849" s="55">
        <f t="shared" si="191"/>
        <v>190.6934673366834</v>
      </c>
      <c r="AC849" s="54">
        <f t="shared" si="192"/>
        <v>0.36764192985855454</v>
      </c>
      <c r="AD849" s="56">
        <f>INDEX(Assumptions!$B$14:$B$16,MATCH($R849,Assumptions!$A$14:$A$16,0))</f>
        <v>0.32</v>
      </c>
      <c r="AE849" s="56">
        <f>INDEX(Assumptions!$C$14:$C$16,MATCH($R849,Assumptions!$A$14:$A$16,0))</f>
        <v>0.22</v>
      </c>
      <c r="AF849" s="49">
        <f t="shared" si="193"/>
        <v>0</v>
      </c>
      <c r="AG849" s="49">
        <f t="shared" si="194"/>
        <v>0</v>
      </c>
      <c r="AH849" s="55">
        <f t="shared" si="195"/>
        <v>0</v>
      </c>
    </row>
    <row r="850" spans="1:34" x14ac:dyDescent="0.2">
      <c r="A850" s="48" t="s">
        <v>848</v>
      </c>
      <c r="B850" s="48">
        <v>1</v>
      </c>
      <c r="C850" s="48" t="s">
        <v>849</v>
      </c>
      <c r="D850" s="48" t="s">
        <v>844</v>
      </c>
      <c r="E850" s="48" t="s">
        <v>395</v>
      </c>
      <c r="F850" s="48" t="s">
        <v>280</v>
      </c>
      <c r="G850" s="48" t="s">
        <v>281</v>
      </c>
      <c r="H850" s="48" t="s">
        <v>66</v>
      </c>
      <c r="I850" s="48" t="s">
        <v>123</v>
      </c>
      <c r="J850" s="49">
        <v>15</v>
      </c>
      <c r="K850" s="50">
        <v>1395</v>
      </c>
      <c r="L850" s="50">
        <v>1346.69</v>
      </c>
      <c r="M850" s="48" t="s">
        <v>276</v>
      </c>
      <c r="N850" s="51">
        <v>0.92</v>
      </c>
      <c r="O850" s="51">
        <v>0.91820000000000002</v>
      </c>
      <c r="P850" s="52">
        <v>1269.25</v>
      </c>
      <c r="Q850" s="52">
        <v>1269.25</v>
      </c>
      <c r="R850" s="53" t="str">
        <f>INDEX(SKU_Master!$D$5:$D$34,MATCH($I850,SKU_Master!$A$5:$A$34,0))</f>
        <v>Laptop</v>
      </c>
      <c r="S850" s="54">
        <f t="shared" si="182"/>
        <v>3.4630824372759772E-2</v>
      </c>
      <c r="T850" s="55">
        <f t="shared" si="183"/>
        <v>22744.565217391304</v>
      </c>
      <c r="U850" s="55">
        <f t="shared" si="184"/>
        <v>21956.902173913044</v>
      </c>
      <c r="V850" s="55">
        <f t="shared" si="185"/>
        <v>-787.66304347826008</v>
      </c>
      <c r="W850" s="55">
        <f t="shared" si="186"/>
        <v>21999.945545632763</v>
      </c>
      <c r="X850" s="55">
        <f t="shared" si="187"/>
        <v>43.043371719719289</v>
      </c>
      <c r="Y850" s="55">
        <f t="shared" si="188"/>
        <v>19038.75</v>
      </c>
      <c r="Z850" s="55">
        <f t="shared" si="189"/>
        <v>19038.75</v>
      </c>
      <c r="AA850" s="55">
        <f t="shared" si="190"/>
        <v>0</v>
      </c>
      <c r="AB850" s="55">
        <f t="shared" si="191"/>
        <v>2961.1955456327632</v>
      </c>
      <c r="AC850" s="54">
        <f t="shared" si="192"/>
        <v>0.13460013069080501</v>
      </c>
      <c r="AD850" s="56">
        <f>INDEX(Assumptions!$B$14:$B$16,MATCH($R850,Assumptions!$A$14:$A$16,0))</f>
        <v>0.12</v>
      </c>
      <c r="AE850" s="56">
        <f>INDEX(Assumptions!$C$14:$C$16,MATCH($R850,Assumptions!$A$14:$A$16,0))</f>
        <v>0.08</v>
      </c>
      <c r="AF850" s="49">
        <f t="shared" si="193"/>
        <v>0</v>
      </c>
      <c r="AG850" s="49">
        <f t="shared" si="194"/>
        <v>0</v>
      </c>
      <c r="AH850" s="55">
        <f t="shared" si="195"/>
        <v>0</v>
      </c>
    </row>
    <row r="851" spans="1:34" x14ac:dyDescent="0.2">
      <c r="A851" s="48" t="s">
        <v>848</v>
      </c>
      <c r="B851" s="48">
        <v>2</v>
      </c>
      <c r="C851" s="48" t="s">
        <v>849</v>
      </c>
      <c r="D851" s="48" t="s">
        <v>844</v>
      </c>
      <c r="E851" s="48" t="s">
        <v>395</v>
      </c>
      <c r="F851" s="48" t="s">
        <v>280</v>
      </c>
      <c r="G851" s="48" t="s">
        <v>281</v>
      </c>
      <c r="H851" s="48" t="s">
        <v>66</v>
      </c>
      <c r="I851" s="48" t="s">
        <v>151</v>
      </c>
      <c r="J851" s="49">
        <v>13</v>
      </c>
      <c r="K851" s="50">
        <v>325</v>
      </c>
      <c r="L851" s="50">
        <v>320.39999999999998</v>
      </c>
      <c r="M851" s="48" t="s">
        <v>276</v>
      </c>
      <c r="N851" s="51">
        <v>0.92</v>
      </c>
      <c r="O851" s="51">
        <v>0.91820000000000002</v>
      </c>
      <c r="P851" s="52">
        <v>221.7</v>
      </c>
      <c r="Q851" s="52">
        <v>221.7</v>
      </c>
      <c r="R851" s="53" t="str">
        <f>INDEX(SKU_Master!$D$5:$D$34,MATCH($I851,SKU_Master!$A$5:$A$34,0))</f>
        <v>Accessory</v>
      </c>
      <c r="S851" s="54">
        <f t="shared" si="182"/>
        <v>1.4153846153846183E-2</v>
      </c>
      <c r="T851" s="55">
        <f t="shared" si="183"/>
        <v>4592.391304347826</v>
      </c>
      <c r="U851" s="55">
        <f t="shared" si="184"/>
        <v>4527.391304347826</v>
      </c>
      <c r="V851" s="55">
        <f t="shared" si="185"/>
        <v>-65</v>
      </c>
      <c r="W851" s="55">
        <f t="shared" si="186"/>
        <v>4536.2666085820083</v>
      </c>
      <c r="X851" s="55">
        <f t="shared" si="187"/>
        <v>8.8753042341822947</v>
      </c>
      <c r="Y851" s="55">
        <f t="shared" si="188"/>
        <v>2882.1</v>
      </c>
      <c r="Z851" s="55">
        <f t="shared" si="189"/>
        <v>2882.1</v>
      </c>
      <c r="AA851" s="55">
        <f t="shared" si="190"/>
        <v>0</v>
      </c>
      <c r="AB851" s="55">
        <f t="shared" si="191"/>
        <v>1654.1666085820084</v>
      </c>
      <c r="AC851" s="54">
        <f t="shared" si="192"/>
        <v>0.3646537453183521</v>
      </c>
      <c r="AD851" s="56">
        <f>INDEX(Assumptions!$B$14:$B$16,MATCH($R851,Assumptions!$A$14:$A$16,0))</f>
        <v>0.32</v>
      </c>
      <c r="AE851" s="56">
        <f>INDEX(Assumptions!$C$14:$C$16,MATCH($R851,Assumptions!$A$14:$A$16,0))</f>
        <v>0.22</v>
      </c>
      <c r="AF851" s="49">
        <f t="shared" si="193"/>
        <v>0</v>
      </c>
      <c r="AG851" s="49">
        <f t="shared" si="194"/>
        <v>0</v>
      </c>
      <c r="AH851" s="55">
        <f t="shared" si="195"/>
        <v>0</v>
      </c>
    </row>
    <row r="852" spans="1:34" x14ac:dyDescent="0.2">
      <c r="A852" s="48" t="s">
        <v>850</v>
      </c>
      <c r="B852" s="48">
        <v>1</v>
      </c>
      <c r="C852" s="48" t="s">
        <v>851</v>
      </c>
      <c r="D852" s="48" t="s">
        <v>844</v>
      </c>
      <c r="E852" s="48" t="s">
        <v>322</v>
      </c>
      <c r="F852" s="48" t="s">
        <v>274</v>
      </c>
      <c r="G852" s="48" t="s">
        <v>288</v>
      </c>
      <c r="H852" s="48" t="s">
        <v>62</v>
      </c>
      <c r="I852" s="48" t="s">
        <v>118</v>
      </c>
      <c r="J852" s="49">
        <v>8</v>
      </c>
      <c r="K852" s="50">
        <v>1365</v>
      </c>
      <c r="L852" s="50">
        <v>1360.06</v>
      </c>
      <c r="M852" s="48" t="s">
        <v>276</v>
      </c>
      <c r="N852" s="51">
        <v>1</v>
      </c>
      <c r="O852" s="51">
        <v>1</v>
      </c>
      <c r="P852" s="52">
        <v>1162.5999999999999</v>
      </c>
      <c r="Q852" s="52">
        <v>1162.5999999999999</v>
      </c>
      <c r="R852" s="53" t="str">
        <f>INDEX(SKU_Master!$D$5:$D$34,MATCH($I852,SKU_Master!$A$5:$A$34,0))</f>
        <v>Laptop</v>
      </c>
      <c r="S852" s="54">
        <f t="shared" si="182"/>
        <v>3.6190476190476328E-3</v>
      </c>
      <c r="T852" s="55">
        <f t="shared" si="183"/>
        <v>10920</v>
      </c>
      <c r="U852" s="55">
        <f t="shared" si="184"/>
        <v>10880.48</v>
      </c>
      <c r="V852" s="55">
        <f t="shared" si="185"/>
        <v>-39.520000000000437</v>
      </c>
      <c r="W852" s="55">
        <f t="shared" si="186"/>
        <v>10880.48</v>
      </c>
      <c r="X852" s="55">
        <f t="shared" si="187"/>
        <v>0</v>
      </c>
      <c r="Y852" s="55">
        <f t="shared" si="188"/>
        <v>9300.7999999999993</v>
      </c>
      <c r="Z852" s="55">
        <f t="shared" si="189"/>
        <v>9300.7999999999993</v>
      </c>
      <c r="AA852" s="55">
        <f t="shared" si="190"/>
        <v>0</v>
      </c>
      <c r="AB852" s="55">
        <f t="shared" si="191"/>
        <v>1579.6800000000003</v>
      </c>
      <c r="AC852" s="54">
        <f t="shared" si="192"/>
        <v>0.14518477126009149</v>
      </c>
      <c r="AD852" s="56">
        <f>INDEX(Assumptions!$B$14:$B$16,MATCH($R852,Assumptions!$A$14:$A$16,0))</f>
        <v>0.12</v>
      </c>
      <c r="AE852" s="56">
        <f>INDEX(Assumptions!$C$14:$C$16,MATCH($R852,Assumptions!$A$14:$A$16,0))</f>
        <v>0.08</v>
      </c>
      <c r="AF852" s="49">
        <f t="shared" si="193"/>
        <v>0</v>
      </c>
      <c r="AG852" s="49">
        <f t="shared" si="194"/>
        <v>0</v>
      </c>
      <c r="AH852" s="55">
        <f t="shared" si="195"/>
        <v>0</v>
      </c>
    </row>
    <row r="853" spans="1:34" x14ac:dyDescent="0.2">
      <c r="A853" s="48" t="s">
        <v>850</v>
      </c>
      <c r="B853" s="48">
        <v>2</v>
      </c>
      <c r="C853" s="48" t="s">
        <v>851</v>
      </c>
      <c r="D853" s="48" t="s">
        <v>844</v>
      </c>
      <c r="E853" s="48" t="s">
        <v>322</v>
      </c>
      <c r="F853" s="48" t="s">
        <v>274</v>
      </c>
      <c r="G853" s="48" t="s">
        <v>288</v>
      </c>
      <c r="H853" s="48" t="s">
        <v>62</v>
      </c>
      <c r="I853" s="48" t="s">
        <v>138</v>
      </c>
      <c r="J853" s="49">
        <v>7</v>
      </c>
      <c r="K853" s="50">
        <v>455</v>
      </c>
      <c r="L853" s="50">
        <v>451.18</v>
      </c>
      <c r="M853" s="48" t="s">
        <v>276</v>
      </c>
      <c r="N853" s="51">
        <v>1</v>
      </c>
      <c r="O853" s="51">
        <v>1</v>
      </c>
      <c r="P853" s="52">
        <v>358.2</v>
      </c>
      <c r="Q853" s="52">
        <v>358.2</v>
      </c>
      <c r="R853" s="53" t="str">
        <f>INDEX(SKU_Master!$D$5:$D$34,MATCH($I853,SKU_Master!$A$5:$A$34,0))</f>
        <v>Monitor</v>
      </c>
      <c r="S853" s="54">
        <f t="shared" si="182"/>
        <v>8.3956043956043835E-3</v>
      </c>
      <c r="T853" s="55">
        <f t="shared" si="183"/>
        <v>3185</v>
      </c>
      <c r="U853" s="55">
        <f t="shared" si="184"/>
        <v>3158.26</v>
      </c>
      <c r="V853" s="55">
        <f t="shared" si="185"/>
        <v>-26.739999999999782</v>
      </c>
      <c r="W853" s="55">
        <f t="shared" si="186"/>
        <v>3158.26</v>
      </c>
      <c r="X853" s="55">
        <f t="shared" si="187"/>
        <v>0</v>
      </c>
      <c r="Y853" s="55">
        <f t="shared" si="188"/>
        <v>2507.4</v>
      </c>
      <c r="Z853" s="55">
        <f t="shared" si="189"/>
        <v>2507.4</v>
      </c>
      <c r="AA853" s="55">
        <f t="shared" si="190"/>
        <v>0</v>
      </c>
      <c r="AB853" s="55">
        <f t="shared" si="191"/>
        <v>650.86000000000013</v>
      </c>
      <c r="AC853" s="54">
        <f t="shared" si="192"/>
        <v>0.20608182986834525</v>
      </c>
      <c r="AD853" s="56">
        <f>INDEX(Assumptions!$B$14:$B$16,MATCH($R853,Assumptions!$A$14:$A$16,0))</f>
        <v>0.18</v>
      </c>
      <c r="AE853" s="56">
        <f>INDEX(Assumptions!$C$14:$C$16,MATCH($R853,Assumptions!$A$14:$A$16,0))</f>
        <v>0.12</v>
      </c>
      <c r="AF853" s="49">
        <f t="shared" si="193"/>
        <v>0</v>
      </c>
      <c r="AG853" s="49">
        <f t="shared" si="194"/>
        <v>0</v>
      </c>
      <c r="AH853" s="55">
        <f t="shared" si="195"/>
        <v>0</v>
      </c>
    </row>
    <row r="854" spans="1:34" x14ac:dyDescent="0.2">
      <c r="A854" s="48" t="s">
        <v>850</v>
      </c>
      <c r="B854" s="48">
        <v>3</v>
      </c>
      <c r="C854" s="48" t="s">
        <v>851</v>
      </c>
      <c r="D854" s="48" t="s">
        <v>844</v>
      </c>
      <c r="E854" s="48" t="s">
        <v>322</v>
      </c>
      <c r="F854" s="48" t="s">
        <v>274</v>
      </c>
      <c r="G854" s="48" t="s">
        <v>288</v>
      </c>
      <c r="H854" s="48" t="s">
        <v>62</v>
      </c>
      <c r="I854" s="48" t="s">
        <v>151</v>
      </c>
      <c r="J854" s="49">
        <v>3</v>
      </c>
      <c r="K854" s="50">
        <v>335</v>
      </c>
      <c r="L854" s="50">
        <v>332.28</v>
      </c>
      <c r="M854" s="48" t="s">
        <v>276</v>
      </c>
      <c r="N854" s="51">
        <v>1</v>
      </c>
      <c r="O854" s="51">
        <v>1</v>
      </c>
      <c r="P854" s="52">
        <v>216.7</v>
      </c>
      <c r="Q854" s="52">
        <v>216.7</v>
      </c>
      <c r="R854" s="53" t="str">
        <f>INDEX(SKU_Master!$D$5:$D$34,MATCH($I854,SKU_Master!$A$5:$A$34,0))</f>
        <v>Accessory</v>
      </c>
      <c r="S854" s="54">
        <f t="shared" si="182"/>
        <v>8.1194029850747418E-3</v>
      </c>
      <c r="T854" s="55">
        <f t="shared" si="183"/>
        <v>1005</v>
      </c>
      <c r="U854" s="55">
        <f t="shared" si="184"/>
        <v>996.83999999999992</v>
      </c>
      <c r="V854" s="55">
        <f t="shared" si="185"/>
        <v>-8.1600000000000819</v>
      </c>
      <c r="W854" s="55">
        <f t="shared" si="186"/>
        <v>996.83999999999992</v>
      </c>
      <c r="X854" s="55">
        <f t="shared" si="187"/>
        <v>0</v>
      </c>
      <c r="Y854" s="55">
        <f t="shared" si="188"/>
        <v>650.09999999999991</v>
      </c>
      <c r="Z854" s="55">
        <f t="shared" si="189"/>
        <v>650.09999999999991</v>
      </c>
      <c r="AA854" s="55">
        <f t="shared" si="190"/>
        <v>0</v>
      </c>
      <c r="AB854" s="55">
        <f t="shared" si="191"/>
        <v>346.74</v>
      </c>
      <c r="AC854" s="54">
        <f t="shared" si="192"/>
        <v>0.3478391717828338</v>
      </c>
      <c r="AD854" s="56">
        <f>INDEX(Assumptions!$B$14:$B$16,MATCH($R854,Assumptions!$A$14:$A$16,0))</f>
        <v>0.32</v>
      </c>
      <c r="AE854" s="56">
        <f>INDEX(Assumptions!$C$14:$C$16,MATCH($R854,Assumptions!$A$14:$A$16,0))</f>
        <v>0.22</v>
      </c>
      <c r="AF854" s="49">
        <f t="shared" si="193"/>
        <v>0</v>
      </c>
      <c r="AG854" s="49">
        <f t="shared" si="194"/>
        <v>0</v>
      </c>
      <c r="AH854" s="55">
        <f t="shared" si="195"/>
        <v>0</v>
      </c>
    </row>
    <row r="855" spans="1:34" x14ac:dyDescent="0.2">
      <c r="A855" s="48" t="s">
        <v>852</v>
      </c>
      <c r="B855" s="48">
        <v>1</v>
      </c>
      <c r="C855" s="48" t="s">
        <v>853</v>
      </c>
      <c r="D855" s="48" t="s">
        <v>844</v>
      </c>
      <c r="E855" s="48" t="s">
        <v>417</v>
      </c>
      <c r="F855" s="48" t="s">
        <v>280</v>
      </c>
      <c r="G855" s="48" t="s">
        <v>298</v>
      </c>
      <c r="H855" s="48" t="s">
        <v>62</v>
      </c>
      <c r="I855" s="48" t="s">
        <v>103</v>
      </c>
      <c r="J855" s="49">
        <v>28</v>
      </c>
      <c r="K855" s="50">
        <v>1135</v>
      </c>
      <c r="L855" s="50">
        <v>1112.76</v>
      </c>
      <c r="M855" s="48" t="s">
        <v>276</v>
      </c>
      <c r="N855" s="51">
        <v>1</v>
      </c>
      <c r="O855" s="51">
        <v>1</v>
      </c>
      <c r="P855" s="52">
        <v>968.6</v>
      </c>
      <c r="Q855" s="52">
        <v>968.6</v>
      </c>
      <c r="R855" s="53" t="str">
        <f>INDEX(SKU_Master!$D$5:$D$34,MATCH($I855,SKU_Master!$A$5:$A$34,0))</f>
        <v>Laptop</v>
      </c>
      <c r="S855" s="54">
        <f t="shared" si="182"/>
        <v>1.9594713656387652E-2</v>
      </c>
      <c r="T855" s="55">
        <f t="shared" si="183"/>
        <v>31780</v>
      </c>
      <c r="U855" s="55">
        <f t="shared" si="184"/>
        <v>31157.279999999999</v>
      </c>
      <c r="V855" s="55">
        <f t="shared" si="185"/>
        <v>-622.72000000000116</v>
      </c>
      <c r="W855" s="55">
        <f t="shared" si="186"/>
        <v>31157.279999999999</v>
      </c>
      <c r="X855" s="55">
        <f t="shared" si="187"/>
        <v>0</v>
      </c>
      <c r="Y855" s="55">
        <f t="shared" si="188"/>
        <v>27120.799999999999</v>
      </c>
      <c r="Z855" s="55">
        <f t="shared" si="189"/>
        <v>27120.799999999999</v>
      </c>
      <c r="AA855" s="55">
        <f t="shared" si="190"/>
        <v>0</v>
      </c>
      <c r="AB855" s="55">
        <f t="shared" si="191"/>
        <v>4036.4799999999996</v>
      </c>
      <c r="AC855" s="54">
        <f t="shared" si="192"/>
        <v>0.12955174521010818</v>
      </c>
      <c r="AD855" s="56">
        <f>INDEX(Assumptions!$B$14:$B$16,MATCH($R855,Assumptions!$A$14:$A$16,0))</f>
        <v>0.12</v>
      </c>
      <c r="AE855" s="56">
        <f>INDEX(Assumptions!$C$14:$C$16,MATCH($R855,Assumptions!$A$14:$A$16,0))</f>
        <v>0.08</v>
      </c>
      <c r="AF855" s="49">
        <f t="shared" si="193"/>
        <v>0</v>
      </c>
      <c r="AG855" s="49">
        <f t="shared" si="194"/>
        <v>0</v>
      </c>
      <c r="AH855" s="55">
        <f t="shared" si="195"/>
        <v>0</v>
      </c>
    </row>
    <row r="856" spans="1:34" x14ac:dyDescent="0.2">
      <c r="A856" s="48" t="s">
        <v>852</v>
      </c>
      <c r="B856" s="48">
        <v>2</v>
      </c>
      <c r="C856" s="48" t="s">
        <v>853</v>
      </c>
      <c r="D856" s="48" t="s">
        <v>844</v>
      </c>
      <c r="E856" s="48" t="s">
        <v>417</v>
      </c>
      <c r="F856" s="48" t="s">
        <v>280</v>
      </c>
      <c r="G856" s="48" t="s">
        <v>298</v>
      </c>
      <c r="H856" s="48" t="s">
        <v>62</v>
      </c>
      <c r="I856" s="48" t="s">
        <v>166</v>
      </c>
      <c r="J856" s="49">
        <v>18</v>
      </c>
      <c r="K856" s="50">
        <v>265</v>
      </c>
      <c r="L856" s="50">
        <v>257.33999999999997</v>
      </c>
      <c r="M856" s="48" t="s">
        <v>276</v>
      </c>
      <c r="N856" s="51">
        <v>1</v>
      </c>
      <c r="O856" s="51">
        <v>1</v>
      </c>
      <c r="P856" s="52">
        <v>169.35</v>
      </c>
      <c r="Q856" s="52">
        <v>169.35</v>
      </c>
      <c r="R856" s="53" t="str">
        <f>INDEX(SKU_Master!$D$5:$D$34,MATCH($I856,SKU_Master!$A$5:$A$34,0))</f>
        <v>Accessory</v>
      </c>
      <c r="S856" s="54">
        <f t="shared" si="182"/>
        <v>2.8905660377358533E-2</v>
      </c>
      <c r="T856" s="55">
        <f t="shared" si="183"/>
        <v>4770</v>
      </c>
      <c r="U856" s="55">
        <f t="shared" si="184"/>
        <v>4632.12</v>
      </c>
      <c r="V856" s="55">
        <f t="shared" si="185"/>
        <v>-137.88000000000011</v>
      </c>
      <c r="W856" s="55">
        <f t="shared" si="186"/>
        <v>4632.12</v>
      </c>
      <c r="X856" s="55">
        <f t="shared" si="187"/>
        <v>0</v>
      </c>
      <c r="Y856" s="55">
        <f t="shared" si="188"/>
        <v>3048.2999999999997</v>
      </c>
      <c r="Z856" s="55">
        <f t="shared" si="189"/>
        <v>3048.2999999999997</v>
      </c>
      <c r="AA856" s="55">
        <f t="shared" si="190"/>
        <v>0</v>
      </c>
      <c r="AB856" s="55">
        <f t="shared" si="191"/>
        <v>1583.8200000000002</v>
      </c>
      <c r="AC856" s="54">
        <f t="shared" si="192"/>
        <v>0.34192119375145724</v>
      </c>
      <c r="AD856" s="56">
        <f>INDEX(Assumptions!$B$14:$B$16,MATCH($R856,Assumptions!$A$14:$A$16,0))</f>
        <v>0.32</v>
      </c>
      <c r="AE856" s="56">
        <f>INDEX(Assumptions!$C$14:$C$16,MATCH($R856,Assumptions!$A$14:$A$16,0))</f>
        <v>0.22</v>
      </c>
      <c r="AF856" s="49">
        <f t="shared" si="193"/>
        <v>0</v>
      </c>
      <c r="AG856" s="49">
        <f t="shared" si="194"/>
        <v>0</v>
      </c>
      <c r="AH856" s="55">
        <f t="shared" si="195"/>
        <v>0</v>
      </c>
    </row>
    <row r="857" spans="1:34" x14ac:dyDescent="0.2">
      <c r="A857" s="48" t="s">
        <v>854</v>
      </c>
      <c r="B857" s="48">
        <v>1</v>
      </c>
      <c r="C857" s="48" t="s">
        <v>855</v>
      </c>
      <c r="D857" s="48" t="s">
        <v>844</v>
      </c>
      <c r="E857" s="48" t="s">
        <v>360</v>
      </c>
      <c r="F857" s="48" t="s">
        <v>280</v>
      </c>
      <c r="G857" s="48" t="s">
        <v>275</v>
      </c>
      <c r="H857" s="48" t="s">
        <v>68</v>
      </c>
      <c r="I857" s="48" t="s">
        <v>93</v>
      </c>
      <c r="J857" s="49">
        <v>28</v>
      </c>
      <c r="K857" s="50">
        <v>1960</v>
      </c>
      <c r="L857" s="50">
        <v>1928.18</v>
      </c>
      <c r="M857" s="48" t="s">
        <v>276</v>
      </c>
      <c r="N857" s="51">
        <v>1.37</v>
      </c>
      <c r="O857" s="51">
        <v>1.3718999999999999</v>
      </c>
      <c r="P857" s="52">
        <v>1198.2</v>
      </c>
      <c r="Q857" s="52">
        <v>1198.2</v>
      </c>
      <c r="R857" s="53" t="str">
        <f>INDEX(SKU_Master!$D$5:$D$34,MATCH($I857,SKU_Master!$A$5:$A$34,0))</f>
        <v>Laptop</v>
      </c>
      <c r="S857" s="54">
        <f t="shared" si="182"/>
        <v>1.6234693877550943E-2</v>
      </c>
      <c r="T857" s="55">
        <f t="shared" si="183"/>
        <v>40058.394160583935</v>
      </c>
      <c r="U857" s="55">
        <f t="shared" si="184"/>
        <v>39408.05839416058</v>
      </c>
      <c r="V857" s="55">
        <f t="shared" si="185"/>
        <v>-650.33576642335538</v>
      </c>
      <c r="W857" s="55">
        <f t="shared" si="186"/>
        <v>39353.480574385889</v>
      </c>
      <c r="X857" s="55">
        <f t="shared" si="187"/>
        <v>-54.577819774691307</v>
      </c>
      <c r="Y857" s="55">
        <f t="shared" si="188"/>
        <v>33549.599999999999</v>
      </c>
      <c r="Z857" s="55">
        <f t="shared" si="189"/>
        <v>33549.599999999999</v>
      </c>
      <c r="AA857" s="55">
        <f t="shared" si="190"/>
        <v>0</v>
      </c>
      <c r="AB857" s="55">
        <f t="shared" si="191"/>
        <v>5803.8805743858902</v>
      </c>
      <c r="AC857" s="54">
        <f t="shared" si="192"/>
        <v>0.14748074349905096</v>
      </c>
      <c r="AD857" s="56">
        <f>INDEX(Assumptions!$B$14:$B$16,MATCH($R857,Assumptions!$A$14:$A$16,0))</f>
        <v>0.12</v>
      </c>
      <c r="AE857" s="56">
        <f>INDEX(Assumptions!$C$14:$C$16,MATCH($R857,Assumptions!$A$14:$A$16,0))</f>
        <v>0.08</v>
      </c>
      <c r="AF857" s="49">
        <f t="shared" si="193"/>
        <v>0</v>
      </c>
      <c r="AG857" s="49">
        <f t="shared" si="194"/>
        <v>0</v>
      </c>
      <c r="AH857" s="55">
        <f t="shared" si="195"/>
        <v>0</v>
      </c>
    </row>
    <row r="858" spans="1:34" x14ac:dyDescent="0.2">
      <c r="A858" s="48" t="s">
        <v>854</v>
      </c>
      <c r="B858" s="48">
        <v>2</v>
      </c>
      <c r="C858" s="48" t="s">
        <v>855</v>
      </c>
      <c r="D858" s="48" t="s">
        <v>844</v>
      </c>
      <c r="E858" s="48" t="s">
        <v>360</v>
      </c>
      <c r="F858" s="48" t="s">
        <v>280</v>
      </c>
      <c r="G858" s="48" t="s">
        <v>275</v>
      </c>
      <c r="H858" s="48" t="s">
        <v>68</v>
      </c>
      <c r="I858" s="48" t="s">
        <v>135</v>
      </c>
      <c r="J858" s="49">
        <v>28</v>
      </c>
      <c r="K858" s="50">
        <v>360</v>
      </c>
      <c r="L858" s="50">
        <v>345.87</v>
      </c>
      <c r="M858" s="48" t="s">
        <v>276</v>
      </c>
      <c r="N858" s="51">
        <v>1.37</v>
      </c>
      <c r="O858" s="51">
        <v>1.3718999999999999</v>
      </c>
      <c r="P858" s="52">
        <v>201.7</v>
      </c>
      <c r="Q858" s="52">
        <v>201.7</v>
      </c>
      <c r="R858" s="53" t="str">
        <f>INDEX(SKU_Master!$D$5:$D$34,MATCH($I858,SKU_Master!$A$5:$A$34,0))</f>
        <v>Monitor</v>
      </c>
      <c r="S858" s="54">
        <f t="shared" si="182"/>
        <v>3.9250000000000007E-2</v>
      </c>
      <c r="T858" s="55">
        <f t="shared" si="183"/>
        <v>7357.6642335766419</v>
      </c>
      <c r="U858" s="55">
        <f t="shared" si="184"/>
        <v>7068.8759124087592</v>
      </c>
      <c r="V858" s="55">
        <f t="shared" si="185"/>
        <v>-288.78832116788271</v>
      </c>
      <c r="W858" s="55">
        <f t="shared" si="186"/>
        <v>7059.0859392083985</v>
      </c>
      <c r="X858" s="55">
        <f t="shared" si="187"/>
        <v>-9.7899732003606914</v>
      </c>
      <c r="Y858" s="55">
        <f t="shared" si="188"/>
        <v>5647.5999999999995</v>
      </c>
      <c r="Z858" s="55">
        <f t="shared" si="189"/>
        <v>5647.5999999999995</v>
      </c>
      <c r="AA858" s="55">
        <f t="shared" si="190"/>
        <v>0</v>
      </c>
      <c r="AB858" s="55">
        <f t="shared" si="191"/>
        <v>1411.485939208399</v>
      </c>
      <c r="AC858" s="54">
        <f t="shared" si="192"/>
        <v>0.19995307485471442</v>
      </c>
      <c r="AD858" s="56">
        <f>INDEX(Assumptions!$B$14:$B$16,MATCH($R858,Assumptions!$A$14:$A$16,0))</f>
        <v>0.18</v>
      </c>
      <c r="AE858" s="56">
        <f>INDEX(Assumptions!$C$14:$C$16,MATCH($R858,Assumptions!$A$14:$A$16,0))</f>
        <v>0.12</v>
      </c>
      <c r="AF858" s="49">
        <f t="shared" si="193"/>
        <v>0</v>
      </c>
      <c r="AG858" s="49">
        <f t="shared" si="194"/>
        <v>0</v>
      </c>
      <c r="AH858" s="55">
        <f t="shared" si="195"/>
        <v>0</v>
      </c>
    </row>
    <row r="859" spans="1:34" x14ac:dyDescent="0.2">
      <c r="A859" s="48" t="s">
        <v>854</v>
      </c>
      <c r="B859" s="48">
        <v>3</v>
      </c>
      <c r="C859" s="48" t="s">
        <v>855</v>
      </c>
      <c r="D859" s="48" t="s">
        <v>844</v>
      </c>
      <c r="E859" s="48" t="s">
        <v>360</v>
      </c>
      <c r="F859" s="48" t="s">
        <v>280</v>
      </c>
      <c r="G859" s="48" t="s">
        <v>275</v>
      </c>
      <c r="H859" s="48" t="s">
        <v>68</v>
      </c>
      <c r="I859" s="48" t="s">
        <v>151</v>
      </c>
      <c r="J859" s="49">
        <v>16</v>
      </c>
      <c r="K859" s="50">
        <v>475</v>
      </c>
      <c r="L859" s="50">
        <v>464.88</v>
      </c>
      <c r="M859" s="48" t="s">
        <v>276</v>
      </c>
      <c r="N859" s="51">
        <v>1.37</v>
      </c>
      <c r="O859" s="51">
        <v>1.3718999999999999</v>
      </c>
      <c r="P859" s="52">
        <v>219.7</v>
      </c>
      <c r="Q859" s="52">
        <v>219.7</v>
      </c>
      <c r="R859" s="53" t="str">
        <f>INDEX(SKU_Master!$D$5:$D$34,MATCH($I859,SKU_Master!$A$5:$A$34,0))</f>
        <v>Accessory</v>
      </c>
      <c r="S859" s="54">
        <f t="shared" si="182"/>
        <v>2.1305263157894716E-2</v>
      </c>
      <c r="T859" s="55">
        <f t="shared" si="183"/>
        <v>5547.4452554744521</v>
      </c>
      <c r="U859" s="55">
        <f t="shared" si="184"/>
        <v>5429.2554744525542</v>
      </c>
      <c r="V859" s="55">
        <f t="shared" si="185"/>
        <v>-118.18978102189794</v>
      </c>
      <c r="W859" s="55">
        <f t="shared" si="186"/>
        <v>5421.7362781543852</v>
      </c>
      <c r="X859" s="55">
        <f t="shared" si="187"/>
        <v>-7.5191962981689358</v>
      </c>
      <c r="Y859" s="55">
        <f t="shared" si="188"/>
        <v>3515.2</v>
      </c>
      <c r="Z859" s="55">
        <f t="shared" si="189"/>
        <v>3515.2</v>
      </c>
      <c r="AA859" s="55">
        <f t="shared" si="190"/>
        <v>0</v>
      </c>
      <c r="AB859" s="55">
        <f t="shared" si="191"/>
        <v>1906.5362781543854</v>
      </c>
      <c r="AC859" s="54">
        <f t="shared" si="192"/>
        <v>0.35164681208053705</v>
      </c>
      <c r="AD859" s="56">
        <f>INDEX(Assumptions!$B$14:$B$16,MATCH($R859,Assumptions!$A$14:$A$16,0))</f>
        <v>0.32</v>
      </c>
      <c r="AE859" s="56">
        <f>INDEX(Assumptions!$C$14:$C$16,MATCH($R859,Assumptions!$A$14:$A$16,0))</f>
        <v>0.22</v>
      </c>
      <c r="AF859" s="49">
        <f t="shared" si="193"/>
        <v>0</v>
      </c>
      <c r="AG859" s="49">
        <f t="shared" si="194"/>
        <v>0</v>
      </c>
      <c r="AH859" s="55">
        <f t="shared" si="195"/>
        <v>0</v>
      </c>
    </row>
    <row r="860" spans="1:34" x14ac:dyDescent="0.2">
      <c r="A860" s="48" t="s">
        <v>856</v>
      </c>
      <c r="B860" s="48">
        <v>1</v>
      </c>
      <c r="C860" s="48" t="s">
        <v>857</v>
      </c>
      <c r="D860" s="48" t="s">
        <v>844</v>
      </c>
      <c r="E860" s="48" t="s">
        <v>558</v>
      </c>
      <c r="F860" s="48" t="s">
        <v>280</v>
      </c>
      <c r="G860" s="48" t="s">
        <v>288</v>
      </c>
      <c r="H860" s="48" t="s">
        <v>62</v>
      </c>
      <c r="I860" s="48" t="s">
        <v>98</v>
      </c>
      <c r="J860" s="49">
        <v>17</v>
      </c>
      <c r="K860" s="50">
        <v>2085</v>
      </c>
      <c r="L860" s="50">
        <v>2016.08</v>
      </c>
      <c r="M860" s="48" t="s">
        <v>276</v>
      </c>
      <c r="N860" s="51">
        <v>1</v>
      </c>
      <c r="O860" s="51">
        <v>1</v>
      </c>
      <c r="P860" s="52">
        <v>1780.2</v>
      </c>
      <c r="Q860" s="52">
        <v>1780.2</v>
      </c>
      <c r="R860" s="53" t="str">
        <f>INDEX(SKU_Master!$D$5:$D$34,MATCH($I860,SKU_Master!$A$5:$A$34,0))</f>
        <v>Laptop</v>
      </c>
      <c r="S860" s="54">
        <f t="shared" si="182"/>
        <v>3.3055155875299835E-2</v>
      </c>
      <c r="T860" s="55">
        <f t="shared" si="183"/>
        <v>35445</v>
      </c>
      <c r="U860" s="55">
        <f t="shared" si="184"/>
        <v>34273.360000000001</v>
      </c>
      <c r="V860" s="55">
        <f t="shared" si="185"/>
        <v>-1171.6399999999994</v>
      </c>
      <c r="W860" s="55">
        <f t="shared" si="186"/>
        <v>34273.360000000001</v>
      </c>
      <c r="X860" s="55">
        <f t="shared" si="187"/>
        <v>0</v>
      </c>
      <c r="Y860" s="55">
        <f t="shared" si="188"/>
        <v>30263.4</v>
      </c>
      <c r="Z860" s="55">
        <f t="shared" si="189"/>
        <v>30263.4</v>
      </c>
      <c r="AA860" s="55">
        <f t="shared" si="190"/>
        <v>0</v>
      </c>
      <c r="AB860" s="55">
        <f t="shared" si="191"/>
        <v>4009.9599999999991</v>
      </c>
      <c r="AC860" s="54">
        <f t="shared" si="192"/>
        <v>0.11699932542359427</v>
      </c>
      <c r="AD860" s="56">
        <f>INDEX(Assumptions!$B$14:$B$16,MATCH($R860,Assumptions!$A$14:$A$16,0))</f>
        <v>0.12</v>
      </c>
      <c r="AE860" s="56">
        <f>INDEX(Assumptions!$C$14:$C$16,MATCH($R860,Assumptions!$A$14:$A$16,0))</f>
        <v>0.08</v>
      </c>
      <c r="AF860" s="49">
        <f t="shared" si="193"/>
        <v>0</v>
      </c>
      <c r="AG860" s="49">
        <f t="shared" si="194"/>
        <v>0</v>
      </c>
      <c r="AH860" s="55">
        <f t="shared" si="195"/>
        <v>102.84320000000116</v>
      </c>
    </row>
    <row r="861" spans="1:34" x14ac:dyDescent="0.2">
      <c r="A861" s="48" t="s">
        <v>856</v>
      </c>
      <c r="B861" s="48">
        <v>2</v>
      </c>
      <c r="C861" s="48" t="s">
        <v>857</v>
      </c>
      <c r="D861" s="48" t="s">
        <v>844</v>
      </c>
      <c r="E861" s="48" t="s">
        <v>558</v>
      </c>
      <c r="F861" s="48" t="s">
        <v>280</v>
      </c>
      <c r="G861" s="48" t="s">
        <v>288</v>
      </c>
      <c r="H861" s="48" t="s">
        <v>62</v>
      </c>
      <c r="I861" s="48" t="s">
        <v>161</v>
      </c>
      <c r="J861" s="49">
        <v>10</v>
      </c>
      <c r="K861" s="50">
        <v>120</v>
      </c>
      <c r="L861" s="50">
        <v>114.99</v>
      </c>
      <c r="M861" s="48" t="s">
        <v>276</v>
      </c>
      <c r="N861" s="51">
        <v>1</v>
      </c>
      <c r="O861" s="51">
        <v>1</v>
      </c>
      <c r="P861" s="52">
        <v>76</v>
      </c>
      <c r="Q861" s="52">
        <v>76</v>
      </c>
      <c r="R861" s="53" t="str">
        <f>INDEX(SKU_Master!$D$5:$D$34,MATCH($I861,SKU_Master!$A$5:$A$34,0))</f>
        <v>Accessory</v>
      </c>
      <c r="S861" s="54">
        <f t="shared" si="182"/>
        <v>4.1750000000000065E-2</v>
      </c>
      <c r="T861" s="55">
        <f t="shared" si="183"/>
        <v>1200</v>
      </c>
      <c r="U861" s="55">
        <f t="shared" si="184"/>
        <v>1149.8999999999999</v>
      </c>
      <c r="V861" s="55">
        <f t="shared" si="185"/>
        <v>-50.100000000000136</v>
      </c>
      <c r="W861" s="55">
        <f t="shared" si="186"/>
        <v>1149.8999999999999</v>
      </c>
      <c r="X861" s="55">
        <f t="shared" si="187"/>
        <v>0</v>
      </c>
      <c r="Y861" s="55">
        <f t="shared" si="188"/>
        <v>760</v>
      </c>
      <c r="Z861" s="55">
        <f t="shared" si="189"/>
        <v>760</v>
      </c>
      <c r="AA861" s="55">
        <f t="shared" si="190"/>
        <v>0</v>
      </c>
      <c r="AB861" s="55">
        <f t="shared" si="191"/>
        <v>389.89999999999986</v>
      </c>
      <c r="AC861" s="54">
        <f t="shared" si="192"/>
        <v>0.33907296286633615</v>
      </c>
      <c r="AD861" s="56">
        <f>INDEX(Assumptions!$B$14:$B$16,MATCH($R861,Assumptions!$A$14:$A$16,0))</f>
        <v>0.32</v>
      </c>
      <c r="AE861" s="56">
        <f>INDEX(Assumptions!$C$14:$C$16,MATCH($R861,Assumptions!$A$14:$A$16,0))</f>
        <v>0.22</v>
      </c>
      <c r="AF861" s="49">
        <f t="shared" si="193"/>
        <v>0</v>
      </c>
      <c r="AG861" s="49">
        <f t="shared" si="194"/>
        <v>0</v>
      </c>
      <c r="AH861" s="55">
        <f t="shared" si="195"/>
        <v>0</v>
      </c>
    </row>
    <row r="862" spans="1:34" x14ac:dyDescent="0.2">
      <c r="A862" s="48" t="s">
        <v>858</v>
      </c>
      <c r="B862" s="48">
        <v>1</v>
      </c>
      <c r="C862" s="48" t="s">
        <v>853</v>
      </c>
      <c r="D862" s="48" t="s">
        <v>844</v>
      </c>
      <c r="E862" s="48" t="s">
        <v>362</v>
      </c>
      <c r="F862" s="48" t="s">
        <v>280</v>
      </c>
      <c r="G862" s="48" t="s">
        <v>275</v>
      </c>
      <c r="H862" s="48" t="s">
        <v>62</v>
      </c>
      <c r="I862" s="48" t="s">
        <v>118</v>
      </c>
      <c r="J862" s="49">
        <v>7</v>
      </c>
      <c r="K862" s="50">
        <v>1365</v>
      </c>
      <c r="L862" s="50">
        <v>1326.57</v>
      </c>
      <c r="M862" s="48" t="s">
        <v>276</v>
      </c>
      <c r="N862" s="51">
        <v>1</v>
      </c>
      <c r="O862" s="51">
        <v>1</v>
      </c>
      <c r="P862" s="52">
        <v>1162.5999999999999</v>
      </c>
      <c r="Q862" s="52">
        <v>1162.5999999999999</v>
      </c>
      <c r="R862" s="53" t="str">
        <f>INDEX(SKU_Master!$D$5:$D$34,MATCH($I862,SKU_Master!$A$5:$A$34,0))</f>
        <v>Laptop</v>
      </c>
      <c r="S862" s="54">
        <f t="shared" si="182"/>
        <v>2.8153846153846196E-2</v>
      </c>
      <c r="T862" s="55">
        <f t="shared" si="183"/>
        <v>9555</v>
      </c>
      <c r="U862" s="55">
        <f t="shared" si="184"/>
        <v>9285.99</v>
      </c>
      <c r="V862" s="55">
        <f t="shared" si="185"/>
        <v>-269.01000000000022</v>
      </c>
      <c r="W862" s="55">
        <f t="shared" si="186"/>
        <v>9285.99</v>
      </c>
      <c r="X862" s="55">
        <f t="shared" si="187"/>
        <v>0</v>
      </c>
      <c r="Y862" s="55">
        <f t="shared" si="188"/>
        <v>8138.1999999999989</v>
      </c>
      <c r="Z862" s="55">
        <f t="shared" si="189"/>
        <v>8138.1999999999989</v>
      </c>
      <c r="AA862" s="55">
        <f t="shared" si="190"/>
        <v>0</v>
      </c>
      <c r="AB862" s="55">
        <f t="shared" si="191"/>
        <v>1147.7900000000009</v>
      </c>
      <c r="AC862" s="54">
        <f t="shared" si="192"/>
        <v>0.12360448374379047</v>
      </c>
      <c r="AD862" s="56">
        <f>INDEX(Assumptions!$B$14:$B$16,MATCH($R862,Assumptions!$A$14:$A$16,0))</f>
        <v>0.12</v>
      </c>
      <c r="AE862" s="56">
        <f>INDEX(Assumptions!$C$14:$C$16,MATCH($R862,Assumptions!$A$14:$A$16,0))</f>
        <v>0.08</v>
      </c>
      <c r="AF862" s="49">
        <f t="shared" si="193"/>
        <v>0</v>
      </c>
      <c r="AG862" s="49">
        <f t="shared" si="194"/>
        <v>0</v>
      </c>
      <c r="AH862" s="55">
        <f t="shared" si="195"/>
        <v>0</v>
      </c>
    </row>
    <row r="863" spans="1:34" x14ac:dyDescent="0.2">
      <c r="A863" s="48" t="s">
        <v>859</v>
      </c>
      <c r="B863" s="48">
        <v>1</v>
      </c>
      <c r="C863" s="48" t="s">
        <v>849</v>
      </c>
      <c r="D863" s="48" t="s">
        <v>844</v>
      </c>
      <c r="E863" s="48" t="s">
        <v>284</v>
      </c>
      <c r="F863" s="48" t="s">
        <v>274</v>
      </c>
      <c r="G863" s="48" t="s">
        <v>275</v>
      </c>
      <c r="H863" s="48" t="s">
        <v>64</v>
      </c>
      <c r="I863" s="48" t="s">
        <v>113</v>
      </c>
      <c r="J863" s="49">
        <v>6</v>
      </c>
      <c r="K863" s="50">
        <v>1425</v>
      </c>
      <c r="L863" s="50">
        <v>1417.37</v>
      </c>
      <c r="M863" s="48" t="s">
        <v>276</v>
      </c>
      <c r="N863" s="51">
        <v>0.79</v>
      </c>
      <c r="O863" s="51">
        <v>0.79600000000000004</v>
      </c>
      <c r="P863" s="52">
        <v>1508.8</v>
      </c>
      <c r="Q863" s="52">
        <v>1508.8</v>
      </c>
      <c r="R863" s="53" t="str">
        <f>INDEX(SKU_Master!$D$5:$D$34,MATCH($I863,SKU_Master!$A$5:$A$34,0))</f>
        <v>Laptop</v>
      </c>
      <c r="S863" s="54">
        <f t="shared" si="182"/>
        <v>5.3543859649123338E-3</v>
      </c>
      <c r="T863" s="55">
        <f t="shared" si="183"/>
        <v>10822.784810126583</v>
      </c>
      <c r="U863" s="55">
        <f t="shared" si="184"/>
        <v>10764.835443037973</v>
      </c>
      <c r="V863" s="55">
        <f t="shared" si="185"/>
        <v>-57.949367088609506</v>
      </c>
      <c r="W863" s="55">
        <f t="shared" si="186"/>
        <v>10683.693467336681</v>
      </c>
      <c r="X863" s="55">
        <f t="shared" si="187"/>
        <v>-81.141975701291813</v>
      </c>
      <c r="Y863" s="55">
        <f t="shared" si="188"/>
        <v>9052.7999999999993</v>
      </c>
      <c r="Z863" s="55">
        <f t="shared" si="189"/>
        <v>9052.7999999999993</v>
      </c>
      <c r="AA863" s="55">
        <f t="shared" si="190"/>
        <v>0</v>
      </c>
      <c r="AB863" s="55">
        <f t="shared" si="191"/>
        <v>1630.8934673366821</v>
      </c>
      <c r="AC863" s="54">
        <f t="shared" si="192"/>
        <v>0.15265258894995651</v>
      </c>
      <c r="AD863" s="56">
        <f>INDEX(Assumptions!$B$14:$B$16,MATCH($R863,Assumptions!$A$14:$A$16,0))</f>
        <v>0.12</v>
      </c>
      <c r="AE863" s="56">
        <f>INDEX(Assumptions!$C$14:$C$16,MATCH($R863,Assumptions!$A$14:$A$16,0))</f>
        <v>0.08</v>
      </c>
      <c r="AF863" s="49">
        <f t="shared" si="193"/>
        <v>0</v>
      </c>
      <c r="AG863" s="49">
        <f t="shared" si="194"/>
        <v>0</v>
      </c>
      <c r="AH863" s="55">
        <f t="shared" si="195"/>
        <v>0</v>
      </c>
    </row>
    <row r="864" spans="1:34" x14ac:dyDescent="0.2">
      <c r="A864" s="48" t="s">
        <v>860</v>
      </c>
      <c r="B864" s="48">
        <v>1</v>
      </c>
      <c r="C864" s="48" t="s">
        <v>861</v>
      </c>
      <c r="D864" s="48" t="s">
        <v>844</v>
      </c>
      <c r="E864" s="48" t="s">
        <v>366</v>
      </c>
      <c r="F864" s="48" t="s">
        <v>297</v>
      </c>
      <c r="G864" s="48" t="s">
        <v>302</v>
      </c>
      <c r="H864" s="48" t="s">
        <v>66</v>
      </c>
      <c r="I864" s="48" t="s">
        <v>106</v>
      </c>
      <c r="J864" s="49">
        <v>53</v>
      </c>
      <c r="K864" s="50">
        <v>1450</v>
      </c>
      <c r="L864" s="50">
        <v>1386.52</v>
      </c>
      <c r="M864" s="48" t="s">
        <v>276</v>
      </c>
      <c r="N864" s="51">
        <v>0.92</v>
      </c>
      <c r="O864" s="51">
        <v>0.91820000000000002</v>
      </c>
      <c r="P864" s="52">
        <v>1318.4</v>
      </c>
      <c r="Q864" s="52">
        <v>1318.4</v>
      </c>
      <c r="R864" s="53" t="str">
        <f>INDEX(SKU_Master!$D$5:$D$34,MATCH($I864,SKU_Master!$A$5:$A$34,0))</f>
        <v>Laptop</v>
      </c>
      <c r="S864" s="54">
        <f t="shared" si="182"/>
        <v>4.3779310344827627E-2</v>
      </c>
      <c r="T864" s="55">
        <f t="shared" si="183"/>
        <v>83532.608695652176</v>
      </c>
      <c r="U864" s="55">
        <f t="shared" si="184"/>
        <v>79875.608695652161</v>
      </c>
      <c r="V864" s="55">
        <f t="shared" si="185"/>
        <v>-3657.0000000000146</v>
      </c>
      <c r="W864" s="55">
        <f t="shared" si="186"/>
        <v>80032.193421912438</v>
      </c>
      <c r="X864" s="55">
        <f t="shared" si="187"/>
        <v>156.58472626027651</v>
      </c>
      <c r="Y864" s="55">
        <f t="shared" si="188"/>
        <v>69875.200000000012</v>
      </c>
      <c r="Z864" s="55">
        <f t="shared" si="189"/>
        <v>69875.200000000012</v>
      </c>
      <c r="AA864" s="55">
        <f t="shared" si="190"/>
        <v>0</v>
      </c>
      <c r="AB864" s="55">
        <f t="shared" si="191"/>
        <v>10156.993421912426</v>
      </c>
      <c r="AC864" s="54">
        <f t="shared" si="192"/>
        <v>0.12691134639240675</v>
      </c>
      <c r="AD864" s="56">
        <f>INDEX(Assumptions!$B$14:$B$16,MATCH($R864,Assumptions!$A$14:$A$16,0))</f>
        <v>0.12</v>
      </c>
      <c r="AE864" s="56">
        <f>INDEX(Assumptions!$C$14:$C$16,MATCH($R864,Assumptions!$A$14:$A$16,0))</f>
        <v>0.08</v>
      </c>
      <c r="AF864" s="49">
        <f t="shared" si="193"/>
        <v>0</v>
      </c>
      <c r="AG864" s="49">
        <f t="shared" si="194"/>
        <v>0</v>
      </c>
      <c r="AH864" s="55">
        <f t="shared" si="195"/>
        <v>0</v>
      </c>
    </row>
    <row r="865" spans="1:34" x14ac:dyDescent="0.2">
      <c r="A865" s="48" t="s">
        <v>860</v>
      </c>
      <c r="B865" s="48">
        <v>2</v>
      </c>
      <c r="C865" s="48" t="s">
        <v>861</v>
      </c>
      <c r="D865" s="48" t="s">
        <v>844</v>
      </c>
      <c r="E865" s="48" t="s">
        <v>366</v>
      </c>
      <c r="F865" s="48" t="s">
        <v>297</v>
      </c>
      <c r="G865" s="48" t="s">
        <v>302</v>
      </c>
      <c r="H865" s="48" t="s">
        <v>66</v>
      </c>
      <c r="I865" s="48" t="s">
        <v>173</v>
      </c>
      <c r="J865" s="49">
        <v>37</v>
      </c>
      <c r="K865" s="50">
        <v>60</v>
      </c>
      <c r="L865" s="50">
        <v>55.17</v>
      </c>
      <c r="M865" s="48" t="s">
        <v>276</v>
      </c>
      <c r="N865" s="51">
        <v>0.92</v>
      </c>
      <c r="O865" s="51">
        <v>0.91820000000000002</v>
      </c>
      <c r="P865" s="52">
        <v>39</v>
      </c>
      <c r="Q865" s="52">
        <v>39</v>
      </c>
      <c r="R865" s="53" t="str">
        <f>INDEX(SKU_Master!$D$5:$D$34,MATCH($I865,SKU_Master!$A$5:$A$34,0))</f>
        <v>Accessory</v>
      </c>
      <c r="S865" s="54">
        <f t="shared" si="182"/>
        <v>8.0500000000000016E-2</v>
      </c>
      <c r="T865" s="55">
        <f t="shared" si="183"/>
        <v>2413.0434782608695</v>
      </c>
      <c r="U865" s="55">
        <f t="shared" si="184"/>
        <v>2218.7934782608695</v>
      </c>
      <c r="V865" s="55">
        <f t="shared" si="185"/>
        <v>-194.25</v>
      </c>
      <c r="W865" s="55">
        <f t="shared" si="186"/>
        <v>2223.1431060771074</v>
      </c>
      <c r="X865" s="55">
        <f t="shared" si="187"/>
        <v>4.3496278162378985</v>
      </c>
      <c r="Y865" s="55">
        <f t="shared" si="188"/>
        <v>1443</v>
      </c>
      <c r="Z865" s="55">
        <f t="shared" si="189"/>
        <v>1443</v>
      </c>
      <c r="AA865" s="55">
        <f t="shared" si="190"/>
        <v>0</v>
      </c>
      <c r="AB865" s="55">
        <f t="shared" si="191"/>
        <v>780.1431060771074</v>
      </c>
      <c r="AC865" s="54">
        <f t="shared" si="192"/>
        <v>0.35091897770527464</v>
      </c>
      <c r="AD865" s="56">
        <f>INDEX(Assumptions!$B$14:$B$16,MATCH($R865,Assumptions!$A$14:$A$16,0))</f>
        <v>0.32</v>
      </c>
      <c r="AE865" s="56">
        <f>INDEX(Assumptions!$C$14:$C$16,MATCH($R865,Assumptions!$A$14:$A$16,0))</f>
        <v>0.22</v>
      </c>
      <c r="AF865" s="49">
        <f t="shared" si="193"/>
        <v>0</v>
      </c>
      <c r="AG865" s="49">
        <f t="shared" si="194"/>
        <v>0</v>
      </c>
      <c r="AH865" s="55">
        <f t="shared" si="195"/>
        <v>0</v>
      </c>
    </row>
    <row r="866" spans="1:34" x14ac:dyDescent="0.2">
      <c r="A866" s="48" t="s">
        <v>862</v>
      </c>
      <c r="B866" s="48">
        <v>1</v>
      </c>
      <c r="C866" s="48" t="s">
        <v>863</v>
      </c>
      <c r="D866" s="48" t="s">
        <v>844</v>
      </c>
      <c r="E866" s="48" t="s">
        <v>322</v>
      </c>
      <c r="F866" s="48" t="s">
        <v>274</v>
      </c>
      <c r="G866" s="48" t="s">
        <v>288</v>
      </c>
      <c r="H866" s="48" t="s">
        <v>62</v>
      </c>
      <c r="I866" s="48" t="s">
        <v>110</v>
      </c>
      <c r="J866" s="49">
        <v>7</v>
      </c>
      <c r="K866" s="50">
        <v>1165</v>
      </c>
      <c r="L866" s="50">
        <v>1155.04</v>
      </c>
      <c r="M866" s="48" t="s">
        <v>276</v>
      </c>
      <c r="N866" s="51">
        <v>1</v>
      </c>
      <c r="O866" s="51">
        <v>1</v>
      </c>
      <c r="P866" s="52">
        <v>992.65</v>
      </c>
      <c r="Q866" s="52">
        <v>992.65</v>
      </c>
      <c r="R866" s="53" t="str">
        <f>INDEX(SKU_Master!$D$5:$D$34,MATCH($I866,SKU_Master!$A$5:$A$34,0))</f>
        <v>Laptop</v>
      </c>
      <c r="S866" s="54">
        <f t="shared" si="182"/>
        <v>8.5493562231759856E-3</v>
      </c>
      <c r="T866" s="55">
        <f t="shared" si="183"/>
        <v>8155</v>
      </c>
      <c r="U866" s="55">
        <f t="shared" si="184"/>
        <v>8085.28</v>
      </c>
      <c r="V866" s="55">
        <f t="shared" si="185"/>
        <v>-69.720000000000255</v>
      </c>
      <c r="W866" s="55">
        <f t="shared" si="186"/>
        <v>8085.28</v>
      </c>
      <c r="X866" s="55">
        <f t="shared" si="187"/>
        <v>0</v>
      </c>
      <c r="Y866" s="55">
        <f t="shared" si="188"/>
        <v>6948.55</v>
      </c>
      <c r="Z866" s="55">
        <f t="shared" si="189"/>
        <v>6948.55</v>
      </c>
      <c r="AA866" s="55">
        <f t="shared" si="190"/>
        <v>0</v>
      </c>
      <c r="AB866" s="55">
        <f t="shared" si="191"/>
        <v>1136.7299999999996</v>
      </c>
      <c r="AC866" s="54">
        <f t="shared" si="192"/>
        <v>0.14059253359191018</v>
      </c>
      <c r="AD866" s="56">
        <f>INDEX(Assumptions!$B$14:$B$16,MATCH($R866,Assumptions!$A$14:$A$16,0))</f>
        <v>0.12</v>
      </c>
      <c r="AE866" s="56">
        <f>INDEX(Assumptions!$C$14:$C$16,MATCH($R866,Assumptions!$A$14:$A$16,0))</f>
        <v>0.08</v>
      </c>
      <c r="AF866" s="49">
        <f t="shared" si="193"/>
        <v>0</v>
      </c>
      <c r="AG866" s="49">
        <f t="shared" si="194"/>
        <v>0</v>
      </c>
      <c r="AH866" s="55">
        <f t="shared" si="195"/>
        <v>0</v>
      </c>
    </row>
    <row r="867" spans="1:34" x14ac:dyDescent="0.2">
      <c r="A867" s="48" t="s">
        <v>864</v>
      </c>
      <c r="B867" s="48">
        <v>1</v>
      </c>
      <c r="C867" s="48" t="s">
        <v>851</v>
      </c>
      <c r="D867" s="48" t="s">
        <v>844</v>
      </c>
      <c r="E867" s="48" t="s">
        <v>296</v>
      </c>
      <c r="F867" s="48" t="s">
        <v>297</v>
      </c>
      <c r="G867" s="48" t="s">
        <v>298</v>
      </c>
      <c r="H867" s="48" t="s">
        <v>66</v>
      </c>
      <c r="I867" s="48" t="s">
        <v>108</v>
      </c>
      <c r="J867" s="49">
        <v>48</v>
      </c>
      <c r="K867" s="50">
        <v>1280</v>
      </c>
      <c r="L867" s="50">
        <v>1227.01</v>
      </c>
      <c r="M867" s="48" t="s">
        <v>276</v>
      </c>
      <c r="N867" s="51">
        <v>0.92</v>
      </c>
      <c r="O867" s="51">
        <v>0.91820000000000002</v>
      </c>
      <c r="P867" s="52">
        <v>1165</v>
      </c>
      <c r="Q867" s="52">
        <v>1165</v>
      </c>
      <c r="R867" s="53" t="str">
        <f>INDEX(SKU_Master!$D$5:$D$34,MATCH($I867,SKU_Master!$A$5:$A$34,0))</f>
        <v>Laptop</v>
      </c>
      <c r="S867" s="54">
        <f t="shared" si="182"/>
        <v>4.1398437500000052E-2</v>
      </c>
      <c r="T867" s="55">
        <f t="shared" si="183"/>
        <v>66782.608695652176</v>
      </c>
      <c r="U867" s="55">
        <f t="shared" si="184"/>
        <v>64017.913043478256</v>
      </c>
      <c r="V867" s="55">
        <f t="shared" si="185"/>
        <v>-2764.6956521739194</v>
      </c>
      <c r="W867" s="55">
        <f t="shared" si="186"/>
        <v>64143.411021563923</v>
      </c>
      <c r="X867" s="55">
        <f t="shared" si="187"/>
        <v>125.49797808566655</v>
      </c>
      <c r="Y867" s="55">
        <f t="shared" si="188"/>
        <v>55920</v>
      </c>
      <c r="Z867" s="55">
        <f t="shared" si="189"/>
        <v>55920</v>
      </c>
      <c r="AA867" s="55">
        <f t="shared" si="190"/>
        <v>0</v>
      </c>
      <c r="AB867" s="55">
        <f t="shared" si="191"/>
        <v>8223.411021563923</v>
      </c>
      <c r="AC867" s="54">
        <f t="shared" si="192"/>
        <v>0.12820351912372344</v>
      </c>
      <c r="AD867" s="56">
        <f>INDEX(Assumptions!$B$14:$B$16,MATCH($R867,Assumptions!$A$14:$A$16,0))</f>
        <v>0.12</v>
      </c>
      <c r="AE867" s="56">
        <f>INDEX(Assumptions!$C$14:$C$16,MATCH($R867,Assumptions!$A$14:$A$16,0))</f>
        <v>0.08</v>
      </c>
      <c r="AF867" s="49">
        <f t="shared" si="193"/>
        <v>0</v>
      </c>
      <c r="AG867" s="49">
        <f t="shared" si="194"/>
        <v>0</v>
      </c>
      <c r="AH867" s="55">
        <f t="shared" si="195"/>
        <v>0</v>
      </c>
    </row>
    <row r="868" spans="1:34" x14ac:dyDescent="0.2">
      <c r="A868" s="48" t="s">
        <v>864</v>
      </c>
      <c r="B868" s="48">
        <v>2</v>
      </c>
      <c r="C868" s="48" t="s">
        <v>851</v>
      </c>
      <c r="D868" s="48" t="s">
        <v>844</v>
      </c>
      <c r="E868" s="48" t="s">
        <v>296</v>
      </c>
      <c r="F868" s="48" t="s">
        <v>297</v>
      </c>
      <c r="G868" s="48" t="s">
        <v>298</v>
      </c>
      <c r="H868" s="48" t="s">
        <v>66</v>
      </c>
      <c r="I868" s="48" t="s">
        <v>144</v>
      </c>
      <c r="J868" s="49">
        <v>49</v>
      </c>
      <c r="K868" s="50">
        <v>375</v>
      </c>
      <c r="L868" s="50">
        <v>363.84</v>
      </c>
      <c r="M868" s="48" t="s">
        <v>276</v>
      </c>
      <c r="N868" s="51">
        <v>0.92</v>
      </c>
      <c r="O868" s="51">
        <v>0.91820000000000002</v>
      </c>
      <c r="P868" s="52">
        <v>314.60000000000002</v>
      </c>
      <c r="Q868" s="52">
        <v>314.60000000000002</v>
      </c>
      <c r="R868" s="53" t="str">
        <f>INDEX(SKU_Master!$D$5:$D$34,MATCH($I868,SKU_Master!$A$5:$A$34,0))</f>
        <v>Monitor</v>
      </c>
      <c r="S868" s="54">
        <f t="shared" si="182"/>
        <v>2.976000000000012E-2</v>
      </c>
      <c r="T868" s="55">
        <f t="shared" si="183"/>
        <v>19972.82608695652</v>
      </c>
      <c r="U868" s="55">
        <f t="shared" si="184"/>
        <v>19378.434782608696</v>
      </c>
      <c r="V868" s="55">
        <f t="shared" si="185"/>
        <v>-594.39130434782419</v>
      </c>
      <c r="W868" s="55">
        <f t="shared" si="186"/>
        <v>19416.423437159661</v>
      </c>
      <c r="X868" s="55">
        <f t="shared" si="187"/>
        <v>37.988654550965293</v>
      </c>
      <c r="Y868" s="55">
        <f t="shared" si="188"/>
        <v>15415.400000000001</v>
      </c>
      <c r="Z868" s="55">
        <f t="shared" si="189"/>
        <v>15415.400000000001</v>
      </c>
      <c r="AA868" s="55">
        <f t="shared" si="190"/>
        <v>0</v>
      </c>
      <c r="AB868" s="55">
        <f t="shared" si="191"/>
        <v>4001.0234371596598</v>
      </c>
      <c r="AC868" s="54">
        <f t="shared" si="192"/>
        <v>0.20606387423043093</v>
      </c>
      <c r="AD868" s="56">
        <f>INDEX(Assumptions!$B$14:$B$16,MATCH($R868,Assumptions!$A$14:$A$16,0))</f>
        <v>0.18</v>
      </c>
      <c r="AE868" s="56">
        <f>INDEX(Assumptions!$C$14:$C$16,MATCH($R868,Assumptions!$A$14:$A$16,0))</f>
        <v>0.12</v>
      </c>
      <c r="AF868" s="49">
        <f t="shared" si="193"/>
        <v>0</v>
      </c>
      <c r="AG868" s="49">
        <f t="shared" si="194"/>
        <v>0</v>
      </c>
      <c r="AH868" s="55">
        <f t="shared" si="195"/>
        <v>0</v>
      </c>
    </row>
    <row r="869" spans="1:34" x14ac:dyDescent="0.2">
      <c r="A869" s="48" t="s">
        <v>864</v>
      </c>
      <c r="B869" s="48">
        <v>3</v>
      </c>
      <c r="C869" s="48" t="s">
        <v>851</v>
      </c>
      <c r="D869" s="48" t="s">
        <v>844</v>
      </c>
      <c r="E869" s="48" t="s">
        <v>296</v>
      </c>
      <c r="F869" s="48" t="s">
        <v>297</v>
      </c>
      <c r="G869" s="48" t="s">
        <v>298</v>
      </c>
      <c r="H869" s="48" t="s">
        <v>66</v>
      </c>
      <c r="I869" s="48" t="s">
        <v>161</v>
      </c>
      <c r="J869" s="49">
        <v>20</v>
      </c>
      <c r="K869" s="50">
        <v>120</v>
      </c>
      <c r="L869" s="50">
        <v>116.45</v>
      </c>
      <c r="M869" s="48" t="s">
        <v>276</v>
      </c>
      <c r="N869" s="51">
        <v>0.92</v>
      </c>
      <c r="O869" s="51">
        <v>0.91820000000000002</v>
      </c>
      <c r="P869" s="52">
        <v>81</v>
      </c>
      <c r="Q869" s="52">
        <v>81</v>
      </c>
      <c r="R869" s="53" t="str">
        <f>INDEX(SKU_Master!$D$5:$D$34,MATCH($I869,SKU_Master!$A$5:$A$34,0))</f>
        <v>Accessory</v>
      </c>
      <c r="S869" s="54">
        <f t="shared" si="182"/>
        <v>2.9583333333333295E-2</v>
      </c>
      <c r="T869" s="55">
        <f t="shared" si="183"/>
        <v>2608.695652173913</v>
      </c>
      <c r="U869" s="55">
        <f t="shared" si="184"/>
        <v>2531.5217391304345</v>
      </c>
      <c r="V869" s="55">
        <f t="shared" si="185"/>
        <v>-77.173913043478478</v>
      </c>
      <c r="W869" s="55">
        <f t="shared" si="186"/>
        <v>2536.4844260509694</v>
      </c>
      <c r="X869" s="55">
        <f t="shared" si="187"/>
        <v>4.9626869205349067</v>
      </c>
      <c r="Y869" s="55">
        <f t="shared" si="188"/>
        <v>1620</v>
      </c>
      <c r="Z869" s="55">
        <f t="shared" si="189"/>
        <v>1620</v>
      </c>
      <c r="AA869" s="55">
        <f t="shared" si="190"/>
        <v>0</v>
      </c>
      <c r="AB869" s="55">
        <f t="shared" si="191"/>
        <v>916.48442605096943</v>
      </c>
      <c r="AC869" s="54">
        <f t="shared" si="192"/>
        <v>0.3613207385143839</v>
      </c>
      <c r="AD869" s="56">
        <f>INDEX(Assumptions!$B$14:$B$16,MATCH($R869,Assumptions!$A$14:$A$16,0))</f>
        <v>0.32</v>
      </c>
      <c r="AE869" s="56">
        <f>INDEX(Assumptions!$C$14:$C$16,MATCH($R869,Assumptions!$A$14:$A$16,0))</f>
        <v>0.22</v>
      </c>
      <c r="AF869" s="49">
        <f t="shared" si="193"/>
        <v>0</v>
      </c>
      <c r="AG869" s="49">
        <f t="shared" si="194"/>
        <v>0</v>
      </c>
      <c r="AH869" s="55">
        <f t="shared" si="195"/>
        <v>0</v>
      </c>
    </row>
    <row r="870" spans="1:34" x14ac:dyDescent="0.2">
      <c r="A870" s="48" t="s">
        <v>865</v>
      </c>
      <c r="B870" s="48">
        <v>1</v>
      </c>
      <c r="C870" s="48" t="s">
        <v>863</v>
      </c>
      <c r="D870" s="48" t="s">
        <v>844</v>
      </c>
      <c r="E870" s="48" t="s">
        <v>366</v>
      </c>
      <c r="F870" s="48" t="s">
        <v>297</v>
      </c>
      <c r="G870" s="48" t="s">
        <v>302</v>
      </c>
      <c r="H870" s="48" t="s">
        <v>66</v>
      </c>
      <c r="I870" s="48" t="s">
        <v>103</v>
      </c>
      <c r="J870" s="49">
        <v>21</v>
      </c>
      <c r="K870" s="50">
        <v>1090</v>
      </c>
      <c r="L870" s="50">
        <v>1017.49</v>
      </c>
      <c r="M870" s="48" t="s">
        <v>276</v>
      </c>
      <c r="N870" s="51">
        <v>0.92</v>
      </c>
      <c r="O870" s="51">
        <v>0.91820000000000002</v>
      </c>
      <c r="P870" s="52">
        <v>988.6</v>
      </c>
      <c r="Q870" s="52">
        <v>988.6</v>
      </c>
      <c r="R870" s="53" t="str">
        <f>INDEX(SKU_Master!$D$5:$D$34,MATCH($I870,SKU_Master!$A$5:$A$34,0))</f>
        <v>Laptop</v>
      </c>
      <c r="S870" s="54">
        <f t="shared" si="182"/>
        <v>6.6522935779816494E-2</v>
      </c>
      <c r="T870" s="55">
        <f t="shared" si="183"/>
        <v>24880.434782608696</v>
      </c>
      <c r="U870" s="55">
        <f t="shared" si="184"/>
        <v>23225.315217391304</v>
      </c>
      <c r="V870" s="55">
        <f t="shared" si="185"/>
        <v>-1655.1195652173919</v>
      </c>
      <c r="W870" s="55">
        <f t="shared" si="186"/>
        <v>23270.84513177957</v>
      </c>
      <c r="X870" s="55">
        <f t="shared" si="187"/>
        <v>45.529914388265752</v>
      </c>
      <c r="Y870" s="55">
        <f t="shared" si="188"/>
        <v>20760.600000000002</v>
      </c>
      <c r="Z870" s="55">
        <f t="shared" si="189"/>
        <v>20760.600000000002</v>
      </c>
      <c r="AA870" s="55">
        <f t="shared" si="190"/>
        <v>0</v>
      </c>
      <c r="AB870" s="55">
        <f t="shared" si="191"/>
        <v>2510.2451317795676</v>
      </c>
      <c r="AC870" s="54">
        <f t="shared" si="192"/>
        <v>0.10787081936923208</v>
      </c>
      <c r="AD870" s="56">
        <f>INDEX(Assumptions!$B$14:$B$16,MATCH($R870,Assumptions!$A$14:$A$16,0))</f>
        <v>0.12</v>
      </c>
      <c r="AE870" s="56">
        <f>INDEX(Assumptions!$C$14:$C$16,MATCH($R870,Assumptions!$A$14:$A$16,0))</f>
        <v>0.08</v>
      </c>
      <c r="AF870" s="49">
        <f t="shared" si="193"/>
        <v>0</v>
      </c>
      <c r="AG870" s="49">
        <f t="shared" si="194"/>
        <v>0</v>
      </c>
      <c r="AH870" s="55">
        <f t="shared" si="195"/>
        <v>282.25628403398059</v>
      </c>
    </row>
    <row r="871" spans="1:34" x14ac:dyDescent="0.2">
      <c r="A871" s="48" t="s">
        <v>865</v>
      </c>
      <c r="B871" s="48">
        <v>2</v>
      </c>
      <c r="C871" s="48" t="s">
        <v>863</v>
      </c>
      <c r="D871" s="48" t="s">
        <v>844</v>
      </c>
      <c r="E871" s="48" t="s">
        <v>366</v>
      </c>
      <c r="F871" s="48" t="s">
        <v>297</v>
      </c>
      <c r="G871" s="48" t="s">
        <v>302</v>
      </c>
      <c r="H871" s="48" t="s">
        <v>66</v>
      </c>
      <c r="I871" s="48" t="s">
        <v>138</v>
      </c>
      <c r="J871" s="49">
        <v>16</v>
      </c>
      <c r="K871" s="50">
        <v>460</v>
      </c>
      <c r="L871" s="50">
        <v>422.39</v>
      </c>
      <c r="M871" s="48" t="s">
        <v>276</v>
      </c>
      <c r="N871" s="51">
        <v>0.92</v>
      </c>
      <c r="O871" s="51">
        <v>0.91820000000000002</v>
      </c>
      <c r="P871" s="52">
        <v>383.2</v>
      </c>
      <c r="Q871" s="52">
        <v>383.2</v>
      </c>
      <c r="R871" s="53" t="str">
        <f>INDEX(SKU_Master!$D$5:$D$34,MATCH($I871,SKU_Master!$A$5:$A$34,0))</f>
        <v>Monitor</v>
      </c>
      <c r="S871" s="54">
        <f t="shared" si="182"/>
        <v>8.1760869565217442E-2</v>
      </c>
      <c r="T871" s="55">
        <f t="shared" si="183"/>
        <v>8000</v>
      </c>
      <c r="U871" s="55">
        <f t="shared" si="184"/>
        <v>7345.9130434782601</v>
      </c>
      <c r="V871" s="55">
        <f t="shared" si="185"/>
        <v>-654.08695652173992</v>
      </c>
      <c r="W871" s="55">
        <f t="shared" si="186"/>
        <v>7360.3136571553032</v>
      </c>
      <c r="X871" s="55">
        <f t="shared" si="187"/>
        <v>14.400613677043111</v>
      </c>
      <c r="Y871" s="55">
        <f t="shared" si="188"/>
        <v>6131.2</v>
      </c>
      <c r="Z871" s="55">
        <f t="shared" si="189"/>
        <v>6131.2</v>
      </c>
      <c r="AA871" s="55">
        <f t="shared" si="190"/>
        <v>0</v>
      </c>
      <c r="AB871" s="55">
        <f t="shared" si="191"/>
        <v>1229.1136571553034</v>
      </c>
      <c r="AC871" s="54">
        <f t="shared" si="192"/>
        <v>0.16699202159142021</v>
      </c>
      <c r="AD871" s="56">
        <f>INDEX(Assumptions!$B$14:$B$16,MATCH($R871,Assumptions!$A$14:$A$16,0))</f>
        <v>0.18</v>
      </c>
      <c r="AE871" s="56">
        <f>INDEX(Assumptions!$C$14:$C$16,MATCH($R871,Assumptions!$A$14:$A$16,0))</f>
        <v>0.12</v>
      </c>
      <c r="AF871" s="49">
        <f t="shared" si="193"/>
        <v>0</v>
      </c>
      <c r="AG871" s="49">
        <f t="shared" si="194"/>
        <v>0</v>
      </c>
      <c r="AH871" s="55">
        <f t="shared" si="195"/>
        <v>95.742801132651266</v>
      </c>
    </row>
    <row r="872" spans="1:34" x14ac:dyDescent="0.2">
      <c r="A872" s="48" t="s">
        <v>865</v>
      </c>
      <c r="B872" s="48">
        <v>3</v>
      </c>
      <c r="C872" s="48" t="s">
        <v>863</v>
      </c>
      <c r="D872" s="48" t="s">
        <v>844</v>
      </c>
      <c r="E872" s="48" t="s">
        <v>366</v>
      </c>
      <c r="F872" s="48" t="s">
        <v>297</v>
      </c>
      <c r="G872" s="48" t="s">
        <v>302</v>
      </c>
      <c r="H872" s="48" t="s">
        <v>66</v>
      </c>
      <c r="I872" s="48" t="s">
        <v>151</v>
      </c>
      <c r="J872" s="49">
        <v>15</v>
      </c>
      <c r="K872" s="50">
        <v>325</v>
      </c>
      <c r="L872" s="50">
        <v>307.58</v>
      </c>
      <c r="M872" s="48" t="s">
        <v>276</v>
      </c>
      <c r="N872" s="51">
        <v>0.92</v>
      </c>
      <c r="O872" s="51">
        <v>0.91820000000000002</v>
      </c>
      <c r="P872" s="52">
        <v>221.7</v>
      </c>
      <c r="Q872" s="52">
        <v>221.7</v>
      </c>
      <c r="R872" s="53" t="str">
        <f>INDEX(SKU_Master!$D$5:$D$34,MATCH($I872,SKU_Master!$A$5:$A$34,0))</f>
        <v>Accessory</v>
      </c>
      <c r="S872" s="54">
        <f t="shared" si="182"/>
        <v>5.3600000000000092E-2</v>
      </c>
      <c r="T872" s="55">
        <f t="shared" si="183"/>
        <v>5298.913043478261</v>
      </c>
      <c r="U872" s="55">
        <f t="shared" si="184"/>
        <v>5014.891304347826</v>
      </c>
      <c r="V872" s="55">
        <f t="shared" si="185"/>
        <v>-284.02173913043498</v>
      </c>
      <c r="W872" s="55">
        <f t="shared" si="186"/>
        <v>5024.7222827270743</v>
      </c>
      <c r="X872" s="55">
        <f t="shared" si="187"/>
        <v>9.8309783792483358</v>
      </c>
      <c r="Y872" s="55">
        <f t="shared" si="188"/>
        <v>3325.5</v>
      </c>
      <c r="Z872" s="55">
        <f t="shared" si="189"/>
        <v>3325.5</v>
      </c>
      <c r="AA872" s="55">
        <f t="shared" si="190"/>
        <v>0</v>
      </c>
      <c r="AB872" s="55">
        <f t="shared" si="191"/>
        <v>1699.2222827270743</v>
      </c>
      <c r="AC872" s="54">
        <f t="shared" si="192"/>
        <v>0.33817237791794003</v>
      </c>
      <c r="AD872" s="56">
        <f>INDEX(Assumptions!$B$14:$B$16,MATCH($R872,Assumptions!$A$14:$A$16,0))</f>
        <v>0.32</v>
      </c>
      <c r="AE872" s="56">
        <f>INDEX(Assumptions!$C$14:$C$16,MATCH($R872,Assumptions!$A$14:$A$16,0))</f>
        <v>0.22</v>
      </c>
      <c r="AF872" s="49">
        <f t="shared" si="193"/>
        <v>0</v>
      </c>
      <c r="AG872" s="49">
        <f t="shared" si="194"/>
        <v>0</v>
      </c>
      <c r="AH872" s="55">
        <f t="shared" si="195"/>
        <v>0</v>
      </c>
    </row>
    <row r="873" spans="1:34" x14ac:dyDescent="0.2">
      <c r="A873" s="48" t="s">
        <v>866</v>
      </c>
      <c r="B873" s="48">
        <v>1</v>
      </c>
      <c r="C873" s="48" t="s">
        <v>846</v>
      </c>
      <c r="D873" s="48" t="s">
        <v>844</v>
      </c>
      <c r="E873" s="48" t="s">
        <v>339</v>
      </c>
      <c r="F873" s="48" t="s">
        <v>280</v>
      </c>
      <c r="G873" s="48" t="s">
        <v>302</v>
      </c>
      <c r="H873" s="48" t="s">
        <v>62</v>
      </c>
      <c r="I873" s="48" t="s">
        <v>98</v>
      </c>
      <c r="J873" s="49">
        <v>26</v>
      </c>
      <c r="K873" s="50">
        <v>2085</v>
      </c>
      <c r="L873" s="50">
        <v>1987.48</v>
      </c>
      <c r="M873" s="48" t="s">
        <v>276</v>
      </c>
      <c r="N873" s="51">
        <v>1</v>
      </c>
      <c r="O873" s="51">
        <v>1</v>
      </c>
      <c r="P873" s="52">
        <v>1780.2</v>
      </c>
      <c r="Q873" s="52">
        <v>1780.2</v>
      </c>
      <c r="R873" s="53" t="str">
        <f>INDEX(SKU_Master!$D$5:$D$34,MATCH($I873,SKU_Master!$A$5:$A$34,0))</f>
        <v>Laptop</v>
      </c>
      <c r="S873" s="54">
        <f t="shared" si="182"/>
        <v>4.6772182254196659E-2</v>
      </c>
      <c r="T873" s="55">
        <f t="shared" si="183"/>
        <v>54210</v>
      </c>
      <c r="U873" s="55">
        <f t="shared" si="184"/>
        <v>51674.48</v>
      </c>
      <c r="V873" s="55">
        <f t="shared" si="185"/>
        <v>-2535.5199999999968</v>
      </c>
      <c r="W873" s="55">
        <f t="shared" si="186"/>
        <v>51674.48</v>
      </c>
      <c r="X873" s="55">
        <f t="shared" si="187"/>
        <v>0</v>
      </c>
      <c r="Y873" s="55">
        <f t="shared" si="188"/>
        <v>46285.200000000004</v>
      </c>
      <c r="Z873" s="55">
        <f t="shared" si="189"/>
        <v>46285.200000000004</v>
      </c>
      <c r="AA873" s="55">
        <f t="shared" si="190"/>
        <v>0</v>
      </c>
      <c r="AB873" s="55">
        <f t="shared" si="191"/>
        <v>5389.2799999999988</v>
      </c>
      <c r="AC873" s="54">
        <f t="shared" si="192"/>
        <v>0.10429287338740513</v>
      </c>
      <c r="AD873" s="56">
        <f>INDEX(Assumptions!$B$14:$B$16,MATCH($R873,Assumptions!$A$14:$A$16,0))</f>
        <v>0.12</v>
      </c>
      <c r="AE873" s="56">
        <f>INDEX(Assumptions!$C$14:$C$16,MATCH($R873,Assumptions!$A$14:$A$16,0))</f>
        <v>0.08</v>
      </c>
      <c r="AF873" s="49">
        <f t="shared" si="193"/>
        <v>0</v>
      </c>
      <c r="AG873" s="49">
        <f t="shared" si="194"/>
        <v>0</v>
      </c>
      <c r="AH873" s="55">
        <f t="shared" si="195"/>
        <v>811.65760000000137</v>
      </c>
    </row>
    <row r="874" spans="1:34" x14ac:dyDescent="0.2">
      <c r="A874" s="48" t="s">
        <v>866</v>
      </c>
      <c r="B874" s="48">
        <v>2</v>
      </c>
      <c r="C874" s="48" t="s">
        <v>846</v>
      </c>
      <c r="D874" s="48" t="s">
        <v>844</v>
      </c>
      <c r="E874" s="48" t="s">
        <v>339</v>
      </c>
      <c r="F874" s="48" t="s">
        <v>280</v>
      </c>
      <c r="G874" s="48" t="s">
        <v>302</v>
      </c>
      <c r="H874" s="48" t="s">
        <v>62</v>
      </c>
      <c r="I874" s="48" t="s">
        <v>138</v>
      </c>
      <c r="J874" s="49">
        <v>30</v>
      </c>
      <c r="K874" s="50">
        <v>455</v>
      </c>
      <c r="L874" s="50">
        <v>439.19</v>
      </c>
      <c r="M874" s="48" t="s">
        <v>276</v>
      </c>
      <c r="N874" s="51">
        <v>1</v>
      </c>
      <c r="O874" s="51">
        <v>1</v>
      </c>
      <c r="P874" s="52">
        <v>358.2</v>
      </c>
      <c r="Q874" s="52">
        <v>358.2</v>
      </c>
      <c r="R874" s="53" t="str">
        <f>INDEX(SKU_Master!$D$5:$D$34,MATCH($I874,SKU_Master!$A$5:$A$34,0))</f>
        <v>Monitor</v>
      </c>
      <c r="S874" s="54">
        <f t="shared" si="182"/>
        <v>3.4747252747252766E-2</v>
      </c>
      <c r="T874" s="55">
        <f t="shared" si="183"/>
        <v>13650</v>
      </c>
      <c r="U874" s="55">
        <f t="shared" si="184"/>
        <v>13175.7</v>
      </c>
      <c r="V874" s="55">
        <f t="shared" si="185"/>
        <v>-474.29999999999927</v>
      </c>
      <c r="W874" s="55">
        <f t="shared" si="186"/>
        <v>13175.7</v>
      </c>
      <c r="X874" s="55">
        <f t="shared" si="187"/>
        <v>0</v>
      </c>
      <c r="Y874" s="55">
        <f t="shared" si="188"/>
        <v>10746</v>
      </c>
      <c r="Z874" s="55">
        <f t="shared" si="189"/>
        <v>10746</v>
      </c>
      <c r="AA874" s="55">
        <f t="shared" si="190"/>
        <v>0</v>
      </c>
      <c r="AB874" s="55">
        <f t="shared" si="191"/>
        <v>2429.7000000000007</v>
      </c>
      <c r="AC874" s="54">
        <f t="shared" si="192"/>
        <v>0.18440765955509009</v>
      </c>
      <c r="AD874" s="56">
        <f>INDEX(Assumptions!$B$14:$B$16,MATCH($R874,Assumptions!$A$14:$A$16,0))</f>
        <v>0.18</v>
      </c>
      <c r="AE874" s="56">
        <f>INDEX(Assumptions!$C$14:$C$16,MATCH($R874,Assumptions!$A$14:$A$16,0))</f>
        <v>0.12</v>
      </c>
      <c r="AF874" s="49">
        <f t="shared" si="193"/>
        <v>0</v>
      </c>
      <c r="AG874" s="49">
        <f t="shared" si="194"/>
        <v>0</v>
      </c>
      <c r="AH874" s="55">
        <f t="shared" si="195"/>
        <v>0</v>
      </c>
    </row>
    <row r="875" spans="1:34" x14ac:dyDescent="0.2">
      <c r="A875" s="48" t="s">
        <v>866</v>
      </c>
      <c r="B875" s="48">
        <v>3</v>
      </c>
      <c r="C875" s="48" t="s">
        <v>846</v>
      </c>
      <c r="D875" s="48" t="s">
        <v>844</v>
      </c>
      <c r="E875" s="48" t="s">
        <v>339</v>
      </c>
      <c r="F875" s="48" t="s">
        <v>280</v>
      </c>
      <c r="G875" s="48" t="s">
        <v>302</v>
      </c>
      <c r="H875" s="48" t="s">
        <v>62</v>
      </c>
      <c r="I875" s="48" t="s">
        <v>157</v>
      </c>
      <c r="J875" s="49">
        <v>26</v>
      </c>
      <c r="K875" s="50">
        <v>135</v>
      </c>
      <c r="L875" s="50">
        <v>131.02000000000001</v>
      </c>
      <c r="M875" s="48" t="s">
        <v>276</v>
      </c>
      <c r="N875" s="51">
        <v>1</v>
      </c>
      <c r="O875" s="51">
        <v>1</v>
      </c>
      <c r="P875" s="52">
        <v>86</v>
      </c>
      <c r="Q875" s="52">
        <v>86</v>
      </c>
      <c r="R875" s="53" t="str">
        <f>INDEX(SKU_Master!$D$5:$D$34,MATCH($I875,SKU_Master!$A$5:$A$34,0))</f>
        <v>Accessory</v>
      </c>
      <c r="S875" s="54">
        <f t="shared" si="182"/>
        <v>2.9481481481481442E-2</v>
      </c>
      <c r="T875" s="55">
        <f t="shared" si="183"/>
        <v>3510</v>
      </c>
      <c r="U875" s="55">
        <f t="shared" si="184"/>
        <v>3406.5200000000004</v>
      </c>
      <c r="V875" s="55">
        <f t="shared" si="185"/>
        <v>-103.47999999999956</v>
      </c>
      <c r="W875" s="55">
        <f t="shared" si="186"/>
        <v>3406.5200000000004</v>
      </c>
      <c r="X875" s="55">
        <f t="shared" si="187"/>
        <v>0</v>
      </c>
      <c r="Y875" s="55">
        <f t="shared" si="188"/>
        <v>2236</v>
      </c>
      <c r="Z875" s="55">
        <f t="shared" si="189"/>
        <v>2236</v>
      </c>
      <c r="AA875" s="55">
        <f t="shared" si="190"/>
        <v>0</v>
      </c>
      <c r="AB875" s="55">
        <f t="shared" si="191"/>
        <v>1170.5200000000004</v>
      </c>
      <c r="AC875" s="54">
        <f t="shared" si="192"/>
        <v>0.34361166234162732</v>
      </c>
      <c r="AD875" s="56">
        <f>INDEX(Assumptions!$B$14:$B$16,MATCH($R875,Assumptions!$A$14:$A$16,0))</f>
        <v>0.32</v>
      </c>
      <c r="AE875" s="56">
        <f>INDEX(Assumptions!$C$14:$C$16,MATCH($R875,Assumptions!$A$14:$A$16,0))</f>
        <v>0.22</v>
      </c>
      <c r="AF875" s="49">
        <f t="shared" si="193"/>
        <v>0</v>
      </c>
      <c r="AG875" s="49">
        <f t="shared" si="194"/>
        <v>0</v>
      </c>
      <c r="AH875" s="55">
        <f t="shared" si="195"/>
        <v>0</v>
      </c>
    </row>
    <row r="876" spans="1:34" x14ac:dyDescent="0.2">
      <c r="A876" s="48" t="s">
        <v>867</v>
      </c>
      <c r="B876" s="48">
        <v>1</v>
      </c>
      <c r="C876" s="48" t="s">
        <v>868</v>
      </c>
      <c r="D876" s="48" t="s">
        <v>844</v>
      </c>
      <c r="E876" s="48" t="s">
        <v>397</v>
      </c>
      <c r="F876" s="48" t="s">
        <v>280</v>
      </c>
      <c r="G876" s="48" t="s">
        <v>306</v>
      </c>
      <c r="H876" s="48" t="s">
        <v>70</v>
      </c>
      <c r="I876" s="48" t="s">
        <v>93</v>
      </c>
      <c r="J876" s="49">
        <v>9</v>
      </c>
      <c r="K876" s="50">
        <v>134750</v>
      </c>
      <c r="L876" s="50">
        <v>130103.84</v>
      </c>
      <c r="M876" s="48" t="s">
        <v>276</v>
      </c>
      <c r="N876" s="51">
        <v>83.5</v>
      </c>
      <c r="O876" s="51">
        <v>84.521799999999999</v>
      </c>
      <c r="P876" s="52">
        <v>1351.7</v>
      </c>
      <c r="Q876" s="52">
        <v>1371.7</v>
      </c>
      <c r="R876" s="53" t="str">
        <f>INDEX(SKU_Master!$D$5:$D$34,MATCH($I876,SKU_Master!$A$5:$A$34,0))</f>
        <v>Laptop</v>
      </c>
      <c r="S876" s="54">
        <f t="shared" si="182"/>
        <v>3.4479851576994514E-2</v>
      </c>
      <c r="T876" s="55">
        <f t="shared" si="183"/>
        <v>14523.952095808383</v>
      </c>
      <c r="U876" s="55">
        <f t="shared" si="184"/>
        <v>14023.168383233533</v>
      </c>
      <c r="V876" s="55">
        <f t="shared" si="185"/>
        <v>-500.78371257485014</v>
      </c>
      <c r="W876" s="55">
        <f t="shared" si="186"/>
        <v>13853.639652728645</v>
      </c>
      <c r="X876" s="55">
        <f t="shared" si="187"/>
        <v>-169.52873050488779</v>
      </c>
      <c r="Y876" s="55">
        <f t="shared" si="188"/>
        <v>12165.300000000001</v>
      </c>
      <c r="Z876" s="55">
        <f t="shared" si="189"/>
        <v>12345.300000000001</v>
      </c>
      <c r="AA876" s="55">
        <f t="shared" si="190"/>
        <v>-180</v>
      </c>
      <c r="AB876" s="55">
        <f t="shared" si="191"/>
        <v>1508.3396527286441</v>
      </c>
      <c r="AC876" s="54">
        <f t="shared" si="192"/>
        <v>0.10887677827187875</v>
      </c>
      <c r="AD876" s="56">
        <f>INDEX(Assumptions!$B$14:$B$16,MATCH($R876,Assumptions!$A$14:$A$16,0))</f>
        <v>0.12</v>
      </c>
      <c r="AE876" s="56">
        <f>INDEX(Assumptions!$C$14:$C$16,MATCH($R876,Assumptions!$A$14:$A$16,0))</f>
        <v>0.08</v>
      </c>
      <c r="AF876" s="49">
        <f t="shared" si="193"/>
        <v>0</v>
      </c>
      <c r="AG876" s="49">
        <f t="shared" si="194"/>
        <v>0</v>
      </c>
      <c r="AH876" s="55">
        <f t="shared" si="195"/>
        <v>154.09710559879318</v>
      </c>
    </row>
    <row r="877" spans="1:34" x14ac:dyDescent="0.2">
      <c r="A877" s="48" t="s">
        <v>869</v>
      </c>
      <c r="B877" s="48">
        <v>1</v>
      </c>
      <c r="C877" s="48" t="s">
        <v>870</v>
      </c>
      <c r="D877" s="48" t="s">
        <v>844</v>
      </c>
      <c r="E877" s="48" t="s">
        <v>296</v>
      </c>
      <c r="F877" s="48" t="s">
        <v>297</v>
      </c>
      <c r="G877" s="48" t="s">
        <v>298</v>
      </c>
      <c r="H877" s="48" t="s">
        <v>66</v>
      </c>
      <c r="I877" s="48" t="s">
        <v>93</v>
      </c>
      <c r="J877" s="49">
        <v>46</v>
      </c>
      <c r="K877" s="50">
        <v>1325</v>
      </c>
      <c r="L877" s="50">
        <v>1294.06</v>
      </c>
      <c r="M877" s="48" t="s">
        <v>276</v>
      </c>
      <c r="N877" s="51">
        <v>0.92</v>
      </c>
      <c r="O877" s="51">
        <v>0.91820000000000002</v>
      </c>
      <c r="P877" s="52">
        <v>1206.2</v>
      </c>
      <c r="Q877" s="52">
        <v>1206.2</v>
      </c>
      <c r="R877" s="53" t="str">
        <f>INDEX(SKU_Master!$D$5:$D$34,MATCH($I877,SKU_Master!$A$5:$A$34,0))</f>
        <v>Laptop</v>
      </c>
      <c r="S877" s="54">
        <f t="shared" si="182"/>
        <v>2.3350943396226453E-2</v>
      </c>
      <c r="T877" s="55">
        <f t="shared" si="183"/>
        <v>66250</v>
      </c>
      <c r="U877" s="55">
        <f t="shared" si="184"/>
        <v>64702.999999999993</v>
      </c>
      <c r="V877" s="55">
        <f t="shared" si="185"/>
        <v>-1547.0000000000073</v>
      </c>
      <c r="W877" s="55">
        <f t="shared" si="186"/>
        <v>64829.84099324765</v>
      </c>
      <c r="X877" s="55">
        <f t="shared" si="187"/>
        <v>126.84099324765702</v>
      </c>
      <c r="Y877" s="55">
        <f t="shared" si="188"/>
        <v>55485.200000000004</v>
      </c>
      <c r="Z877" s="55">
        <f t="shared" si="189"/>
        <v>55485.200000000004</v>
      </c>
      <c r="AA877" s="55">
        <f t="shared" si="190"/>
        <v>0</v>
      </c>
      <c r="AB877" s="55">
        <f t="shared" si="191"/>
        <v>9344.6409932476454</v>
      </c>
      <c r="AC877" s="54">
        <f t="shared" si="192"/>
        <v>0.1441410444647078</v>
      </c>
      <c r="AD877" s="56">
        <f>INDEX(Assumptions!$B$14:$B$16,MATCH($R877,Assumptions!$A$14:$A$16,0))</f>
        <v>0.12</v>
      </c>
      <c r="AE877" s="56">
        <f>INDEX(Assumptions!$C$14:$C$16,MATCH($R877,Assumptions!$A$14:$A$16,0))</f>
        <v>0.08</v>
      </c>
      <c r="AF877" s="49">
        <f t="shared" si="193"/>
        <v>0</v>
      </c>
      <c r="AG877" s="49">
        <f t="shared" si="194"/>
        <v>0</v>
      </c>
      <c r="AH877" s="55">
        <f t="shared" si="195"/>
        <v>0</v>
      </c>
    </row>
    <row r="878" spans="1:34" x14ac:dyDescent="0.2">
      <c r="A878" s="48" t="s">
        <v>871</v>
      </c>
      <c r="B878" s="48">
        <v>1</v>
      </c>
      <c r="C878" s="48" t="s">
        <v>872</v>
      </c>
      <c r="D878" s="48" t="s">
        <v>844</v>
      </c>
      <c r="E878" s="48" t="s">
        <v>293</v>
      </c>
      <c r="F878" s="48" t="s">
        <v>274</v>
      </c>
      <c r="G878" s="48" t="s">
        <v>275</v>
      </c>
      <c r="H878" s="48" t="s">
        <v>66</v>
      </c>
      <c r="I878" s="48" t="s">
        <v>108</v>
      </c>
      <c r="J878" s="49">
        <v>5</v>
      </c>
      <c r="K878" s="50">
        <v>1280</v>
      </c>
      <c r="L878" s="50">
        <v>1258.5999999999999</v>
      </c>
      <c r="M878" s="48" t="s">
        <v>276</v>
      </c>
      <c r="N878" s="51">
        <v>0.92</v>
      </c>
      <c r="O878" s="51">
        <v>0.91820000000000002</v>
      </c>
      <c r="P878" s="52">
        <v>1165</v>
      </c>
      <c r="Q878" s="52">
        <v>1165</v>
      </c>
      <c r="R878" s="53" t="str">
        <f>INDEX(SKU_Master!$D$5:$D$34,MATCH($I878,SKU_Master!$A$5:$A$34,0))</f>
        <v>Laptop</v>
      </c>
      <c r="S878" s="54">
        <f t="shared" si="182"/>
        <v>1.6718750000000115E-2</v>
      </c>
      <c r="T878" s="55">
        <f t="shared" si="183"/>
        <v>6956.5217391304341</v>
      </c>
      <c r="U878" s="55">
        <f t="shared" si="184"/>
        <v>6840.2173913043471</v>
      </c>
      <c r="V878" s="55">
        <f t="shared" si="185"/>
        <v>-116.304347826087</v>
      </c>
      <c r="W878" s="55">
        <f t="shared" si="186"/>
        <v>6853.6266608582009</v>
      </c>
      <c r="X878" s="55">
        <f t="shared" si="187"/>
        <v>13.409269553853846</v>
      </c>
      <c r="Y878" s="55">
        <f t="shared" si="188"/>
        <v>5825</v>
      </c>
      <c r="Z878" s="55">
        <f t="shared" si="189"/>
        <v>5825</v>
      </c>
      <c r="AA878" s="55">
        <f t="shared" si="190"/>
        <v>0</v>
      </c>
      <c r="AB878" s="55">
        <f t="shared" si="191"/>
        <v>1028.6266608582009</v>
      </c>
      <c r="AC878" s="54">
        <f t="shared" si="192"/>
        <v>0.15008501509613859</v>
      </c>
      <c r="AD878" s="56">
        <f>INDEX(Assumptions!$B$14:$B$16,MATCH($R878,Assumptions!$A$14:$A$16,0))</f>
        <v>0.12</v>
      </c>
      <c r="AE878" s="56">
        <f>INDEX(Assumptions!$C$14:$C$16,MATCH($R878,Assumptions!$A$14:$A$16,0))</f>
        <v>0.08</v>
      </c>
      <c r="AF878" s="49">
        <f t="shared" si="193"/>
        <v>0</v>
      </c>
      <c r="AG878" s="49">
        <f t="shared" si="194"/>
        <v>0</v>
      </c>
      <c r="AH878" s="55">
        <f t="shared" si="195"/>
        <v>0</v>
      </c>
    </row>
    <row r="879" spans="1:34" x14ac:dyDescent="0.2">
      <c r="A879" s="48" t="s">
        <v>871</v>
      </c>
      <c r="B879" s="48">
        <v>2</v>
      </c>
      <c r="C879" s="48" t="s">
        <v>872</v>
      </c>
      <c r="D879" s="48" t="s">
        <v>844</v>
      </c>
      <c r="E879" s="48" t="s">
        <v>293</v>
      </c>
      <c r="F879" s="48" t="s">
        <v>274</v>
      </c>
      <c r="G879" s="48" t="s">
        <v>275</v>
      </c>
      <c r="H879" s="48" t="s">
        <v>66</v>
      </c>
      <c r="I879" s="48" t="s">
        <v>135</v>
      </c>
      <c r="J879" s="49">
        <v>4</v>
      </c>
      <c r="K879" s="50">
        <v>255</v>
      </c>
      <c r="L879" s="50">
        <v>254.4</v>
      </c>
      <c r="M879" s="48" t="s">
        <v>276</v>
      </c>
      <c r="N879" s="51">
        <v>0.92</v>
      </c>
      <c r="O879" s="51">
        <v>0.91820000000000002</v>
      </c>
      <c r="P879" s="52">
        <v>211.7</v>
      </c>
      <c r="Q879" s="52">
        <v>211.7</v>
      </c>
      <c r="R879" s="53" t="str">
        <f>INDEX(SKU_Master!$D$5:$D$34,MATCH($I879,SKU_Master!$A$5:$A$34,0))</f>
        <v>Monitor</v>
      </c>
      <c r="S879" s="54">
        <f t="shared" si="182"/>
        <v>2.3529411764705577E-3</v>
      </c>
      <c r="T879" s="55">
        <f t="shared" si="183"/>
        <v>1108.695652173913</v>
      </c>
      <c r="U879" s="55">
        <f t="shared" si="184"/>
        <v>1106.086956521739</v>
      </c>
      <c r="V879" s="55">
        <f t="shared" si="185"/>
        <v>-2.6086956521739921</v>
      </c>
      <c r="W879" s="55">
        <f t="shared" si="186"/>
        <v>1108.2552820736223</v>
      </c>
      <c r="X879" s="55">
        <f t="shared" si="187"/>
        <v>2.1683255518832993</v>
      </c>
      <c r="Y879" s="55">
        <f t="shared" si="188"/>
        <v>846.8</v>
      </c>
      <c r="Z879" s="55">
        <f t="shared" si="189"/>
        <v>846.8</v>
      </c>
      <c r="AA879" s="55">
        <f t="shared" si="190"/>
        <v>0</v>
      </c>
      <c r="AB879" s="55">
        <f t="shared" si="191"/>
        <v>261.45528207362236</v>
      </c>
      <c r="AC879" s="54">
        <f t="shared" si="192"/>
        <v>0.2359161163522013</v>
      </c>
      <c r="AD879" s="56">
        <f>INDEX(Assumptions!$B$14:$B$16,MATCH($R879,Assumptions!$A$14:$A$16,0))</f>
        <v>0.18</v>
      </c>
      <c r="AE879" s="56">
        <f>INDEX(Assumptions!$C$14:$C$16,MATCH($R879,Assumptions!$A$14:$A$16,0))</f>
        <v>0.12</v>
      </c>
      <c r="AF879" s="49">
        <f t="shared" si="193"/>
        <v>0</v>
      </c>
      <c r="AG879" s="49">
        <f t="shared" si="194"/>
        <v>0</v>
      </c>
      <c r="AH879" s="55">
        <f t="shared" si="195"/>
        <v>0</v>
      </c>
    </row>
    <row r="880" spans="1:34" x14ac:dyDescent="0.2">
      <c r="A880" s="48" t="s">
        <v>871</v>
      </c>
      <c r="B880" s="48">
        <v>3</v>
      </c>
      <c r="C880" s="48" t="s">
        <v>872</v>
      </c>
      <c r="D880" s="48" t="s">
        <v>844</v>
      </c>
      <c r="E880" s="48" t="s">
        <v>293</v>
      </c>
      <c r="F880" s="48" t="s">
        <v>274</v>
      </c>
      <c r="G880" s="48" t="s">
        <v>275</v>
      </c>
      <c r="H880" s="48" t="s">
        <v>66</v>
      </c>
      <c r="I880" s="48" t="s">
        <v>173</v>
      </c>
      <c r="J880" s="49">
        <v>2</v>
      </c>
      <c r="K880" s="50">
        <v>60</v>
      </c>
      <c r="L880" s="50">
        <v>59.88</v>
      </c>
      <c r="M880" s="48" t="s">
        <v>276</v>
      </c>
      <c r="N880" s="51">
        <v>0.92</v>
      </c>
      <c r="O880" s="51">
        <v>0.91820000000000002</v>
      </c>
      <c r="P880" s="52">
        <v>39</v>
      </c>
      <c r="Q880" s="52">
        <v>39</v>
      </c>
      <c r="R880" s="53" t="str">
        <f>INDEX(SKU_Master!$D$5:$D$34,MATCH($I880,SKU_Master!$A$5:$A$34,0))</f>
        <v>Accessory</v>
      </c>
      <c r="S880" s="54">
        <f t="shared" si="182"/>
        <v>2.0000000000000018E-3</v>
      </c>
      <c r="T880" s="55">
        <f t="shared" si="183"/>
        <v>130.43478260869566</v>
      </c>
      <c r="U880" s="55">
        <f t="shared" si="184"/>
        <v>130.17391304347825</v>
      </c>
      <c r="V880" s="55">
        <f t="shared" si="185"/>
        <v>-0.2608695652174049</v>
      </c>
      <c r="W880" s="55">
        <f t="shared" si="186"/>
        <v>130.42910041385321</v>
      </c>
      <c r="X880" s="55">
        <f t="shared" si="187"/>
        <v>0.25518737037495498</v>
      </c>
      <c r="Y880" s="55">
        <f t="shared" si="188"/>
        <v>78</v>
      </c>
      <c r="Z880" s="55">
        <f t="shared" si="189"/>
        <v>78</v>
      </c>
      <c r="AA880" s="55">
        <f t="shared" si="190"/>
        <v>0</v>
      </c>
      <c r="AB880" s="55">
        <f t="shared" si="191"/>
        <v>52.429100413853206</v>
      </c>
      <c r="AC880" s="54">
        <f t="shared" si="192"/>
        <v>0.40197394789579166</v>
      </c>
      <c r="AD880" s="56">
        <f>INDEX(Assumptions!$B$14:$B$16,MATCH($R880,Assumptions!$A$14:$A$16,0))</f>
        <v>0.32</v>
      </c>
      <c r="AE880" s="56">
        <f>INDEX(Assumptions!$C$14:$C$16,MATCH($R880,Assumptions!$A$14:$A$16,0))</f>
        <v>0.22</v>
      </c>
      <c r="AF880" s="49">
        <f t="shared" si="193"/>
        <v>0</v>
      </c>
      <c r="AG880" s="49">
        <f t="shared" si="194"/>
        <v>0</v>
      </c>
      <c r="AH880" s="55">
        <f t="shared" si="195"/>
        <v>0</v>
      </c>
    </row>
    <row r="881" spans="1:34" x14ac:dyDescent="0.2">
      <c r="A881" s="48" t="s">
        <v>873</v>
      </c>
      <c r="B881" s="48">
        <v>1</v>
      </c>
      <c r="C881" s="48" t="s">
        <v>874</v>
      </c>
      <c r="D881" s="48" t="s">
        <v>844</v>
      </c>
      <c r="E881" s="48" t="s">
        <v>311</v>
      </c>
      <c r="F881" s="48" t="s">
        <v>297</v>
      </c>
      <c r="G881" s="48" t="s">
        <v>302</v>
      </c>
      <c r="H881" s="48" t="s">
        <v>62</v>
      </c>
      <c r="I881" s="48" t="s">
        <v>110</v>
      </c>
      <c r="J881" s="49">
        <v>28</v>
      </c>
      <c r="K881" s="50">
        <v>1165</v>
      </c>
      <c r="L881" s="50">
        <v>1119.97</v>
      </c>
      <c r="M881" s="48" t="s">
        <v>276</v>
      </c>
      <c r="N881" s="51">
        <v>1</v>
      </c>
      <c r="O881" s="51">
        <v>1</v>
      </c>
      <c r="P881" s="52">
        <v>992.65</v>
      </c>
      <c r="Q881" s="52">
        <v>992.65</v>
      </c>
      <c r="R881" s="53" t="str">
        <f>INDEX(SKU_Master!$D$5:$D$34,MATCH($I881,SKU_Master!$A$5:$A$34,0))</f>
        <v>Laptop</v>
      </c>
      <c r="S881" s="54">
        <f t="shared" si="182"/>
        <v>3.8652360515021411E-2</v>
      </c>
      <c r="T881" s="55">
        <f t="shared" si="183"/>
        <v>32620</v>
      </c>
      <c r="U881" s="55">
        <f t="shared" si="184"/>
        <v>31359.16</v>
      </c>
      <c r="V881" s="55">
        <f t="shared" si="185"/>
        <v>-1260.8400000000001</v>
      </c>
      <c r="W881" s="55">
        <f t="shared" si="186"/>
        <v>31359.16</v>
      </c>
      <c r="X881" s="55">
        <f t="shared" si="187"/>
        <v>0</v>
      </c>
      <c r="Y881" s="55">
        <f t="shared" si="188"/>
        <v>27794.2</v>
      </c>
      <c r="Z881" s="55">
        <f t="shared" si="189"/>
        <v>27794.2</v>
      </c>
      <c r="AA881" s="55">
        <f t="shared" si="190"/>
        <v>0</v>
      </c>
      <c r="AB881" s="55">
        <f t="shared" si="191"/>
        <v>3564.9599999999991</v>
      </c>
      <c r="AC881" s="54">
        <f t="shared" si="192"/>
        <v>0.11368161647186975</v>
      </c>
      <c r="AD881" s="56">
        <f>INDEX(Assumptions!$B$14:$B$16,MATCH($R881,Assumptions!$A$14:$A$16,0))</f>
        <v>0.12</v>
      </c>
      <c r="AE881" s="56">
        <f>INDEX(Assumptions!$C$14:$C$16,MATCH($R881,Assumptions!$A$14:$A$16,0))</f>
        <v>0.08</v>
      </c>
      <c r="AF881" s="49">
        <f t="shared" si="193"/>
        <v>0</v>
      </c>
      <c r="AG881" s="49">
        <f t="shared" si="194"/>
        <v>0</v>
      </c>
      <c r="AH881" s="55">
        <f t="shared" si="195"/>
        <v>198.13920000000053</v>
      </c>
    </row>
    <row r="882" spans="1:34" x14ac:dyDescent="0.2">
      <c r="A882" s="48" t="s">
        <v>873</v>
      </c>
      <c r="B882" s="48">
        <v>2</v>
      </c>
      <c r="C882" s="48" t="s">
        <v>874</v>
      </c>
      <c r="D882" s="48" t="s">
        <v>844</v>
      </c>
      <c r="E882" s="48" t="s">
        <v>311</v>
      </c>
      <c r="F882" s="48" t="s">
        <v>297</v>
      </c>
      <c r="G882" s="48" t="s">
        <v>302</v>
      </c>
      <c r="H882" s="48" t="s">
        <v>62</v>
      </c>
      <c r="I882" s="48" t="s">
        <v>151</v>
      </c>
      <c r="J882" s="49">
        <v>12</v>
      </c>
      <c r="K882" s="50">
        <v>335</v>
      </c>
      <c r="L882" s="50">
        <v>310.81</v>
      </c>
      <c r="M882" s="48" t="s">
        <v>276</v>
      </c>
      <c r="N882" s="51">
        <v>1</v>
      </c>
      <c r="O882" s="51">
        <v>1</v>
      </c>
      <c r="P882" s="52">
        <v>216.7</v>
      </c>
      <c r="Q882" s="52">
        <v>216.7</v>
      </c>
      <c r="R882" s="53" t="str">
        <f>INDEX(SKU_Master!$D$5:$D$34,MATCH($I882,SKU_Master!$A$5:$A$34,0))</f>
        <v>Accessory</v>
      </c>
      <c r="S882" s="54">
        <f t="shared" si="182"/>
        <v>7.22089552238806E-2</v>
      </c>
      <c r="T882" s="55">
        <f t="shared" si="183"/>
        <v>4020</v>
      </c>
      <c r="U882" s="55">
        <f t="shared" si="184"/>
        <v>3729.7200000000003</v>
      </c>
      <c r="V882" s="55">
        <f t="shared" si="185"/>
        <v>-290.27999999999975</v>
      </c>
      <c r="W882" s="55">
        <f t="shared" si="186"/>
        <v>3729.7200000000003</v>
      </c>
      <c r="X882" s="55">
        <f t="shared" si="187"/>
        <v>0</v>
      </c>
      <c r="Y882" s="55">
        <f t="shared" si="188"/>
        <v>2600.3999999999996</v>
      </c>
      <c r="Z882" s="55">
        <f t="shared" si="189"/>
        <v>2600.3999999999996</v>
      </c>
      <c r="AA882" s="55">
        <f t="shared" si="190"/>
        <v>0</v>
      </c>
      <c r="AB882" s="55">
        <f t="shared" si="191"/>
        <v>1129.3200000000006</v>
      </c>
      <c r="AC882" s="54">
        <f t="shared" si="192"/>
        <v>0.30278948553778851</v>
      </c>
      <c r="AD882" s="56">
        <f>INDEX(Assumptions!$B$14:$B$16,MATCH($R882,Assumptions!$A$14:$A$16,0))</f>
        <v>0.32</v>
      </c>
      <c r="AE882" s="56">
        <f>INDEX(Assumptions!$C$14:$C$16,MATCH($R882,Assumptions!$A$14:$A$16,0))</f>
        <v>0.22</v>
      </c>
      <c r="AF882" s="49">
        <f t="shared" si="193"/>
        <v>0</v>
      </c>
      <c r="AG882" s="49">
        <f t="shared" si="194"/>
        <v>0</v>
      </c>
      <c r="AH882" s="55">
        <f t="shared" si="195"/>
        <v>64.190399999999499</v>
      </c>
    </row>
    <row r="883" spans="1:34" x14ac:dyDescent="0.2">
      <c r="A883" s="48" t="s">
        <v>875</v>
      </c>
      <c r="B883" s="48">
        <v>1</v>
      </c>
      <c r="C883" s="48" t="s">
        <v>876</v>
      </c>
      <c r="D883" s="48" t="s">
        <v>844</v>
      </c>
      <c r="E883" s="48" t="s">
        <v>301</v>
      </c>
      <c r="F883" s="48" t="s">
        <v>274</v>
      </c>
      <c r="G883" s="48" t="s">
        <v>302</v>
      </c>
      <c r="H883" s="48" t="s">
        <v>62</v>
      </c>
      <c r="I883" s="48" t="s">
        <v>98</v>
      </c>
      <c r="J883" s="49">
        <v>6</v>
      </c>
      <c r="K883" s="50">
        <v>2085</v>
      </c>
      <c r="L883" s="50">
        <v>1953.94</v>
      </c>
      <c r="M883" s="48" t="s">
        <v>276</v>
      </c>
      <c r="N883" s="51">
        <v>1</v>
      </c>
      <c r="O883" s="51">
        <v>1</v>
      </c>
      <c r="P883" s="52">
        <v>1780.2</v>
      </c>
      <c r="Q883" s="52">
        <v>1780.2</v>
      </c>
      <c r="R883" s="53" t="str">
        <f>INDEX(SKU_Master!$D$5:$D$34,MATCH($I883,SKU_Master!$A$5:$A$34,0))</f>
        <v>Laptop</v>
      </c>
      <c r="S883" s="54">
        <f t="shared" si="182"/>
        <v>6.2858513189448462E-2</v>
      </c>
      <c r="T883" s="55">
        <f t="shared" si="183"/>
        <v>12510</v>
      </c>
      <c r="U883" s="55">
        <f t="shared" si="184"/>
        <v>11723.64</v>
      </c>
      <c r="V883" s="55">
        <f t="shared" si="185"/>
        <v>-786.36000000000058</v>
      </c>
      <c r="W883" s="55">
        <f t="shared" si="186"/>
        <v>11723.64</v>
      </c>
      <c r="X883" s="55">
        <f t="shared" si="187"/>
        <v>0</v>
      </c>
      <c r="Y883" s="55">
        <f t="shared" si="188"/>
        <v>10681.2</v>
      </c>
      <c r="Z883" s="55">
        <f t="shared" si="189"/>
        <v>10681.2</v>
      </c>
      <c r="AA883" s="55">
        <f t="shared" si="190"/>
        <v>0</v>
      </c>
      <c r="AB883" s="55">
        <f t="shared" si="191"/>
        <v>1042.4399999999987</v>
      </c>
      <c r="AC883" s="54">
        <f t="shared" si="192"/>
        <v>8.8917776390267766E-2</v>
      </c>
      <c r="AD883" s="56">
        <f>INDEX(Assumptions!$B$14:$B$16,MATCH($R883,Assumptions!$A$14:$A$16,0))</f>
        <v>0.12</v>
      </c>
      <c r="AE883" s="56">
        <f>INDEX(Assumptions!$C$14:$C$16,MATCH($R883,Assumptions!$A$14:$A$16,0))</f>
        <v>0.08</v>
      </c>
      <c r="AF883" s="49">
        <f t="shared" si="193"/>
        <v>0</v>
      </c>
      <c r="AG883" s="49">
        <f t="shared" si="194"/>
        <v>0</v>
      </c>
      <c r="AH883" s="55">
        <f t="shared" si="195"/>
        <v>364.39680000000112</v>
      </c>
    </row>
    <row r="884" spans="1:34" x14ac:dyDescent="0.2">
      <c r="A884" s="48" t="s">
        <v>875</v>
      </c>
      <c r="B884" s="48">
        <v>2</v>
      </c>
      <c r="C884" s="48" t="s">
        <v>876</v>
      </c>
      <c r="D884" s="48" t="s">
        <v>844</v>
      </c>
      <c r="E884" s="48" t="s">
        <v>301</v>
      </c>
      <c r="F884" s="48" t="s">
        <v>274</v>
      </c>
      <c r="G884" s="48" t="s">
        <v>302</v>
      </c>
      <c r="H884" s="48" t="s">
        <v>62</v>
      </c>
      <c r="I884" s="48" t="s">
        <v>144</v>
      </c>
      <c r="J884" s="49">
        <v>3</v>
      </c>
      <c r="K884" s="50">
        <v>370</v>
      </c>
      <c r="L884" s="50">
        <v>360.8</v>
      </c>
      <c r="M884" s="48" t="s">
        <v>276</v>
      </c>
      <c r="N884" s="51">
        <v>1</v>
      </c>
      <c r="O884" s="51">
        <v>1</v>
      </c>
      <c r="P884" s="52">
        <v>289.60000000000002</v>
      </c>
      <c r="Q884" s="52">
        <v>289.60000000000002</v>
      </c>
      <c r="R884" s="53" t="str">
        <f>INDEX(SKU_Master!$D$5:$D$34,MATCH($I884,SKU_Master!$A$5:$A$34,0))</f>
        <v>Monitor</v>
      </c>
      <c r="S884" s="54">
        <f t="shared" si="182"/>
        <v>2.4864864864864833E-2</v>
      </c>
      <c r="T884" s="55">
        <f t="shared" si="183"/>
        <v>1110</v>
      </c>
      <c r="U884" s="55">
        <f t="shared" si="184"/>
        <v>1082.4000000000001</v>
      </c>
      <c r="V884" s="55">
        <f t="shared" si="185"/>
        <v>-27.599999999999909</v>
      </c>
      <c r="W884" s="55">
        <f t="shared" si="186"/>
        <v>1082.4000000000001</v>
      </c>
      <c r="X884" s="55">
        <f t="shared" si="187"/>
        <v>0</v>
      </c>
      <c r="Y884" s="55">
        <f t="shared" si="188"/>
        <v>868.80000000000007</v>
      </c>
      <c r="Z884" s="55">
        <f t="shared" si="189"/>
        <v>868.80000000000007</v>
      </c>
      <c r="AA884" s="55">
        <f t="shared" si="190"/>
        <v>0</v>
      </c>
      <c r="AB884" s="55">
        <f t="shared" si="191"/>
        <v>213.60000000000002</v>
      </c>
      <c r="AC884" s="54">
        <f t="shared" si="192"/>
        <v>0.19733924611973394</v>
      </c>
      <c r="AD884" s="56">
        <f>INDEX(Assumptions!$B$14:$B$16,MATCH($R884,Assumptions!$A$14:$A$16,0))</f>
        <v>0.18</v>
      </c>
      <c r="AE884" s="56">
        <f>INDEX(Assumptions!$C$14:$C$16,MATCH($R884,Assumptions!$A$14:$A$16,0))</f>
        <v>0.12</v>
      </c>
      <c r="AF884" s="49">
        <f t="shared" si="193"/>
        <v>0</v>
      </c>
      <c r="AG884" s="49">
        <f t="shared" si="194"/>
        <v>0</v>
      </c>
      <c r="AH884" s="55">
        <f t="shared" si="195"/>
        <v>0</v>
      </c>
    </row>
    <row r="885" spans="1:34" x14ac:dyDescent="0.2">
      <c r="A885" s="48" t="s">
        <v>875</v>
      </c>
      <c r="B885" s="48">
        <v>3</v>
      </c>
      <c r="C885" s="48" t="s">
        <v>876</v>
      </c>
      <c r="D885" s="48" t="s">
        <v>844</v>
      </c>
      <c r="E885" s="48" t="s">
        <v>301</v>
      </c>
      <c r="F885" s="48" t="s">
        <v>274</v>
      </c>
      <c r="G885" s="48" t="s">
        <v>302</v>
      </c>
      <c r="H885" s="48" t="s">
        <v>62</v>
      </c>
      <c r="I885" s="48" t="s">
        <v>154</v>
      </c>
      <c r="J885" s="49">
        <v>6</v>
      </c>
      <c r="K885" s="50">
        <v>475</v>
      </c>
      <c r="L885" s="50">
        <v>451.84</v>
      </c>
      <c r="M885" s="48" t="s">
        <v>276</v>
      </c>
      <c r="N885" s="51">
        <v>1</v>
      </c>
      <c r="O885" s="51">
        <v>1</v>
      </c>
      <c r="P885" s="52">
        <v>306</v>
      </c>
      <c r="Q885" s="52">
        <v>306</v>
      </c>
      <c r="R885" s="53" t="str">
        <f>INDEX(SKU_Master!$D$5:$D$34,MATCH($I885,SKU_Master!$A$5:$A$34,0))</f>
        <v>Accessory</v>
      </c>
      <c r="S885" s="54">
        <f t="shared" si="182"/>
        <v>4.8757894736842111E-2</v>
      </c>
      <c r="T885" s="55">
        <f t="shared" si="183"/>
        <v>2850</v>
      </c>
      <c r="U885" s="55">
        <f t="shared" si="184"/>
        <v>2711.04</v>
      </c>
      <c r="V885" s="55">
        <f t="shared" si="185"/>
        <v>-138.96000000000004</v>
      </c>
      <c r="W885" s="55">
        <f t="shared" si="186"/>
        <v>2711.04</v>
      </c>
      <c r="X885" s="55">
        <f t="shared" si="187"/>
        <v>0</v>
      </c>
      <c r="Y885" s="55">
        <f t="shared" si="188"/>
        <v>1836</v>
      </c>
      <c r="Z885" s="55">
        <f t="shared" si="189"/>
        <v>1836</v>
      </c>
      <c r="AA885" s="55">
        <f t="shared" si="190"/>
        <v>0</v>
      </c>
      <c r="AB885" s="55">
        <f t="shared" si="191"/>
        <v>875.04</v>
      </c>
      <c r="AC885" s="54">
        <f t="shared" si="192"/>
        <v>0.32276912181303113</v>
      </c>
      <c r="AD885" s="56">
        <f>INDEX(Assumptions!$B$14:$B$16,MATCH($R885,Assumptions!$A$14:$A$16,0))</f>
        <v>0.32</v>
      </c>
      <c r="AE885" s="56">
        <f>INDEX(Assumptions!$C$14:$C$16,MATCH($R885,Assumptions!$A$14:$A$16,0))</f>
        <v>0.22</v>
      </c>
      <c r="AF885" s="49">
        <f t="shared" si="193"/>
        <v>0</v>
      </c>
      <c r="AG885" s="49">
        <f t="shared" si="194"/>
        <v>0</v>
      </c>
      <c r="AH885" s="55">
        <f t="shared" si="195"/>
        <v>0</v>
      </c>
    </row>
    <row r="886" spans="1:34" x14ac:dyDescent="0.2">
      <c r="A886" s="48" t="s">
        <v>877</v>
      </c>
      <c r="B886" s="48">
        <v>1</v>
      </c>
      <c r="C886" s="48" t="s">
        <v>878</v>
      </c>
      <c r="D886" s="48" t="s">
        <v>844</v>
      </c>
      <c r="E886" s="48" t="s">
        <v>397</v>
      </c>
      <c r="F886" s="48" t="s">
        <v>280</v>
      </c>
      <c r="G886" s="48" t="s">
        <v>306</v>
      </c>
      <c r="H886" s="48" t="s">
        <v>70</v>
      </c>
      <c r="I886" s="48" t="s">
        <v>113</v>
      </c>
      <c r="J886" s="49">
        <v>11</v>
      </c>
      <c r="K886" s="50">
        <v>167790</v>
      </c>
      <c r="L886" s="50">
        <v>161572.56</v>
      </c>
      <c r="M886" s="48" t="s">
        <v>276</v>
      </c>
      <c r="N886" s="51">
        <v>83.5</v>
      </c>
      <c r="O886" s="51">
        <v>84.521799999999999</v>
      </c>
      <c r="P886" s="52">
        <v>1683.15</v>
      </c>
      <c r="Q886" s="52">
        <v>1703.15</v>
      </c>
      <c r="R886" s="53" t="str">
        <f>INDEX(SKU_Master!$D$5:$D$34,MATCH($I886,SKU_Master!$A$5:$A$34,0))</f>
        <v>Laptop</v>
      </c>
      <c r="S886" s="54">
        <f t="shared" si="182"/>
        <v>3.7054890041122834E-2</v>
      </c>
      <c r="T886" s="55">
        <f t="shared" si="183"/>
        <v>22104.071856287424</v>
      </c>
      <c r="U886" s="55">
        <f t="shared" si="184"/>
        <v>21285.007904191614</v>
      </c>
      <c r="V886" s="55">
        <f t="shared" si="185"/>
        <v>-819.06395209581024</v>
      </c>
      <c r="W886" s="55">
        <f t="shared" si="186"/>
        <v>21027.6894245035</v>
      </c>
      <c r="X886" s="55">
        <f t="shared" si="187"/>
        <v>-257.31847968811417</v>
      </c>
      <c r="Y886" s="55">
        <f t="shared" si="188"/>
        <v>18514.650000000001</v>
      </c>
      <c r="Z886" s="55">
        <f t="shared" si="189"/>
        <v>18734.650000000001</v>
      </c>
      <c r="AA886" s="55">
        <f t="shared" si="190"/>
        <v>-220</v>
      </c>
      <c r="AB886" s="55">
        <f t="shared" si="191"/>
        <v>2293.0394245034986</v>
      </c>
      <c r="AC886" s="54">
        <f t="shared" si="192"/>
        <v>0.10904856820984939</v>
      </c>
      <c r="AD886" s="56">
        <f>INDEX(Assumptions!$B$14:$B$16,MATCH($R886,Assumptions!$A$14:$A$16,0))</f>
        <v>0.12</v>
      </c>
      <c r="AE886" s="56">
        <f>INDEX(Assumptions!$C$14:$C$16,MATCH($R886,Assumptions!$A$14:$A$16,0))</f>
        <v>0.08</v>
      </c>
      <c r="AF886" s="49">
        <f t="shared" si="193"/>
        <v>0</v>
      </c>
      <c r="AG886" s="49">
        <f t="shared" si="194"/>
        <v>0</v>
      </c>
      <c r="AH886" s="55">
        <f t="shared" si="195"/>
        <v>230.28330643692152</v>
      </c>
    </row>
    <row r="887" spans="1:34" x14ac:dyDescent="0.2">
      <c r="A887" s="48" t="s">
        <v>877</v>
      </c>
      <c r="B887" s="48">
        <v>2</v>
      </c>
      <c r="C887" s="48" t="s">
        <v>878</v>
      </c>
      <c r="D887" s="48" t="s">
        <v>844</v>
      </c>
      <c r="E887" s="48" t="s">
        <v>397</v>
      </c>
      <c r="F887" s="48" t="s">
        <v>280</v>
      </c>
      <c r="G887" s="48" t="s">
        <v>306</v>
      </c>
      <c r="H887" s="48" t="s">
        <v>70</v>
      </c>
      <c r="I887" s="48" t="s">
        <v>151</v>
      </c>
      <c r="J887" s="49">
        <v>5</v>
      </c>
      <c r="K887" s="50">
        <v>32735</v>
      </c>
      <c r="L887" s="50">
        <v>31967.34</v>
      </c>
      <c r="M887" s="48" t="s">
        <v>276</v>
      </c>
      <c r="N887" s="51">
        <v>83.5</v>
      </c>
      <c r="O887" s="51">
        <v>84.521799999999999</v>
      </c>
      <c r="P887" s="52">
        <v>248.88</v>
      </c>
      <c r="Q887" s="52">
        <v>253.88</v>
      </c>
      <c r="R887" s="53" t="str">
        <f>INDEX(SKU_Master!$D$5:$D$34,MATCH($I887,SKU_Master!$A$5:$A$34,0))</f>
        <v>Accessory</v>
      </c>
      <c r="S887" s="54">
        <f t="shared" si="182"/>
        <v>2.3450740797311687E-2</v>
      </c>
      <c r="T887" s="55">
        <f t="shared" si="183"/>
        <v>1960.179640718563</v>
      </c>
      <c r="U887" s="55">
        <f t="shared" si="184"/>
        <v>1914.2119760479043</v>
      </c>
      <c r="V887" s="55">
        <f t="shared" si="185"/>
        <v>-45.967664670658678</v>
      </c>
      <c r="W887" s="55">
        <f t="shared" si="186"/>
        <v>1891.0707060190391</v>
      </c>
      <c r="X887" s="55">
        <f t="shared" si="187"/>
        <v>-23.141270028865165</v>
      </c>
      <c r="Y887" s="55">
        <f t="shared" si="188"/>
        <v>1244.4000000000001</v>
      </c>
      <c r="Z887" s="55">
        <f t="shared" si="189"/>
        <v>1269.4000000000001</v>
      </c>
      <c r="AA887" s="55">
        <f t="shared" si="190"/>
        <v>-25</v>
      </c>
      <c r="AB887" s="55">
        <f t="shared" si="191"/>
        <v>621.67070601903902</v>
      </c>
      <c r="AC887" s="54">
        <f t="shared" si="192"/>
        <v>0.32874006457841037</v>
      </c>
      <c r="AD887" s="56">
        <f>INDEX(Assumptions!$B$14:$B$16,MATCH($R887,Assumptions!$A$14:$A$16,0))</f>
        <v>0.32</v>
      </c>
      <c r="AE887" s="56">
        <f>INDEX(Assumptions!$C$14:$C$16,MATCH($R887,Assumptions!$A$14:$A$16,0))</f>
        <v>0.22</v>
      </c>
      <c r="AF887" s="49">
        <f t="shared" si="193"/>
        <v>0</v>
      </c>
      <c r="AG887" s="49">
        <f t="shared" si="194"/>
        <v>0</v>
      </c>
      <c r="AH887" s="55">
        <f t="shared" si="195"/>
        <v>0</v>
      </c>
    </row>
    <row r="888" spans="1:34" x14ac:dyDescent="0.2">
      <c r="A888" s="48" t="s">
        <v>879</v>
      </c>
      <c r="B888" s="48">
        <v>1</v>
      </c>
      <c r="C888" s="48" t="s">
        <v>861</v>
      </c>
      <c r="D888" s="48" t="s">
        <v>844</v>
      </c>
      <c r="E888" s="48" t="s">
        <v>322</v>
      </c>
      <c r="F888" s="48" t="s">
        <v>274</v>
      </c>
      <c r="G888" s="48" t="s">
        <v>288</v>
      </c>
      <c r="H888" s="48" t="s">
        <v>62</v>
      </c>
      <c r="I888" s="48" t="s">
        <v>115</v>
      </c>
      <c r="J888" s="49">
        <v>7</v>
      </c>
      <c r="K888" s="50">
        <v>850</v>
      </c>
      <c r="L888" s="50">
        <v>841.9</v>
      </c>
      <c r="M888" s="48" t="s">
        <v>276</v>
      </c>
      <c r="N888" s="51">
        <v>1</v>
      </c>
      <c r="O888" s="51">
        <v>1</v>
      </c>
      <c r="P888" s="52">
        <v>723.6</v>
      </c>
      <c r="Q888" s="52">
        <v>723.6</v>
      </c>
      <c r="R888" s="53" t="str">
        <f>INDEX(SKU_Master!$D$5:$D$34,MATCH($I888,SKU_Master!$A$5:$A$34,0))</f>
        <v>Laptop</v>
      </c>
      <c r="S888" s="54">
        <f t="shared" si="182"/>
        <v>9.5294117647058973E-3</v>
      </c>
      <c r="T888" s="55">
        <f t="shared" si="183"/>
        <v>5950</v>
      </c>
      <c r="U888" s="55">
        <f t="shared" si="184"/>
        <v>5893.3</v>
      </c>
      <c r="V888" s="55">
        <f t="shared" si="185"/>
        <v>-56.699999999999818</v>
      </c>
      <c r="W888" s="55">
        <f t="shared" si="186"/>
        <v>5893.3</v>
      </c>
      <c r="X888" s="55">
        <f t="shared" si="187"/>
        <v>0</v>
      </c>
      <c r="Y888" s="55">
        <f t="shared" si="188"/>
        <v>5065.2</v>
      </c>
      <c r="Z888" s="55">
        <f t="shared" si="189"/>
        <v>5065.2</v>
      </c>
      <c r="AA888" s="55">
        <f t="shared" si="190"/>
        <v>0</v>
      </c>
      <c r="AB888" s="55">
        <f t="shared" si="191"/>
        <v>828.10000000000036</v>
      </c>
      <c r="AC888" s="54">
        <f t="shared" si="192"/>
        <v>0.1405155006532843</v>
      </c>
      <c r="AD888" s="56">
        <f>INDEX(Assumptions!$B$14:$B$16,MATCH($R888,Assumptions!$A$14:$A$16,0))</f>
        <v>0.12</v>
      </c>
      <c r="AE888" s="56">
        <f>INDEX(Assumptions!$C$14:$C$16,MATCH($R888,Assumptions!$A$14:$A$16,0))</f>
        <v>0.08</v>
      </c>
      <c r="AF888" s="49">
        <f t="shared" si="193"/>
        <v>0</v>
      </c>
      <c r="AG888" s="49">
        <f t="shared" si="194"/>
        <v>0</v>
      </c>
      <c r="AH888" s="55">
        <f t="shared" si="195"/>
        <v>0</v>
      </c>
    </row>
    <row r="889" spans="1:34" x14ac:dyDescent="0.2">
      <c r="A889" s="48" t="s">
        <v>879</v>
      </c>
      <c r="B889" s="48">
        <v>2</v>
      </c>
      <c r="C889" s="48" t="s">
        <v>861</v>
      </c>
      <c r="D889" s="48" t="s">
        <v>844</v>
      </c>
      <c r="E889" s="48" t="s">
        <v>322</v>
      </c>
      <c r="F889" s="48" t="s">
        <v>274</v>
      </c>
      <c r="G889" s="48" t="s">
        <v>288</v>
      </c>
      <c r="H889" s="48" t="s">
        <v>62</v>
      </c>
      <c r="I889" s="48" t="s">
        <v>138</v>
      </c>
      <c r="J889" s="49">
        <v>6</v>
      </c>
      <c r="K889" s="50">
        <v>455</v>
      </c>
      <c r="L889" s="50">
        <v>452.6</v>
      </c>
      <c r="M889" s="48" t="s">
        <v>276</v>
      </c>
      <c r="N889" s="51">
        <v>1</v>
      </c>
      <c r="O889" s="51">
        <v>1</v>
      </c>
      <c r="P889" s="52">
        <v>358.2</v>
      </c>
      <c r="Q889" s="52">
        <v>358.2</v>
      </c>
      <c r="R889" s="53" t="str">
        <f>INDEX(SKU_Master!$D$5:$D$34,MATCH($I889,SKU_Master!$A$5:$A$34,0))</f>
        <v>Monitor</v>
      </c>
      <c r="S889" s="54">
        <f t="shared" si="182"/>
        <v>5.2747252747252782E-3</v>
      </c>
      <c r="T889" s="55">
        <f t="shared" si="183"/>
        <v>2730</v>
      </c>
      <c r="U889" s="55">
        <f t="shared" si="184"/>
        <v>2715.6000000000004</v>
      </c>
      <c r="V889" s="55">
        <f t="shared" si="185"/>
        <v>-14.399999999999636</v>
      </c>
      <c r="W889" s="55">
        <f t="shared" si="186"/>
        <v>2715.6000000000004</v>
      </c>
      <c r="X889" s="55">
        <f t="shared" si="187"/>
        <v>0</v>
      </c>
      <c r="Y889" s="55">
        <f t="shared" si="188"/>
        <v>2149.1999999999998</v>
      </c>
      <c r="Z889" s="55">
        <f t="shared" si="189"/>
        <v>2149.1999999999998</v>
      </c>
      <c r="AA889" s="55">
        <f t="shared" si="190"/>
        <v>0</v>
      </c>
      <c r="AB889" s="55">
        <f t="shared" si="191"/>
        <v>566.40000000000055</v>
      </c>
      <c r="AC889" s="54">
        <f t="shared" si="192"/>
        <v>0.20857269111798515</v>
      </c>
      <c r="AD889" s="56">
        <f>INDEX(Assumptions!$B$14:$B$16,MATCH($R889,Assumptions!$A$14:$A$16,0))</f>
        <v>0.18</v>
      </c>
      <c r="AE889" s="56">
        <f>INDEX(Assumptions!$C$14:$C$16,MATCH($R889,Assumptions!$A$14:$A$16,0))</f>
        <v>0.12</v>
      </c>
      <c r="AF889" s="49">
        <f t="shared" si="193"/>
        <v>0</v>
      </c>
      <c r="AG889" s="49">
        <f t="shared" si="194"/>
        <v>0</v>
      </c>
      <c r="AH889" s="55">
        <f t="shared" si="195"/>
        <v>0</v>
      </c>
    </row>
    <row r="890" spans="1:34" x14ac:dyDescent="0.2">
      <c r="A890" s="48" t="s">
        <v>879</v>
      </c>
      <c r="B890" s="48">
        <v>3</v>
      </c>
      <c r="C890" s="48" t="s">
        <v>861</v>
      </c>
      <c r="D890" s="48" t="s">
        <v>844</v>
      </c>
      <c r="E890" s="48" t="s">
        <v>322</v>
      </c>
      <c r="F890" s="48" t="s">
        <v>274</v>
      </c>
      <c r="G890" s="48" t="s">
        <v>288</v>
      </c>
      <c r="H890" s="48" t="s">
        <v>62</v>
      </c>
      <c r="I890" s="48" t="s">
        <v>173</v>
      </c>
      <c r="J890" s="49">
        <v>2</v>
      </c>
      <c r="K890" s="50">
        <v>55</v>
      </c>
      <c r="L890" s="50">
        <v>54.78</v>
      </c>
      <c r="M890" s="48" t="s">
        <v>276</v>
      </c>
      <c r="N890" s="51">
        <v>1</v>
      </c>
      <c r="O890" s="51">
        <v>1</v>
      </c>
      <c r="P890" s="52">
        <v>34</v>
      </c>
      <c r="Q890" s="52">
        <v>34</v>
      </c>
      <c r="R890" s="53" t="str">
        <f>INDEX(SKU_Master!$D$5:$D$34,MATCH($I890,SKU_Master!$A$5:$A$34,0))</f>
        <v>Accessory</v>
      </c>
      <c r="S890" s="54">
        <f t="shared" si="182"/>
        <v>4.0000000000000036E-3</v>
      </c>
      <c r="T890" s="55">
        <f t="shared" si="183"/>
        <v>110</v>
      </c>
      <c r="U890" s="55">
        <f t="shared" si="184"/>
        <v>109.56</v>
      </c>
      <c r="V890" s="55">
        <f t="shared" si="185"/>
        <v>-0.43999999999999773</v>
      </c>
      <c r="W890" s="55">
        <f t="shared" si="186"/>
        <v>109.56</v>
      </c>
      <c r="X890" s="55">
        <f t="shared" si="187"/>
        <v>0</v>
      </c>
      <c r="Y890" s="55">
        <f t="shared" si="188"/>
        <v>68</v>
      </c>
      <c r="Z890" s="55">
        <f t="shared" si="189"/>
        <v>68</v>
      </c>
      <c r="AA890" s="55">
        <f t="shared" si="190"/>
        <v>0</v>
      </c>
      <c r="AB890" s="55">
        <f t="shared" si="191"/>
        <v>41.56</v>
      </c>
      <c r="AC890" s="54">
        <f t="shared" si="192"/>
        <v>0.37933552391383718</v>
      </c>
      <c r="AD890" s="56">
        <f>INDEX(Assumptions!$B$14:$B$16,MATCH($R890,Assumptions!$A$14:$A$16,0))</f>
        <v>0.32</v>
      </c>
      <c r="AE890" s="56">
        <f>INDEX(Assumptions!$C$14:$C$16,MATCH($R890,Assumptions!$A$14:$A$16,0))</f>
        <v>0.22</v>
      </c>
      <c r="AF890" s="49">
        <f t="shared" si="193"/>
        <v>0</v>
      </c>
      <c r="AG890" s="49">
        <f t="shared" si="194"/>
        <v>0</v>
      </c>
      <c r="AH890" s="55">
        <f t="shared" si="195"/>
        <v>0</v>
      </c>
    </row>
    <row r="891" spans="1:34" x14ac:dyDescent="0.2">
      <c r="A891" s="48" t="s">
        <v>880</v>
      </c>
      <c r="B891" s="48">
        <v>1</v>
      </c>
      <c r="C891" s="48" t="s">
        <v>857</v>
      </c>
      <c r="D891" s="48" t="s">
        <v>844</v>
      </c>
      <c r="E891" s="48" t="s">
        <v>384</v>
      </c>
      <c r="F891" s="48" t="s">
        <v>297</v>
      </c>
      <c r="G891" s="48" t="s">
        <v>281</v>
      </c>
      <c r="H891" s="48" t="s">
        <v>70</v>
      </c>
      <c r="I891" s="48" t="s">
        <v>98</v>
      </c>
      <c r="J891" s="49">
        <v>67</v>
      </c>
      <c r="K891" s="50">
        <v>200480</v>
      </c>
      <c r="L891" s="50">
        <v>193810.25</v>
      </c>
      <c r="M891" s="48" t="s">
        <v>276</v>
      </c>
      <c r="N891" s="51">
        <v>83.5</v>
      </c>
      <c r="O891" s="51">
        <v>84.521799999999999</v>
      </c>
      <c r="P891" s="52">
        <v>2011.04</v>
      </c>
      <c r="Q891" s="52">
        <v>2031.04</v>
      </c>
      <c r="R891" s="53" t="str">
        <f>INDEX(SKU_Master!$D$5:$D$34,MATCH($I891,SKU_Master!$A$5:$A$34,0))</f>
        <v>Laptop</v>
      </c>
      <c r="S891" s="54">
        <f t="shared" si="182"/>
        <v>3.326890462889065E-2</v>
      </c>
      <c r="T891" s="55">
        <f t="shared" si="183"/>
        <v>160864.19161676647</v>
      </c>
      <c r="U891" s="55">
        <f t="shared" si="184"/>
        <v>155512.41616766466</v>
      </c>
      <c r="V891" s="55">
        <f t="shared" si="185"/>
        <v>-5351.7754491018131</v>
      </c>
      <c r="W891" s="55">
        <f t="shared" si="186"/>
        <v>153632.39720403493</v>
      </c>
      <c r="X891" s="55">
        <f t="shared" si="187"/>
        <v>-1880.0189636297291</v>
      </c>
      <c r="Y891" s="55">
        <f t="shared" si="188"/>
        <v>134739.68</v>
      </c>
      <c r="Z891" s="55">
        <f t="shared" si="189"/>
        <v>136079.67999999999</v>
      </c>
      <c r="AA891" s="55">
        <f t="shared" si="190"/>
        <v>-1340</v>
      </c>
      <c r="AB891" s="55">
        <f t="shared" si="191"/>
        <v>17552.71720403494</v>
      </c>
      <c r="AC891" s="54">
        <f t="shared" si="192"/>
        <v>0.11425140480444149</v>
      </c>
      <c r="AD891" s="56">
        <f>INDEX(Assumptions!$B$14:$B$16,MATCH($R891,Assumptions!$A$14:$A$16,0))</f>
        <v>0.12</v>
      </c>
      <c r="AE891" s="56">
        <f>INDEX(Assumptions!$C$14:$C$16,MATCH($R891,Assumptions!$A$14:$A$16,0))</f>
        <v>0.08</v>
      </c>
      <c r="AF891" s="49">
        <f t="shared" si="193"/>
        <v>0</v>
      </c>
      <c r="AG891" s="49">
        <f t="shared" si="194"/>
        <v>0</v>
      </c>
      <c r="AH891" s="55">
        <f t="shared" si="195"/>
        <v>883.17046044925155</v>
      </c>
    </row>
    <row r="892" spans="1:34" x14ac:dyDescent="0.2">
      <c r="A892" s="48" t="s">
        <v>880</v>
      </c>
      <c r="B892" s="48">
        <v>2</v>
      </c>
      <c r="C892" s="48" t="s">
        <v>857</v>
      </c>
      <c r="D892" s="48" t="s">
        <v>844</v>
      </c>
      <c r="E892" s="48" t="s">
        <v>384</v>
      </c>
      <c r="F892" s="48" t="s">
        <v>297</v>
      </c>
      <c r="G892" s="48" t="s">
        <v>281</v>
      </c>
      <c r="H892" s="48" t="s">
        <v>70</v>
      </c>
      <c r="I892" s="48" t="s">
        <v>146</v>
      </c>
      <c r="J892" s="49">
        <v>30</v>
      </c>
      <c r="K892" s="50">
        <v>26365</v>
      </c>
      <c r="L892" s="50">
        <v>25817.61</v>
      </c>
      <c r="M892" s="48" t="s">
        <v>276</v>
      </c>
      <c r="N892" s="51">
        <v>83.5</v>
      </c>
      <c r="O892" s="51">
        <v>84.521799999999999</v>
      </c>
      <c r="P892" s="52">
        <v>244.05</v>
      </c>
      <c r="Q892" s="52">
        <v>264.05</v>
      </c>
      <c r="R892" s="53" t="str">
        <f>INDEX(SKU_Master!$D$5:$D$34,MATCH($I892,SKU_Master!$A$5:$A$34,0))</f>
        <v>Monitor</v>
      </c>
      <c r="S892" s="54">
        <f t="shared" si="182"/>
        <v>2.0761995069220496E-2</v>
      </c>
      <c r="T892" s="55">
        <f t="shared" si="183"/>
        <v>9472.4550898203597</v>
      </c>
      <c r="U892" s="55">
        <f t="shared" si="184"/>
        <v>9275.7880239520964</v>
      </c>
      <c r="V892" s="55">
        <f t="shared" si="185"/>
        <v>-196.66706586826331</v>
      </c>
      <c r="W892" s="55">
        <f t="shared" si="186"/>
        <v>9163.6512710330353</v>
      </c>
      <c r="X892" s="55">
        <f t="shared" si="187"/>
        <v>-112.13675291906111</v>
      </c>
      <c r="Y892" s="55">
        <f t="shared" si="188"/>
        <v>7321.5</v>
      </c>
      <c r="Z892" s="55">
        <f t="shared" si="189"/>
        <v>7921.5</v>
      </c>
      <c r="AA892" s="55">
        <f t="shared" si="190"/>
        <v>-600</v>
      </c>
      <c r="AB892" s="55">
        <f t="shared" si="191"/>
        <v>1242.1512710330353</v>
      </c>
      <c r="AC892" s="54">
        <f t="shared" si="192"/>
        <v>0.13555200152144214</v>
      </c>
      <c r="AD892" s="56">
        <f>INDEX(Assumptions!$B$14:$B$16,MATCH($R892,Assumptions!$A$14:$A$16,0))</f>
        <v>0.18</v>
      </c>
      <c r="AE892" s="56">
        <f>INDEX(Assumptions!$C$14:$C$16,MATCH($R892,Assumptions!$A$14:$A$16,0))</f>
        <v>0.12</v>
      </c>
      <c r="AF892" s="49">
        <f t="shared" si="193"/>
        <v>0</v>
      </c>
      <c r="AG892" s="49">
        <f t="shared" si="194"/>
        <v>0</v>
      </c>
      <c r="AH892" s="55">
        <f t="shared" si="195"/>
        <v>407.3059577529109</v>
      </c>
    </row>
    <row r="893" spans="1:34" x14ac:dyDescent="0.2">
      <c r="A893" s="48" t="s">
        <v>880</v>
      </c>
      <c r="B893" s="48">
        <v>3</v>
      </c>
      <c r="C893" s="48" t="s">
        <v>857</v>
      </c>
      <c r="D893" s="48" t="s">
        <v>844</v>
      </c>
      <c r="E893" s="48" t="s">
        <v>384</v>
      </c>
      <c r="F893" s="48" t="s">
        <v>297</v>
      </c>
      <c r="G893" s="48" t="s">
        <v>281</v>
      </c>
      <c r="H893" s="48" t="s">
        <v>70</v>
      </c>
      <c r="I893" s="48" t="s">
        <v>161</v>
      </c>
      <c r="J893" s="49">
        <v>78</v>
      </c>
      <c r="K893" s="50">
        <v>12195</v>
      </c>
      <c r="L893" s="50">
        <v>11866.04</v>
      </c>
      <c r="M893" s="48" t="s">
        <v>276</v>
      </c>
      <c r="N893" s="51">
        <v>83.5</v>
      </c>
      <c r="O893" s="51">
        <v>84.521799999999999</v>
      </c>
      <c r="P893" s="52">
        <v>92.7</v>
      </c>
      <c r="Q893" s="52">
        <v>97.7</v>
      </c>
      <c r="R893" s="53" t="str">
        <f>INDEX(SKU_Master!$D$5:$D$34,MATCH($I893,SKU_Master!$A$5:$A$34,0))</f>
        <v>Accessory</v>
      </c>
      <c r="S893" s="54">
        <f t="shared" si="182"/>
        <v>2.6974989749897427E-2</v>
      </c>
      <c r="T893" s="55">
        <f t="shared" si="183"/>
        <v>11391.736526946108</v>
      </c>
      <c r="U893" s="55">
        <f t="shared" si="184"/>
        <v>11084.444550898204</v>
      </c>
      <c r="V893" s="55">
        <f t="shared" si="185"/>
        <v>-307.29197604790352</v>
      </c>
      <c r="W893" s="55">
        <f t="shared" si="186"/>
        <v>10950.442607705942</v>
      </c>
      <c r="X893" s="55">
        <f t="shared" si="187"/>
        <v>-134.00194319226284</v>
      </c>
      <c r="Y893" s="55">
        <f t="shared" si="188"/>
        <v>7230.6</v>
      </c>
      <c r="Z893" s="55">
        <f t="shared" si="189"/>
        <v>7620.6</v>
      </c>
      <c r="AA893" s="55">
        <f t="shared" si="190"/>
        <v>-390</v>
      </c>
      <c r="AB893" s="55">
        <f t="shared" si="191"/>
        <v>3329.8426077059412</v>
      </c>
      <c r="AC893" s="54">
        <f t="shared" si="192"/>
        <v>0.30408292404205617</v>
      </c>
      <c r="AD893" s="56">
        <f>INDEX(Assumptions!$B$14:$B$16,MATCH($R893,Assumptions!$A$14:$A$16,0))</f>
        <v>0.32</v>
      </c>
      <c r="AE893" s="56">
        <f>INDEX(Assumptions!$C$14:$C$16,MATCH($R893,Assumptions!$A$14:$A$16,0))</f>
        <v>0.22</v>
      </c>
      <c r="AF893" s="49">
        <f t="shared" si="193"/>
        <v>0</v>
      </c>
      <c r="AG893" s="49">
        <f t="shared" si="194"/>
        <v>0</v>
      </c>
      <c r="AH893" s="55">
        <f t="shared" si="195"/>
        <v>174.29902675996027</v>
      </c>
    </row>
    <row r="894" spans="1:34" x14ac:dyDescent="0.2">
      <c r="A894" s="48" t="s">
        <v>881</v>
      </c>
      <c r="B894" s="48">
        <v>1</v>
      </c>
      <c r="C894" s="48" t="s">
        <v>882</v>
      </c>
      <c r="D894" s="48" t="s">
        <v>844</v>
      </c>
      <c r="E894" s="48" t="s">
        <v>314</v>
      </c>
      <c r="F894" s="48" t="s">
        <v>274</v>
      </c>
      <c r="G894" s="48" t="s">
        <v>298</v>
      </c>
      <c r="H894" s="48" t="s">
        <v>68</v>
      </c>
      <c r="I894" s="48" t="s">
        <v>110</v>
      </c>
      <c r="J894" s="49">
        <v>6</v>
      </c>
      <c r="K894" s="50">
        <v>1645</v>
      </c>
      <c r="L894" s="50">
        <v>1628.16</v>
      </c>
      <c r="M894" s="48" t="s">
        <v>276</v>
      </c>
      <c r="N894" s="51">
        <v>1.37</v>
      </c>
      <c r="O894" s="51">
        <v>1.3718999999999999</v>
      </c>
      <c r="P894" s="52">
        <v>1004.65</v>
      </c>
      <c r="Q894" s="52">
        <v>1004.65</v>
      </c>
      <c r="R894" s="53" t="str">
        <f>INDEX(SKU_Master!$D$5:$D$34,MATCH($I894,SKU_Master!$A$5:$A$34,0))</f>
        <v>Laptop</v>
      </c>
      <c r="S894" s="54">
        <f t="shared" si="182"/>
        <v>1.0237082066869241E-2</v>
      </c>
      <c r="T894" s="55">
        <f t="shared" si="183"/>
        <v>7204.379562043795</v>
      </c>
      <c r="U894" s="55">
        <f t="shared" si="184"/>
        <v>7130.6277372262775</v>
      </c>
      <c r="V894" s="55">
        <f t="shared" si="185"/>
        <v>-73.751824817517445</v>
      </c>
      <c r="W894" s="55">
        <f t="shared" si="186"/>
        <v>7120.7522414170144</v>
      </c>
      <c r="X894" s="55">
        <f t="shared" si="187"/>
        <v>-9.8754958092631568</v>
      </c>
      <c r="Y894" s="55">
        <f t="shared" si="188"/>
        <v>6027.9</v>
      </c>
      <c r="Z894" s="55">
        <f t="shared" si="189"/>
        <v>6027.9</v>
      </c>
      <c r="AA894" s="55">
        <f t="shared" si="190"/>
        <v>0</v>
      </c>
      <c r="AB894" s="55">
        <f t="shared" si="191"/>
        <v>1092.8522414170147</v>
      </c>
      <c r="AC894" s="54">
        <f t="shared" si="192"/>
        <v>0.15347426849941059</v>
      </c>
      <c r="AD894" s="56">
        <f>INDEX(Assumptions!$B$14:$B$16,MATCH($R894,Assumptions!$A$14:$A$16,0))</f>
        <v>0.12</v>
      </c>
      <c r="AE894" s="56">
        <f>INDEX(Assumptions!$C$14:$C$16,MATCH($R894,Assumptions!$A$14:$A$16,0))</f>
        <v>0.08</v>
      </c>
      <c r="AF894" s="49">
        <f t="shared" si="193"/>
        <v>0</v>
      </c>
      <c r="AG894" s="49">
        <f t="shared" si="194"/>
        <v>0</v>
      </c>
      <c r="AH894" s="55">
        <f t="shared" si="195"/>
        <v>0</v>
      </c>
    </row>
    <row r="895" spans="1:34" x14ac:dyDescent="0.2">
      <c r="A895" s="48" t="s">
        <v>881</v>
      </c>
      <c r="B895" s="48">
        <v>2</v>
      </c>
      <c r="C895" s="48" t="s">
        <v>882</v>
      </c>
      <c r="D895" s="48" t="s">
        <v>844</v>
      </c>
      <c r="E895" s="48" t="s">
        <v>314</v>
      </c>
      <c r="F895" s="48" t="s">
        <v>274</v>
      </c>
      <c r="G895" s="48" t="s">
        <v>298</v>
      </c>
      <c r="H895" s="48" t="s">
        <v>68</v>
      </c>
      <c r="I895" s="48" t="s">
        <v>161</v>
      </c>
      <c r="J895" s="49">
        <v>6</v>
      </c>
      <c r="K895" s="50">
        <v>175</v>
      </c>
      <c r="L895" s="50">
        <v>172.22</v>
      </c>
      <c r="M895" s="48" t="s">
        <v>276</v>
      </c>
      <c r="N895" s="51">
        <v>1.37</v>
      </c>
      <c r="O895" s="51">
        <v>1.3718999999999999</v>
      </c>
      <c r="P895" s="52">
        <v>79</v>
      </c>
      <c r="Q895" s="52">
        <v>79</v>
      </c>
      <c r="R895" s="53" t="str">
        <f>INDEX(SKU_Master!$D$5:$D$34,MATCH($I895,SKU_Master!$A$5:$A$34,0))</f>
        <v>Accessory</v>
      </c>
      <c r="S895" s="54">
        <f t="shared" si="182"/>
        <v>1.5885714285714281E-2</v>
      </c>
      <c r="T895" s="55">
        <f t="shared" si="183"/>
        <v>766.42335766423355</v>
      </c>
      <c r="U895" s="55">
        <f t="shared" si="184"/>
        <v>754.24817518248165</v>
      </c>
      <c r="V895" s="55">
        <f t="shared" si="185"/>
        <v>-12.175182481751904</v>
      </c>
      <c r="W895" s="55">
        <f t="shared" si="186"/>
        <v>753.20358626722066</v>
      </c>
      <c r="X895" s="55">
        <f t="shared" si="187"/>
        <v>-1.044588915260988</v>
      </c>
      <c r="Y895" s="55">
        <f t="shared" si="188"/>
        <v>474</v>
      </c>
      <c r="Z895" s="55">
        <f t="shared" si="189"/>
        <v>474</v>
      </c>
      <c r="AA895" s="55">
        <f t="shared" si="190"/>
        <v>0</v>
      </c>
      <c r="AB895" s="55">
        <f t="shared" si="191"/>
        <v>279.20358626722066</v>
      </c>
      <c r="AC895" s="54">
        <f t="shared" si="192"/>
        <v>0.37068807339449544</v>
      </c>
      <c r="AD895" s="56">
        <f>INDEX(Assumptions!$B$14:$B$16,MATCH($R895,Assumptions!$A$14:$A$16,0))</f>
        <v>0.32</v>
      </c>
      <c r="AE895" s="56">
        <f>INDEX(Assumptions!$C$14:$C$16,MATCH($R895,Assumptions!$A$14:$A$16,0))</f>
        <v>0.22</v>
      </c>
      <c r="AF895" s="49">
        <f t="shared" si="193"/>
        <v>0</v>
      </c>
      <c r="AG895" s="49">
        <f t="shared" si="194"/>
        <v>0</v>
      </c>
      <c r="AH895" s="55">
        <f t="shared" si="195"/>
        <v>0</v>
      </c>
    </row>
    <row r="896" spans="1:34" x14ac:dyDescent="0.2">
      <c r="A896" s="48" t="s">
        <v>883</v>
      </c>
      <c r="B896" s="48">
        <v>1</v>
      </c>
      <c r="C896" s="48" t="s">
        <v>884</v>
      </c>
      <c r="D896" s="48" t="s">
        <v>844</v>
      </c>
      <c r="E896" s="48" t="s">
        <v>322</v>
      </c>
      <c r="F896" s="48" t="s">
        <v>274</v>
      </c>
      <c r="G896" s="48" t="s">
        <v>288</v>
      </c>
      <c r="H896" s="48" t="s">
        <v>62</v>
      </c>
      <c r="I896" s="48" t="s">
        <v>113</v>
      </c>
      <c r="J896" s="49">
        <v>8</v>
      </c>
      <c r="K896" s="50">
        <v>1740</v>
      </c>
      <c r="L896" s="50">
        <v>1709.99</v>
      </c>
      <c r="M896" s="48" t="s">
        <v>276</v>
      </c>
      <c r="N896" s="51">
        <v>1</v>
      </c>
      <c r="O896" s="51">
        <v>1</v>
      </c>
      <c r="P896" s="52">
        <v>1484.8</v>
      </c>
      <c r="Q896" s="52">
        <v>1484.8</v>
      </c>
      <c r="R896" s="53" t="str">
        <f>INDEX(SKU_Master!$D$5:$D$34,MATCH($I896,SKU_Master!$A$5:$A$34,0))</f>
        <v>Laptop</v>
      </c>
      <c r="S896" s="54">
        <f t="shared" si="182"/>
        <v>1.7247126436781612E-2</v>
      </c>
      <c r="T896" s="55">
        <f t="shared" si="183"/>
        <v>13920</v>
      </c>
      <c r="U896" s="55">
        <f t="shared" si="184"/>
        <v>13679.92</v>
      </c>
      <c r="V896" s="55">
        <f t="shared" si="185"/>
        <v>-240.07999999999993</v>
      </c>
      <c r="W896" s="55">
        <f t="shared" si="186"/>
        <v>13679.92</v>
      </c>
      <c r="X896" s="55">
        <f t="shared" si="187"/>
        <v>0</v>
      </c>
      <c r="Y896" s="55">
        <f t="shared" si="188"/>
        <v>11878.4</v>
      </c>
      <c r="Z896" s="55">
        <f t="shared" si="189"/>
        <v>11878.4</v>
      </c>
      <c r="AA896" s="55">
        <f t="shared" si="190"/>
        <v>0</v>
      </c>
      <c r="AB896" s="55">
        <f t="shared" si="191"/>
        <v>1801.5200000000004</v>
      </c>
      <c r="AC896" s="54">
        <f t="shared" si="192"/>
        <v>0.13169082860133688</v>
      </c>
      <c r="AD896" s="56">
        <f>INDEX(Assumptions!$B$14:$B$16,MATCH($R896,Assumptions!$A$14:$A$16,0))</f>
        <v>0.12</v>
      </c>
      <c r="AE896" s="56">
        <f>INDEX(Assumptions!$C$14:$C$16,MATCH($R896,Assumptions!$A$14:$A$16,0))</f>
        <v>0.08</v>
      </c>
      <c r="AF896" s="49">
        <f t="shared" si="193"/>
        <v>0</v>
      </c>
      <c r="AG896" s="49">
        <f t="shared" si="194"/>
        <v>0</v>
      </c>
      <c r="AH896" s="55">
        <f t="shared" si="195"/>
        <v>0</v>
      </c>
    </row>
    <row r="897" spans="1:34" x14ac:dyDescent="0.2">
      <c r="A897" s="48" t="s">
        <v>883</v>
      </c>
      <c r="B897" s="48">
        <v>2</v>
      </c>
      <c r="C897" s="48" t="s">
        <v>884</v>
      </c>
      <c r="D897" s="48" t="s">
        <v>844</v>
      </c>
      <c r="E897" s="48" t="s">
        <v>322</v>
      </c>
      <c r="F897" s="48" t="s">
        <v>274</v>
      </c>
      <c r="G897" s="48" t="s">
        <v>288</v>
      </c>
      <c r="H897" s="48" t="s">
        <v>62</v>
      </c>
      <c r="I897" s="48" t="s">
        <v>154</v>
      </c>
      <c r="J897" s="49">
        <v>3</v>
      </c>
      <c r="K897" s="50">
        <v>475</v>
      </c>
      <c r="L897" s="50">
        <v>471.15</v>
      </c>
      <c r="M897" s="48" t="s">
        <v>276</v>
      </c>
      <c r="N897" s="51">
        <v>1</v>
      </c>
      <c r="O897" s="51">
        <v>1</v>
      </c>
      <c r="P897" s="52">
        <v>306</v>
      </c>
      <c r="Q897" s="52">
        <v>306</v>
      </c>
      <c r="R897" s="53" t="str">
        <f>INDEX(SKU_Master!$D$5:$D$34,MATCH($I897,SKU_Master!$A$5:$A$34,0))</f>
        <v>Accessory</v>
      </c>
      <c r="S897" s="54">
        <f t="shared" si="182"/>
        <v>8.1052631578948375E-3</v>
      </c>
      <c r="T897" s="55">
        <f t="shared" si="183"/>
        <v>1425</v>
      </c>
      <c r="U897" s="55">
        <f t="shared" si="184"/>
        <v>1413.4499999999998</v>
      </c>
      <c r="V897" s="55">
        <f t="shared" si="185"/>
        <v>-11.550000000000182</v>
      </c>
      <c r="W897" s="55">
        <f t="shared" si="186"/>
        <v>1413.4499999999998</v>
      </c>
      <c r="X897" s="55">
        <f t="shared" si="187"/>
        <v>0</v>
      </c>
      <c r="Y897" s="55">
        <f t="shared" si="188"/>
        <v>918</v>
      </c>
      <c r="Z897" s="55">
        <f t="shared" si="189"/>
        <v>918</v>
      </c>
      <c r="AA897" s="55">
        <f t="shared" si="190"/>
        <v>0</v>
      </c>
      <c r="AB897" s="55">
        <f t="shared" si="191"/>
        <v>495.44999999999982</v>
      </c>
      <c r="AC897" s="54">
        <f t="shared" si="192"/>
        <v>0.35052531041069712</v>
      </c>
      <c r="AD897" s="56">
        <f>INDEX(Assumptions!$B$14:$B$16,MATCH($R897,Assumptions!$A$14:$A$16,0))</f>
        <v>0.32</v>
      </c>
      <c r="AE897" s="56">
        <f>INDEX(Assumptions!$C$14:$C$16,MATCH($R897,Assumptions!$A$14:$A$16,0))</f>
        <v>0.22</v>
      </c>
      <c r="AF897" s="49">
        <f t="shared" si="193"/>
        <v>0</v>
      </c>
      <c r="AG897" s="49">
        <f t="shared" si="194"/>
        <v>0</v>
      </c>
      <c r="AH897" s="55">
        <f t="shared" si="195"/>
        <v>0</v>
      </c>
    </row>
    <row r="898" spans="1:34" x14ac:dyDescent="0.2">
      <c r="A898" s="48" t="s">
        <v>885</v>
      </c>
      <c r="B898" s="48">
        <v>1</v>
      </c>
      <c r="C898" s="48" t="s">
        <v>861</v>
      </c>
      <c r="D898" s="48" t="s">
        <v>844</v>
      </c>
      <c r="E898" s="48" t="s">
        <v>374</v>
      </c>
      <c r="F898" s="48" t="s">
        <v>274</v>
      </c>
      <c r="G898" s="48" t="s">
        <v>281</v>
      </c>
      <c r="H898" s="48" t="s">
        <v>62</v>
      </c>
      <c r="I898" s="48" t="s">
        <v>103</v>
      </c>
      <c r="J898" s="49">
        <v>9</v>
      </c>
      <c r="K898" s="50">
        <v>1135</v>
      </c>
      <c r="L898" s="50">
        <v>1121.03</v>
      </c>
      <c r="M898" s="48" t="s">
        <v>276</v>
      </c>
      <c r="N898" s="51">
        <v>1</v>
      </c>
      <c r="O898" s="51">
        <v>1</v>
      </c>
      <c r="P898" s="52">
        <v>968.6</v>
      </c>
      <c r="Q898" s="52">
        <v>968.6</v>
      </c>
      <c r="R898" s="53" t="str">
        <f>INDEX(SKU_Master!$D$5:$D$34,MATCH($I898,SKU_Master!$A$5:$A$34,0))</f>
        <v>Laptop</v>
      </c>
      <c r="S898" s="54">
        <f t="shared" si="182"/>
        <v>1.2308370044052941E-2</v>
      </c>
      <c r="T898" s="55">
        <f t="shared" si="183"/>
        <v>10215</v>
      </c>
      <c r="U898" s="55">
        <f t="shared" si="184"/>
        <v>10089.27</v>
      </c>
      <c r="V898" s="55">
        <f t="shared" si="185"/>
        <v>-125.72999999999956</v>
      </c>
      <c r="W898" s="55">
        <f t="shared" si="186"/>
        <v>10089.27</v>
      </c>
      <c r="X898" s="55">
        <f t="shared" si="187"/>
        <v>0</v>
      </c>
      <c r="Y898" s="55">
        <f t="shared" si="188"/>
        <v>8717.4</v>
      </c>
      <c r="Z898" s="55">
        <f t="shared" si="189"/>
        <v>8717.4</v>
      </c>
      <c r="AA898" s="55">
        <f t="shared" si="190"/>
        <v>0</v>
      </c>
      <c r="AB898" s="55">
        <f t="shared" si="191"/>
        <v>1371.8700000000008</v>
      </c>
      <c r="AC898" s="54">
        <f t="shared" si="192"/>
        <v>0.13597316753342914</v>
      </c>
      <c r="AD898" s="56">
        <f>INDEX(Assumptions!$B$14:$B$16,MATCH($R898,Assumptions!$A$14:$A$16,0))</f>
        <v>0.12</v>
      </c>
      <c r="AE898" s="56">
        <f>INDEX(Assumptions!$C$14:$C$16,MATCH($R898,Assumptions!$A$14:$A$16,0))</f>
        <v>0.08</v>
      </c>
      <c r="AF898" s="49">
        <f t="shared" si="193"/>
        <v>0</v>
      </c>
      <c r="AG898" s="49">
        <f t="shared" si="194"/>
        <v>0</v>
      </c>
      <c r="AH898" s="55">
        <f t="shared" si="195"/>
        <v>0</v>
      </c>
    </row>
    <row r="899" spans="1:34" x14ac:dyDescent="0.2">
      <c r="A899" s="48" t="s">
        <v>885</v>
      </c>
      <c r="B899" s="48">
        <v>2</v>
      </c>
      <c r="C899" s="48" t="s">
        <v>861</v>
      </c>
      <c r="D899" s="48" t="s">
        <v>844</v>
      </c>
      <c r="E899" s="48" t="s">
        <v>374</v>
      </c>
      <c r="F899" s="48" t="s">
        <v>274</v>
      </c>
      <c r="G899" s="48" t="s">
        <v>281</v>
      </c>
      <c r="H899" s="48" t="s">
        <v>62</v>
      </c>
      <c r="I899" s="48" t="s">
        <v>135</v>
      </c>
      <c r="J899" s="49">
        <v>10</v>
      </c>
      <c r="K899" s="50">
        <v>240</v>
      </c>
      <c r="L899" s="50">
        <v>239.25</v>
      </c>
      <c r="M899" s="48" t="s">
        <v>276</v>
      </c>
      <c r="N899" s="51">
        <v>1</v>
      </c>
      <c r="O899" s="51">
        <v>1</v>
      </c>
      <c r="P899" s="52">
        <v>186.7</v>
      </c>
      <c r="Q899" s="52">
        <v>186.7</v>
      </c>
      <c r="R899" s="53" t="str">
        <f>INDEX(SKU_Master!$D$5:$D$34,MATCH($I899,SKU_Master!$A$5:$A$34,0))</f>
        <v>Monitor</v>
      </c>
      <c r="S899" s="54">
        <f t="shared" si="182"/>
        <v>3.1250000000000444E-3</v>
      </c>
      <c r="T899" s="55">
        <f t="shared" si="183"/>
        <v>2400</v>
      </c>
      <c r="U899" s="55">
        <f t="shared" si="184"/>
        <v>2392.5</v>
      </c>
      <c r="V899" s="55">
        <f t="shared" si="185"/>
        <v>-7.5</v>
      </c>
      <c r="W899" s="55">
        <f t="shared" si="186"/>
        <v>2392.5</v>
      </c>
      <c r="X899" s="55">
        <f t="shared" si="187"/>
        <v>0</v>
      </c>
      <c r="Y899" s="55">
        <f t="shared" si="188"/>
        <v>1867</v>
      </c>
      <c r="Z899" s="55">
        <f t="shared" si="189"/>
        <v>1867</v>
      </c>
      <c r="AA899" s="55">
        <f t="shared" si="190"/>
        <v>0</v>
      </c>
      <c r="AB899" s="55">
        <f t="shared" si="191"/>
        <v>525.5</v>
      </c>
      <c r="AC899" s="54">
        <f t="shared" si="192"/>
        <v>0.21964472309299896</v>
      </c>
      <c r="AD899" s="56">
        <f>INDEX(Assumptions!$B$14:$B$16,MATCH($R899,Assumptions!$A$14:$A$16,0))</f>
        <v>0.18</v>
      </c>
      <c r="AE899" s="56">
        <f>INDEX(Assumptions!$C$14:$C$16,MATCH($R899,Assumptions!$A$14:$A$16,0))</f>
        <v>0.12</v>
      </c>
      <c r="AF899" s="49">
        <f t="shared" si="193"/>
        <v>0</v>
      </c>
      <c r="AG899" s="49">
        <f t="shared" si="194"/>
        <v>0</v>
      </c>
      <c r="AH899" s="55">
        <f t="shared" si="195"/>
        <v>0</v>
      </c>
    </row>
    <row r="900" spans="1:34" x14ac:dyDescent="0.2">
      <c r="A900" s="48" t="s">
        <v>886</v>
      </c>
      <c r="B900" s="48">
        <v>1</v>
      </c>
      <c r="C900" s="48" t="s">
        <v>887</v>
      </c>
      <c r="D900" s="48" t="s">
        <v>844</v>
      </c>
      <c r="E900" s="48" t="s">
        <v>349</v>
      </c>
      <c r="F900" s="48" t="s">
        <v>274</v>
      </c>
      <c r="G900" s="48" t="s">
        <v>275</v>
      </c>
      <c r="H900" s="48" t="s">
        <v>66</v>
      </c>
      <c r="I900" s="48" t="s">
        <v>110</v>
      </c>
      <c r="J900" s="49">
        <v>9</v>
      </c>
      <c r="K900" s="50">
        <v>1115</v>
      </c>
      <c r="L900" s="50">
        <v>1113.1199999999999</v>
      </c>
      <c r="M900" s="48" t="s">
        <v>276</v>
      </c>
      <c r="N900" s="51">
        <v>0.92</v>
      </c>
      <c r="O900" s="51">
        <v>0.91820000000000002</v>
      </c>
      <c r="P900" s="52">
        <v>1012.65</v>
      </c>
      <c r="Q900" s="52">
        <v>1012.65</v>
      </c>
      <c r="R900" s="53" t="str">
        <f>INDEX(SKU_Master!$D$5:$D$34,MATCH($I900,SKU_Master!$A$5:$A$34,0))</f>
        <v>Laptop</v>
      </c>
      <c r="S900" s="54">
        <f t="shared" si="182"/>
        <v>1.6860986547085899E-3</v>
      </c>
      <c r="T900" s="55">
        <f t="shared" si="183"/>
        <v>10907.608695652174</v>
      </c>
      <c r="U900" s="55">
        <f t="shared" si="184"/>
        <v>10889.217391304346</v>
      </c>
      <c r="V900" s="55">
        <f t="shared" si="185"/>
        <v>-18.391304347827827</v>
      </c>
      <c r="W900" s="55">
        <f t="shared" si="186"/>
        <v>10910.564147244606</v>
      </c>
      <c r="X900" s="55">
        <f t="shared" si="187"/>
        <v>21.346755940259754</v>
      </c>
      <c r="Y900" s="55">
        <f t="shared" si="188"/>
        <v>9113.85</v>
      </c>
      <c r="Z900" s="55">
        <f t="shared" si="189"/>
        <v>9113.85</v>
      </c>
      <c r="AA900" s="55">
        <f t="shared" si="190"/>
        <v>0</v>
      </c>
      <c r="AB900" s="55">
        <f t="shared" si="191"/>
        <v>1796.7141472446056</v>
      </c>
      <c r="AC900" s="54">
        <f t="shared" si="192"/>
        <v>0.16467655778352711</v>
      </c>
      <c r="AD900" s="56">
        <f>INDEX(Assumptions!$B$14:$B$16,MATCH($R900,Assumptions!$A$14:$A$16,0))</f>
        <v>0.12</v>
      </c>
      <c r="AE900" s="56">
        <f>INDEX(Assumptions!$C$14:$C$16,MATCH($R900,Assumptions!$A$14:$A$16,0))</f>
        <v>0.08</v>
      </c>
      <c r="AF900" s="49">
        <f t="shared" si="193"/>
        <v>0</v>
      </c>
      <c r="AG900" s="49">
        <f t="shared" si="194"/>
        <v>0</v>
      </c>
      <c r="AH900" s="55">
        <f t="shared" si="195"/>
        <v>0</v>
      </c>
    </row>
    <row r="901" spans="1:34" x14ac:dyDescent="0.2">
      <c r="A901" s="48" t="s">
        <v>886</v>
      </c>
      <c r="B901" s="48">
        <v>2</v>
      </c>
      <c r="C901" s="48" t="s">
        <v>887</v>
      </c>
      <c r="D901" s="48" t="s">
        <v>844</v>
      </c>
      <c r="E901" s="48" t="s">
        <v>349</v>
      </c>
      <c r="F901" s="48" t="s">
        <v>274</v>
      </c>
      <c r="G901" s="48" t="s">
        <v>275</v>
      </c>
      <c r="H901" s="48" t="s">
        <v>66</v>
      </c>
      <c r="I901" s="48" t="s">
        <v>135</v>
      </c>
      <c r="J901" s="49">
        <v>4</v>
      </c>
      <c r="K901" s="50">
        <v>255</v>
      </c>
      <c r="L901" s="50">
        <v>251.99</v>
      </c>
      <c r="M901" s="48" t="s">
        <v>276</v>
      </c>
      <c r="N901" s="51">
        <v>0.92</v>
      </c>
      <c r="O901" s="51">
        <v>0.91820000000000002</v>
      </c>
      <c r="P901" s="52">
        <v>211.7</v>
      </c>
      <c r="Q901" s="52">
        <v>211.7</v>
      </c>
      <c r="R901" s="53" t="str">
        <f>INDEX(SKU_Master!$D$5:$D$34,MATCH($I901,SKU_Master!$A$5:$A$34,0))</f>
        <v>Monitor</v>
      </c>
      <c r="S901" s="54">
        <f t="shared" ref="S901:S964" si="196">IF(K901=0,0,1-L901/K901)</f>
        <v>1.1803921568627418E-2</v>
      </c>
      <c r="T901" s="55">
        <f t="shared" ref="T901:T964" si="197">J901*K901/N901</f>
        <v>1108.695652173913</v>
      </c>
      <c r="U901" s="55">
        <f t="shared" ref="U901:U964" si="198">J901*L901/N901</f>
        <v>1095.608695652174</v>
      </c>
      <c r="V901" s="55">
        <f t="shared" ref="V901:V964" si="199">U901-T901</f>
        <v>-13.086956521739012</v>
      </c>
      <c r="W901" s="55">
        <f t="shared" ref="W901:W964" si="200">J901*L901/O901</f>
        <v>1097.7564800697016</v>
      </c>
      <c r="X901" s="55">
        <f t="shared" ref="X901:X964" si="201">W901-U901</f>
        <v>2.1477844175276459</v>
      </c>
      <c r="Y901" s="55">
        <f t="shared" ref="Y901:Y964" si="202">J901*P901</f>
        <v>846.8</v>
      </c>
      <c r="Z901" s="55">
        <f t="shared" ref="Z901:Z964" si="203">J901*Q901</f>
        <v>846.8</v>
      </c>
      <c r="AA901" s="55">
        <f t="shared" ref="AA901:AA964" si="204">Y901-Z901</f>
        <v>0</v>
      </c>
      <c r="AB901" s="55">
        <f t="shared" ref="AB901:AB964" si="205">W901-Z901</f>
        <v>250.95648006970168</v>
      </c>
      <c r="AC901" s="54">
        <f t="shared" ref="AC901:AC964" si="206">IF(W901=0,0,AB901/W901)</f>
        <v>0.22860851621096082</v>
      </c>
      <c r="AD901" s="56">
        <f>INDEX(Assumptions!$B$14:$B$16,MATCH($R901,Assumptions!$A$14:$A$16,0))</f>
        <v>0.18</v>
      </c>
      <c r="AE901" s="56">
        <f>INDEX(Assumptions!$C$14:$C$16,MATCH($R901,Assumptions!$A$14:$A$16,0))</f>
        <v>0.12</v>
      </c>
      <c r="AF901" s="49">
        <f t="shared" ref="AF901:AF964" si="207">IF(AC901&lt;AE901,1,0)</f>
        <v>0</v>
      </c>
      <c r="AG901" s="49">
        <f t="shared" ref="AG901:AG964" si="208">IF(AND(AF901=1,M901="N"),1,0)</f>
        <v>0</v>
      </c>
      <c r="AH901" s="55">
        <f t="shared" ref="AH901:AH964" si="209">MAX(0,W901*AD901-AB901)</f>
        <v>0</v>
      </c>
    </row>
    <row r="902" spans="1:34" x14ac:dyDescent="0.2">
      <c r="A902" s="48" t="s">
        <v>888</v>
      </c>
      <c r="B902" s="48">
        <v>1</v>
      </c>
      <c r="C902" s="48" t="s">
        <v>889</v>
      </c>
      <c r="D902" s="48" t="s">
        <v>844</v>
      </c>
      <c r="E902" s="48" t="s">
        <v>366</v>
      </c>
      <c r="F902" s="48" t="s">
        <v>297</v>
      </c>
      <c r="G902" s="48" t="s">
        <v>302</v>
      </c>
      <c r="H902" s="48" t="s">
        <v>66</v>
      </c>
      <c r="I902" s="48" t="s">
        <v>108</v>
      </c>
      <c r="J902" s="49">
        <v>26</v>
      </c>
      <c r="K902" s="50">
        <v>1280</v>
      </c>
      <c r="L902" s="50">
        <v>1179.3699999999999</v>
      </c>
      <c r="M902" s="48" t="s">
        <v>276</v>
      </c>
      <c r="N902" s="51">
        <v>0.92</v>
      </c>
      <c r="O902" s="51">
        <v>0.91820000000000002</v>
      </c>
      <c r="P902" s="52">
        <v>1165</v>
      </c>
      <c r="Q902" s="52">
        <v>1165</v>
      </c>
      <c r="R902" s="53" t="str">
        <f>INDEX(SKU_Master!$D$5:$D$34,MATCH($I902,SKU_Master!$A$5:$A$34,0))</f>
        <v>Laptop</v>
      </c>
      <c r="S902" s="54">
        <f t="shared" si="196"/>
        <v>7.861718750000013E-2</v>
      </c>
      <c r="T902" s="55">
        <f t="shared" si="197"/>
        <v>36173.913043478256</v>
      </c>
      <c r="U902" s="55">
        <f t="shared" si="198"/>
        <v>33330.021739130425</v>
      </c>
      <c r="V902" s="55">
        <f t="shared" si="199"/>
        <v>-2843.8913043478315</v>
      </c>
      <c r="W902" s="55">
        <f t="shared" si="200"/>
        <v>33395.360487911123</v>
      </c>
      <c r="X902" s="55">
        <f t="shared" si="201"/>
        <v>65.338748780697642</v>
      </c>
      <c r="Y902" s="55">
        <f t="shared" si="202"/>
        <v>30290</v>
      </c>
      <c r="Z902" s="55">
        <f t="shared" si="203"/>
        <v>30290</v>
      </c>
      <c r="AA902" s="55">
        <f t="shared" si="204"/>
        <v>0</v>
      </c>
      <c r="AB902" s="55">
        <f t="shared" si="205"/>
        <v>3105.3604879111226</v>
      </c>
      <c r="AC902" s="54">
        <f t="shared" si="206"/>
        <v>9.2987781612216477E-2</v>
      </c>
      <c r="AD902" s="56">
        <f>INDEX(Assumptions!$B$14:$B$16,MATCH($R902,Assumptions!$A$14:$A$16,0))</f>
        <v>0.12</v>
      </c>
      <c r="AE902" s="56">
        <f>INDEX(Assumptions!$C$14:$C$16,MATCH($R902,Assumptions!$A$14:$A$16,0))</f>
        <v>0.08</v>
      </c>
      <c r="AF902" s="49">
        <f t="shared" si="207"/>
        <v>0</v>
      </c>
      <c r="AG902" s="49">
        <f t="shared" si="208"/>
        <v>0</v>
      </c>
      <c r="AH902" s="55">
        <f t="shared" si="209"/>
        <v>902.08277063821197</v>
      </c>
    </row>
    <row r="903" spans="1:34" x14ac:dyDescent="0.2">
      <c r="A903" s="48" t="s">
        <v>888</v>
      </c>
      <c r="B903" s="48">
        <v>2</v>
      </c>
      <c r="C903" s="48" t="s">
        <v>889</v>
      </c>
      <c r="D903" s="48" t="s">
        <v>844</v>
      </c>
      <c r="E903" s="48" t="s">
        <v>366</v>
      </c>
      <c r="F903" s="48" t="s">
        <v>297</v>
      </c>
      <c r="G903" s="48" t="s">
        <v>302</v>
      </c>
      <c r="H903" s="48" t="s">
        <v>66</v>
      </c>
      <c r="I903" s="48" t="s">
        <v>138</v>
      </c>
      <c r="J903" s="49">
        <v>10</v>
      </c>
      <c r="K903" s="50">
        <v>460</v>
      </c>
      <c r="L903" s="50">
        <v>435.4</v>
      </c>
      <c r="M903" s="48" t="s">
        <v>276</v>
      </c>
      <c r="N903" s="51">
        <v>0.92</v>
      </c>
      <c r="O903" s="51">
        <v>0.91820000000000002</v>
      </c>
      <c r="P903" s="52">
        <v>383.2</v>
      </c>
      <c r="Q903" s="52">
        <v>383.2</v>
      </c>
      <c r="R903" s="53" t="str">
        <f>INDEX(SKU_Master!$D$5:$D$34,MATCH($I903,SKU_Master!$A$5:$A$34,0))</f>
        <v>Monitor</v>
      </c>
      <c r="S903" s="54">
        <f t="shared" si="196"/>
        <v>5.3478260869565308E-2</v>
      </c>
      <c r="T903" s="55">
        <f t="shared" si="197"/>
        <v>5000</v>
      </c>
      <c r="U903" s="55">
        <f t="shared" si="198"/>
        <v>4732.608695652174</v>
      </c>
      <c r="V903" s="55">
        <f t="shared" si="199"/>
        <v>-267.39130434782601</v>
      </c>
      <c r="W903" s="55">
        <f t="shared" si="200"/>
        <v>4741.8862992812019</v>
      </c>
      <c r="X903" s="55">
        <f t="shared" si="201"/>
        <v>9.277603629027908</v>
      </c>
      <c r="Y903" s="55">
        <f t="shared" si="202"/>
        <v>3832</v>
      </c>
      <c r="Z903" s="55">
        <f t="shared" si="203"/>
        <v>3832</v>
      </c>
      <c r="AA903" s="55">
        <f t="shared" si="204"/>
        <v>0</v>
      </c>
      <c r="AB903" s="55">
        <f t="shared" si="205"/>
        <v>909.8862992812019</v>
      </c>
      <c r="AC903" s="54">
        <f t="shared" si="206"/>
        <v>0.19188277446026633</v>
      </c>
      <c r="AD903" s="56">
        <f>INDEX(Assumptions!$B$14:$B$16,MATCH($R903,Assumptions!$A$14:$A$16,0))</f>
        <v>0.18</v>
      </c>
      <c r="AE903" s="56">
        <f>INDEX(Assumptions!$C$14:$C$16,MATCH($R903,Assumptions!$A$14:$A$16,0))</f>
        <v>0.12</v>
      </c>
      <c r="AF903" s="49">
        <f t="shared" si="207"/>
        <v>0</v>
      </c>
      <c r="AG903" s="49">
        <f t="shared" si="208"/>
        <v>0</v>
      </c>
      <c r="AH903" s="55">
        <f t="shared" si="209"/>
        <v>0</v>
      </c>
    </row>
    <row r="904" spans="1:34" x14ac:dyDescent="0.2">
      <c r="A904" s="48" t="s">
        <v>888</v>
      </c>
      <c r="B904" s="48">
        <v>3</v>
      </c>
      <c r="C904" s="48" t="s">
        <v>889</v>
      </c>
      <c r="D904" s="48" t="s">
        <v>844</v>
      </c>
      <c r="E904" s="48" t="s">
        <v>366</v>
      </c>
      <c r="F904" s="48" t="s">
        <v>297</v>
      </c>
      <c r="G904" s="48" t="s">
        <v>302</v>
      </c>
      <c r="H904" s="48" t="s">
        <v>66</v>
      </c>
      <c r="I904" s="48" t="s">
        <v>177</v>
      </c>
      <c r="J904" s="49">
        <v>23</v>
      </c>
      <c r="K904" s="50">
        <v>75</v>
      </c>
      <c r="L904" s="50">
        <v>72.52</v>
      </c>
      <c r="M904" s="48" t="s">
        <v>276</v>
      </c>
      <c r="N904" s="51">
        <v>0.92</v>
      </c>
      <c r="O904" s="51">
        <v>0.91820000000000002</v>
      </c>
      <c r="P904" s="52">
        <v>49</v>
      </c>
      <c r="Q904" s="52">
        <v>49</v>
      </c>
      <c r="R904" s="53" t="str">
        <f>INDEX(SKU_Master!$D$5:$D$34,MATCH($I904,SKU_Master!$A$5:$A$34,0))</f>
        <v>Accessory</v>
      </c>
      <c r="S904" s="54">
        <f t="shared" si="196"/>
        <v>3.3066666666666689E-2</v>
      </c>
      <c r="T904" s="55">
        <f t="shared" si="197"/>
        <v>1875</v>
      </c>
      <c r="U904" s="55">
        <f t="shared" si="198"/>
        <v>1812.9999999999998</v>
      </c>
      <c r="V904" s="55">
        <f t="shared" si="199"/>
        <v>-62.000000000000227</v>
      </c>
      <c r="W904" s="55">
        <f t="shared" si="200"/>
        <v>1816.5541276410365</v>
      </c>
      <c r="X904" s="55">
        <f t="shared" si="201"/>
        <v>3.5541276410367573</v>
      </c>
      <c r="Y904" s="55">
        <f t="shared" si="202"/>
        <v>1127</v>
      </c>
      <c r="Z904" s="55">
        <f t="shared" si="203"/>
        <v>1127</v>
      </c>
      <c r="AA904" s="55">
        <f t="shared" si="204"/>
        <v>0</v>
      </c>
      <c r="AB904" s="55">
        <f t="shared" si="205"/>
        <v>689.55412764103653</v>
      </c>
      <c r="AC904" s="54">
        <f t="shared" si="206"/>
        <v>0.37959459459459449</v>
      </c>
      <c r="AD904" s="56">
        <f>INDEX(Assumptions!$B$14:$B$16,MATCH($R904,Assumptions!$A$14:$A$16,0))</f>
        <v>0.32</v>
      </c>
      <c r="AE904" s="56">
        <f>INDEX(Assumptions!$C$14:$C$16,MATCH($R904,Assumptions!$A$14:$A$16,0))</f>
        <v>0.22</v>
      </c>
      <c r="AF904" s="49">
        <f t="shared" si="207"/>
        <v>0</v>
      </c>
      <c r="AG904" s="49">
        <f t="shared" si="208"/>
        <v>0</v>
      </c>
      <c r="AH904" s="55">
        <f t="shared" si="209"/>
        <v>0</v>
      </c>
    </row>
    <row r="905" spans="1:34" x14ac:dyDescent="0.2">
      <c r="A905" s="48" t="s">
        <v>890</v>
      </c>
      <c r="B905" s="48">
        <v>1</v>
      </c>
      <c r="C905" s="48" t="s">
        <v>843</v>
      </c>
      <c r="D905" s="48" t="s">
        <v>844</v>
      </c>
      <c r="E905" s="48" t="s">
        <v>314</v>
      </c>
      <c r="F905" s="48" t="s">
        <v>274</v>
      </c>
      <c r="G905" s="48" t="s">
        <v>298</v>
      </c>
      <c r="H905" s="48" t="s">
        <v>68</v>
      </c>
      <c r="I905" s="48" t="s">
        <v>110</v>
      </c>
      <c r="J905" s="49">
        <v>4</v>
      </c>
      <c r="K905" s="50">
        <v>1645</v>
      </c>
      <c r="L905" s="50">
        <v>1614.25</v>
      </c>
      <c r="M905" s="48" t="s">
        <v>276</v>
      </c>
      <c r="N905" s="51">
        <v>1.37</v>
      </c>
      <c r="O905" s="51">
        <v>1.3718999999999999</v>
      </c>
      <c r="P905" s="52">
        <v>1004.65</v>
      </c>
      <c r="Q905" s="52">
        <v>1004.65</v>
      </c>
      <c r="R905" s="53" t="str">
        <f>INDEX(SKU_Master!$D$5:$D$34,MATCH($I905,SKU_Master!$A$5:$A$34,0))</f>
        <v>Laptop</v>
      </c>
      <c r="S905" s="54">
        <f t="shared" si="196"/>
        <v>1.8693009118540993E-2</v>
      </c>
      <c r="T905" s="55">
        <f t="shared" si="197"/>
        <v>4802.919708029197</v>
      </c>
      <c r="U905" s="55">
        <f t="shared" si="198"/>
        <v>4713.1386861313867</v>
      </c>
      <c r="V905" s="55">
        <f t="shared" si="199"/>
        <v>-89.781021897810206</v>
      </c>
      <c r="W905" s="55">
        <f t="shared" si="200"/>
        <v>4706.6112690429336</v>
      </c>
      <c r="X905" s="55">
        <f t="shared" si="201"/>
        <v>-6.5274170884531486</v>
      </c>
      <c r="Y905" s="55">
        <f t="shared" si="202"/>
        <v>4018.6</v>
      </c>
      <c r="Z905" s="55">
        <f t="shared" si="203"/>
        <v>4018.6</v>
      </c>
      <c r="AA905" s="55">
        <f t="shared" si="204"/>
        <v>0</v>
      </c>
      <c r="AB905" s="55">
        <f t="shared" si="205"/>
        <v>688.01126904293369</v>
      </c>
      <c r="AC905" s="54">
        <f t="shared" si="206"/>
        <v>0.14617975220690732</v>
      </c>
      <c r="AD905" s="56">
        <f>INDEX(Assumptions!$B$14:$B$16,MATCH($R905,Assumptions!$A$14:$A$16,0))</f>
        <v>0.12</v>
      </c>
      <c r="AE905" s="56">
        <f>INDEX(Assumptions!$C$14:$C$16,MATCH($R905,Assumptions!$A$14:$A$16,0))</f>
        <v>0.08</v>
      </c>
      <c r="AF905" s="49">
        <f t="shared" si="207"/>
        <v>0</v>
      </c>
      <c r="AG905" s="49">
        <f t="shared" si="208"/>
        <v>0</v>
      </c>
      <c r="AH905" s="55">
        <f t="shared" si="209"/>
        <v>0</v>
      </c>
    </row>
    <row r="906" spans="1:34" x14ac:dyDescent="0.2">
      <c r="A906" s="48" t="s">
        <v>890</v>
      </c>
      <c r="B906" s="48">
        <v>2</v>
      </c>
      <c r="C906" s="48" t="s">
        <v>843</v>
      </c>
      <c r="D906" s="48" t="s">
        <v>844</v>
      </c>
      <c r="E906" s="48" t="s">
        <v>314</v>
      </c>
      <c r="F906" s="48" t="s">
        <v>274</v>
      </c>
      <c r="G906" s="48" t="s">
        <v>298</v>
      </c>
      <c r="H906" s="48" t="s">
        <v>68</v>
      </c>
      <c r="I906" s="48" t="s">
        <v>166</v>
      </c>
      <c r="J906" s="49">
        <v>4</v>
      </c>
      <c r="K906" s="50">
        <v>375</v>
      </c>
      <c r="L906" s="50">
        <v>372.02</v>
      </c>
      <c r="M906" s="48" t="s">
        <v>276</v>
      </c>
      <c r="N906" s="51">
        <v>1.37</v>
      </c>
      <c r="O906" s="51">
        <v>1.3718999999999999</v>
      </c>
      <c r="P906" s="52">
        <v>172.35</v>
      </c>
      <c r="Q906" s="52">
        <v>172.35</v>
      </c>
      <c r="R906" s="53" t="str">
        <f>INDEX(SKU_Master!$D$5:$D$34,MATCH($I906,SKU_Master!$A$5:$A$34,0))</f>
        <v>Accessory</v>
      </c>
      <c r="S906" s="54">
        <f t="shared" si="196"/>
        <v>7.9466666666667685E-3</v>
      </c>
      <c r="T906" s="55">
        <f t="shared" si="197"/>
        <v>1094.8905109489051</v>
      </c>
      <c r="U906" s="55">
        <f t="shared" si="198"/>
        <v>1086.1897810218977</v>
      </c>
      <c r="V906" s="55">
        <f t="shared" si="199"/>
        <v>-8.7007299270073872</v>
      </c>
      <c r="W906" s="55">
        <f t="shared" si="200"/>
        <v>1084.6854727020921</v>
      </c>
      <c r="X906" s="55">
        <f t="shared" si="201"/>
        <v>-1.5043083198056593</v>
      </c>
      <c r="Y906" s="55">
        <f t="shared" si="202"/>
        <v>689.4</v>
      </c>
      <c r="Z906" s="55">
        <f t="shared" si="203"/>
        <v>689.4</v>
      </c>
      <c r="AA906" s="55">
        <f t="shared" si="204"/>
        <v>0</v>
      </c>
      <c r="AB906" s="55">
        <f t="shared" si="205"/>
        <v>395.28547270209208</v>
      </c>
      <c r="AC906" s="54">
        <f t="shared" si="206"/>
        <v>0.36442404978226983</v>
      </c>
      <c r="AD906" s="56">
        <f>INDEX(Assumptions!$B$14:$B$16,MATCH($R906,Assumptions!$A$14:$A$16,0))</f>
        <v>0.32</v>
      </c>
      <c r="AE906" s="56">
        <f>INDEX(Assumptions!$C$14:$C$16,MATCH($R906,Assumptions!$A$14:$A$16,0))</f>
        <v>0.22</v>
      </c>
      <c r="AF906" s="49">
        <f t="shared" si="207"/>
        <v>0</v>
      </c>
      <c r="AG906" s="49">
        <f t="shared" si="208"/>
        <v>0</v>
      </c>
      <c r="AH906" s="55">
        <f t="shared" si="209"/>
        <v>0</v>
      </c>
    </row>
    <row r="907" spans="1:34" x14ac:dyDescent="0.2">
      <c r="A907" s="48" t="s">
        <v>891</v>
      </c>
      <c r="B907" s="48">
        <v>1</v>
      </c>
      <c r="C907" s="48" t="s">
        <v>889</v>
      </c>
      <c r="D907" s="48" t="s">
        <v>844</v>
      </c>
      <c r="E907" s="48" t="s">
        <v>314</v>
      </c>
      <c r="F907" s="48" t="s">
        <v>274</v>
      </c>
      <c r="G907" s="48" t="s">
        <v>298</v>
      </c>
      <c r="H907" s="48" t="s">
        <v>68</v>
      </c>
      <c r="I907" s="48" t="s">
        <v>98</v>
      </c>
      <c r="J907" s="49">
        <v>7</v>
      </c>
      <c r="K907" s="50">
        <v>2935</v>
      </c>
      <c r="L907" s="50">
        <v>2902.66</v>
      </c>
      <c r="M907" s="48" t="s">
        <v>276</v>
      </c>
      <c r="N907" s="51">
        <v>1.37</v>
      </c>
      <c r="O907" s="51">
        <v>1.3718999999999999</v>
      </c>
      <c r="P907" s="52">
        <v>1792.2</v>
      </c>
      <c r="Q907" s="52">
        <v>1792.2</v>
      </c>
      <c r="R907" s="53" t="str">
        <f>INDEX(SKU_Master!$D$5:$D$34,MATCH($I907,SKU_Master!$A$5:$A$34,0))</f>
        <v>Laptop</v>
      </c>
      <c r="S907" s="54">
        <f t="shared" si="196"/>
        <v>1.1018739352640639E-2</v>
      </c>
      <c r="T907" s="55">
        <f t="shared" si="197"/>
        <v>14996.350364963502</v>
      </c>
      <c r="U907" s="55">
        <f t="shared" si="198"/>
        <v>14831.109489051092</v>
      </c>
      <c r="V907" s="55">
        <f t="shared" si="199"/>
        <v>-165.24087591241005</v>
      </c>
      <c r="W907" s="55">
        <f t="shared" si="200"/>
        <v>14810.569283475472</v>
      </c>
      <c r="X907" s="55">
        <f t="shared" si="201"/>
        <v>-20.540205575620348</v>
      </c>
      <c r="Y907" s="55">
        <f t="shared" si="202"/>
        <v>12545.4</v>
      </c>
      <c r="Z907" s="55">
        <f t="shared" si="203"/>
        <v>12545.4</v>
      </c>
      <c r="AA907" s="55">
        <f t="shared" si="204"/>
        <v>0</v>
      </c>
      <c r="AB907" s="55">
        <f t="shared" si="205"/>
        <v>2265.1692834754722</v>
      </c>
      <c r="AC907" s="54">
        <f t="shared" si="206"/>
        <v>0.15294275595488277</v>
      </c>
      <c r="AD907" s="56">
        <f>INDEX(Assumptions!$B$14:$B$16,MATCH($R907,Assumptions!$A$14:$A$16,0))</f>
        <v>0.12</v>
      </c>
      <c r="AE907" s="56">
        <f>INDEX(Assumptions!$C$14:$C$16,MATCH($R907,Assumptions!$A$14:$A$16,0))</f>
        <v>0.08</v>
      </c>
      <c r="AF907" s="49">
        <f t="shared" si="207"/>
        <v>0</v>
      </c>
      <c r="AG907" s="49">
        <f t="shared" si="208"/>
        <v>0</v>
      </c>
      <c r="AH907" s="55">
        <f t="shared" si="209"/>
        <v>0</v>
      </c>
    </row>
    <row r="908" spans="1:34" x14ac:dyDescent="0.2">
      <c r="A908" s="48" t="s">
        <v>891</v>
      </c>
      <c r="B908" s="48">
        <v>2</v>
      </c>
      <c r="C908" s="48" t="s">
        <v>889</v>
      </c>
      <c r="D908" s="48" t="s">
        <v>844</v>
      </c>
      <c r="E908" s="48" t="s">
        <v>314</v>
      </c>
      <c r="F908" s="48" t="s">
        <v>274</v>
      </c>
      <c r="G908" s="48" t="s">
        <v>298</v>
      </c>
      <c r="H908" s="48" t="s">
        <v>68</v>
      </c>
      <c r="I908" s="48" t="s">
        <v>151</v>
      </c>
      <c r="J908" s="49">
        <v>6</v>
      </c>
      <c r="K908" s="50">
        <v>475</v>
      </c>
      <c r="L908" s="50">
        <v>467.02</v>
      </c>
      <c r="M908" s="48" t="s">
        <v>276</v>
      </c>
      <c r="N908" s="51">
        <v>1.37</v>
      </c>
      <c r="O908" s="51">
        <v>1.3718999999999999</v>
      </c>
      <c r="P908" s="52">
        <v>219.7</v>
      </c>
      <c r="Q908" s="52">
        <v>219.7</v>
      </c>
      <c r="R908" s="53" t="str">
        <f>INDEX(SKU_Master!$D$5:$D$34,MATCH($I908,SKU_Master!$A$5:$A$34,0))</f>
        <v>Accessory</v>
      </c>
      <c r="S908" s="54">
        <f t="shared" si="196"/>
        <v>1.6800000000000037E-2</v>
      </c>
      <c r="T908" s="55">
        <f t="shared" si="197"/>
        <v>2080.2919708029194</v>
      </c>
      <c r="U908" s="55">
        <f t="shared" si="198"/>
        <v>2045.3430656934304</v>
      </c>
      <c r="V908" s="55">
        <f t="shared" si="199"/>
        <v>-34.948905109489033</v>
      </c>
      <c r="W908" s="55">
        <f t="shared" si="200"/>
        <v>2042.5103870544501</v>
      </c>
      <c r="X908" s="55">
        <f t="shared" si="201"/>
        <v>-2.8326786389802692</v>
      </c>
      <c r="Y908" s="55">
        <f t="shared" si="202"/>
        <v>1318.1999999999998</v>
      </c>
      <c r="Z908" s="55">
        <f t="shared" si="203"/>
        <v>1318.1999999999998</v>
      </c>
      <c r="AA908" s="55">
        <f t="shared" si="204"/>
        <v>0</v>
      </c>
      <c r="AB908" s="55">
        <f t="shared" si="205"/>
        <v>724.3103870544503</v>
      </c>
      <c r="AC908" s="54">
        <f t="shared" si="206"/>
        <v>0.35461772515095724</v>
      </c>
      <c r="AD908" s="56">
        <f>INDEX(Assumptions!$B$14:$B$16,MATCH($R908,Assumptions!$A$14:$A$16,0))</f>
        <v>0.32</v>
      </c>
      <c r="AE908" s="56">
        <f>INDEX(Assumptions!$C$14:$C$16,MATCH($R908,Assumptions!$A$14:$A$16,0))</f>
        <v>0.22</v>
      </c>
      <c r="AF908" s="49">
        <f t="shared" si="207"/>
        <v>0</v>
      </c>
      <c r="AG908" s="49">
        <f t="shared" si="208"/>
        <v>0</v>
      </c>
      <c r="AH908" s="55">
        <f t="shared" si="209"/>
        <v>0</v>
      </c>
    </row>
    <row r="909" spans="1:34" x14ac:dyDescent="0.2">
      <c r="A909" s="48" t="s">
        <v>892</v>
      </c>
      <c r="B909" s="48">
        <v>1</v>
      </c>
      <c r="C909" s="48" t="s">
        <v>843</v>
      </c>
      <c r="D909" s="48" t="s">
        <v>844</v>
      </c>
      <c r="E909" s="48" t="s">
        <v>368</v>
      </c>
      <c r="F909" s="48" t="s">
        <v>274</v>
      </c>
      <c r="G909" s="48" t="s">
        <v>288</v>
      </c>
      <c r="H909" s="48" t="s">
        <v>68</v>
      </c>
      <c r="I909" s="48" t="s">
        <v>93</v>
      </c>
      <c r="J909" s="49">
        <v>9</v>
      </c>
      <c r="K909" s="50">
        <v>1960</v>
      </c>
      <c r="L909" s="50">
        <v>1941.42</v>
      </c>
      <c r="M909" s="48" t="s">
        <v>276</v>
      </c>
      <c r="N909" s="51">
        <v>1.37</v>
      </c>
      <c r="O909" s="51">
        <v>1.3718999999999999</v>
      </c>
      <c r="P909" s="52">
        <v>1198.2</v>
      </c>
      <c r="Q909" s="52">
        <v>1198.2</v>
      </c>
      <c r="R909" s="53" t="str">
        <f>INDEX(SKU_Master!$D$5:$D$34,MATCH($I909,SKU_Master!$A$5:$A$34,0))</f>
        <v>Laptop</v>
      </c>
      <c r="S909" s="54">
        <f t="shared" si="196"/>
        <v>9.4795918367346355E-3</v>
      </c>
      <c r="T909" s="55">
        <f t="shared" si="197"/>
        <v>12875.912408759123</v>
      </c>
      <c r="U909" s="55">
        <f t="shared" si="198"/>
        <v>12753.854014598539</v>
      </c>
      <c r="V909" s="55">
        <f t="shared" si="199"/>
        <v>-122.0583941605837</v>
      </c>
      <c r="W909" s="55">
        <f t="shared" si="200"/>
        <v>12736.19068445222</v>
      </c>
      <c r="X909" s="55">
        <f t="shared" si="201"/>
        <v>-17.663330146318913</v>
      </c>
      <c r="Y909" s="55">
        <f t="shared" si="202"/>
        <v>10783.800000000001</v>
      </c>
      <c r="Z909" s="55">
        <f t="shared" si="203"/>
        <v>10783.800000000001</v>
      </c>
      <c r="AA909" s="55">
        <f t="shared" si="204"/>
        <v>0</v>
      </c>
      <c r="AB909" s="55">
        <f t="shared" si="205"/>
        <v>1952.3906844522189</v>
      </c>
      <c r="AC909" s="54">
        <f t="shared" si="206"/>
        <v>0.15329471211793425</v>
      </c>
      <c r="AD909" s="56">
        <f>INDEX(Assumptions!$B$14:$B$16,MATCH($R909,Assumptions!$A$14:$A$16,0))</f>
        <v>0.12</v>
      </c>
      <c r="AE909" s="56">
        <f>INDEX(Assumptions!$C$14:$C$16,MATCH($R909,Assumptions!$A$14:$A$16,0))</f>
        <v>0.08</v>
      </c>
      <c r="AF909" s="49">
        <f t="shared" si="207"/>
        <v>0</v>
      </c>
      <c r="AG909" s="49">
        <f t="shared" si="208"/>
        <v>0</v>
      </c>
      <c r="AH909" s="55">
        <f t="shared" si="209"/>
        <v>0</v>
      </c>
    </row>
    <row r="910" spans="1:34" x14ac:dyDescent="0.2">
      <c r="A910" s="48" t="s">
        <v>892</v>
      </c>
      <c r="B910" s="48">
        <v>2</v>
      </c>
      <c r="C910" s="48" t="s">
        <v>843</v>
      </c>
      <c r="D910" s="48" t="s">
        <v>844</v>
      </c>
      <c r="E910" s="48" t="s">
        <v>368</v>
      </c>
      <c r="F910" s="48" t="s">
        <v>274</v>
      </c>
      <c r="G910" s="48" t="s">
        <v>288</v>
      </c>
      <c r="H910" s="48" t="s">
        <v>68</v>
      </c>
      <c r="I910" s="48" t="s">
        <v>146</v>
      </c>
      <c r="J910" s="49">
        <v>4</v>
      </c>
      <c r="K910" s="50">
        <v>350</v>
      </c>
      <c r="L910" s="50">
        <v>349.87</v>
      </c>
      <c r="M910" s="48" t="s">
        <v>276</v>
      </c>
      <c r="N910" s="51">
        <v>1.37</v>
      </c>
      <c r="O910" s="51">
        <v>1.3718999999999999</v>
      </c>
      <c r="P910" s="52">
        <v>196.8</v>
      </c>
      <c r="Q910" s="52">
        <v>196.8</v>
      </c>
      <c r="R910" s="53" t="str">
        <f>INDEX(SKU_Master!$D$5:$D$34,MATCH($I910,SKU_Master!$A$5:$A$34,0))</f>
        <v>Monitor</v>
      </c>
      <c r="S910" s="54">
        <f t="shared" si="196"/>
        <v>3.714285714285781E-4</v>
      </c>
      <c r="T910" s="55">
        <f t="shared" si="197"/>
        <v>1021.8978102189781</v>
      </c>
      <c r="U910" s="55">
        <f t="shared" si="198"/>
        <v>1021.5182481751824</v>
      </c>
      <c r="V910" s="55">
        <f t="shared" si="199"/>
        <v>-0.37956204379565861</v>
      </c>
      <c r="W910" s="55">
        <f t="shared" si="200"/>
        <v>1020.1035060864496</v>
      </c>
      <c r="X910" s="55">
        <f t="shared" si="201"/>
        <v>-1.4147420887328508</v>
      </c>
      <c r="Y910" s="55">
        <f t="shared" si="202"/>
        <v>787.2</v>
      </c>
      <c r="Z910" s="55">
        <f t="shared" si="203"/>
        <v>787.2</v>
      </c>
      <c r="AA910" s="55">
        <f t="shared" si="204"/>
        <v>0</v>
      </c>
      <c r="AB910" s="55">
        <f t="shared" si="205"/>
        <v>232.90350608644951</v>
      </c>
      <c r="AC910" s="54">
        <f t="shared" si="206"/>
        <v>0.22831360219510108</v>
      </c>
      <c r="AD910" s="56">
        <f>INDEX(Assumptions!$B$14:$B$16,MATCH($R910,Assumptions!$A$14:$A$16,0))</f>
        <v>0.18</v>
      </c>
      <c r="AE910" s="56">
        <f>INDEX(Assumptions!$C$14:$C$16,MATCH($R910,Assumptions!$A$14:$A$16,0))</f>
        <v>0.12</v>
      </c>
      <c r="AF910" s="49">
        <f t="shared" si="207"/>
        <v>0</v>
      </c>
      <c r="AG910" s="49">
        <f t="shared" si="208"/>
        <v>0</v>
      </c>
      <c r="AH910" s="55">
        <f t="shared" si="209"/>
        <v>0</v>
      </c>
    </row>
    <row r="911" spans="1:34" x14ac:dyDescent="0.2">
      <c r="A911" s="48" t="s">
        <v>893</v>
      </c>
      <c r="B911" s="48">
        <v>1</v>
      </c>
      <c r="C911" s="48" t="s">
        <v>884</v>
      </c>
      <c r="D911" s="48" t="s">
        <v>844</v>
      </c>
      <c r="E911" s="48" t="s">
        <v>336</v>
      </c>
      <c r="F911" s="48" t="s">
        <v>274</v>
      </c>
      <c r="G911" s="48" t="s">
        <v>288</v>
      </c>
      <c r="H911" s="48" t="s">
        <v>62</v>
      </c>
      <c r="I911" s="48" t="s">
        <v>93</v>
      </c>
      <c r="J911" s="49">
        <v>9</v>
      </c>
      <c r="K911" s="50">
        <v>1390</v>
      </c>
      <c r="L911" s="50">
        <v>1374.19</v>
      </c>
      <c r="M911" s="48" t="s">
        <v>276</v>
      </c>
      <c r="N911" s="51">
        <v>1</v>
      </c>
      <c r="O911" s="51">
        <v>1</v>
      </c>
      <c r="P911" s="52">
        <v>1186.2</v>
      </c>
      <c r="Q911" s="52">
        <v>1186.2</v>
      </c>
      <c r="R911" s="53" t="str">
        <f>INDEX(SKU_Master!$D$5:$D$34,MATCH($I911,SKU_Master!$A$5:$A$34,0))</f>
        <v>Laptop</v>
      </c>
      <c r="S911" s="54">
        <f t="shared" si="196"/>
        <v>1.1374100719424463E-2</v>
      </c>
      <c r="T911" s="55">
        <f t="shared" si="197"/>
        <v>12510</v>
      </c>
      <c r="U911" s="55">
        <f t="shared" si="198"/>
        <v>12367.710000000001</v>
      </c>
      <c r="V911" s="55">
        <f t="shared" si="199"/>
        <v>-142.28999999999905</v>
      </c>
      <c r="W911" s="55">
        <f t="shared" si="200"/>
        <v>12367.710000000001</v>
      </c>
      <c r="X911" s="55">
        <f t="shared" si="201"/>
        <v>0</v>
      </c>
      <c r="Y911" s="55">
        <f t="shared" si="202"/>
        <v>10675.800000000001</v>
      </c>
      <c r="Z911" s="55">
        <f t="shared" si="203"/>
        <v>10675.800000000001</v>
      </c>
      <c r="AA911" s="55">
        <f t="shared" si="204"/>
        <v>0</v>
      </c>
      <c r="AB911" s="55">
        <f t="shared" si="205"/>
        <v>1691.9099999999999</v>
      </c>
      <c r="AC911" s="54">
        <f t="shared" si="206"/>
        <v>0.13680058798273889</v>
      </c>
      <c r="AD911" s="56">
        <f>INDEX(Assumptions!$B$14:$B$16,MATCH($R911,Assumptions!$A$14:$A$16,0))</f>
        <v>0.12</v>
      </c>
      <c r="AE911" s="56">
        <f>INDEX(Assumptions!$C$14:$C$16,MATCH($R911,Assumptions!$A$14:$A$16,0))</f>
        <v>0.08</v>
      </c>
      <c r="AF911" s="49">
        <f t="shared" si="207"/>
        <v>0</v>
      </c>
      <c r="AG911" s="49">
        <f t="shared" si="208"/>
        <v>0</v>
      </c>
      <c r="AH911" s="55">
        <f t="shared" si="209"/>
        <v>0</v>
      </c>
    </row>
    <row r="912" spans="1:34" x14ac:dyDescent="0.2">
      <c r="A912" s="48" t="s">
        <v>893</v>
      </c>
      <c r="B912" s="48">
        <v>2</v>
      </c>
      <c r="C912" s="48" t="s">
        <v>884</v>
      </c>
      <c r="D912" s="48" t="s">
        <v>844</v>
      </c>
      <c r="E912" s="48" t="s">
        <v>336</v>
      </c>
      <c r="F912" s="48" t="s">
        <v>274</v>
      </c>
      <c r="G912" s="48" t="s">
        <v>288</v>
      </c>
      <c r="H912" s="48" t="s">
        <v>62</v>
      </c>
      <c r="I912" s="48" t="s">
        <v>135</v>
      </c>
      <c r="J912" s="49">
        <v>8</v>
      </c>
      <c r="K912" s="50">
        <v>240</v>
      </c>
      <c r="L912" s="50">
        <v>235.44</v>
      </c>
      <c r="M912" s="48" t="s">
        <v>276</v>
      </c>
      <c r="N912" s="51">
        <v>1</v>
      </c>
      <c r="O912" s="51">
        <v>1</v>
      </c>
      <c r="P912" s="52">
        <v>186.7</v>
      </c>
      <c r="Q912" s="52">
        <v>186.7</v>
      </c>
      <c r="R912" s="53" t="str">
        <f>INDEX(SKU_Master!$D$5:$D$34,MATCH($I912,SKU_Master!$A$5:$A$34,0))</f>
        <v>Monitor</v>
      </c>
      <c r="S912" s="54">
        <f t="shared" si="196"/>
        <v>1.9000000000000017E-2</v>
      </c>
      <c r="T912" s="55">
        <f t="shared" si="197"/>
        <v>1920</v>
      </c>
      <c r="U912" s="55">
        <f t="shared" si="198"/>
        <v>1883.52</v>
      </c>
      <c r="V912" s="55">
        <f t="shared" si="199"/>
        <v>-36.480000000000018</v>
      </c>
      <c r="W912" s="55">
        <f t="shared" si="200"/>
        <v>1883.52</v>
      </c>
      <c r="X912" s="55">
        <f t="shared" si="201"/>
        <v>0</v>
      </c>
      <c r="Y912" s="55">
        <f t="shared" si="202"/>
        <v>1493.6</v>
      </c>
      <c r="Z912" s="55">
        <f t="shared" si="203"/>
        <v>1493.6</v>
      </c>
      <c r="AA912" s="55">
        <f t="shared" si="204"/>
        <v>0</v>
      </c>
      <c r="AB912" s="55">
        <f t="shared" si="205"/>
        <v>389.92000000000007</v>
      </c>
      <c r="AC912" s="54">
        <f t="shared" si="206"/>
        <v>0.20701664967720018</v>
      </c>
      <c r="AD912" s="56">
        <f>INDEX(Assumptions!$B$14:$B$16,MATCH($R912,Assumptions!$A$14:$A$16,0))</f>
        <v>0.18</v>
      </c>
      <c r="AE912" s="56">
        <f>INDEX(Assumptions!$C$14:$C$16,MATCH($R912,Assumptions!$A$14:$A$16,0))</f>
        <v>0.12</v>
      </c>
      <c r="AF912" s="49">
        <f t="shared" si="207"/>
        <v>0</v>
      </c>
      <c r="AG912" s="49">
        <f t="shared" si="208"/>
        <v>0</v>
      </c>
      <c r="AH912" s="55">
        <f t="shared" si="209"/>
        <v>0</v>
      </c>
    </row>
    <row r="913" spans="1:34" x14ac:dyDescent="0.2">
      <c r="A913" s="48" t="s">
        <v>894</v>
      </c>
      <c r="B913" s="48">
        <v>1</v>
      </c>
      <c r="C913" s="48" t="s">
        <v>868</v>
      </c>
      <c r="D913" s="48" t="s">
        <v>844</v>
      </c>
      <c r="E913" s="48" t="s">
        <v>309</v>
      </c>
      <c r="F913" s="48" t="s">
        <v>280</v>
      </c>
      <c r="G913" s="48" t="s">
        <v>298</v>
      </c>
      <c r="H913" s="48" t="s">
        <v>70</v>
      </c>
      <c r="I913" s="48" t="s">
        <v>115</v>
      </c>
      <c r="J913" s="49">
        <v>24</v>
      </c>
      <c r="K913" s="50">
        <v>83560</v>
      </c>
      <c r="L913" s="50">
        <v>82189.48</v>
      </c>
      <c r="M913" s="48" t="s">
        <v>276</v>
      </c>
      <c r="N913" s="51">
        <v>83.5</v>
      </c>
      <c r="O913" s="51">
        <v>84.521799999999999</v>
      </c>
      <c r="P913" s="52">
        <v>838.22</v>
      </c>
      <c r="Q913" s="52">
        <v>858.22</v>
      </c>
      <c r="R913" s="53" t="str">
        <f>INDEX(SKU_Master!$D$5:$D$34,MATCH($I913,SKU_Master!$A$5:$A$34,0))</f>
        <v>Laptop</v>
      </c>
      <c r="S913" s="54">
        <f t="shared" si="196"/>
        <v>1.6401627573001454E-2</v>
      </c>
      <c r="T913" s="55">
        <f t="shared" si="197"/>
        <v>24017.245508982036</v>
      </c>
      <c r="U913" s="55">
        <f t="shared" si="198"/>
        <v>23623.323592814373</v>
      </c>
      <c r="V913" s="55">
        <f t="shared" si="199"/>
        <v>-393.92191616766286</v>
      </c>
      <c r="W913" s="55">
        <f t="shared" si="200"/>
        <v>23337.736773234836</v>
      </c>
      <c r="X913" s="55">
        <f t="shared" si="201"/>
        <v>-285.5868195795374</v>
      </c>
      <c r="Y913" s="55">
        <f t="shared" si="202"/>
        <v>20117.28</v>
      </c>
      <c r="Z913" s="55">
        <f t="shared" si="203"/>
        <v>20597.28</v>
      </c>
      <c r="AA913" s="55">
        <f t="shared" si="204"/>
        <v>-480</v>
      </c>
      <c r="AB913" s="55">
        <f t="shared" si="205"/>
        <v>2740.4567732348369</v>
      </c>
      <c r="AC913" s="54">
        <f t="shared" si="206"/>
        <v>0.11742598692679415</v>
      </c>
      <c r="AD913" s="56">
        <f>INDEX(Assumptions!$B$14:$B$16,MATCH($R913,Assumptions!$A$14:$A$16,0))</f>
        <v>0.12</v>
      </c>
      <c r="AE913" s="56">
        <f>INDEX(Assumptions!$C$14:$C$16,MATCH($R913,Assumptions!$A$14:$A$16,0))</f>
        <v>0.08</v>
      </c>
      <c r="AF913" s="49">
        <f t="shared" si="207"/>
        <v>0</v>
      </c>
      <c r="AG913" s="49">
        <f t="shared" si="208"/>
        <v>0</v>
      </c>
      <c r="AH913" s="55">
        <f t="shared" si="209"/>
        <v>60.071639553343175</v>
      </c>
    </row>
    <row r="914" spans="1:34" x14ac:dyDescent="0.2">
      <c r="A914" s="48" t="s">
        <v>894</v>
      </c>
      <c r="B914" s="48">
        <v>2</v>
      </c>
      <c r="C914" s="48" t="s">
        <v>868</v>
      </c>
      <c r="D914" s="48" t="s">
        <v>844</v>
      </c>
      <c r="E914" s="48" t="s">
        <v>309</v>
      </c>
      <c r="F914" s="48" t="s">
        <v>280</v>
      </c>
      <c r="G914" s="48" t="s">
        <v>298</v>
      </c>
      <c r="H914" s="48" t="s">
        <v>70</v>
      </c>
      <c r="I914" s="48" t="s">
        <v>151</v>
      </c>
      <c r="J914" s="49">
        <v>22</v>
      </c>
      <c r="K914" s="50">
        <v>32735</v>
      </c>
      <c r="L914" s="50">
        <v>32348.13</v>
      </c>
      <c r="M914" s="48" t="s">
        <v>276</v>
      </c>
      <c r="N914" s="51">
        <v>83.5</v>
      </c>
      <c r="O914" s="51">
        <v>84.521799999999999</v>
      </c>
      <c r="P914" s="52">
        <v>248.88</v>
      </c>
      <c r="Q914" s="52">
        <v>253.88</v>
      </c>
      <c r="R914" s="53" t="str">
        <f>INDEX(SKU_Master!$D$5:$D$34,MATCH($I914,SKU_Master!$A$5:$A$34,0))</f>
        <v>Accessory</v>
      </c>
      <c r="S914" s="54">
        <f t="shared" si="196"/>
        <v>1.1818237360623152E-2</v>
      </c>
      <c r="T914" s="55">
        <f t="shared" si="197"/>
        <v>8624.7904191616763</v>
      </c>
      <c r="U914" s="55">
        <f t="shared" si="198"/>
        <v>8522.8605988023955</v>
      </c>
      <c r="V914" s="55">
        <f t="shared" si="199"/>
        <v>-101.92982035928071</v>
      </c>
      <c r="W914" s="55">
        <f t="shared" si="200"/>
        <v>8419.8261276972335</v>
      </c>
      <c r="X914" s="55">
        <f t="shared" si="201"/>
        <v>-103.03447110516208</v>
      </c>
      <c r="Y914" s="55">
        <f t="shared" si="202"/>
        <v>5475.36</v>
      </c>
      <c r="Z914" s="55">
        <f t="shared" si="203"/>
        <v>5585.36</v>
      </c>
      <c r="AA914" s="55">
        <f t="shared" si="204"/>
        <v>-110</v>
      </c>
      <c r="AB914" s="55">
        <f t="shared" si="205"/>
        <v>2834.4661276972338</v>
      </c>
      <c r="AC914" s="54">
        <f t="shared" si="206"/>
        <v>0.33664188365757164</v>
      </c>
      <c r="AD914" s="56">
        <f>INDEX(Assumptions!$B$14:$B$16,MATCH($R914,Assumptions!$A$14:$A$16,0))</f>
        <v>0.32</v>
      </c>
      <c r="AE914" s="56">
        <f>INDEX(Assumptions!$C$14:$C$16,MATCH($R914,Assumptions!$A$14:$A$16,0))</f>
        <v>0.22</v>
      </c>
      <c r="AF914" s="49">
        <f t="shared" si="207"/>
        <v>0</v>
      </c>
      <c r="AG914" s="49">
        <f t="shared" si="208"/>
        <v>0</v>
      </c>
      <c r="AH914" s="55">
        <f t="shared" si="209"/>
        <v>0</v>
      </c>
    </row>
    <row r="915" spans="1:34" x14ac:dyDescent="0.2">
      <c r="A915" s="48" t="s">
        <v>895</v>
      </c>
      <c r="B915" s="48">
        <v>1</v>
      </c>
      <c r="C915" s="48" t="s">
        <v>855</v>
      </c>
      <c r="D915" s="48" t="s">
        <v>844</v>
      </c>
      <c r="E915" s="48" t="s">
        <v>279</v>
      </c>
      <c r="F915" s="48" t="s">
        <v>280</v>
      </c>
      <c r="G915" s="48" t="s">
        <v>281</v>
      </c>
      <c r="H915" s="48" t="s">
        <v>64</v>
      </c>
      <c r="I915" s="48" t="s">
        <v>106</v>
      </c>
      <c r="J915" s="49">
        <v>17</v>
      </c>
      <c r="K915" s="50">
        <v>1250</v>
      </c>
      <c r="L915" s="50">
        <v>1205.05</v>
      </c>
      <c r="M915" s="48" t="s">
        <v>276</v>
      </c>
      <c r="N915" s="51">
        <v>0.79</v>
      </c>
      <c r="O915" s="51">
        <v>0.79600000000000004</v>
      </c>
      <c r="P915" s="52">
        <v>1322.4</v>
      </c>
      <c r="Q915" s="52">
        <v>1322.4</v>
      </c>
      <c r="R915" s="53" t="str">
        <f>INDEX(SKU_Master!$D$5:$D$34,MATCH($I915,SKU_Master!$A$5:$A$34,0))</f>
        <v>Laptop</v>
      </c>
      <c r="S915" s="54">
        <f t="shared" si="196"/>
        <v>3.5959999999999992E-2</v>
      </c>
      <c r="T915" s="55">
        <f t="shared" si="197"/>
        <v>26898.734177215189</v>
      </c>
      <c r="U915" s="55">
        <f t="shared" si="198"/>
        <v>25931.455696202527</v>
      </c>
      <c r="V915" s="55">
        <f t="shared" si="199"/>
        <v>-967.27848101266136</v>
      </c>
      <c r="W915" s="55">
        <f t="shared" si="200"/>
        <v>25735.992462311555</v>
      </c>
      <c r="X915" s="55">
        <f t="shared" si="201"/>
        <v>-195.46323389097233</v>
      </c>
      <c r="Y915" s="55">
        <f t="shared" si="202"/>
        <v>22480.800000000003</v>
      </c>
      <c r="Z915" s="55">
        <f t="shared" si="203"/>
        <v>22480.800000000003</v>
      </c>
      <c r="AA915" s="55">
        <f t="shared" si="204"/>
        <v>0</v>
      </c>
      <c r="AB915" s="55">
        <f t="shared" si="205"/>
        <v>3255.1924623115519</v>
      </c>
      <c r="AC915" s="54">
        <f t="shared" si="206"/>
        <v>0.12648404630513235</v>
      </c>
      <c r="AD915" s="56">
        <f>INDEX(Assumptions!$B$14:$B$16,MATCH($R915,Assumptions!$A$14:$A$16,0))</f>
        <v>0.12</v>
      </c>
      <c r="AE915" s="56">
        <f>INDEX(Assumptions!$C$14:$C$16,MATCH($R915,Assumptions!$A$14:$A$16,0))</f>
        <v>0.08</v>
      </c>
      <c r="AF915" s="49">
        <f t="shared" si="207"/>
        <v>0</v>
      </c>
      <c r="AG915" s="49">
        <f t="shared" si="208"/>
        <v>0</v>
      </c>
      <c r="AH915" s="55">
        <f t="shared" si="209"/>
        <v>0</v>
      </c>
    </row>
    <row r="916" spans="1:34" x14ac:dyDescent="0.2">
      <c r="A916" s="48" t="s">
        <v>896</v>
      </c>
      <c r="B916" s="48">
        <v>1</v>
      </c>
      <c r="C916" s="48" t="s">
        <v>897</v>
      </c>
      <c r="D916" s="48" t="s">
        <v>844</v>
      </c>
      <c r="E916" s="48" t="s">
        <v>284</v>
      </c>
      <c r="F916" s="48" t="s">
        <v>274</v>
      </c>
      <c r="G916" s="48" t="s">
        <v>275</v>
      </c>
      <c r="H916" s="48" t="s">
        <v>64</v>
      </c>
      <c r="I916" s="48" t="s">
        <v>123</v>
      </c>
      <c r="J916" s="49">
        <v>3</v>
      </c>
      <c r="K916" s="50">
        <v>1205</v>
      </c>
      <c r="L916" s="50">
        <v>1187.05</v>
      </c>
      <c r="M916" s="48" t="s">
        <v>276</v>
      </c>
      <c r="N916" s="51">
        <v>0.79</v>
      </c>
      <c r="O916" s="51">
        <v>0.79600000000000004</v>
      </c>
      <c r="P916" s="52">
        <v>1273.25</v>
      </c>
      <c r="Q916" s="52">
        <v>1273.25</v>
      </c>
      <c r="R916" s="53" t="str">
        <f>INDEX(SKU_Master!$D$5:$D$34,MATCH($I916,SKU_Master!$A$5:$A$34,0))</f>
        <v>Laptop</v>
      </c>
      <c r="S916" s="54">
        <f t="shared" si="196"/>
        <v>1.4896265560165989E-2</v>
      </c>
      <c r="T916" s="55">
        <f t="shared" si="197"/>
        <v>4575.9493670886077</v>
      </c>
      <c r="U916" s="55">
        <f t="shared" si="198"/>
        <v>4507.7848101265818</v>
      </c>
      <c r="V916" s="55">
        <f t="shared" si="199"/>
        <v>-68.164556962025927</v>
      </c>
      <c r="W916" s="55">
        <f t="shared" si="200"/>
        <v>4473.8065326633159</v>
      </c>
      <c r="X916" s="55">
        <f t="shared" si="201"/>
        <v>-33.97827746326584</v>
      </c>
      <c r="Y916" s="55">
        <f t="shared" si="202"/>
        <v>3819.75</v>
      </c>
      <c r="Z916" s="55">
        <f t="shared" si="203"/>
        <v>3819.75</v>
      </c>
      <c r="AA916" s="55">
        <f t="shared" si="204"/>
        <v>0</v>
      </c>
      <c r="AB916" s="55">
        <f t="shared" si="205"/>
        <v>654.05653266331592</v>
      </c>
      <c r="AC916" s="54">
        <f t="shared" si="206"/>
        <v>0.14619687460511338</v>
      </c>
      <c r="AD916" s="56">
        <f>INDEX(Assumptions!$B$14:$B$16,MATCH($R916,Assumptions!$A$14:$A$16,0))</f>
        <v>0.12</v>
      </c>
      <c r="AE916" s="56">
        <f>INDEX(Assumptions!$C$14:$C$16,MATCH($R916,Assumptions!$A$14:$A$16,0))</f>
        <v>0.08</v>
      </c>
      <c r="AF916" s="49">
        <f t="shared" si="207"/>
        <v>0</v>
      </c>
      <c r="AG916" s="49">
        <f t="shared" si="208"/>
        <v>0</v>
      </c>
      <c r="AH916" s="55">
        <f t="shared" si="209"/>
        <v>0</v>
      </c>
    </row>
    <row r="917" spans="1:34" x14ac:dyDescent="0.2">
      <c r="A917" s="48" t="s">
        <v>896</v>
      </c>
      <c r="B917" s="48">
        <v>2</v>
      </c>
      <c r="C917" s="48" t="s">
        <v>897</v>
      </c>
      <c r="D917" s="48" t="s">
        <v>844</v>
      </c>
      <c r="E917" s="48" t="s">
        <v>284</v>
      </c>
      <c r="F917" s="48" t="s">
        <v>274</v>
      </c>
      <c r="G917" s="48" t="s">
        <v>275</v>
      </c>
      <c r="H917" s="48" t="s">
        <v>64</v>
      </c>
      <c r="I917" s="48" t="s">
        <v>135</v>
      </c>
      <c r="J917" s="49">
        <v>2</v>
      </c>
      <c r="K917" s="50">
        <v>225</v>
      </c>
      <c r="L917" s="50">
        <v>222.35</v>
      </c>
      <c r="M917" s="48" t="s">
        <v>276</v>
      </c>
      <c r="N917" s="51">
        <v>0.79</v>
      </c>
      <c r="O917" s="51">
        <v>0.79600000000000004</v>
      </c>
      <c r="P917" s="52">
        <v>216.7</v>
      </c>
      <c r="Q917" s="52">
        <v>216.7</v>
      </c>
      <c r="R917" s="53" t="str">
        <f>INDEX(SKU_Master!$D$5:$D$34,MATCH($I917,SKU_Master!$A$5:$A$34,0))</f>
        <v>Monitor</v>
      </c>
      <c r="S917" s="54">
        <f t="shared" si="196"/>
        <v>1.1777777777777776E-2</v>
      </c>
      <c r="T917" s="55">
        <f t="shared" si="197"/>
        <v>569.62025316455697</v>
      </c>
      <c r="U917" s="55">
        <f t="shared" si="198"/>
        <v>562.91139240506322</v>
      </c>
      <c r="V917" s="55">
        <f t="shared" si="199"/>
        <v>-6.7088607594937457</v>
      </c>
      <c r="W917" s="55">
        <f t="shared" si="200"/>
        <v>558.6683417085427</v>
      </c>
      <c r="X917" s="55">
        <f t="shared" si="201"/>
        <v>-4.2430506965205268</v>
      </c>
      <c r="Y917" s="55">
        <f t="shared" si="202"/>
        <v>433.4</v>
      </c>
      <c r="Z917" s="55">
        <f t="shared" si="203"/>
        <v>433.4</v>
      </c>
      <c r="AA917" s="55">
        <f t="shared" si="204"/>
        <v>0</v>
      </c>
      <c r="AB917" s="55">
        <f t="shared" si="205"/>
        <v>125.26834170854272</v>
      </c>
      <c r="AC917" s="54">
        <f t="shared" si="206"/>
        <v>0.22422666966494267</v>
      </c>
      <c r="AD917" s="56">
        <f>INDEX(Assumptions!$B$14:$B$16,MATCH($R917,Assumptions!$A$14:$A$16,0))</f>
        <v>0.18</v>
      </c>
      <c r="AE917" s="56">
        <f>INDEX(Assumptions!$C$14:$C$16,MATCH($R917,Assumptions!$A$14:$A$16,0))</f>
        <v>0.12</v>
      </c>
      <c r="AF917" s="49">
        <f t="shared" si="207"/>
        <v>0</v>
      </c>
      <c r="AG917" s="49">
        <f t="shared" si="208"/>
        <v>0</v>
      </c>
      <c r="AH917" s="55">
        <f t="shared" si="209"/>
        <v>0</v>
      </c>
    </row>
    <row r="918" spans="1:34" x14ac:dyDescent="0.2">
      <c r="A918" s="48" t="s">
        <v>896</v>
      </c>
      <c r="B918" s="48">
        <v>3</v>
      </c>
      <c r="C918" s="48" t="s">
        <v>897</v>
      </c>
      <c r="D918" s="48" t="s">
        <v>844</v>
      </c>
      <c r="E918" s="48" t="s">
        <v>284</v>
      </c>
      <c r="F918" s="48" t="s">
        <v>274</v>
      </c>
      <c r="G918" s="48" t="s">
        <v>275</v>
      </c>
      <c r="H918" s="48" t="s">
        <v>64</v>
      </c>
      <c r="I918" s="48" t="s">
        <v>151</v>
      </c>
      <c r="J918" s="49">
        <v>2</v>
      </c>
      <c r="K918" s="50">
        <v>280</v>
      </c>
      <c r="L918" s="50">
        <v>278.41000000000003</v>
      </c>
      <c r="M918" s="48" t="s">
        <v>276</v>
      </c>
      <c r="N918" s="51">
        <v>0.79</v>
      </c>
      <c r="O918" s="51">
        <v>0.79600000000000004</v>
      </c>
      <c r="P918" s="52">
        <v>222.7</v>
      </c>
      <c r="Q918" s="52">
        <v>222.7</v>
      </c>
      <c r="R918" s="53" t="str">
        <f>INDEX(SKU_Master!$D$5:$D$34,MATCH($I918,SKU_Master!$A$5:$A$34,0))</f>
        <v>Accessory</v>
      </c>
      <c r="S918" s="54">
        <f t="shared" si="196"/>
        <v>5.6785714285713107E-3</v>
      </c>
      <c r="T918" s="55">
        <f t="shared" si="197"/>
        <v>708.8607594936708</v>
      </c>
      <c r="U918" s="55">
        <f t="shared" si="198"/>
        <v>704.83544303797476</v>
      </c>
      <c r="V918" s="55">
        <f t="shared" si="199"/>
        <v>-4.0253164556960428</v>
      </c>
      <c r="W918" s="55">
        <f t="shared" si="200"/>
        <v>699.52261306532671</v>
      </c>
      <c r="X918" s="55">
        <f t="shared" si="201"/>
        <v>-5.3128299726480464</v>
      </c>
      <c r="Y918" s="55">
        <f t="shared" si="202"/>
        <v>445.4</v>
      </c>
      <c r="Z918" s="55">
        <f t="shared" si="203"/>
        <v>445.4</v>
      </c>
      <c r="AA918" s="55">
        <f t="shared" si="204"/>
        <v>0</v>
      </c>
      <c r="AB918" s="55">
        <f t="shared" si="205"/>
        <v>254.12261306532673</v>
      </c>
      <c r="AC918" s="54">
        <f t="shared" si="206"/>
        <v>0.3632800545957402</v>
      </c>
      <c r="AD918" s="56">
        <f>INDEX(Assumptions!$B$14:$B$16,MATCH($R918,Assumptions!$A$14:$A$16,0))</f>
        <v>0.32</v>
      </c>
      <c r="AE918" s="56">
        <f>INDEX(Assumptions!$C$14:$C$16,MATCH($R918,Assumptions!$A$14:$A$16,0))</f>
        <v>0.22</v>
      </c>
      <c r="AF918" s="49">
        <f t="shared" si="207"/>
        <v>0</v>
      </c>
      <c r="AG918" s="49">
        <f t="shared" si="208"/>
        <v>0</v>
      </c>
      <c r="AH918" s="55">
        <f t="shared" si="209"/>
        <v>0</v>
      </c>
    </row>
    <row r="919" spans="1:34" x14ac:dyDescent="0.2">
      <c r="A919" s="48" t="s">
        <v>898</v>
      </c>
      <c r="B919" s="48">
        <v>1</v>
      </c>
      <c r="C919" s="48" t="s">
        <v>899</v>
      </c>
      <c r="D919" s="48" t="s">
        <v>844</v>
      </c>
      <c r="E919" s="48" t="s">
        <v>325</v>
      </c>
      <c r="F919" s="48" t="s">
        <v>274</v>
      </c>
      <c r="G919" s="48" t="s">
        <v>298</v>
      </c>
      <c r="H919" s="48" t="s">
        <v>62</v>
      </c>
      <c r="I919" s="48" t="s">
        <v>93</v>
      </c>
      <c r="J919" s="49">
        <v>9</v>
      </c>
      <c r="K919" s="50">
        <v>1390</v>
      </c>
      <c r="L919" s="50">
        <v>1369.88</v>
      </c>
      <c r="M919" s="48" t="s">
        <v>276</v>
      </c>
      <c r="N919" s="51">
        <v>1</v>
      </c>
      <c r="O919" s="51">
        <v>1</v>
      </c>
      <c r="P919" s="52">
        <v>1186.2</v>
      </c>
      <c r="Q919" s="52">
        <v>1186.2</v>
      </c>
      <c r="R919" s="53" t="str">
        <f>INDEX(SKU_Master!$D$5:$D$34,MATCH($I919,SKU_Master!$A$5:$A$34,0))</f>
        <v>Laptop</v>
      </c>
      <c r="S919" s="54">
        <f t="shared" si="196"/>
        <v>1.4474820143884792E-2</v>
      </c>
      <c r="T919" s="55">
        <f t="shared" si="197"/>
        <v>12510</v>
      </c>
      <c r="U919" s="55">
        <f t="shared" si="198"/>
        <v>12328.920000000002</v>
      </c>
      <c r="V919" s="55">
        <f t="shared" si="199"/>
        <v>-181.07999999999811</v>
      </c>
      <c r="W919" s="55">
        <f t="shared" si="200"/>
        <v>12328.920000000002</v>
      </c>
      <c r="X919" s="55">
        <f t="shared" si="201"/>
        <v>0</v>
      </c>
      <c r="Y919" s="55">
        <f t="shared" si="202"/>
        <v>10675.800000000001</v>
      </c>
      <c r="Z919" s="55">
        <f t="shared" si="203"/>
        <v>10675.800000000001</v>
      </c>
      <c r="AA919" s="55">
        <f t="shared" si="204"/>
        <v>0</v>
      </c>
      <c r="AB919" s="55">
        <f t="shared" si="205"/>
        <v>1653.1200000000008</v>
      </c>
      <c r="AC919" s="54">
        <f t="shared" si="206"/>
        <v>0.13408473734925691</v>
      </c>
      <c r="AD919" s="56">
        <f>INDEX(Assumptions!$B$14:$B$16,MATCH($R919,Assumptions!$A$14:$A$16,0))</f>
        <v>0.12</v>
      </c>
      <c r="AE919" s="56">
        <f>INDEX(Assumptions!$C$14:$C$16,MATCH($R919,Assumptions!$A$14:$A$16,0))</f>
        <v>0.08</v>
      </c>
      <c r="AF919" s="49">
        <f t="shared" si="207"/>
        <v>0</v>
      </c>
      <c r="AG919" s="49">
        <f t="shared" si="208"/>
        <v>0</v>
      </c>
      <c r="AH919" s="55">
        <f t="shared" si="209"/>
        <v>0</v>
      </c>
    </row>
    <row r="920" spans="1:34" x14ac:dyDescent="0.2">
      <c r="A920" s="48" t="s">
        <v>898</v>
      </c>
      <c r="B920" s="48">
        <v>2</v>
      </c>
      <c r="C920" s="48" t="s">
        <v>899</v>
      </c>
      <c r="D920" s="48" t="s">
        <v>844</v>
      </c>
      <c r="E920" s="48" t="s">
        <v>325</v>
      </c>
      <c r="F920" s="48" t="s">
        <v>274</v>
      </c>
      <c r="G920" s="48" t="s">
        <v>298</v>
      </c>
      <c r="H920" s="48" t="s">
        <v>62</v>
      </c>
      <c r="I920" s="48" t="s">
        <v>135</v>
      </c>
      <c r="J920" s="49">
        <v>10</v>
      </c>
      <c r="K920" s="50">
        <v>240</v>
      </c>
      <c r="L920" s="50">
        <v>239.87</v>
      </c>
      <c r="M920" s="48" t="s">
        <v>276</v>
      </c>
      <c r="N920" s="51">
        <v>1</v>
      </c>
      <c r="O920" s="51">
        <v>1</v>
      </c>
      <c r="P920" s="52">
        <v>186.7</v>
      </c>
      <c r="Q920" s="52">
        <v>186.7</v>
      </c>
      <c r="R920" s="53" t="str">
        <f>INDEX(SKU_Master!$D$5:$D$34,MATCH($I920,SKU_Master!$A$5:$A$34,0))</f>
        <v>Monitor</v>
      </c>
      <c r="S920" s="54">
        <f t="shared" si="196"/>
        <v>5.4166666666666252E-4</v>
      </c>
      <c r="T920" s="55">
        <f t="shared" si="197"/>
        <v>2400</v>
      </c>
      <c r="U920" s="55">
        <f t="shared" si="198"/>
        <v>2398.6999999999998</v>
      </c>
      <c r="V920" s="55">
        <f t="shared" si="199"/>
        <v>-1.3000000000001819</v>
      </c>
      <c r="W920" s="55">
        <f t="shared" si="200"/>
        <v>2398.6999999999998</v>
      </c>
      <c r="X920" s="55">
        <f t="shared" si="201"/>
        <v>0</v>
      </c>
      <c r="Y920" s="55">
        <f t="shared" si="202"/>
        <v>1867</v>
      </c>
      <c r="Z920" s="55">
        <f t="shared" si="203"/>
        <v>1867</v>
      </c>
      <c r="AA920" s="55">
        <f t="shared" si="204"/>
        <v>0</v>
      </c>
      <c r="AB920" s="55">
        <f t="shared" si="205"/>
        <v>531.69999999999982</v>
      </c>
      <c r="AC920" s="54">
        <f t="shared" si="206"/>
        <v>0.22166173343894605</v>
      </c>
      <c r="AD920" s="56">
        <f>INDEX(Assumptions!$B$14:$B$16,MATCH($R920,Assumptions!$A$14:$A$16,0))</f>
        <v>0.18</v>
      </c>
      <c r="AE920" s="56">
        <f>INDEX(Assumptions!$C$14:$C$16,MATCH($R920,Assumptions!$A$14:$A$16,0))</f>
        <v>0.12</v>
      </c>
      <c r="AF920" s="49">
        <f t="shared" si="207"/>
        <v>0</v>
      </c>
      <c r="AG920" s="49">
        <f t="shared" si="208"/>
        <v>0</v>
      </c>
      <c r="AH920" s="55">
        <f t="shared" si="209"/>
        <v>0</v>
      </c>
    </row>
    <row r="921" spans="1:34" x14ac:dyDescent="0.2">
      <c r="A921" s="48" t="s">
        <v>898</v>
      </c>
      <c r="B921" s="48">
        <v>3</v>
      </c>
      <c r="C921" s="48" t="s">
        <v>899</v>
      </c>
      <c r="D921" s="48" t="s">
        <v>844</v>
      </c>
      <c r="E921" s="48" t="s">
        <v>325</v>
      </c>
      <c r="F921" s="48" t="s">
        <v>274</v>
      </c>
      <c r="G921" s="48" t="s">
        <v>298</v>
      </c>
      <c r="H921" s="48" t="s">
        <v>62</v>
      </c>
      <c r="I921" s="48" t="s">
        <v>161</v>
      </c>
      <c r="J921" s="49">
        <v>5</v>
      </c>
      <c r="K921" s="50">
        <v>120</v>
      </c>
      <c r="L921" s="50">
        <v>119.46</v>
      </c>
      <c r="M921" s="48" t="s">
        <v>276</v>
      </c>
      <c r="N921" s="51">
        <v>1</v>
      </c>
      <c r="O921" s="51">
        <v>1</v>
      </c>
      <c r="P921" s="52">
        <v>76</v>
      </c>
      <c r="Q921" s="52">
        <v>76</v>
      </c>
      <c r="R921" s="53" t="str">
        <f>INDEX(SKU_Master!$D$5:$D$34,MATCH($I921,SKU_Master!$A$5:$A$34,0))</f>
        <v>Accessory</v>
      </c>
      <c r="S921" s="54">
        <f t="shared" si="196"/>
        <v>4.5000000000000595E-3</v>
      </c>
      <c r="T921" s="55">
        <f t="shared" si="197"/>
        <v>600</v>
      </c>
      <c r="U921" s="55">
        <f t="shared" si="198"/>
        <v>597.29999999999995</v>
      </c>
      <c r="V921" s="55">
        <f t="shared" si="199"/>
        <v>-2.7000000000000455</v>
      </c>
      <c r="W921" s="55">
        <f t="shared" si="200"/>
        <v>597.29999999999995</v>
      </c>
      <c r="X921" s="55">
        <f t="shared" si="201"/>
        <v>0</v>
      </c>
      <c r="Y921" s="55">
        <f t="shared" si="202"/>
        <v>380</v>
      </c>
      <c r="Z921" s="55">
        <f t="shared" si="203"/>
        <v>380</v>
      </c>
      <c r="AA921" s="55">
        <f t="shared" si="204"/>
        <v>0</v>
      </c>
      <c r="AB921" s="55">
        <f t="shared" si="205"/>
        <v>217.29999999999995</v>
      </c>
      <c r="AC921" s="54">
        <f t="shared" si="206"/>
        <v>0.36380378369328642</v>
      </c>
      <c r="AD921" s="56">
        <f>INDEX(Assumptions!$B$14:$B$16,MATCH($R921,Assumptions!$A$14:$A$16,0))</f>
        <v>0.32</v>
      </c>
      <c r="AE921" s="56">
        <f>INDEX(Assumptions!$C$14:$C$16,MATCH($R921,Assumptions!$A$14:$A$16,0))</f>
        <v>0.22</v>
      </c>
      <c r="AF921" s="49">
        <f t="shared" si="207"/>
        <v>0</v>
      </c>
      <c r="AG921" s="49">
        <f t="shared" si="208"/>
        <v>0</v>
      </c>
      <c r="AH921" s="55">
        <f t="shared" si="209"/>
        <v>0</v>
      </c>
    </row>
    <row r="922" spans="1:34" x14ac:dyDescent="0.2">
      <c r="A922" s="48" t="s">
        <v>900</v>
      </c>
      <c r="B922" s="48">
        <v>1</v>
      </c>
      <c r="C922" s="48" t="s">
        <v>901</v>
      </c>
      <c r="D922" s="48" t="s">
        <v>844</v>
      </c>
      <c r="E922" s="48" t="s">
        <v>314</v>
      </c>
      <c r="F922" s="48" t="s">
        <v>274</v>
      </c>
      <c r="G922" s="48" t="s">
        <v>298</v>
      </c>
      <c r="H922" s="48" t="s">
        <v>68</v>
      </c>
      <c r="I922" s="48" t="s">
        <v>98</v>
      </c>
      <c r="J922" s="49">
        <v>5</v>
      </c>
      <c r="K922" s="50">
        <v>2935</v>
      </c>
      <c r="L922" s="50">
        <v>2925.95</v>
      </c>
      <c r="M922" s="48" t="s">
        <v>276</v>
      </c>
      <c r="N922" s="51">
        <v>1.37</v>
      </c>
      <c r="O922" s="51">
        <v>1.3718999999999999</v>
      </c>
      <c r="P922" s="52">
        <v>1792.2</v>
      </c>
      <c r="Q922" s="52">
        <v>1792.2</v>
      </c>
      <c r="R922" s="53" t="str">
        <f>INDEX(SKU_Master!$D$5:$D$34,MATCH($I922,SKU_Master!$A$5:$A$34,0))</f>
        <v>Laptop</v>
      </c>
      <c r="S922" s="54">
        <f t="shared" si="196"/>
        <v>3.0834752981261371E-3</v>
      </c>
      <c r="T922" s="55">
        <f t="shared" si="197"/>
        <v>10711.678832116788</v>
      </c>
      <c r="U922" s="55">
        <f t="shared" si="198"/>
        <v>10678.649635036496</v>
      </c>
      <c r="V922" s="55">
        <f t="shared" si="199"/>
        <v>-33.029197080291851</v>
      </c>
      <c r="W922" s="55">
        <f t="shared" si="200"/>
        <v>10663.860339674904</v>
      </c>
      <c r="X922" s="55">
        <f t="shared" si="201"/>
        <v>-14.78929536159194</v>
      </c>
      <c r="Y922" s="55">
        <f t="shared" si="202"/>
        <v>8961</v>
      </c>
      <c r="Z922" s="55">
        <f t="shared" si="203"/>
        <v>8961</v>
      </c>
      <c r="AA922" s="55">
        <f t="shared" si="204"/>
        <v>0</v>
      </c>
      <c r="AB922" s="55">
        <f t="shared" si="205"/>
        <v>1702.860339674904</v>
      </c>
      <c r="AC922" s="54">
        <f t="shared" si="206"/>
        <v>0.15968516891949627</v>
      </c>
      <c r="AD922" s="56">
        <f>INDEX(Assumptions!$B$14:$B$16,MATCH($R922,Assumptions!$A$14:$A$16,0))</f>
        <v>0.12</v>
      </c>
      <c r="AE922" s="56">
        <f>INDEX(Assumptions!$C$14:$C$16,MATCH($R922,Assumptions!$A$14:$A$16,0))</f>
        <v>0.08</v>
      </c>
      <c r="AF922" s="49">
        <f t="shared" si="207"/>
        <v>0</v>
      </c>
      <c r="AG922" s="49">
        <f t="shared" si="208"/>
        <v>0</v>
      </c>
      <c r="AH922" s="55">
        <f t="shared" si="209"/>
        <v>0</v>
      </c>
    </row>
    <row r="923" spans="1:34" x14ac:dyDescent="0.2">
      <c r="A923" s="48" t="s">
        <v>902</v>
      </c>
      <c r="B923" s="48">
        <v>1</v>
      </c>
      <c r="C923" s="48" t="s">
        <v>897</v>
      </c>
      <c r="D923" s="48" t="s">
        <v>844</v>
      </c>
      <c r="E923" s="48" t="s">
        <v>322</v>
      </c>
      <c r="F923" s="48" t="s">
        <v>274</v>
      </c>
      <c r="G923" s="48" t="s">
        <v>288</v>
      </c>
      <c r="H923" s="48" t="s">
        <v>62</v>
      </c>
      <c r="I923" s="48" t="s">
        <v>108</v>
      </c>
      <c r="J923" s="49">
        <v>2</v>
      </c>
      <c r="K923" s="50">
        <v>1345</v>
      </c>
      <c r="L923" s="50">
        <v>1327.42</v>
      </c>
      <c r="M923" s="48" t="s">
        <v>276</v>
      </c>
      <c r="N923" s="51">
        <v>1</v>
      </c>
      <c r="O923" s="51">
        <v>1</v>
      </c>
      <c r="P923" s="52">
        <v>1145</v>
      </c>
      <c r="Q923" s="52">
        <v>1145</v>
      </c>
      <c r="R923" s="53" t="str">
        <f>INDEX(SKU_Master!$D$5:$D$34,MATCH($I923,SKU_Master!$A$5:$A$34,0))</f>
        <v>Laptop</v>
      </c>
      <c r="S923" s="54">
        <f t="shared" si="196"/>
        <v>1.3070631970260149E-2</v>
      </c>
      <c r="T923" s="55">
        <f t="shared" si="197"/>
        <v>2690</v>
      </c>
      <c r="U923" s="55">
        <f t="shared" si="198"/>
        <v>2654.84</v>
      </c>
      <c r="V923" s="55">
        <f t="shared" si="199"/>
        <v>-35.159999999999854</v>
      </c>
      <c r="W923" s="55">
        <f t="shared" si="200"/>
        <v>2654.84</v>
      </c>
      <c r="X923" s="55">
        <f t="shared" si="201"/>
        <v>0</v>
      </c>
      <c r="Y923" s="55">
        <f t="shared" si="202"/>
        <v>2290</v>
      </c>
      <c r="Z923" s="55">
        <f t="shared" si="203"/>
        <v>2290</v>
      </c>
      <c r="AA923" s="55">
        <f t="shared" si="204"/>
        <v>0</v>
      </c>
      <c r="AB923" s="55">
        <f t="shared" si="205"/>
        <v>364.84000000000015</v>
      </c>
      <c r="AC923" s="54">
        <f t="shared" si="206"/>
        <v>0.13742447755796963</v>
      </c>
      <c r="AD923" s="56">
        <f>INDEX(Assumptions!$B$14:$B$16,MATCH($R923,Assumptions!$A$14:$A$16,0))</f>
        <v>0.12</v>
      </c>
      <c r="AE923" s="56">
        <f>INDEX(Assumptions!$C$14:$C$16,MATCH($R923,Assumptions!$A$14:$A$16,0))</f>
        <v>0.08</v>
      </c>
      <c r="AF923" s="49">
        <f t="shared" si="207"/>
        <v>0</v>
      </c>
      <c r="AG923" s="49">
        <f t="shared" si="208"/>
        <v>0</v>
      </c>
      <c r="AH923" s="55">
        <f t="shared" si="209"/>
        <v>0</v>
      </c>
    </row>
    <row r="924" spans="1:34" x14ac:dyDescent="0.2">
      <c r="A924" s="48" t="s">
        <v>902</v>
      </c>
      <c r="B924" s="48">
        <v>2</v>
      </c>
      <c r="C924" s="48" t="s">
        <v>897</v>
      </c>
      <c r="D924" s="48" t="s">
        <v>844</v>
      </c>
      <c r="E924" s="48" t="s">
        <v>322</v>
      </c>
      <c r="F924" s="48" t="s">
        <v>274</v>
      </c>
      <c r="G924" s="48" t="s">
        <v>288</v>
      </c>
      <c r="H924" s="48" t="s">
        <v>62</v>
      </c>
      <c r="I924" s="48" t="s">
        <v>157</v>
      </c>
      <c r="J924" s="49">
        <v>1</v>
      </c>
      <c r="K924" s="50">
        <v>135</v>
      </c>
      <c r="L924" s="50">
        <v>134.51</v>
      </c>
      <c r="M924" s="48" t="s">
        <v>276</v>
      </c>
      <c r="N924" s="51">
        <v>1</v>
      </c>
      <c r="O924" s="51">
        <v>1</v>
      </c>
      <c r="P924" s="52">
        <v>86</v>
      </c>
      <c r="Q924" s="52">
        <v>86</v>
      </c>
      <c r="R924" s="53" t="str">
        <f>INDEX(SKU_Master!$D$5:$D$34,MATCH($I924,SKU_Master!$A$5:$A$34,0))</f>
        <v>Accessory</v>
      </c>
      <c r="S924" s="54">
        <f t="shared" si="196"/>
        <v>3.6296296296296493E-3</v>
      </c>
      <c r="T924" s="55">
        <f t="shared" si="197"/>
        <v>135</v>
      </c>
      <c r="U924" s="55">
        <f t="shared" si="198"/>
        <v>134.51</v>
      </c>
      <c r="V924" s="55">
        <f t="shared" si="199"/>
        <v>-0.49000000000000909</v>
      </c>
      <c r="W924" s="55">
        <f t="shared" si="200"/>
        <v>134.51</v>
      </c>
      <c r="X924" s="55">
        <f t="shared" si="201"/>
        <v>0</v>
      </c>
      <c r="Y924" s="55">
        <f t="shared" si="202"/>
        <v>86</v>
      </c>
      <c r="Z924" s="55">
        <f t="shared" si="203"/>
        <v>86</v>
      </c>
      <c r="AA924" s="55">
        <f t="shared" si="204"/>
        <v>0</v>
      </c>
      <c r="AB924" s="55">
        <f t="shared" si="205"/>
        <v>48.509999999999991</v>
      </c>
      <c r="AC924" s="54">
        <f t="shared" si="206"/>
        <v>0.36064233142517282</v>
      </c>
      <c r="AD924" s="56">
        <f>INDEX(Assumptions!$B$14:$B$16,MATCH($R924,Assumptions!$A$14:$A$16,0))</f>
        <v>0.32</v>
      </c>
      <c r="AE924" s="56">
        <f>INDEX(Assumptions!$C$14:$C$16,MATCH($R924,Assumptions!$A$14:$A$16,0))</f>
        <v>0.22</v>
      </c>
      <c r="AF924" s="49">
        <f t="shared" si="207"/>
        <v>0</v>
      </c>
      <c r="AG924" s="49">
        <f t="shared" si="208"/>
        <v>0</v>
      </c>
      <c r="AH924" s="55">
        <f t="shared" si="209"/>
        <v>0</v>
      </c>
    </row>
    <row r="925" spans="1:34" x14ac:dyDescent="0.2">
      <c r="A925" s="48" t="s">
        <v>903</v>
      </c>
      <c r="B925" s="48">
        <v>1</v>
      </c>
      <c r="C925" s="48" t="s">
        <v>904</v>
      </c>
      <c r="D925" s="48" t="s">
        <v>844</v>
      </c>
      <c r="E925" s="48" t="s">
        <v>393</v>
      </c>
      <c r="F925" s="48" t="s">
        <v>274</v>
      </c>
      <c r="G925" s="48" t="s">
        <v>275</v>
      </c>
      <c r="H925" s="48" t="s">
        <v>66</v>
      </c>
      <c r="I925" s="48" t="s">
        <v>113</v>
      </c>
      <c r="J925" s="49">
        <v>8</v>
      </c>
      <c r="K925" s="50">
        <v>1655</v>
      </c>
      <c r="L925" s="50">
        <v>1630.29</v>
      </c>
      <c r="M925" s="48" t="s">
        <v>276</v>
      </c>
      <c r="N925" s="51">
        <v>0.92</v>
      </c>
      <c r="O925" s="51">
        <v>0.91820000000000002</v>
      </c>
      <c r="P925" s="52">
        <v>1504.8</v>
      </c>
      <c r="Q925" s="52">
        <v>1504.8</v>
      </c>
      <c r="R925" s="53" t="str">
        <f>INDEX(SKU_Master!$D$5:$D$34,MATCH($I925,SKU_Master!$A$5:$A$34,0))</f>
        <v>Laptop</v>
      </c>
      <c r="S925" s="54">
        <f t="shared" si="196"/>
        <v>1.4930513595166173E-2</v>
      </c>
      <c r="T925" s="55">
        <f t="shared" si="197"/>
        <v>14391.304347826086</v>
      </c>
      <c r="U925" s="55">
        <f t="shared" si="198"/>
        <v>14176.434782608694</v>
      </c>
      <c r="V925" s="55">
        <f t="shared" si="199"/>
        <v>-214.86956521739194</v>
      </c>
      <c r="W925" s="55">
        <f t="shared" si="200"/>
        <v>14204.225658897843</v>
      </c>
      <c r="X925" s="55">
        <f t="shared" si="201"/>
        <v>27.79087628914931</v>
      </c>
      <c r="Y925" s="55">
        <f t="shared" si="202"/>
        <v>12038.4</v>
      </c>
      <c r="Z925" s="55">
        <f t="shared" si="203"/>
        <v>12038.4</v>
      </c>
      <c r="AA925" s="55">
        <f t="shared" si="204"/>
        <v>0</v>
      </c>
      <c r="AB925" s="55">
        <f t="shared" si="205"/>
        <v>2165.8256588978438</v>
      </c>
      <c r="AC925" s="54">
        <f t="shared" si="206"/>
        <v>0.15247755920725761</v>
      </c>
      <c r="AD925" s="56">
        <f>INDEX(Assumptions!$B$14:$B$16,MATCH($R925,Assumptions!$A$14:$A$16,0))</f>
        <v>0.12</v>
      </c>
      <c r="AE925" s="56">
        <f>INDEX(Assumptions!$C$14:$C$16,MATCH($R925,Assumptions!$A$14:$A$16,0))</f>
        <v>0.08</v>
      </c>
      <c r="AF925" s="49">
        <f t="shared" si="207"/>
        <v>0</v>
      </c>
      <c r="AG925" s="49">
        <f t="shared" si="208"/>
        <v>0</v>
      </c>
      <c r="AH925" s="55">
        <f t="shared" si="209"/>
        <v>0</v>
      </c>
    </row>
    <row r="926" spans="1:34" x14ac:dyDescent="0.2">
      <c r="A926" s="48" t="s">
        <v>903</v>
      </c>
      <c r="B926" s="48">
        <v>2</v>
      </c>
      <c r="C926" s="48" t="s">
        <v>904</v>
      </c>
      <c r="D926" s="48" t="s">
        <v>844</v>
      </c>
      <c r="E926" s="48" t="s">
        <v>393</v>
      </c>
      <c r="F926" s="48" t="s">
        <v>274</v>
      </c>
      <c r="G926" s="48" t="s">
        <v>275</v>
      </c>
      <c r="H926" s="48" t="s">
        <v>66</v>
      </c>
      <c r="I926" s="48" t="s">
        <v>135</v>
      </c>
      <c r="J926" s="49">
        <v>4</v>
      </c>
      <c r="K926" s="50">
        <v>255</v>
      </c>
      <c r="L926" s="50">
        <v>252.61</v>
      </c>
      <c r="M926" s="48" t="s">
        <v>276</v>
      </c>
      <c r="N926" s="51">
        <v>0.92</v>
      </c>
      <c r="O926" s="51">
        <v>0.91820000000000002</v>
      </c>
      <c r="P926" s="52">
        <v>211.7</v>
      </c>
      <c r="Q926" s="52">
        <v>211.7</v>
      </c>
      <c r="R926" s="53" t="str">
        <f>INDEX(SKU_Master!$D$5:$D$34,MATCH($I926,SKU_Master!$A$5:$A$34,0))</f>
        <v>Monitor</v>
      </c>
      <c r="S926" s="54">
        <f t="shared" si="196"/>
        <v>9.3725490196078232E-3</v>
      </c>
      <c r="T926" s="55">
        <f t="shared" si="197"/>
        <v>1108.695652173913</v>
      </c>
      <c r="U926" s="55">
        <f t="shared" si="198"/>
        <v>1098.304347826087</v>
      </c>
      <c r="V926" s="55">
        <f t="shared" si="199"/>
        <v>-10.391304347826008</v>
      </c>
      <c r="W926" s="55">
        <f t="shared" si="200"/>
        <v>1100.4574166848181</v>
      </c>
      <c r="X926" s="55">
        <f t="shared" si="201"/>
        <v>2.1530688587311033</v>
      </c>
      <c r="Y926" s="55">
        <f t="shared" si="202"/>
        <v>846.8</v>
      </c>
      <c r="Z926" s="55">
        <f t="shared" si="203"/>
        <v>846.8</v>
      </c>
      <c r="AA926" s="55">
        <f t="shared" si="204"/>
        <v>0</v>
      </c>
      <c r="AB926" s="55">
        <f t="shared" si="205"/>
        <v>253.65741668481814</v>
      </c>
      <c r="AC926" s="54">
        <f t="shared" si="206"/>
        <v>0.2305018011955188</v>
      </c>
      <c r="AD926" s="56">
        <f>INDEX(Assumptions!$B$14:$B$16,MATCH($R926,Assumptions!$A$14:$A$16,0))</f>
        <v>0.18</v>
      </c>
      <c r="AE926" s="56">
        <f>INDEX(Assumptions!$C$14:$C$16,MATCH($R926,Assumptions!$A$14:$A$16,0))</f>
        <v>0.12</v>
      </c>
      <c r="AF926" s="49">
        <f t="shared" si="207"/>
        <v>0</v>
      </c>
      <c r="AG926" s="49">
        <f t="shared" si="208"/>
        <v>0</v>
      </c>
      <c r="AH926" s="55">
        <f t="shared" si="209"/>
        <v>0</v>
      </c>
    </row>
    <row r="927" spans="1:34" x14ac:dyDescent="0.2">
      <c r="A927" s="48" t="s">
        <v>905</v>
      </c>
      <c r="B927" s="48">
        <v>1</v>
      </c>
      <c r="C927" s="48" t="s">
        <v>857</v>
      </c>
      <c r="D927" s="48" t="s">
        <v>844</v>
      </c>
      <c r="E927" s="48" t="s">
        <v>362</v>
      </c>
      <c r="F927" s="48" t="s">
        <v>280</v>
      </c>
      <c r="G927" s="48" t="s">
        <v>275</v>
      </c>
      <c r="H927" s="48" t="s">
        <v>62</v>
      </c>
      <c r="I927" s="48" t="s">
        <v>93</v>
      </c>
      <c r="J927" s="49">
        <v>14</v>
      </c>
      <c r="K927" s="50">
        <v>1390</v>
      </c>
      <c r="L927" s="50">
        <v>1358.04</v>
      </c>
      <c r="M927" s="48" t="s">
        <v>276</v>
      </c>
      <c r="N927" s="51">
        <v>1</v>
      </c>
      <c r="O927" s="51">
        <v>1</v>
      </c>
      <c r="P927" s="52">
        <v>1186.2</v>
      </c>
      <c r="Q927" s="52">
        <v>1186.2</v>
      </c>
      <c r="R927" s="53" t="str">
        <f>INDEX(SKU_Master!$D$5:$D$34,MATCH($I927,SKU_Master!$A$5:$A$34,0))</f>
        <v>Laptop</v>
      </c>
      <c r="S927" s="54">
        <f t="shared" si="196"/>
        <v>2.2992805755395751E-2</v>
      </c>
      <c r="T927" s="55">
        <f t="shared" si="197"/>
        <v>19460</v>
      </c>
      <c r="U927" s="55">
        <f t="shared" si="198"/>
        <v>19012.559999999998</v>
      </c>
      <c r="V927" s="55">
        <f t="shared" si="199"/>
        <v>-447.44000000000233</v>
      </c>
      <c r="W927" s="55">
        <f t="shared" si="200"/>
        <v>19012.559999999998</v>
      </c>
      <c r="X927" s="55">
        <f t="shared" si="201"/>
        <v>0</v>
      </c>
      <c r="Y927" s="55">
        <f t="shared" si="202"/>
        <v>16606.8</v>
      </c>
      <c r="Z927" s="55">
        <f t="shared" si="203"/>
        <v>16606.8</v>
      </c>
      <c r="AA927" s="55">
        <f t="shared" si="204"/>
        <v>0</v>
      </c>
      <c r="AB927" s="55">
        <f t="shared" si="205"/>
        <v>2405.7599999999984</v>
      </c>
      <c r="AC927" s="54">
        <f t="shared" si="206"/>
        <v>0.12653530087479006</v>
      </c>
      <c r="AD927" s="56">
        <f>INDEX(Assumptions!$B$14:$B$16,MATCH($R927,Assumptions!$A$14:$A$16,0))</f>
        <v>0.12</v>
      </c>
      <c r="AE927" s="56">
        <f>INDEX(Assumptions!$C$14:$C$16,MATCH($R927,Assumptions!$A$14:$A$16,0))</f>
        <v>0.08</v>
      </c>
      <c r="AF927" s="49">
        <f t="shared" si="207"/>
        <v>0</v>
      </c>
      <c r="AG927" s="49">
        <f t="shared" si="208"/>
        <v>0</v>
      </c>
      <c r="AH927" s="55">
        <f t="shared" si="209"/>
        <v>0</v>
      </c>
    </row>
    <row r="928" spans="1:34" x14ac:dyDescent="0.2">
      <c r="A928" s="48" t="s">
        <v>905</v>
      </c>
      <c r="B928" s="48">
        <v>2</v>
      </c>
      <c r="C928" s="48" t="s">
        <v>857</v>
      </c>
      <c r="D928" s="48" t="s">
        <v>844</v>
      </c>
      <c r="E928" s="48" t="s">
        <v>362</v>
      </c>
      <c r="F928" s="48" t="s">
        <v>280</v>
      </c>
      <c r="G928" s="48" t="s">
        <v>275</v>
      </c>
      <c r="H928" s="48" t="s">
        <v>62</v>
      </c>
      <c r="I928" s="48" t="s">
        <v>151</v>
      </c>
      <c r="J928" s="49">
        <v>13</v>
      </c>
      <c r="K928" s="50">
        <v>335</v>
      </c>
      <c r="L928" s="50">
        <v>329.88</v>
      </c>
      <c r="M928" s="48" t="s">
        <v>276</v>
      </c>
      <c r="N928" s="51">
        <v>1</v>
      </c>
      <c r="O928" s="51">
        <v>1</v>
      </c>
      <c r="P928" s="52">
        <v>216.7</v>
      </c>
      <c r="Q928" s="52">
        <v>216.7</v>
      </c>
      <c r="R928" s="53" t="str">
        <f>INDEX(SKU_Master!$D$5:$D$34,MATCH($I928,SKU_Master!$A$5:$A$34,0))</f>
        <v>Accessory</v>
      </c>
      <c r="S928" s="54">
        <f t="shared" si="196"/>
        <v>1.5283582089552272E-2</v>
      </c>
      <c r="T928" s="55">
        <f t="shared" si="197"/>
        <v>4355</v>
      </c>
      <c r="U928" s="55">
        <f t="shared" si="198"/>
        <v>4288.4399999999996</v>
      </c>
      <c r="V928" s="55">
        <f t="shared" si="199"/>
        <v>-66.5600000000004</v>
      </c>
      <c r="W928" s="55">
        <f t="shared" si="200"/>
        <v>4288.4399999999996</v>
      </c>
      <c r="X928" s="55">
        <f t="shared" si="201"/>
        <v>0</v>
      </c>
      <c r="Y928" s="55">
        <f t="shared" si="202"/>
        <v>2817.1</v>
      </c>
      <c r="Z928" s="55">
        <f t="shared" si="203"/>
        <v>2817.1</v>
      </c>
      <c r="AA928" s="55">
        <f t="shared" si="204"/>
        <v>0</v>
      </c>
      <c r="AB928" s="55">
        <f t="shared" si="205"/>
        <v>1471.3399999999997</v>
      </c>
      <c r="AC928" s="54">
        <f t="shared" si="206"/>
        <v>0.34309445859100274</v>
      </c>
      <c r="AD928" s="56">
        <f>INDEX(Assumptions!$B$14:$B$16,MATCH($R928,Assumptions!$A$14:$A$16,0))</f>
        <v>0.32</v>
      </c>
      <c r="AE928" s="56">
        <f>INDEX(Assumptions!$C$14:$C$16,MATCH($R928,Assumptions!$A$14:$A$16,0))</f>
        <v>0.22</v>
      </c>
      <c r="AF928" s="49">
        <f t="shared" si="207"/>
        <v>0</v>
      </c>
      <c r="AG928" s="49">
        <f t="shared" si="208"/>
        <v>0</v>
      </c>
      <c r="AH928" s="55">
        <f t="shared" si="209"/>
        <v>0</v>
      </c>
    </row>
    <row r="929" spans="1:34" x14ac:dyDescent="0.2">
      <c r="A929" s="48" t="s">
        <v>906</v>
      </c>
      <c r="B929" s="48">
        <v>1</v>
      </c>
      <c r="C929" s="48" t="s">
        <v>907</v>
      </c>
      <c r="D929" s="48" t="s">
        <v>844</v>
      </c>
      <c r="E929" s="48" t="s">
        <v>325</v>
      </c>
      <c r="F929" s="48" t="s">
        <v>274</v>
      </c>
      <c r="G929" s="48" t="s">
        <v>298</v>
      </c>
      <c r="H929" s="48" t="s">
        <v>62</v>
      </c>
      <c r="I929" s="48" t="s">
        <v>93</v>
      </c>
      <c r="J929" s="49">
        <v>4</v>
      </c>
      <c r="K929" s="50">
        <v>1390</v>
      </c>
      <c r="L929" s="50">
        <v>1389.94</v>
      </c>
      <c r="M929" s="48" t="s">
        <v>276</v>
      </c>
      <c r="N929" s="51">
        <v>1</v>
      </c>
      <c r="O929" s="51">
        <v>1</v>
      </c>
      <c r="P929" s="52">
        <v>1186.2</v>
      </c>
      <c r="Q929" s="52">
        <v>1186.2</v>
      </c>
      <c r="R929" s="53" t="str">
        <f>INDEX(SKU_Master!$D$5:$D$34,MATCH($I929,SKU_Master!$A$5:$A$34,0))</f>
        <v>Laptop</v>
      </c>
      <c r="S929" s="54">
        <f t="shared" si="196"/>
        <v>4.3165467625838616E-5</v>
      </c>
      <c r="T929" s="55">
        <f t="shared" si="197"/>
        <v>5560</v>
      </c>
      <c r="U929" s="55">
        <f t="shared" si="198"/>
        <v>5559.76</v>
      </c>
      <c r="V929" s="55">
        <f t="shared" si="199"/>
        <v>-0.23999999999978172</v>
      </c>
      <c r="W929" s="55">
        <f t="shared" si="200"/>
        <v>5559.76</v>
      </c>
      <c r="X929" s="55">
        <f t="shared" si="201"/>
        <v>0</v>
      </c>
      <c r="Y929" s="55">
        <f t="shared" si="202"/>
        <v>4744.8</v>
      </c>
      <c r="Z929" s="55">
        <f t="shared" si="203"/>
        <v>4744.8</v>
      </c>
      <c r="AA929" s="55">
        <f t="shared" si="204"/>
        <v>0</v>
      </c>
      <c r="AB929" s="55">
        <f t="shared" si="205"/>
        <v>814.96</v>
      </c>
      <c r="AC929" s="54">
        <f t="shared" si="206"/>
        <v>0.14658186684317309</v>
      </c>
      <c r="AD929" s="56">
        <f>INDEX(Assumptions!$B$14:$B$16,MATCH($R929,Assumptions!$A$14:$A$16,0))</f>
        <v>0.12</v>
      </c>
      <c r="AE929" s="56">
        <f>INDEX(Assumptions!$C$14:$C$16,MATCH($R929,Assumptions!$A$14:$A$16,0))</f>
        <v>0.08</v>
      </c>
      <c r="AF929" s="49">
        <f t="shared" si="207"/>
        <v>0</v>
      </c>
      <c r="AG929" s="49">
        <f t="shared" si="208"/>
        <v>0</v>
      </c>
      <c r="AH929" s="55">
        <f t="shared" si="209"/>
        <v>0</v>
      </c>
    </row>
    <row r="930" spans="1:34" x14ac:dyDescent="0.2">
      <c r="A930" s="48" t="s">
        <v>906</v>
      </c>
      <c r="B930" s="48">
        <v>2</v>
      </c>
      <c r="C930" s="48" t="s">
        <v>907</v>
      </c>
      <c r="D930" s="48" t="s">
        <v>844</v>
      </c>
      <c r="E930" s="48" t="s">
        <v>325</v>
      </c>
      <c r="F930" s="48" t="s">
        <v>274</v>
      </c>
      <c r="G930" s="48" t="s">
        <v>298</v>
      </c>
      <c r="H930" s="48" t="s">
        <v>62</v>
      </c>
      <c r="I930" s="48" t="s">
        <v>161</v>
      </c>
      <c r="J930" s="49">
        <v>2</v>
      </c>
      <c r="K930" s="50">
        <v>120</v>
      </c>
      <c r="L930" s="50">
        <v>119.57</v>
      </c>
      <c r="M930" s="48" t="s">
        <v>276</v>
      </c>
      <c r="N930" s="51">
        <v>1</v>
      </c>
      <c r="O930" s="51">
        <v>1</v>
      </c>
      <c r="P930" s="52">
        <v>76</v>
      </c>
      <c r="Q930" s="52">
        <v>76</v>
      </c>
      <c r="R930" s="53" t="str">
        <f>INDEX(SKU_Master!$D$5:$D$34,MATCH($I930,SKU_Master!$A$5:$A$34,0))</f>
        <v>Accessory</v>
      </c>
      <c r="S930" s="54">
        <f t="shared" si="196"/>
        <v>3.5833333333333828E-3</v>
      </c>
      <c r="T930" s="55">
        <f t="shared" si="197"/>
        <v>240</v>
      </c>
      <c r="U930" s="55">
        <f t="shared" si="198"/>
        <v>239.14</v>
      </c>
      <c r="V930" s="55">
        <f t="shared" si="199"/>
        <v>-0.86000000000001364</v>
      </c>
      <c r="W930" s="55">
        <f t="shared" si="200"/>
        <v>239.14</v>
      </c>
      <c r="X930" s="55">
        <f t="shared" si="201"/>
        <v>0</v>
      </c>
      <c r="Y930" s="55">
        <f t="shared" si="202"/>
        <v>152</v>
      </c>
      <c r="Z930" s="55">
        <f t="shared" si="203"/>
        <v>152</v>
      </c>
      <c r="AA930" s="55">
        <f t="shared" si="204"/>
        <v>0</v>
      </c>
      <c r="AB930" s="55">
        <f t="shared" si="205"/>
        <v>87.139999999999986</v>
      </c>
      <c r="AC930" s="54">
        <f t="shared" si="206"/>
        <v>0.36438906080120426</v>
      </c>
      <c r="AD930" s="56">
        <f>INDEX(Assumptions!$B$14:$B$16,MATCH($R930,Assumptions!$A$14:$A$16,0))</f>
        <v>0.32</v>
      </c>
      <c r="AE930" s="56">
        <f>INDEX(Assumptions!$C$14:$C$16,MATCH($R930,Assumptions!$A$14:$A$16,0))</f>
        <v>0.22</v>
      </c>
      <c r="AF930" s="49">
        <f t="shared" si="207"/>
        <v>0</v>
      </c>
      <c r="AG930" s="49">
        <f t="shared" si="208"/>
        <v>0</v>
      </c>
      <c r="AH930" s="55">
        <f t="shared" si="209"/>
        <v>0</v>
      </c>
    </row>
    <row r="931" spans="1:34" x14ac:dyDescent="0.2">
      <c r="A931" s="48" t="s">
        <v>908</v>
      </c>
      <c r="B931" s="48">
        <v>1</v>
      </c>
      <c r="C931" s="48" t="s">
        <v>907</v>
      </c>
      <c r="D931" s="48" t="s">
        <v>844</v>
      </c>
      <c r="E931" s="48" t="s">
        <v>366</v>
      </c>
      <c r="F931" s="48" t="s">
        <v>297</v>
      </c>
      <c r="G931" s="48" t="s">
        <v>302</v>
      </c>
      <c r="H931" s="48" t="s">
        <v>66</v>
      </c>
      <c r="I931" s="48" t="s">
        <v>98</v>
      </c>
      <c r="J931" s="49">
        <v>31</v>
      </c>
      <c r="K931" s="50">
        <v>1980</v>
      </c>
      <c r="L931" s="50">
        <v>1892.19</v>
      </c>
      <c r="M931" s="48" t="s">
        <v>276</v>
      </c>
      <c r="N931" s="51">
        <v>0.92</v>
      </c>
      <c r="O931" s="51">
        <v>0.91820000000000002</v>
      </c>
      <c r="P931" s="52">
        <v>1800.2</v>
      </c>
      <c r="Q931" s="52">
        <v>1800.2</v>
      </c>
      <c r="R931" s="53" t="str">
        <f>INDEX(SKU_Master!$D$5:$D$34,MATCH($I931,SKU_Master!$A$5:$A$34,0))</f>
        <v>Laptop</v>
      </c>
      <c r="S931" s="54">
        <f t="shared" si="196"/>
        <v>4.4348484848484859E-2</v>
      </c>
      <c r="T931" s="55">
        <f t="shared" si="197"/>
        <v>66717.391304347824</v>
      </c>
      <c r="U931" s="55">
        <f t="shared" si="198"/>
        <v>63758.57608695652</v>
      </c>
      <c r="V931" s="55">
        <f t="shared" si="199"/>
        <v>-2958.815217391304</v>
      </c>
      <c r="W931" s="55">
        <f t="shared" si="200"/>
        <v>63883.565671966891</v>
      </c>
      <c r="X931" s="55">
        <f t="shared" si="201"/>
        <v>124.98958501037123</v>
      </c>
      <c r="Y931" s="55">
        <f t="shared" si="202"/>
        <v>55806.200000000004</v>
      </c>
      <c r="Z931" s="55">
        <f t="shared" si="203"/>
        <v>55806.200000000004</v>
      </c>
      <c r="AA931" s="55">
        <f t="shared" si="204"/>
        <v>0</v>
      </c>
      <c r="AB931" s="55">
        <f t="shared" si="205"/>
        <v>8077.365671966887</v>
      </c>
      <c r="AC931" s="54">
        <f t="shared" si="206"/>
        <v>0.12643886713279315</v>
      </c>
      <c r="AD931" s="56">
        <f>INDEX(Assumptions!$B$14:$B$16,MATCH($R931,Assumptions!$A$14:$A$16,0))</f>
        <v>0.12</v>
      </c>
      <c r="AE931" s="56">
        <f>INDEX(Assumptions!$C$14:$C$16,MATCH($R931,Assumptions!$A$14:$A$16,0))</f>
        <v>0.08</v>
      </c>
      <c r="AF931" s="49">
        <f t="shared" si="207"/>
        <v>0</v>
      </c>
      <c r="AG931" s="49">
        <f t="shared" si="208"/>
        <v>0</v>
      </c>
      <c r="AH931" s="55">
        <f t="shared" si="209"/>
        <v>0</v>
      </c>
    </row>
    <row r="932" spans="1:34" x14ac:dyDescent="0.2">
      <c r="A932" s="48" t="s">
        <v>908</v>
      </c>
      <c r="B932" s="48">
        <v>2</v>
      </c>
      <c r="C932" s="48" t="s">
        <v>907</v>
      </c>
      <c r="D932" s="48" t="s">
        <v>844</v>
      </c>
      <c r="E932" s="48" t="s">
        <v>366</v>
      </c>
      <c r="F932" s="48" t="s">
        <v>297</v>
      </c>
      <c r="G932" s="48" t="s">
        <v>302</v>
      </c>
      <c r="H932" s="48" t="s">
        <v>66</v>
      </c>
      <c r="I932" s="48" t="s">
        <v>135</v>
      </c>
      <c r="J932" s="49">
        <v>34</v>
      </c>
      <c r="K932" s="50">
        <v>255</v>
      </c>
      <c r="L932" s="50">
        <v>235.09</v>
      </c>
      <c r="M932" s="48" t="s">
        <v>276</v>
      </c>
      <c r="N932" s="51">
        <v>0.92</v>
      </c>
      <c r="O932" s="51">
        <v>0.91820000000000002</v>
      </c>
      <c r="P932" s="52">
        <v>211.7</v>
      </c>
      <c r="Q932" s="52">
        <v>211.7</v>
      </c>
      <c r="R932" s="53" t="str">
        <f>INDEX(SKU_Master!$D$5:$D$34,MATCH($I932,SKU_Master!$A$5:$A$34,0))</f>
        <v>Monitor</v>
      </c>
      <c r="S932" s="54">
        <f t="shared" si="196"/>
        <v>7.8078431372548995E-2</v>
      </c>
      <c r="T932" s="55">
        <f t="shared" si="197"/>
        <v>9423.9130434782601</v>
      </c>
      <c r="U932" s="55">
        <f t="shared" si="198"/>
        <v>8688.108695652174</v>
      </c>
      <c r="V932" s="55">
        <f t="shared" si="199"/>
        <v>-735.80434782608609</v>
      </c>
      <c r="W932" s="55">
        <f t="shared" si="200"/>
        <v>8705.140492267481</v>
      </c>
      <c r="X932" s="55">
        <f t="shared" si="201"/>
        <v>17.03179661530703</v>
      </c>
      <c r="Y932" s="55">
        <f t="shared" si="202"/>
        <v>7197.7999999999993</v>
      </c>
      <c r="Z932" s="55">
        <f t="shared" si="203"/>
        <v>7197.7999999999993</v>
      </c>
      <c r="AA932" s="55">
        <f t="shared" si="204"/>
        <v>0</v>
      </c>
      <c r="AB932" s="55">
        <f t="shared" si="205"/>
        <v>1507.3404922674817</v>
      </c>
      <c r="AC932" s="54">
        <f t="shared" si="206"/>
        <v>0.17315521715087859</v>
      </c>
      <c r="AD932" s="56">
        <f>INDEX(Assumptions!$B$14:$B$16,MATCH($R932,Assumptions!$A$14:$A$16,0))</f>
        <v>0.18</v>
      </c>
      <c r="AE932" s="56">
        <f>INDEX(Assumptions!$C$14:$C$16,MATCH($R932,Assumptions!$A$14:$A$16,0))</f>
        <v>0.12</v>
      </c>
      <c r="AF932" s="49">
        <f t="shared" si="207"/>
        <v>0</v>
      </c>
      <c r="AG932" s="49">
        <f t="shared" si="208"/>
        <v>0</v>
      </c>
      <c r="AH932" s="55">
        <f t="shared" si="209"/>
        <v>59.584796340664752</v>
      </c>
    </row>
    <row r="933" spans="1:34" x14ac:dyDescent="0.2">
      <c r="A933" s="48" t="s">
        <v>908</v>
      </c>
      <c r="B933" s="48">
        <v>3</v>
      </c>
      <c r="C933" s="48" t="s">
        <v>907</v>
      </c>
      <c r="D933" s="48" t="s">
        <v>844</v>
      </c>
      <c r="E933" s="48" t="s">
        <v>366</v>
      </c>
      <c r="F933" s="48" t="s">
        <v>297</v>
      </c>
      <c r="G933" s="48" t="s">
        <v>302</v>
      </c>
      <c r="H933" s="48" t="s">
        <v>66</v>
      </c>
      <c r="I933" s="48" t="s">
        <v>161</v>
      </c>
      <c r="J933" s="49">
        <v>32</v>
      </c>
      <c r="K933" s="50">
        <v>120</v>
      </c>
      <c r="L933" s="50">
        <v>113.4</v>
      </c>
      <c r="M933" s="48" t="s">
        <v>276</v>
      </c>
      <c r="N933" s="51">
        <v>0.92</v>
      </c>
      <c r="O933" s="51">
        <v>0.91820000000000002</v>
      </c>
      <c r="P933" s="52">
        <v>81</v>
      </c>
      <c r="Q933" s="52">
        <v>81</v>
      </c>
      <c r="R933" s="53" t="str">
        <f>INDEX(SKU_Master!$D$5:$D$34,MATCH($I933,SKU_Master!$A$5:$A$34,0))</f>
        <v>Accessory</v>
      </c>
      <c r="S933" s="54">
        <f t="shared" si="196"/>
        <v>5.4999999999999938E-2</v>
      </c>
      <c r="T933" s="55">
        <f t="shared" si="197"/>
        <v>4173.913043478261</v>
      </c>
      <c r="U933" s="55">
        <f t="shared" si="198"/>
        <v>3944.3478260869565</v>
      </c>
      <c r="V933" s="55">
        <f t="shared" si="199"/>
        <v>-229.56521739130449</v>
      </c>
      <c r="W933" s="55">
        <f t="shared" si="200"/>
        <v>3952.0801568285779</v>
      </c>
      <c r="X933" s="55">
        <f t="shared" si="201"/>
        <v>7.7323307416213538</v>
      </c>
      <c r="Y933" s="55">
        <f t="shared" si="202"/>
        <v>2592</v>
      </c>
      <c r="Z933" s="55">
        <f t="shared" si="203"/>
        <v>2592</v>
      </c>
      <c r="AA933" s="55">
        <f t="shared" si="204"/>
        <v>0</v>
      </c>
      <c r="AB933" s="55">
        <f t="shared" si="205"/>
        <v>1360.0801568285779</v>
      </c>
      <c r="AC933" s="54">
        <f t="shared" si="206"/>
        <v>0.34414285714285719</v>
      </c>
      <c r="AD933" s="56">
        <f>INDEX(Assumptions!$B$14:$B$16,MATCH($R933,Assumptions!$A$14:$A$16,0))</f>
        <v>0.32</v>
      </c>
      <c r="AE933" s="56">
        <f>INDEX(Assumptions!$C$14:$C$16,MATCH($R933,Assumptions!$A$14:$A$16,0))</f>
        <v>0.22</v>
      </c>
      <c r="AF933" s="49">
        <f t="shared" si="207"/>
        <v>0</v>
      </c>
      <c r="AG933" s="49">
        <f t="shared" si="208"/>
        <v>0</v>
      </c>
      <c r="AH933" s="55">
        <f t="shared" si="209"/>
        <v>0</v>
      </c>
    </row>
    <row r="934" spans="1:34" x14ac:dyDescent="0.2">
      <c r="A934" s="48" t="s">
        <v>909</v>
      </c>
      <c r="B934" s="48">
        <v>1</v>
      </c>
      <c r="C934" s="48" t="s">
        <v>863</v>
      </c>
      <c r="D934" s="48" t="s">
        <v>844</v>
      </c>
      <c r="E934" s="48" t="s">
        <v>407</v>
      </c>
      <c r="F934" s="48" t="s">
        <v>274</v>
      </c>
      <c r="G934" s="48" t="s">
        <v>302</v>
      </c>
      <c r="H934" s="48" t="s">
        <v>62</v>
      </c>
      <c r="I934" s="48" t="s">
        <v>118</v>
      </c>
      <c r="J934" s="49">
        <v>2</v>
      </c>
      <c r="K934" s="50">
        <v>1365</v>
      </c>
      <c r="L934" s="50">
        <v>1319.09</v>
      </c>
      <c r="M934" s="48" t="s">
        <v>276</v>
      </c>
      <c r="N934" s="51">
        <v>1</v>
      </c>
      <c r="O934" s="51">
        <v>1</v>
      </c>
      <c r="P934" s="52">
        <v>1162.5999999999999</v>
      </c>
      <c r="Q934" s="52">
        <v>1162.5999999999999</v>
      </c>
      <c r="R934" s="53" t="str">
        <f>INDEX(SKU_Master!$D$5:$D$34,MATCH($I934,SKU_Master!$A$5:$A$34,0))</f>
        <v>Laptop</v>
      </c>
      <c r="S934" s="54">
        <f t="shared" si="196"/>
        <v>3.3633699633699665E-2</v>
      </c>
      <c r="T934" s="55">
        <f t="shared" si="197"/>
        <v>2730</v>
      </c>
      <c r="U934" s="55">
        <f t="shared" si="198"/>
        <v>2638.18</v>
      </c>
      <c r="V934" s="55">
        <f t="shared" si="199"/>
        <v>-91.820000000000164</v>
      </c>
      <c r="W934" s="55">
        <f t="shared" si="200"/>
        <v>2638.18</v>
      </c>
      <c r="X934" s="55">
        <f t="shared" si="201"/>
        <v>0</v>
      </c>
      <c r="Y934" s="55">
        <f t="shared" si="202"/>
        <v>2325.1999999999998</v>
      </c>
      <c r="Z934" s="55">
        <f t="shared" si="203"/>
        <v>2325.1999999999998</v>
      </c>
      <c r="AA934" s="55">
        <f t="shared" si="204"/>
        <v>0</v>
      </c>
      <c r="AB934" s="55">
        <f t="shared" si="205"/>
        <v>312.98</v>
      </c>
      <c r="AC934" s="54">
        <f t="shared" si="206"/>
        <v>0.11863481642647584</v>
      </c>
      <c r="AD934" s="56">
        <f>INDEX(Assumptions!$B$14:$B$16,MATCH($R934,Assumptions!$A$14:$A$16,0))</f>
        <v>0.12</v>
      </c>
      <c r="AE934" s="56">
        <f>INDEX(Assumptions!$C$14:$C$16,MATCH($R934,Assumptions!$A$14:$A$16,0))</f>
        <v>0.08</v>
      </c>
      <c r="AF934" s="49">
        <f t="shared" si="207"/>
        <v>0</v>
      </c>
      <c r="AG934" s="49">
        <f t="shared" si="208"/>
        <v>0</v>
      </c>
      <c r="AH934" s="55">
        <f t="shared" si="209"/>
        <v>3.6015999999999622</v>
      </c>
    </row>
    <row r="935" spans="1:34" x14ac:dyDescent="0.2">
      <c r="A935" s="48" t="s">
        <v>909</v>
      </c>
      <c r="B935" s="48">
        <v>2</v>
      </c>
      <c r="C935" s="48" t="s">
        <v>863</v>
      </c>
      <c r="D935" s="48" t="s">
        <v>844</v>
      </c>
      <c r="E935" s="48" t="s">
        <v>407</v>
      </c>
      <c r="F935" s="48" t="s">
        <v>274</v>
      </c>
      <c r="G935" s="48" t="s">
        <v>302</v>
      </c>
      <c r="H935" s="48" t="s">
        <v>62</v>
      </c>
      <c r="I935" s="48" t="s">
        <v>138</v>
      </c>
      <c r="J935" s="49">
        <v>1</v>
      </c>
      <c r="K935" s="50">
        <v>455</v>
      </c>
      <c r="L935" s="50">
        <v>454.82</v>
      </c>
      <c r="M935" s="48" t="s">
        <v>276</v>
      </c>
      <c r="N935" s="51">
        <v>1</v>
      </c>
      <c r="O935" s="51">
        <v>1</v>
      </c>
      <c r="P935" s="52">
        <v>358.2</v>
      </c>
      <c r="Q935" s="52">
        <v>358.2</v>
      </c>
      <c r="R935" s="53" t="str">
        <f>INDEX(SKU_Master!$D$5:$D$34,MATCH($I935,SKU_Master!$A$5:$A$34,0))</f>
        <v>Monitor</v>
      </c>
      <c r="S935" s="54">
        <f t="shared" si="196"/>
        <v>3.9560439560437644E-4</v>
      </c>
      <c r="T935" s="55">
        <f t="shared" si="197"/>
        <v>455</v>
      </c>
      <c r="U935" s="55">
        <f t="shared" si="198"/>
        <v>454.82</v>
      </c>
      <c r="V935" s="55">
        <f t="shared" si="199"/>
        <v>-0.18000000000000682</v>
      </c>
      <c r="W935" s="55">
        <f t="shared" si="200"/>
        <v>454.82</v>
      </c>
      <c r="X935" s="55">
        <f t="shared" si="201"/>
        <v>0</v>
      </c>
      <c r="Y935" s="55">
        <f t="shared" si="202"/>
        <v>358.2</v>
      </c>
      <c r="Z935" s="55">
        <f t="shared" si="203"/>
        <v>358.2</v>
      </c>
      <c r="AA935" s="55">
        <f t="shared" si="204"/>
        <v>0</v>
      </c>
      <c r="AB935" s="55">
        <f t="shared" si="205"/>
        <v>96.62</v>
      </c>
      <c r="AC935" s="54">
        <f t="shared" si="206"/>
        <v>0.21243568884393826</v>
      </c>
      <c r="AD935" s="56">
        <f>INDEX(Assumptions!$B$14:$B$16,MATCH($R935,Assumptions!$A$14:$A$16,0))</f>
        <v>0.18</v>
      </c>
      <c r="AE935" s="56">
        <f>INDEX(Assumptions!$C$14:$C$16,MATCH($R935,Assumptions!$A$14:$A$16,0))</f>
        <v>0.12</v>
      </c>
      <c r="AF935" s="49">
        <f t="shared" si="207"/>
        <v>0</v>
      </c>
      <c r="AG935" s="49">
        <f t="shared" si="208"/>
        <v>0</v>
      </c>
      <c r="AH935" s="55">
        <f t="shared" si="209"/>
        <v>0</v>
      </c>
    </row>
    <row r="936" spans="1:34" x14ac:dyDescent="0.2">
      <c r="A936" s="48" t="s">
        <v>910</v>
      </c>
      <c r="B936" s="48">
        <v>1</v>
      </c>
      <c r="C936" s="48" t="s">
        <v>868</v>
      </c>
      <c r="D936" s="48" t="s">
        <v>844</v>
      </c>
      <c r="E936" s="48" t="s">
        <v>397</v>
      </c>
      <c r="F936" s="48" t="s">
        <v>280</v>
      </c>
      <c r="G936" s="48" t="s">
        <v>306</v>
      </c>
      <c r="H936" s="48" t="s">
        <v>70</v>
      </c>
      <c r="I936" s="48" t="s">
        <v>101</v>
      </c>
      <c r="J936" s="49">
        <v>13</v>
      </c>
      <c r="K936" s="50">
        <v>328650</v>
      </c>
      <c r="L936" s="50">
        <v>323649.84999999998</v>
      </c>
      <c r="M936" s="48" t="s">
        <v>276</v>
      </c>
      <c r="N936" s="51">
        <v>83.5</v>
      </c>
      <c r="O936" s="51">
        <v>84.521799999999999</v>
      </c>
      <c r="P936" s="52">
        <v>3296.76</v>
      </c>
      <c r="Q936" s="52">
        <v>3316.76</v>
      </c>
      <c r="R936" s="53" t="str">
        <f>INDEX(SKU_Master!$D$5:$D$34,MATCH($I936,SKU_Master!$A$5:$A$34,0))</f>
        <v>Laptop</v>
      </c>
      <c r="S936" s="54">
        <f t="shared" si="196"/>
        <v>1.5214209645519672E-2</v>
      </c>
      <c r="T936" s="55">
        <f t="shared" si="197"/>
        <v>51167.065868263475</v>
      </c>
      <c r="U936" s="55">
        <f t="shared" si="198"/>
        <v>50388.5994011976</v>
      </c>
      <c r="V936" s="55">
        <f t="shared" si="199"/>
        <v>-778.46646706587489</v>
      </c>
      <c r="W936" s="55">
        <f t="shared" si="200"/>
        <v>49779.442108426461</v>
      </c>
      <c r="X936" s="55">
        <f t="shared" si="201"/>
        <v>-609.1572927711386</v>
      </c>
      <c r="Y936" s="55">
        <f t="shared" si="202"/>
        <v>42857.880000000005</v>
      </c>
      <c r="Z936" s="55">
        <f t="shared" si="203"/>
        <v>43117.880000000005</v>
      </c>
      <c r="AA936" s="55">
        <f t="shared" si="204"/>
        <v>-260</v>
      </c>
      <c r="AB936" s="55">
        <f t="shared" si="205"/>
        <v>6661.5621084264567</v>
      </c>
      <c r="AC936" s="54">
        <f t="shared" si="206"/>
        <v>0.13382155014748176</v>
      </c>
      <c r="AD936" s="56">
        <f>INDEX(Assumptions!$B$14:$B$16,MATCH($R936,Assumptions!$A$14:$A$16,0))</f>
        <v>0.12</v>
      </c>
      <c r="AE936" s="56">
        <f>INDEX(Assumptions!$C$14:$C$16,MATCH($R936,Assumptions!$A$14:$A$16,0))</f>
        <v>0.08</v>
      </c>
      <c r="AF936" s="49">
        <f t="shared" si="207"/>
        <v>0</v>
      </c>
      <c r="AG936" s="49">
        <f t="shared" si="208"/>
        <v>0</v>
      </c>
      <c r="AH936" s="55">
        <f t="shared" si="209"/>
        <v>0</v>
      </c>
    </row>
    <row r="937" spans="1:34" x14ac:dyDescent="0.2">
      <c r="A937" s="48" t="s">
        <v>910</v>
      </c>
      <c r="B937" s="48">
        <v>2</v>
      </c>
      <c r="C937" s="48" t="s">
        <v>868</v>
      </c>
      <c r="D937" s="48" t="s">
        <v>844</v>
      </c>
      <c r="E937" s="48" t="s">
        <v>397</v>
      </c>
      <c r="F937" s="48" t="s">
        <v>280</v>
      </c>
      <c r="G937" s="48" t="s">
        <v>306</v>
      </c>
      <c r="H937" s="48" t="s">
        <v>70</v>
      </c>
      <c r="I937" s="48" t="s">
        <v>164</v>
      </c>
      <c r="J937" s="49">
        <v>5</v>
      </c>
      <c r="K937" s="50">
        <v>18765</v>
      </c>
      <c r="L937" s="50">
        <v>18035.84</v>
      </c>
      <c r="M937" s="48" t="s">
        <v>276</v>
      </c>
      <c r="N937" s="51">
        <v>83.5</v>
      </c>
      <c r="O937" s="51">
        <v>84.521799999999999</v>
      </c>
      <c r="P937" s="52">
        <v>142.65</v>
      </c>
      <c r="Q937" s="52">
        <v>147.65</v>
      </c>
      <c r="R937" s="53" t="str">
        <f>INDEX(SKU_Master!$D$5:$D$34,MATCH($I937,SKU_Master!$A$5:$A$34,0))</f>
        <v>Accessory</v>
      </c>
      <c r="S937" s="54">
        <f t="shared" si="196"/>
        <v>3.8857447375432952E-2</v>
      </c>
      <c r="T937" s="55">
        <f t="shared" si="197"/>
        <v>1123.6526946107786</v>
      </c>
      <c r="U937" s="55">
        <f t="shared" si="198"/>
        <v>1079.9904191616765</v>
      </c>
      <c r="V937" s="55">
        <f t="shared" si="199"/>
        <v>-43.662275449102026</v>
      </c>
      <c r="W937" s="55">
        <f t="shared" si="200"/>
        <v>1066.9342110556092</v>
      </c>
      <c r="X937" s="55">
        <f t="shared" si="201"/>
        <v>-13.056208106067288</v>
      </c>
      <c r="Y937" s="55">
        <f t="shared" si="202"/>
        <v>713.25</v>
      </c>
      <c r="Z937" s="55">
        <f t="shared" si="203"/>
        <v>738.25</v>
      </c>
      <c r="AA937" s="55">
        <f t="shared" si="204"/>
        <v>-25</v>
      </c>
      <c r="AB937" s="55">
        <f t="shared" si="205"/>
        <v>328.68421105560924</v>
      </c>
      <c r="AC937" s="54">
        <f t="shared" si="206"/>
        <v>0.30806417832493521</v>
      </c>
      <c r="AD937" s="56">
        <f>INDEX(Assumptions!$B$14:$B$16,MATCH($R937,Assumptions!$A$14:$A$16,0))</f>
        <v>0.32</v>
      </c>
      <c r="AE937" s="56">
        <f>INDEX(Assumptions!$C$14:$C$16,MATCH($R937,Assumptions!$A$14:$A$16,0))</f>
        <v>0.22</v>
      </c>
      <c r="AF937" s="49">
        <f t="shared" si="207"/>
        <v>0</v>
      </c>
      <c r="AG937" s="49">
        <f t="shared" si="208"/>
        <v>0</v>
      </c>
      <c r="AH937" s="55">
        <f t="shared" si="209"/>
        <v>12.734736482185724</v>
      </c>
    </row>
    <row r="938" spans="1:34" x14ac:dyDescent="0.2">
      <c r="A938" s="48" t="s">
        <v>911</v>
      </c>
      <c r="B938" s="48">
        <v>1</v>
      </c>
      <c r="C938" s="48" t="s">
        <v>897</v>
      </c>
      <c r="D938" s="48" t="s">
        <v>844</v>
      </c>
      <c r="E938" s="48" t="s">
        <v>355</v>
      </c>
      <c r="F938" s="48" t="s">
        <v>280</v>
      </c>
      <c r="G938" s="48" t="s">
        <v>302</v>
      </c>
      <c r="H938" s="48" t="s">
        <v>62</v>
      </c>
      <c r="I938" s="48" t="s">
        <v>123</v>
      </c>
      <c r="J938" s="49">
        <v>15</v>
      </c>
      <c r="K938" s="50">
        <v>1465</v>
      </c>
      <c r="L938" s="50">
        <v>1404.81</v>
      </c>
      <c r="M938" s="48" t="s">
        <v>276</v>
      </c>
      <c r="N938" s="51">
        <v>1</v>
      </c>
      <c r="O938" s="51">
        <v>1</v>
      </c>
      <c r="P938" s="52">
        <v>1249.25</v>
      </c>
      <c r="Q938" s="52">
        <v>1249.25</v>
      </c>
      <c r="R938" s="53" t="str">
        <f>INDEX(SKU_Master!$D$5:$D$34,MATCH($I938,SKU_Master!$A$5:$A$34,0))</f>
        <v>Laptop</v>
      </c>
      <c r="S938" s="54">
        <f t="shared" si="196"/>
        <v>4.1085324232081999E-2</v>
      </c>
      <c r="T938" s="55">
        <f t="shared" si="197"/>
        <v>21975</v>
      </c>
      <c r="U938" s="55">
        <f t="shared" si="198"/>
        <v>21072.149999999998</v>
      </c>
      <c r="V938" s="55">
        <f t="shared" si="199"/>
        <v>-902.85000000000218</v>
      </c>
      <c r="W938" s="55">
        <f t="shared" si="200"/>
        <v>21072.149999999998</v>
      </c>
      <c r="X938" s="55">
        <f t="shared" si="201"/>
        <v>0</v>
      </c>
      <c r="Y938" s="55">
        <f t="shared" si="202"/>
        <v>18738.75</v>
      </c>
      <c r="Z938" s="55">
        <f t="shared" si="203"/>
        <v>18738.75</v>
      </c>
      <c r="AA938" s="55">
        <f t="shared" si="204"/>
        <v>0</v>
      </c>
      <c r="AB938" s="55">
        <f t="shared" si="205"/>
        <v>2333.3999999999978</v>
      </c>
      <c r="AC938" s="54">
        <f t="shared" si="206"/>
        <v>0.11073383589239817</v>
      </c>
      <c r="AD938" s="56">
        <f>INDEX(Assumptions!$B$14:$B$16,MATCH($R938,Assumptions!$A$14:$A$16,0))</f>
        <v>0.12</v>
      </c>
      <c r="AE938" s="56">
        <f>INDEX(Assumptions!$C$14:$C$16,MATCH($R938,Assumptions!$A$14:$A$16,0))</f>
        <v>0.08</v>
      </c>
      <c r="AF938" s="49">
        <f t="shared" si="207"/>
        <v>0</v>
      </c>
      <c r="AG938" s="49">
        <f t="shared" si="208"/>
        <v>0</v>
      </c>
      <c r="AH938" s="55">
        <f t="shared" si="209"/>
        <v>195.25800000000163</v>
      </c>
    </row>
    <row r="939" spans="1:34" x14ac:dyDescent="0.2">
      <c r="A939" s="48" t="s">
        <v>911</v>
      </c>
      <c r="B939" s="48">
        <v>2</v>
      </c>
      <c r="C939" s="48" t="s">
        <v>897</v>
      </c>
      <c r="D939" s="48" t="s">
        <v>844</v>
      </c>
      <c r="E939" s="48" t="s">
        <v>355</v>
      </c>
      <c r="F939" s="48" t="s">
        <v>280</v>
      </c>
      <c r="G939" s="48" t="s">
        <v>302</v>
      </c>
      <c r="H939" s="48" t="s">
        <v>62</v>
      </c>
      <c r="I939" s="48" t="s">
        <v>141</v>
      </c>
      <c r="J939" s="49">
        <v>17</v>
      </c>
      <c r="K939" s="50">
        <v>450</v>
      </c>
      <c r="L939" s="50">
        <v>441.79</v>
      </c>
      <c r="M939" s="48" t="s">
        <v>276</v>
      </c>
      <c r="N939" s="51">
        <v>1</v>
      </c>
      <c r="O939" s="51">
        <v>1</v>
      </c>
      <c r="P939" s="52">
        <v>351.7</v>
      </c>
      <c r="Q939" s="52">
        <v>351.7</v>
      </c>
      <c r="R939" s="53" t="str">
        <f>INDEX(SKU_Master!$D$5:$D$34,MATCH($I939,SKU_Master!$A$5:$A$34,0))</f>
        <v>Monitor</v>
      </c>
      <c r="S939" s="54">
        <f t="shared" si="196"/>
        <v>1.8244444444444397E-2</v>
      </c>
      <c r="T939" s="55">
        <f t="shared" si="197"/>
        <v>7650</v>
      </c>
      <c r="U939" s="55">
        <f t="shared" si="198"/>
        <v>7510.43</v>
      </c>
      <c r="V939" s="55">
        <f t="shared" si="199"/>
        <v>-139.56999999999971</v>
      </c>
      <c r="W939" s="55">
        <f t="shared" si="200"/>
        <v>7510.43</v>
      </c>
      <c r="X939" s="55">
        <f t="shared" si="201"/>
        <v>0</v>
      </c>
      <c r="Y939" s="55">
        <f t="shared" si="202"/>
        <v>5978.9</v>
      </c>
      <c r="Z939" s="55">
        <f t="shared" si="203"/>
        <v>5978.9</v>
      </c>
      <c r="AA939" s="55">
        <f t="shared" si="204"/>
        <v>0</v>
      </c>
      <c r="AB939" s="55">
        <f t="shared" si="205"/>
        <v>1531.5300000000007</v>
      </c>
      <c r="AC939" s="54">
        <f t="shared" si="206"/>
        <v>0.20392041467665642</v>
      </c>
      <c r="AD939" s="56">
        <f>INDEX(Assumptions!$B$14:$B$16,MATCH($R939,Assumptions!$A$14:$A$16,0))</f>
        <v>0.18</v>
      </c>
      <c r="AE939" s="56">
        <f>INDEX(Assumptions!$C$14:$C$16,MATCH($R939,Assumptions!$A$14:$A$16,0))</f>
        <v>0.12</v>
      </c>
      <c r="AF939" s="49">
        <f t="shared" si="207"/>
        <v>0</v>
      </c>
      <c r="AG939" s="49">
        <f t="shared" si="208"/>
        <v>0</v>
      </c>
      <c r="AH939" s="55">
        <f t="shared" si="209"/>
        <v>0</v>
      </c>
    </row>
    <row r="940" spans="1:34" x14ac:dyDescent="0.2">
      <c r="A940" s="48" t="s">
        <v>911</v>
      </c>
      <c r="B940" s="48">
        <v>3</v>
      </c>
      <c r="C940" s="48" t="s">
        <v>897</v>
      </c>
      <c r="D940" s="48" t="s">
        <v>844</v>
      </c>
      <c r="E940" s="48" t="s">
        <v>355</v>
      </c>
      <c r="F940" s="48" t="s">
        <v>280</v>
      </c>
      <c r="G940" s="48" t="s">
        <v>302</v>
      </c>
      <c r="H940" s="48" t="s">
        <v>62</v>
      </c>
      <c r="I940" s="48" t="s">
        <v>157</v>
      </c>
      <c r="J940" s="49">
        <v>13</v>
      </c>
      <c r="K940" s="50">
        <v>135</v>
      </c>
      <c r="L940" s="50">
        <v>128.11000000000001</v>
      </c>
      <c r="M940" s="48" t="s">
        <v>276</v>
      </c>
      <c r="N940" s="51">
        <v>1</v>
      </c>
      <c r="O940" s="51">
        <v>1</v>
      </c>
      <c r="P940" s="52">
        <v>86</v>
      </c>
      <c r="Q940" s="52">
        <v>86</v>
      </c>
      <c r="R940" s="53" t="str">
        <f>INDEX(SKU_Master!$D$5:$D$34,MATCH($I940,SKU_Master!$A$5:$A$34,0))</f>
        <v>Accessory</v>
      </c>
      <c r="S940" s="54">
        <f t="shared" si="196"/>
        <v>5.1037037037036881E-2</v>
      </c>
      <c r="T940" s="55">
        <f t="shared" si="197"/>
        <v>1755</v>
      </c>
      <c r="U940" s="55">
        <f t="shared" si="198"/>
        <v>1665.4300000000003</v>
      </c>
      <c r="V940" s="55">
        <f t="shared" si="199"/>
        <v>-89.569999999999709</v>
      </c>
      <c r="W940" s="55">
        <f t="shared" si="200"/>
        <v>1665.4300000000003</v>
      </c>
      <c r="X940" s="55">
        <f t="shared" si="201"/>
        <v>0</v>
      </c>
      <c r="Y940" s="55">
        <f t="shared" si="202"/>
        <v>1118</v>
      </c>
      <c r="Z940" s="55">
        <f t="shared" si="203"/>
        <v>1118</v>
      </c>
      <c r="AA940" s="55">
        <f t="shared" si="204"/>
        <v>0</v>
      </c>
      <c r="AB940" s="55">
        <f t="shared" si="205"/>
        <v>547.43000000000029</v>
      </c>
      <c r="AC940" s="54">
        <f t="shared" si="206"/>
        <v>0.32870189680743123</v>
      </c>
      <c r="AD940" s="56">
        <f>INDEX(Assumptions!$B$14:$B$16,MATCH($R940,Assumptions!$A$14:$A$16,0))</f>
        <v>0.32</v>
      </c>
      <c r="AE940" s="56">
        <f>INDEX(Assumptions!$C$14:$C$16,MATCH($R940,Assumptions!$A$14:$A$16,0))</f>
        <v>0.22</v>
      </c>
      <c r="AF940" s="49">
        <f t="shared" si="207"/>
        <v>0</v>
      </c>
      <c r="AG940" s="49">
        <f t="shared" si="208"/>
        <v>0</v>
      </c>
      <c r="AH940" s="55">
        <f t="shared" si="209"/>
        <v>0</v>
      </c>
    </row>
    <row r="941" spans="1:34" x14ac:dyDescent="0.2">
      <c r="A941" s="48" t="s">
        <v>912</v>
      </c>
      <c r="B941" s="48">
        <v>1</v>
      </c>
      <c r="C941" s="48" t="s">
        <v>846</v>
      </c>
      <c r="D941" s="48" t="s">
        <v>844</v>
      </c>
      <c r="E941" s="48" t="s">
        <v>358</v>
      </c>
      <c r="F941" s="48" t="s">
        <v>274</v>
      </c>
      <c r="G941" s="48" t="s">
        <v>288</v>
      </c>
      <c r="H941" s="48" t="s">
        <v>62</v>
      </c>
      <c r="I941" s="48" t="s">
        <v>106</v>
      </c>
      <c r="J941" s="49">
        <v>5</v>
      </c>
      <c r="K941" s="50">
        <v>1520</v>
      </c>
      <c r="L941" s="50">
        <v>1500.67</v>
      </c>
      <c r="M941" s="48" t="s">
        <v>276</v>
      </c>
      <c r="N941" s="51">
        <v>1</v>
      </c>
      <c r="O941" s="51">
        <v>1</v>
      </c>
      <c r="P941" s="52">
        <v>1298.4000000000001</v>
      </c>
      <c r="Q941" s="52">
        <v>1298.4000000000001</v>
      </c>
      <c r="R941" s="53" t="str">
        <f>INDEX(SKU_Master!$D$5:$D$34,MATCH($I941,SKU_Master!$A$5:$A$34,0))</f>
        <v>Laptop</v>
      </c>
      <c r="S941" s="54">
        <f t="shared" si="196"/>
        <v>1.2717105263157835E-2</v>
      </c>
      <c r="T941" s="55">
        <f t="shared" si="197"/>
        <v>7600</v>
      </c>
      <c r="U941" s="55">
        <f t="shared" si="198"/>
        <v>7503.35</v>
      </c>
      <c r="V941" s="55">
        <f t="shared" si="199"/>
        <v>-96.649999999999636</v>
      </c>
      <c r="W941" s="55">
        <f t="shared" si="200"/>
        <v>7503.35</v>
      </c>
      <c r="X941" s="55">
        <f t="shared" si="201"/>
        <v>0</v>
      </c>
      <c r="Y941" s="55">
        <f t="shared" si="202"/>
        <v>6492</v>
      </c>
      <c r="Z941" s="55">
        <f t="shared" si="203"/>
        <v>6492</v>
      </c>
      <c r="AA941" s="55">
        <f t="shared" si="204"/>
        <v>0</v>
      </c>
      <c r="AB941" s="55">
        <f t="shared" si="205"/>
        <v>1011.3500000000004</v>
      </c>
      <c r="AC941" s="54">
        <f t="shared" si="206"/>
        <v>0.13478646204695241</v>
      </c>
      <c r="AD941" s="56">
        <f>INDEX(Assumptions!$B$14:$B$16,MATCH($R941,Assumptions!$A$14:$A$16,0))</f>
        <v>0.12</v>
      </c>
      <c r="AE941" s="56">
        <f>INDEX(Assumptions!$C$14:$C$16,MATCH($R941,Assumptions!$A$14:$A$16,0))</f>
        <v>0.08</v>
      </c>
      <c r="AF941" s="49">
        <f t="shared" si="207"/>
        <v>0</v>
      </c>
      <c r="AG941" s="49">
        <f t="shared" si="208"/>
        <v>0</v>
      </c>
      <c r="AH941" s="55">
        <f t="shared" si="209"/>
        <v>0</v>
      </c>
    </row>
    <row r="942" spans="1:34" x14ac:dyDescent="0.2">
      <c r="A942" s="48" t="s">
        <v>912</v>
      </c>
      <c r="B942" s="48">
        <v>2</v>
      </c>
      <c r="C942" s="48" t="s">
        <v>846</v>
      </c>
      <c r="D942" s="48" t="s">
        <v>844</v>
      </c>
      <c r="E942" s="48" t="s">
        <v>358</v>
      </c>
      <c r="F942" s="48" t="s">
        <v>274</v>
      </c>
      <c r="G942" s="48" t="s">
        <v>288</v>
      </c>
      <c r="H942" s="48" t="s">
        <v>62</v>
      </c>
      <c r="I942" s="48" t="s">
        <v>144</v>
      </c>
      <c r="J942" s="49">
        <v>2</v>
      </c>
      <c r="K942" s="50">
        <v>370</v>
      </c>
      <c r="L942" s="50">
        <v>363.6</v>
      </c>
      <c r="M942" s="48" t="s">
        <v>276</v>
      </c>
      <c r="N942" s="51">
        <v>1</v>
      </c>
      <c r="O942" s="51">
        <v>1</v>
      </c>
      <c r="P942" s="52">
        <v>289.60000000000002</v>
      </c>
      <c r="Q942" s="52">
        <v>289.60000000000002</v>
      </c>
      <c r="R942" s="53" t="str">
        <f>INDEX(SKU_Master!$D$5:$D$34,MATCH($I942,SKU_Master!$A$5:$A$34,0))</f>
        <v>Monitor</v>
      </c>
      <c r="S942" s="54">
        <f t="shared" si="196"/>
        <v>1.7297297297297232E-2</v>
      </c>
      <c r="T942" s="55">
        <f t="shared" si="197"/>
        <v>740</v>
      </c>
      <c r="U942" s="55">
        <f t="shared" si="198"/>
        <v>727.2</v>
      </c>
      <c r="V942" s="55">
        <f t="shared" si="199"/>
        <v>-12.799999999999955</v>
      </c>
      <c r="W942" s="55">
        <f t="shared" si="200"/>
        <v>727.2</v>
      </c>
      <c r="X942" s="55">
        <f t="shared" si="201"/>
        <v>0</v>
      </c>
      <c r="Y942" s="55">
        <f t="shared" si="202"/>
        <v>579.20000000000005</v>
      </c>
      <c r="Z942" s="55">
        <f t="shared" si="203"/>
        <v>579.20000000000005</v>
      </c>
      <c r="AA942" s="55">
        <f t="shared" si="204"/>
        <v>0</v>
      </c>
      <c r="AB942" s="55">
        <f t="shared" si="205"/>
        <v>148</v>
      </c>
      <c r="AC942" s="54">
        <f t="shared" si="206"/>
        <v>0.20352035203520349</v>
      </c>
      <c r="AD942" s="56">
        <f>INDEX(Assumptions!$B$14:$B$16,MATCH($R942,Assumptions!$A$14:$A$16,0))</f>
        <v>0.18</v>
      </c>
      <c r="AE942" s="56">
        <f>INDEX(Assumptions!$C$14:$C$16,MATCH($R942,Assumptions!$A$14:$A$16,0))</f>
        <v>0.12</v>
      </c>
      <c r="AF942" s="49">
        <f t="shared" si="207"/>
        <v>0</v>
      </c>
      <c r="AG942" s="49">
        <f t="shared" si="208"/>
        <v>0</v>
      </c>
      <c r="AH942" s="55">
        <f t="shared" si="209"/>
        <v>0</v>
      </c>
    </row>
    <row r="943" spans="1:34" x14ac:dyDescent="0.2">
      <c r="A943" s="48" t="s">
        <v>913</v>
      </c>
      <c r="B943" s="48">
        <v>1</v>
      </c>
      <c r="C943" s="48" t="s">
        <v>907</v>
      </c>
      <c r="D943" s="48" t="s">
        <v>844</v>
      </c>
      <c r="E943" s="48" t="s">
        <v>336</v>
      </c>
      <c r="F943" s="48" t="s">
        <v>274</v>
      </c>
      <c r="G943" s="48" t="s">
        <v>288</v>
      </c>
      <c r="H943" s="48" t="s">
        <v>62</v>
      </c>
      <c r="I943" s="48" t="s">
        <v>98</v>
      </c>
      <c r="J943" s="49">
        <v>4</v>
      </c>
      <c r="K943" s="50">
        <v>2085</v>
      </c>
      <c r="L943" s="50">
        <v>2062.75</v>
      </c>
      <c r="M943" s="48" t="s">
        <v>276</v>
      </c>
      <c r="N943" s="51">
        <v>1</v>
      </c>
      <c r="O943" s="51">
        <v>1</v>
      </c>
      <c r="P943" s="52">
        <v>1780.2</v>
      </c>
      <c r="Q943" s="52">
        <v>1780.2</v>
      </c>
      <c r="R943" s="53" t="str">
        <f>INDEX(SKU_Master!$D$5:$D$34,MATCH($I943,SKU_Master!$A$5:$A$34,0))</f>
        <v>Laptop</v>
      </c>
      <c r="S943" s="54">
        <f t="shared" si="196"/>
        <v>1.0671462829736189E-2</v>
      </c>
      <c r="T943" s="55">
        <f t="shared" si="197"/>
        <v>8340</v>
      </c>
      <c r="U943" s="55">
        <f t="shared" si="198"/>
        <v>8251</v>
      </c>
      <c r="V943" s="55">
        <f t="shared" si="199"/>
        <v>-89</v>
      </c>
      <c r="W943" s="55">
        <f t="shared" si="200"/>
        <v>8251</v>
      </c>
      <c r="X943" s="55">
        <f t="shared" si="201"/>
        <v>0</v>
      </c>
      <c r="Y943" s="55">
        <f t="shared" si="202"/>
        <v>7120.8</v>
      </c>
      <c r="Z943" s="55">
        <f t="shared" si="203"/>
        <v>7120.8</v>
      </c>
      <c r="AA943" s="55">
        <f t="shared" si="204"/>
        <v>0</v>
      </c>
      <c r="AB943" s="55">
        <f t="shared" si="205"/>
        <v>1130.1999999999998</v>
      </c>
      <c r="AC943" s="54">
        <f t="shared" si="206"/>
        <v>0.13697733608047508</v>
      </c>
      <c r="AD943" s="56">
        <f>INDEX(Assumptions!$B$14:$B$16,MATCH($R943,Assumptions!$A$14:$A$16,0))</f>
        <v>0.12</v>
      </c>
      <c r="AE943" s="56">
        <f>INDEX(Assumptions!$C$14:$C$16,MATCH($R943,Assumptions!$A$14:$A$16,0))</f>
        <v>0.08</v>
      </c>
      <c r="AF943" s="49">
        <f t="shared" si="207"/>
        <v>0</v>
      </c>
      <c r="AG943" s="49">
        <f t="shared" si="208"/>
        <v>0</v>
      </c>
      <c r="AH943" s="55">
        <f t="shared" si="209"/>
        <v>0</v>
      </c>
    </row>
    <row r="944" spans="1:34" x14ac:dyDescent="0.2">
      <c r="A944" s="48" t="s">
        <v>913</v>
      </c>
      <c r="B944" s="48">
        <v>2</v>
      </c>
      <c r="C944" s="48" t="s">
        <v>907</v>
      </c>
      <c r="D944" s="48" t="s">
        <v>844</v>
      </c>
      <c r="E944" s="48" t="s">
        <v>336</v>
      </c>
      <c r="F944" s="48" t="s">
        <v>274</v>
      </c>
      <c r="G944" s="48" t="s">
        <v>288</v>
      </c>
      <c r="H944" s="48" t="s">
        <v>62</v>
      </c>
      <c r="I944" s="48" t="s">
        <v>161</v>
      </c>
      <c r="J944" s="49">
        <v>4</v>
      </c>
      <c r="K944" s="50">
        <v>120</v>
      </c>
      <c r="L944" s="50">
        <v>117.61</v>
      </c>
      <c r="M944" s="48" t="s">
        <v>276</v>
      </c>
      <c r="N944" s="51">
        <v>1</v>
      </c>
      <c r="O944" s="51">
        <v>1</v>
      </c>
      <c r="P944" s="52">
        <v>76</v>
      </c>
      <c r="Q944" s="52">
        <v>76</v>
      </c>
      <c r="R944" s="53" t="str">
        <f>INDEX(SKU_Master!$D$5:$D$34,MATCH($I944,SKU_Master!$A$5:$A$34,0))</f>
        <v>Accessory</v>
      </c>
      <c r="S944" s="54">
        <f t="shared" si="196"/>
        <v>1.9916666666666694E-2</v>
      </c>
      <c r="T944" s="55">
        <f t="shared" si="197"/>
        <v>480</v>
      </c>
      <c r="U944" s="55">
        <f t="shared" si="198"/>
        <v>470.44</v>
      </c>
      <c r="V944" s="55">
        <f t="shared" si="199"/>
        <v>-9.5600000000000023</v>
      </c>
      <c r="W944" s="55">
        <f t="shared" si="200"/>
        <v>470.44</v>
      </c>
      <c r="X944" s="55">
        <f t="shared" si="201"/>
        <v>0</v>
      </c>
      <c r="Y944" s="55">
        <f t="shared" si="202"/>
        <v>304</v>
      </c>
      <c r="Z944" s="55">
        <f t="shared" si="203"/>
        <v>304</v>
      </c>
      <c r="AA944" s="55">
        <f t="shared" si="204"/>
        <v>0</v>
      </c>
      <c r="AB944" s="55">
        <f t="shared" si="205"/>
        <v>166.44</v>
      </c>
      <c r="AC944" s="54">
        <f t="shared" si="206"/>
        <v>0.35379644588045234</v>
      </c>
      <c r="AD944" s="56">
        <f>INDEX(Assumptions!$B$14:$B$16,MATCH($R944,Assumptions!$A$14:$A$16,0))</f>
        <v>0.32</v>
      </c>
      <c r="AE944" s="56">
        <f>INDEX(Assumptions!$C$14:$C$16,MATCH($R944,Assumptions!$A$14:$A$16,0))</f>
        <v>0.22</v>
      </c>
      <c r="AF944" s="49">
        <f t="shared" si="207"/>
        <v>0</v>
      </c>
      <c r="AG944" s="49">
        <f t="shared" si="208"/>
        <v>0</v>
      </c>
      <c r="AH944" s="55">
        <f t="shared" si="209"/>
        <v>0</v>
      </c>
    </row>
    <row r="945" spans="1:34" x14ac:dyDescent="0.2">
      <c r="A945" s="48" t="s">
        <v>914</v>
      </c>
      <c r="B945" s="48">
        <v>1</v>
      </c>
      <c r="C945" s="48" t="s">
        <v>899</v>
      </c>
      <c r="D945" s="48" t="s">
        <v>844</v>
      </c>
      <c r="E945" s="48" t="s">
        <v>296</v>
      </c>
      <c r="F945" s="48" t="s">
        <v>297</v>
      </c>
      <c r="G945" s="48" t="s">
        <v>298</v>
      </c>
      <c r="H945" s="48" t="s">
        <v>66</v>
      </c>
      <c r="I945" s="48" t="s">
        <v>106</v>
      </c>
      <c r="J945" s="49">
        <v>79</v>
      </c>
      <c r="K945" s="50">
        <v>1450</v>
      </c>
      <c r="L945" s="50">
        <v>1389.96</v>
      </c>
      <c r="M945" s="48" t="s">
        <v>276</v>
      </c>
      <c r="N945" s="51">
        <v>0.92</v>
      </c>
      <c r="O945" s="51">
        <v>0.91820000000000002</v>
      </c>
      <c r="P945" s="52">
        <v>1318.4</v>
      </c>
      <c r="Q945" s="52">
        <v>1318.4</v>
      </c>
      <c r="R945" s="53" t="str">
        <f>INDEX(SKU_Master!$D$5:$D$34,MATCH($I945,SKU_Master!$A$5:$A$34,0))</f>
        <v>Laptop</v>
      </c>
      <c r="S945" s="54">
        <f t="shared" si="196"/>
        <v>4.1406896551724137E-2</v>
      </c>
      <c r="T945" s="55">
        <f t="shared" si="197"/>
        <v>124510.86956521739</v>
      </c>
      <c r="U945" s="55">
        <f t="shared" si="198"/>
        <v>119355.2608695652</v>
      </c>
      <c r="V945" s="55">
        <f t="shared" si="199"/>
        <v>-5155.6086956521904</v>
      </c>
      <c r="W945" s="55">
        <f t="shared" si="200"/>
        <v>119589.23981703332</v>
      </c>
      <c r="X945" s="55">
        <f t="shared" si="201"/>
        <v>233.97894746811653</v>
      </c>
      <c r="Y945" s="55">
        <f t="shared" si="202"/>
        <v>104153.60000000001</v>
      </c>
      <c r="Z945" s="55">
        <f t="shared" si="203"/>
        <v>104153.60000000001</v>
      </c>
      <c r="AA945" s="55">
        <f t="shared" si="204"/>
        <v>0</v>
      </c>
      <c r="AB945" s="55">
        <f t="shared" si="205"/>
        <v>15435.639817033312</v>
      </c>
      <c r="AC945" s="54">
        <f t="shared" si="206"/>
        <v>0.12907214596103475</v>
      </c>
      <c r="AD945" s="56">
        <f>INDEX(Assumptions!$B$14:$B$16,MATCH($R945,Assumptions!$A$14:$A$16,0))</f>
        <v>0.12</v>
      </c>
      <c r="AE945" s="56">
        <f>INDEX(Assumptions!$C$14:$C$16,MATCH($R945,Assumptions!$A$14:$A$16,0))</f>
        <v>0.08</v>
      </c>
      <c r="AF945" s="49">
        <f t="shared" si="207"/>
        <v>0</v>
      </c>
      <c r="AG945" s="49">
        <f t="shared" si="208"/>
        <v>0</v>
      </c>
      <c r="AH945" s="55">
        <f t="shared" si="209"/>
        <v>0</v>
      </c>
    </row>
    <row r="946" spans="1:34" x14ac:dyDescent="0.2">
      <c r="A946" s="48" t="s">
        <v>914</v>
      </c>
      <c r="B946" s="48">
        <v>2</v>
      </c>
      <c r="C946" s="48" t="s">
        <v>899</v>
      </c>
      <c r="D946" s="48" t="s">
        <v>844</v>
      </c>
      <c r="E946" s="48" t="s">
        <v>296</v>
      </c>
      <c r="F946" s="48" t="s">
        <v>297</v>
      </c>
      <c r="G946" s="48" t="s">
        <v>298</v>
      </c>
      <c r="H946" s="48" t="s">
        <v>66</v>
      </c>
      <c r="I946" s="48" t="s">
        <v>144</v>
      </c>
      <c r="J946" s="49">
        <v>32</v>
      </c>
      <c r="K946" s="50">
        <v>375</v>
      </c>
      <c r="L946" s="50">
        <v>363.23</v>
      </c>
      <c r="M946" s="48" t="s">
        <v>276</v>
      </c>
      <c r="N946" s="51">
        <v>0.92</v>
      </c>
      <c r="O946" s="51">
        <v>0.91820000000000002</v>
      </c>
      <c r="P946" s="52">
        <v>314.60000000000002</v>
      </c>
      <c r="Q946" s="52">
        <v>314.60000000000002</v>
      </c>
      <c r="R946" s="53" t="str">
        <f>INDEX(SKU_Master!$D$5:$D$34,MATCH($I946,SKU_Master!$A$5:$A$34,0))</f>
        <v>Monitor</v>
      </c>
      <c r="S946" s="54">
        <f t="shared" si="196"/>
        <v>3.1386666666666563E-2</v>
      </c>
      <c r="T946" s="55">
        <f t="shared" si="197"/>
        <v>13043.478260869564</v>
      </c>
      <c r="U946" s="55">
        <f t="shared" si="198"/>
        <v>12634.08695652174</v>
      </c>
      <c r="V946" s="55">
        <f t="shared" si="199"/>
        <v>-409.39130434782419</v>
      </c>
      <c r="W946" s="55">
        <f t="shared" si="200"/>
        <v>12658.854280113266</v>
      </c>
      <c r="X946" s="55">
        <f t="shared" si="201"/>
        <v>24.767323591526292</v>
      </c>
      <c r="Y946" s="55">
        <f t="shared" si="202"/>
        <v>10067.200000000001</v>
      </c>
      <c r="Z946" s="55">
        <f t="shared" si="203"/>
        <v>10067.200000000001</v>
      </c>
      <c r="AA946" s="55">
        <f t="shared" si="204"/>
        <v>0</v>
      </c>
      <c r="AB946" s="55">
        <f t="shared" si="205"/>
        <v>2591.6542801132655</v>
      </c>
      <c r="AC946" s="54">
        <f t="shared" si="206"/>
        <v>0.2047305563967734</v>
      </c>
      <c r="AD946" s="56">
        <f>INDEX(Assumptions!$B$14:$B$16,MATCH($R946,Assumptions!$A$14:$A$16,0))</f>
        <v>0.18</v>
      </c>
      <c r="AE946" s="56">
        <f>INDEX(Assumptions!$C$14:$C$16,MATCH($R946,Assumptions!$A$14:$A$16,0))</f>
        <v>0.12</v>
      </c>
      <c r="AF946" s="49">
        <f t="shared" si="207"/>
        <v>0</v>
      </c>
      <c r="AG946" s="49">
        <f t="shared" si="208"/>
        <v>0</v>
      </c>
      <c r="AH946" s="55">
        <f t="shared" si="209"/>
        <v>0</v>
      </c>
    </row>
    <row r="947" spans="1:34" x14ac:dyDescent="0.2">
      <c r="A947" s="48" t="s">
        <v>914</v>
      </c>
      <c r="B947" s="48">
        <v>3</v>
      </c>
      <c r="C947" s="48" t="s">
        <v>899</v>
      </c>
      <c r="D947" s="48" t="s">
        <v>844</v>
      </c>
      <c r="E947" s="48" t="s">
        <v>296</v>
      </c>
      <c r="F947" s="48" t="s">
        <v>297</v>
      </c>
      <c r="G947" s="48" t="s">
        <v>298</v>
      </c>
      <c r="H947" s="48" t="s">
        <v>66</v>
      </c>
      <c r="I947" s="48" t="s">
        <v>164</v>
      </c>
      <c r="J947" s="49">
        <v>60</v>
      </c>
      <c r="K947" s="50">
        <v>185</v>
      </c>
      <c r="L947" s="50">
        <v>180.7</v>
      </c>
      <c r="M947" s="48" t="s">
        <v>276</v>
      </c>
      <c r="N947" s="51">
        <v>0.92</v>
      </c>
      <c r="O947" s="51">
        <v>0.91820000000000002</v>
      </c>
      <c r="P947" s="52">
        <v>126</v>
      </c>
      <c r="Q947" s="52">
        <v>126</v>
      </c>
      <c r="R947" s="53" t="str">
        <f>INDEX(SKU_Master!$D$5:$D$34,MATCH($I947,SKU_Master!$A$5:$A$34,0))</f>
        <v>Accessory</v>
      </c>
      <c r="S947" s="54">
        <f t="shared" si="196"/>
        <v>2.3243243243243339E-2</v>
      </c>
      <c r="T947" s="55">
        <f t="shared" si="197"/>
        <v>12065.217391304348</v>
      </c>
      <c r="U947" s="55">
        <f t="shared" si="198"/>
        <v>11784.782608695652</v>
      </c>
      <c r="V947" s="55">
        <f t="shared" si="199"/>
        <v>-280.43478260869597</v>
      </c>
      <c r="W947" s="55">
        <f t="shared" si="200"/>
        <v>11807.884992376388</v>
      </c>
      <c r="X947" s="55">
        <f t="shared" si="201"/>
        <v>23.102383680736239</v>
      </c>
      <c r="Y947" s="55">
        <f t="shared" si="202"/>
        <v>7560</v>
      </c>
      <c r="Z947" s="55">
        <f t="shared" si="203"/>
        <v>7560</v>
      </c>
      <c r="AA947" s="55">
        <f t="shared" si="204"/>
        <v>0</v>
      </c>
      <c r="AB947" s="55">
        <f t="shared" si="205"/>
        <v>4247.8849923763883</v>
      </c>
      <c r="AC947" s="54">
        <f t="shared" si="206"/>
        <v>0.35974986164914219</v>
      </c>
      <c r="AD947" s="56">
        <f>INDEX(Assumptions!$B$14:$B$16,MATCH($R947,Assumptions!$A$14:$A$16,0))</f>
        <v>0.32</v>
      </c>
      <c r="AE947" s="56">
        <f>INDEX(Assumptions!$C$14:$C$16,MATCH($R947,Assumptions!$A$14:$A$16,0))</f>
        <v>0.22</v>
      </c>
      <c r="AF947" s="49">
        <f t="shared" si="207"/>
        <v>0</v>
      </c>
      <c r="AG947" s="49">
        <f t="shared" si="208"/>
        <v>0</v>
      </c>
      <c r="AH947" s="55">
        <f t="shared" si="209"/>
        <v>0</v>
      </c>
    </row>
    <row r="948" spans="1:34" x14ac:dyDescent="0.2">
      <c r="A948" s="48" t="s">
        <v>915</v>
      </c>
      <c r="B948" s="48">
        <v>1</v>
      </c>
      <c r="C948" s="48" t="s">
        <v>863</v>
      </c>
      <c r="D948" s="48" t="s">
        <v>844</v>
      </c>
      <c r="E948" s="48" t="s">
        <v>279</v>
      </c>
      <c r="F948" s="48" t="s">
        <v>280</v>
      </c>
      <c r="G948" s="48" t="s">
        <v>281</v>
      </c>
      <c r="H948" s="48" t="s">
        <v>64</v>
      </c>
      <c r="I948" s="48" t="s">
        <v>113</v>
      </c>
      <c r="J948" s="49">
        <v>14</v>
      </c>
      <c r="K948" s="50">
        <v>1425</v>
      </c>
      <c r="L948" s="50">
        <v>1394.72</v>
      </c>
      <c r="M948" s="48" t="s">
        <v>276</v>
      </c>
      <c r="N948" s="51">
        <v>0.79</v>
      </c>
      <c r="O948" s="51">
        <v>0.79600000000000004</v>
      </c>
      <c r="P948" s="52">
        <v>1508.8</v>
      </c>
      <c r="Q948" s="52">
        <v>1508.8</v>
      </c>
      <c r="R948" s="53" t="str">
        <f>INDEX(SKU_Master!$D$5:$D$34,MATCH($I948,SKU_Master!$A$5:$A$34,0))</f>
        <v>Laptop</v>
      </c>
      <c r="S948" s="54">
        <f t="shared" si="196"/>
        <v>2.1249122807017518E-2</v>
      </c>
      <c r="T948" s="55">
        <f t="shared" si="197"/>
        <v>25253.164556962023</v>
      </c>
      <c r="U948" s="55">
        <f t="shared" si="198"/>
        <v>24716.556962025319</v>
      </c>
      <c r="V948" s="55">
        <f t="shared" si="199"/>
        <v>-536.60759493670412</v>
      </c>
      <c r="W948" s="55">
        <f t="shared" si="200"/>
        <v>24530.251256281408</v>
      </c>
      <c r="X948" s="55">
        <f t="shared" si="201"/>
        <v>-186.30570574391095</v>
      </c>
      <c r="Y948" s="55">
        <f t="shared" si="202"/>
        <v>21123.200000000001</v>
      </c>
      <c r="Z948" s="55">
        <f t="shared" si="203"/>
        <v>21123.200000000001</v>
      </c>
      <c r="AA948" s="55">
        <f t="shared" si="204"/>
        <v>0</v>
      </c>
      <c r="AB948" s="55">
        <f t="shared" si="205"/>
        <v>3407.0512562814074</v>
      </c>
      <c r="AC948" s="54">
        <f t="shared" si="206"/>
        <v>0.13889182058047495</v>
      </c>
      <c r="AD948" s="56">
        <f>INDEX(Assumptions!$B$14:$B$16,MATCH($R948,Assumptions!$A$14:$A$16,0))</f>
        <v>0.12</v>
      </c>
      <c r="AE948" s="56">
        <f>INDEX(Assumptions!$C$14:$C$16,MATCH($R948,Assumptions!$A$14:$A$16,0))</f>
        <v>0.08</v>
      </c>
      <c r="AF948" s="49">
        <f t="shared" si="207"/>
        <v>0</v>
      </c>
      <c r="AG948" s="49">
        <f t="shared" si="208"/>
        <v>0</v>
      </c>
      <c r="AH948" s="55">
        <f t="shared" si="209"/>
        <v>0</v>
      </c>
    </row>
    <row r="949" spans="1:34" x14ac:dyDescent="0.2">
      <c r="A949" s="48" t="s">
        <v>915</v>
      </c>
      <c r="B949" s="48">
        <v>2</v>
      </c>
      <c r="C949" s="48" t="s">
        <v>863</v>
      </c>
      <c r="D949" s="48" t="s">
        <v>844</v>
      </c>
      <c r="E949" s="48" t="s">
        <v>279</v>
      </c>
      <c r="F949" s="48" t="s">
        <v>280</v>
      </c>
      <c r="G949" s="48" t="s">
        <v>281</v>
      </c>
      <c r="H949" s="48" t="s">
        <v>64</v>
      </c>
      <c r="I949" s="48" t="s">
        <v>141</v>
      </c>
      <c r="J949" s="49">
        <v>11</v>
      </c>
      <c r="K949" s="50">
        <v>395</v>
      </c>
      <c r="L949" s="50">
        <v>378.92</v>
      </c>
      <c r="M949" s="48" t="s">
        <v>276</v>
      </c>
      <c r="N949" s="51">
        <v>0.79</v>
      </c>
      <c r="O949" s="51">
        <v>0.79600000000000004</v>
      </c>
      <c r="P949" s="52">
        <v>381.7</v>
      </c>
      <c r="Q949" s="52">
        <v>381.7</v>
      </c>
      <c r="R949" s="53" t="str">
        <f>INDEX(SKU_Master!$D$5:$D$34,MATCH($I949,SKU_Master!$A$5:$A$34,0))</f>
        <v>Monitor</v>
      </c>
      <c r="S949" s="54">
        <f t="shared" si="196"/>
        <v>4.0708860759493648E-2</v>
      </c>
      <c r="T949" s="55">
        <f t="shared" si="197"/>
        <v>5500</v>
      </c>
      <c r="U949" s="55">
        <f t="shared" si="198"/>
        <v>5276.1012658227846</v>
      </c>
      <c r="V949" s="55">
        <f t="shared" si="199"/>
        <v>-223.89873417721537</v>
      </c>
      <c r="W949" s="55">
        <f t="shared" si="200"/>
        <v>5236.3316582914567</v>
      </c>
      <c r="X949" s="55">
        <f t="shared" si="201"/>
        <v>-39.769607531327893</v>
      </c>
      <c r="Y949" s="55">
        <f t="shared" si="202"/>
        <v>4198.7</v>
      </c>
      <c r="Z949" s="55">
        <f t="shared" si="203"/>
        <v>4198.7</v>
      </c>
      <c r="AA949" s="55">
        <f t="shared" si="204"/>
        <v>0</v>
      </c>
      <c r="AB949" s="55">
        <f t="shared" si="205"/>
        <v>1037.6316582914569</v>
      </c>
      <c r="AC949" s="54">
        <f t="shared" si="206"/>
        <v>0.1981600337802174</v>
      </c>
      <c r="AD949" s="56">
        <f>INDEX(Assumptions!$B$14:$B$16,MATCH($R949,Assumptions!$A$14:$A$16,0))</f>
        <v>0.18</v>
      </c>
      <c r="AE949" s="56">
        <f>INDEX(Assumptions!$C$14:$C$16,MATCH($R949,Assumptions!$A$14:$A$16,0))</f>
        <v>0.12</v>
      </c>
      <c r="AF949" s="49">
        <f t="shared" si="207"/>
        <v>0</v>
      </c>
      <c r="AG949" s="49">
        <f t="shared" si="208"/>
        <v>0</v>
      </c>
      <c r="AH949" s="55">
        <f t="shared" si="209"/>
        <v>0</v>
      </c>
    </row>
    <row r="950" spans="1:34" x14ac:dyDescent="0.2">
      <c r="A950" s="48" t="s">
        <v>915</v>
      </c>
      <c r="B950" s="48">
        <v>3</v>
      </c>
      <c r="C950" s="48" t="s">
        <v>863</v>
      </c>
      <c r="D950" s="48" t="s">
        <v>844</v>
      </c>
      <c r="E950" s="48" t="s">
        <v>279</v>
      </c>
      <c r="F950" s="48" t="s">
        <v>280</v>
      </c>
      <c r="G950" s="48" t="s">
        <v>281</v>
      </c>
      <c r="H950" s="48" t="s">
        <v>64</v>
      </c>
      <c r="I950" s="48" t="s">
        <v>151</v>
      </c>
      <c r="J950" s="49">
        <v>6</v>
      </c>
      <c r="K950" s="50">
        <v>280</v>
      </c>
      <c r="L950" s="50">
        <v>274.26</v>
      </c>
      <c r="M950" s="48" t="s">
        <v>276</v>
      </c>
      <c r="N950" s="51">
        <v>0.79</v>
      </c>
      <c r="O950" s="51">
        <v>0.79600000000000004</v>
      </c>
      <c r="P950" s="52">
        <v>222.7</v>
      </c>
      <c r="Q950" s="52">
        <v>222.7</v>
      </c>
      <c r="R950" s="53" t="str">
        <f>INDEX(SKU_Master!$D$5:$D$34,MATCH($I950,SKU_Master!$A$5:$A$34,0))</f>
        <v>Accessory</v>
      </c>
      <c r="S950" s="54">
        <f t="shared" si="196"/>
        <v>2.0500000000000074E-2</v>
      </c>
      <c r="T950" s="55">
        <f t="shared" si="197"/>
        <v>2126.5822784810125</v>
      </c>
      <c r="U950" s="55">
        <f t="shared" si="198"/>
        <v>2082.9873417721519</v>
      </c>
      <c r="V950" s="55">
        <f t="shared" si="199"/>
        <v>-43.594936708860587</v>
      </c>
      <c r="W950" s="55">
        <f t="shared" si="200"/>
        <v>2067.286432160804</v>
      </c>
      <c r="X950" s="55">
        <f t="shared" si="201"/>
        <v>-15.700909611347925</v>
      </c>
      <c r="Y950" s="55">
        <f t="shared" si="202"/>
        <v>1336.1999999999998</v>
      </c>
      <c r="Z950" s="55">
        <f t="shared" si="203"/>
        <v>1336.1999999999998</v>
      </c>
      <c r="AA950" s="55">
        <f t="shared" si="204"/>
        <v>0</v>
      </c>
      <c r="AB950" s="55">
        <f t="shared" si="205"/>
        <v>731.08643216080418</v>
      </c>
      <c r="AC950" s="54">
        <f t="shared" si="206"/>
        <v>0.35364544592722241</v>
      </c>
      <c r="AD950" s="56">
        <f>INDEX(Assumptions!$B$14:$B$16,MATCH($R950,Assumptions!$A$14:$A$16,0))</f>
        <v>0.32</v>
      </c>
      <c r="AE950" s="56">
        <f>INDEX(Assumptions!$C$14:$C$16,MATCH($R950,Assumptions!$A$14:$A$16,0))</f>
        <v>0.22</v>
      </c>
      <c r="AF950" s="49">
        <f t="shared" si="207"/>
        <v>0</v>
      </c>
      <c r="AG950" s="49">
        <f t="shared" si="208"/>
        <v>0</v>
      </c>
      <c r="AH950" s="55">
        <f t="shared" si="209"/>
        <v>0</v>
      </c>
    </row>
    <row r="951" spans="1:34" x14ac:dyDescent="0.2">
      <c r="A951" s="48" t="s">
        <v>916</v>
      </c>
      <c r="B951" s="48">
        <v>1</v>
      </c>
      <c r="C951" s="48" t="s">
        <v>904</v>
      </c>
      <c r="D951" s="48" t="s">
        <v>844</v>
      </c>
      <c r="E951" s="48" t="s">
        <v>343</v>
      </c>
      <c r="F951" s="48" t="s">
        <v>280</v>
      </c>
      <c r="G951" s="48" t="s">
        <v>281</v>
      </c>
      <c r="H951" s="48" t="s">
        <v>62</v>
      </c>
      <c r="I951" s="48" t="s">
        <v>93</v>
      </c>
      <c r="J951" s="49">
        <v>29</v>
      </c>
      <c r="K951" s="50">
        <v>1390</v>
      </c>
      <c r="L951" s="50">
        <v>1355.97</v>
      </c>
      <c r="M951" s="48" t="s">
        <v>276</v>
      </c>
      <c r="N951" s="51">
        <v>1</v>
      </c>
      <c r="O951" s="51">
        <v>1</v>
      </c>
      <c r="P951" s="52">
        <v>1186.2</v>
      </c>
      <c r="Q951" s="52">
        <v>1186.2</v>
      </c>
      <c r="R951" s="53" t="str">
        <f>INDEX(SKU_Master!$D$5:$D$34,MATCH($I951,SKU_Master!$A$5:$A$34,0))</f>
        <v>Laptop</v>
      </c>
      <c r="S951" s="54">
        <f t="shared" si="196"/>
        <v>2.4482014388489182E-2</v>
      </c>
      <c r="T951" s="55">
        <f t="shared" si="197"/>
        <v>40310</v>
      </c>
      <c r="U951" s="55">
        <f t="shared" si="198"/>
        <v>39323.129999999997</v>
      </c>
      <c r="V951" s="55">
        <f t="shared" si="199"/>
        <v>-986.87000000000262</v>
      </c>
      <c r="W951" s="55">
        <f t="shared" si="200"/>
        <v>39323.129999999997</v>
      </c>
      <c r="X951" s="55">
        <f t="shared" si="201"/>
        <v>0</v>
      </c>
      <c r="Y951" s="55">
        <f t="shared" si="202"/>
        <v>34399.800000000003</v>
      </c>
      <c r="Z951" s="55">
        <f t="shared" si="203"/>
        <v>34399.800000000003</v>
      </c>
      <c r="AA951" s="55">
        <f t="shared" si="204"/>
        <v>0</v>
      </c>
      <c r="AB951" s="55">
        <f t="shared" si="205"/>
        <v>4923.3299999999945</v>
      </c>
      <c r="AC951" s="54">
        <f t="shared" si="206"/>
        <v>0.12520188499745558</v>
      </c>
      <c r="AD951" s="56">
        <f>INDEX(Assumptions!$B$14:$B$16,MATCH($R951,Assumptions!$A$14:$A$16,0))</f>
        <v>0.12</v>
      </c>
      <c r="AE951" s="56">
        <f>INDEX(Assumptions!$C$14:$C$16,MATCH($R951,Assumptions!$A$14:$A$16,0))</f>
        <v>0.08</v>
      </c>
      <c r="AF951" s="49">
        <f t="shared" si="207"/>
        <v>0</v>
      </c>
      <c r="AG951" s="49">
        <f t="shared" si="208"/>
        <v>0</v>
      </c>
      <c r="AH951" s="55">
        <f t="shared" si="209"/>
        <v>0</v>
      </c>
    </row>
    <row r="952" spans="1:34" x14ac:dyDescent="0.2">
      <c r="A952" s="48" t="s">
        <v>916</v>
      </c>
      <c r="B952" s="48">
        <v>2</v>
      </c>
      <c r="C952" s="48" t="s">
        <v>904</v>
      </c>
      <c r="D952" s="48" t="s">
        <v>844</v>
      </c>
      <c r="E952" s="48" t="s">
        <v>343</v>
      </c>
      <c r="F952" s="48" t="s">
        <v>280</v>
      </c>
      <c r="G952" s="48" t="s">
        <v>281</v>
      </c>
      <c r="H952" s="48" t="s">
        <v>62</v>
      </c>
      <c r="I952" s="48" t="s">
        <v>144</v>
      </c>
      <c r="J952" s="49">
        <v>31</v>
      </c>
      <c r="K952" s="50">
        <v>370</v>
      </c>
      <c r="L952" s="50">
        <v>356.8</v>
      </c>
      <c r="M952" s="48" t="s">
        <v>276</v>
      </c>
      <c r="N952" s="51">
        <v>1</v>
      </c>
      <c r="O952" s="51">
        <v>1</v>
      </c>
      <c r="P952" s="52">
        <v>289.60000000000002</v>
      </c>
      <c r="Q952" s="52">
        <v>289.60000000000002</v>
      </c>
      <c r="R952" s="53" t="str">
        <f>INDEX(SKU_Master!$D$5:$D$34,MATCH($I952,SKU_Master!$A$5:$A$34,0))</f>
        <v>Monitor</v>
      </c>
      <c r="S952" s="54">
        <f t="shared" si="196"/>
        <v>3.5675675675675644E-2</v>
      </c>
      <c r="T952" s="55">
        <f t="shared" si="197"/>
        <v>11470</v>
      </c>
      <c r="U952" s="55">
        <f t="shared" si="198"/>
        <v>11060.800000000001</v>
      </c>
      <c r="V952" s="55">
        <f t="shared" si="199"/>
        <v>-409.19999999999891</v>
      </c>
      <c r="W952" s="55">
        <f t="shared" si="200"/>
        <v>11060.800000000001</v>
      </c>
      <c r="X952" s="55">
        <f t="shared" si="201"/>
        <v>0</v>
      </c>
      <c r="Y952" s="55">
        <f t="shared" si="202"/>
        <v>8977.6</v>
      </c>
      <c r="Z952" s="55">
        <f t="shared" si="203"/>
        <v>8977.6</v>
      </c>
      <c r="AA952" s="55">
        <f t="shared" si="204"/>
        <v>0</v>
      </c>
      <c r="AB952" s="55">
        <f t="shared" si="205"/>
        <v>2083.2000000000007</v>
      </c>
      <c r="AC952" s="54">
        <f t="shared" si="206"/>
        <v>0.18834080717488794</v>
      </c>
      <c r="AD952" s="56">
        <f>INDEX(Assumptions!$B$14:$B$16,MATCH($R952,Assumptions!$A$14:$A$16,0))</f>
        <v>0.18</v>
      </c>
      <c r="AE952" s="56">
        <f>INDEX(Assumptions!$C$14:$C$16,MATCH($R952,Assumptions!$A$14:$A$16,0))</f>
        <v>0.12</v>
      </c>
      <c r="AF952" s="49">
        <f t="shared" si="207"/>
        <v>0</v>
      </c>
      <c r="AG952" s="49">
        <f t="shared" si="208"/>
        <v>0</v>
      </c>
      <c r="AH952" s="55">
        <f t="shared" si="209"/>
        <v>0</v>
      </c>
    </row>
    <row r="953" spans="1:34" x14ac:dyDescent="0.2">
      <c r="A953" s="48" t="s">
        <v>917</v>
      </c>
      <c r="B953" s="48">
        <v>1</v>
      </c>
      <c r="C953" s="48" t="s">
        <v>884</v>
      </c>
      <c r="D953" s="48" t="s">
        <v>844</v>
      </c>
      <c r="E953" s="48" t="s">
        <v>301</v>
      </c>
      <c r="F953" s="48" t="s">
        <v>274</v>
      </c>
      <c r="G953" s="48" t="s">
        <v>302</v>
      </c>
      <c r="H953" s="48" t="s">
        <v>62</v>
      </c>
      <c r="I953" s="48" t="s">
        <v>98</v>
      </c>
      <c r="J953" s="49">
        <v>6</v>
      </c>
      <c r="K953" s="50">
        <v>2085</v>
      </c>
      <c r="L953" s="50">
        <v>2062.0300000000002</v>
      </c>
      <c r="M953" s="48" t="s">
        <v>276</v>
      </c>
      <c r="N953" s="51">
        <v>1</v>
      </c>
      <c r="O953" s="51">
        <v>1</v>
      </c>
      <c r="P953" s="52">
        <v>1780.2</v>
      </c>
      <c r="Q953" s="52">
        <v>1780.2</v>
      </c>
      <c r="R953" s="53" t="str">
        <f>INDEX(SKU_Master!$D$5:$D$34,MATCH($I953,SKU_Master!$A$5:$A$34,0))</f>
        <v>Laptop</v>
      </c>
      <c r="S953" s="54">
        <f t="shared" si="196"/>
        <v>1.1016786570743342E-2</v>
      </c>
      <c r="T953" s="55">
        <f t="shared" si="197"/>
        <v>12510</v>
      </c>
      <c r="U953" s="55">
        <f t="shared" si="198"/>
        <v>12372.18</v>
      </c>
      <c r="V953" s="55">
        <f t="shared" si="199"/>
        <v>-137.81999999999971</v>
      </c>
      <c r="W953" s="55">
        <f t="shared" si="200"/>
        <v>12372.18</v>
      </c>
      <c r="X953" s="55">
        <f t="shared" si="201"/>
        <v>0</v>
      </c>
      <c r="Y953" s="55">
        <f t="shared" si="202"/>
        <v>10681.2</v>
      </c>
      <c r="Z953" s="55">
        <f t="shared" si="203"/>
        <v>10681.2</v>
      </c>
      <c r="AA953" s="55">
        <f t="shared" si="204"/>
        <v>0</v>
      </c>
      <c r="AB953" s="55">
        <f t="shared" si="205"/>
        <v>1690.9799999999996</v>
      </c>
      <c r="AC953" s="54">
        <f t="shared" si="206"/>
        <v>0.13667599404470349</v>
      </c>
      <c r="AD953" s="56">
        <f>INDEX(Assumptions!$B$14:$B$16,MATCH($R953,Assumptions!$A$14:$A$16,0))</f>
        <v>0.12</v>
      </c>
      <c r="AE953" s="56">
        <f>INDEX(Assumptions!$C$14:$C$16,MATCH($R953,Assumptions!$A$14:$A$16,0))</f>
        <v>0.08</v>
      </c>
      <c r="AF953" s="49">
        <f t="shared" si="207"/>
        <v>0</v>
      </c>
      <c r="AG953" s="49">
        <f t="shared" si="208"/>
        <v>0</v>
      </c>
      <c r="AH953" s="55">
        <f t="shared" si="209"/>
        <v>0</v>
      </c>
    </row>
    <row r="954" spans="1:34" x14ac:dyDescent="0.2">
      <c r="A954" s="48" t="s">
        <v>917</v>
      </c>
      <c r="B954" s="48">
        <v>2</v>
      </c>
      <c r="C954" s="48" t="s">
        <v>884</v>
      </c>
      <c r="D954" s="48" t="s">
        <v>844</v>
      </c>
      <c r="E954" s="48" t="s">
        <v>301</v>
      </c>
      <c r="F954" s="48" t="s">
        <v>274</v>
      </c>
      <c r="G954" s="48" t="s">
        <v>302</v>
      </c>
      <c r="H954" s="48" t="s">
        <v>62</v>
      </c>
      <c r="I954" s="48" t="s">
        <v>157</v>
      </c>
      <c r="J954" s="49">
        <v>5</v>
      </c>
      <c r="K954" s="50">
        <v>135</v>
      </c>
      <c r="L954" s="50">
        <v>130.63999999999999</v>
      </c>
      <c r="M954" s="48" t="s">
        <v>276</v>
      </c>
      <c r="N954" s="51">
        <v>1</v>
      </c>
      <c r="O954" s="51">
        <v>1</v>
      </c>
      <c r="P954" s="52">
        <v>86</v>
      </c>
      <c r="Q954" s="52">
        <v>86</v>
      </c>
      <c r="R954" s="53" t="str">
        <f>INDEX(SKU_Master!$D$5:$D$34,MATCH($I954,SKU_Master!$A$5:$A$34,0))</f>
        <v>Accessory</v>
      </c>
      <c r="S954" s="54">
        <f t="shared" si="196"/>
        <v>3.2296296296296378E-2</v>
      </c>
      <c r="T954" s="55">
        <f t="shared" si="197"/>
        <v>675</v>
      </c>
      <c r="U954" s="55">
        <f t="shared" si="198"/>
        <v>653.19999999999993</v>
      </c>
      <c r="V954" s="55">
        <f t="shared" si="199"/>
        <v>-21.800000000000068</v>
      </c>
      <c r="W954" s="55">
        <f t="shared" si="200"/>
        <v>653.19999999999993</v>
      </c>
      <c r="X954" s="55">
        <f t="shared" si="201"/>
        <v>0</v>
      </c>
      <c r="Y954" s="55">
        <f t="shared" si="202"/>
        <v>430</v>
      </c>
      <c r="Z954" s="55">
        <f t="shared" si="203"/>
        <v>430</v>
      </c>
      <c r="AA954" s="55">
        <f t="shared" si="204"/>
        <v>0</v>
      </c>
      <c r="AB954" s="55">
        <f t="shared" si="205"/>
        <v>223.19999999999993</v>
      </c>
      <c r="AC954" s="54">
        <f t="shared" si="206"/>
        <v>0.34170238824249838</v>
      </c>
      <c r="AD954" s="56">
        <f>INDEX(Assumptions!$B$14:$B$16,MATCH($R954,Assumptions!$A$14:$A$16,0))</f>
        <v>0.32</v>
      </c>
      <c r="AE954" s="56">
        <f>INDEX(Assumptions!$C$14:$C$16,MATCH($R954,Assumptions!$A$14:$A$16,0))</f>
        <v>0.22</v>
      </c>
      <c r="AF954" s="49">
        <f t="shared" si="207"/>
        <v>0</v>
      </c>
      <c r="AG954" s="49">
        <f t="shared" si="208"/>
        <v>0</v>
      </c>
      <c r="AH954" s="55">
        <f t="shared" si="209"/>
        <v>0</v>
      </c>
    </row>
    <row r="955" spans="1:34" x14ac:dyDescent="0.2">
      <c r="A955" s="48" t="s">
        <v>918</v>
      </c>
      <c r="B955" s="48">
        <v>1</v>
      </c>
      <c r="C955" s="48" t="s">
        <v>853</v>
      </c>
      <c r="D955" s="48" t="s">
        <v>844</v>
      </c>
      <c r="E955" s="48" t="s">
        <v>349</v>
      </c>
      <c r="F955" s="48" t="s">
        <v>274</v>
      </c>
      <c r="G955" s="48" t="s">
        <v>275</v>
      </c>
      <c r="H955" s="48" t="s">
        <v>66</v>
      </c>
      <c r="I955" s="48" t="s">
        <v>93</v>
      </c>
      <c r="J955" s="49">
        <v>2</v>
      </c>
      <c r="K955" s="50">
        <v>1325</v>
      </c>
      <c r="L955" s="50">
        <v>1324.21</v>
      </c>
      <c r="M955" s="48" t="s">
        <v>276</v>
      </c>
      <c r="N955" s="51">
        <v>0.92</v>
      </c>
      <c r="O955" s="51">
        <v>0.91820000000000002</v>
      </c>
      <c r="P955" s="52">
        <v>1206.2</v>
      </c>
      <c r="Q955" s="52">
        <v>1206.2</v>
      </c>
      <c r="R955" s="53" t="str">
        <f>INDEX(SKU_Master!$D$5:$D$34,MATCH($I955,SKU_Master!$A$5:$A$34,0))</f>
        <v>Laptop</v>
      </c>
      <c r="S955" s="54">
        <f t="shared" si="196"/>
        <v>5.9622641509426977E-4</v>
      </c>
      <c r="T955" s="55">
        <f t="shared" si="197"/>
        <v>2880.4347826086955</v>
      </c>
      <c r="U955" s="55">
        <f t="shared" si="198"/>
        <v>2878.717391304348</v>
      </c>
      <c r="V955" s="55">
        <f t="shared" si="199"/>
        <v>-1.7173913043475295</v>
      </c>
      <c r="W955" s="55">
        <f t="shared" si="200"/>
        <v>2884.3607057285994</v>
      </c>
      <c r="X955" s="55">
        <f t="shared" si="201"/>
        <v>5.6433144242514572</v>
      </c>
      <c r="Y955" s="55">
        <f t="shared" si="202"/>
        <v>2412.4</v>
      </c>
      <c r="Z955" s="55">
        <f t="shared" si="203"/>
        <v>2412.4</v>
      </c>
      <c r="AA955" s="55">
        <f t="shared" si="204"/>
        <v>0</v>
      </c>
      <c r="AB955" s="55">
        <f t="shared" si="205"/>
        <v>471.96070572859935</v>
      </c>
      <c r="AC955" s="54">
        <f t="shared" si="206"/>
        <v>0.16362749110790581</v>
      </c>
      <c r="AD955" s="56">
        <f>INDEX(Assumptions!$B$14:$B$16,MATCH($R955,Assumptions!$A$14:$A$16,0))</f>
        <v>0.12</v>
      </c>
      <c r="AE955" s="56">
        <f>INDEX(Assumptions!$C$14:$C$16,MATCH($R955,Assumptions!$A$14:$A$16,0))</f>
        <v>0.08</v>
      </c>
      <c r="AF955" s="49">
        <f t="shared" si="207"/>
        <v>0</v>
      </c>
      <c r="AG955" s="49">
        <f t="shared" si="208"/>
        <v>0</v>
      </c>
      <c r="AH955" s="55">
        <f t="shared" si="209"/>
        <v>0</v>
      </c>
    </row>
    <row r="956" spans="1:34" x14ac:dyDescent="0.2">
      <c r="A956" s="48" t="s">
        <v>918</v>
      </c>
      <c r="B956" s="48">
        <v>2</v>
      </c>
      <c r="C956" s="48" t="s">
        <v>853</v>
      </c>
      <c r="D956" s="48" t="s">
        <v>844</v>
      </c>
      <c r="E956" s="48" t="s">
        <v>349</v>
      </c>
      <c r="F956" s="48" t="s">
        <v>274</v>
      </c>
      <c r="G956" s="48" t="s">
        <v>275</v>
      </c>
      <c r="H956" s="48" t="s">
        <v>66</v>
      </c>
      <c r="I956" s="48" t="s">
        <v>177</v>
      </c>
      <c r="J956" s="49">
        <v>1</v>
      </c>
      <c r="K956" s="50">
        <v>75</v>
      </c>
      <c r="L956" s="50">
        <v>74.47</v>
      </c>
      <c r="M956" s="48" t="s">
        <v>276</v>
      </c>
      <c r="N956" s="51">
        <v>0.92</v>
      </c>
      <c r="O956" s="51">
        <v>0.91820000000000002</v>
      </c>
      <c r="P956" s="52">
        <v>49</v>
      </c>
      <c r="Q956" s="52">
        <v>49</v>
      </c>
      <c r="R956" s="53" t="str">
        <f>INDEX(SKU_Master!$D$5:$D$34,MATCH($I956,SKU_Master!$A$5:$A$34,0))</f>
        <v>Accessory</v>
      </c>
      <c r="S956" s="54">
        <f t="shared" si="196"/>
        <v>7.0666666666666655E-3</v>
      </c>
      <c r="T956" s="55">
        <f t="shared" si="197"/>
        <v>81.521739130434781</v>
      </c>
      <c r="U956" s="55">
        <f t="shared" si="198"/>
        <v>80.945652173913032</v>
      </c>
      <c r="V956" s="55">
        <f t="shared" si="199"/>
        <v>-0.57608695652174902</v>
      </c>
      <c r="W956" s="55">
        <f t="shared" si="200"/>
        <v>81.104334567632321</v>
      </c>
      <c r="X956" s="55">
        <f t="shared" si="201"/>
        <v>0.15868239371928894</v>
      </c>
      <c r="Y956" s="55">
        <f t="shared" si="202"/>
        <v>49</v>
      </c>
      <c r="Z956" s="55">
        <f t="shared" si="203"/>
        <v>49</v>
      </c>
      <c r="AA956" s="55">
        <f t="shared" si="204"/>
        <v>0</v>
      </c>
      <c r="AB956" s="55">
        <f t="shared" si="205"/>
        <v>32.104334567632321</v>
      </c>
      <c r="AC956" s="54">
        <f t="shared" si="206"/>
        <v>0.39583993554451458</v>
      </c>
      <c r="AD956" s="56">
        <f>INDEX(Assumptions!$B$14:$B$16,MATCH($R956,Assumptions!$A$14:$A$16,0))</f>
        <v>0.32</v>
      </c>
      <c r="AE956" s="56">
        <f>INDEX(Assumptions!$C$14:$C$16,MATCH($R956,Assumptions!$A$14:$A$16,0))</f>
        <v>0.22</v>
      </c>
      <c r="AF956" s="49">
        <f t="shared" si="207"/>
        <v>0</v>
      </c>
      <c r="AG956" s="49">
        <f t="shared" si="208"/>
        <v>0</v>
      </c>
      <c r="AH956" s="55">
        <f t="shared" si="209"/>
        <v>0</v>
      </c>
    </row>
    <row r="957" spans="1:34" x14ac:dyDescent="0.2">
      <c r="A957" s="48" t="s">
        <v>919</v>
      </c>
      <c r="B957" s="48">
        <v>1</v>
      </c>
      <c r="C957" s="48" t="s">
        <v>846</v>
      </c>
      <c r="D957" s="48" t="s">
        <v>844</v>
      </c>
      <c r="E957" s="48" t="s">
        <v>358</v>
      </c>
      <c r="F957" s="48" t="s">
        <v>274</v>
      </c>
      <c r="G957" s="48" t="s">
        <v>288</v>
      </c>
      <c r="H957" s="48" t="s">
        <v>62</v>
      </c>
      <c r="I957" s="48" t="s">
        <v>113</v>
      </c>
      <c r="J957" s="49">
        <v>4</v>
      </c>
      <c r="K957" s="50">
        <v>1740</v>
      </c>
      <c r="L957" s="50">
        <v>1730.13</v>
      </c>
      <c r="M957" s="48" t="s">
        <v>276</v>
      </c>
      <c r="N957" s="51">
        <v>1</v>
      </c>
      <c r="O957" s="51">
        <v>1</v>
      </c>
      <c r="P957" s="52">
        <v>1484.8</v>
      </c>
      <c r="Q957" s="52">
        <v>1484.8</v>
      </c>
      <c r="R957" s="53" t="str">
        <f>INDEX(SKU_Master!$D$5:$D$34,MATCH($I957,SKU_Master!$A$5:$A$34,0))</f>
        <v>Laptop</v>
      </c>
      <c r="S957" s="54">
        <f t="shared" si="196"/>
        <v>5.672413793103348E-3</v>
      </c>
      <c r="T957" s="55">
        <f t="shared" si="197"/>
        <v>6960</v>
      </c>
      <c r="U957" s="55">
        <f t="shared" si="198"/>
        <v>6920.52</v>
      </c>
      <c r="V957" s="55">
        <f t="shared" si="199"/>
        <v>-39.479999999999563</v>
      </c>
      <c r="W957" s="55">
        <f t="shared" si="200"/>
        <v>6920.52</v>
      </c>
      <c r="X957" s="55">
        <f t="shared" si="201"/>
        <v>0</v>
      </c>
      <c r="Y957" s="55">
        <f t="shared" si="202"/>
        <v>5939.2</v>
      </c>
      <c r="Z957" s="55">
        <f t="shared" si="203"/>
        <v>5939.2</v>
      </c>
      <c r="AA957" s="55">
        <f t="shared" si="204"/>
        <v>0</v>
      </c>
      <c r="AB957" s="55">
        <f t="shared" si="205"/>
        <v>981.32000000000062</v>
      </c>
      <c r="AC957" s="54">
        <f t="shared" si="206"/>
        <v>0.14179859316929949</v>
      </c>
      <c r="AD957" s="56">
        <f>INDEX(Assumptions!$B$14:$B$16,MATCH($R957,Assumptions!$A$14:$A$16,0))</f>
        <v>0.12</v>
      </c>
      <c r="AE957" s="56">
        <f>INDEX(Assumptions!$C$14:$C$16,MATCH($R957,Assumptions!$A$14:$A$16,0))</f>
        <v>0.08</v>
      </c>
      <c r="AF957" s="49">
        <f t="shared" si="207"/>
        <v>0</v>
      </c>
      <c r="AG957" s="49">
        <f t="shared" si="208"/>
        <v>0</v>
      </c>
      <c r="AH957" s="55">
        <f t="shared" si="209"/>
        <v>0</v>
      </c>
    </row>
    <row r="958" spans="1:34" x14ac:dyDescent="0.2">
      <c r="A958" s="48" t="s">
        <v>919</v>
      </c>
      <c r="B958" s="48">
        <v>2</v>
      </c>
      <c r="C958" s="48" t="s">
        <v>846</v>
      </c>
      <c r="D958" s="48" t="s">
        <v>844</v>
      </c>
      <c r="E958" s="48" t="s">
        <v>358</v>
      </c>
      <c r="F958" s="48" t="s">
        <v>274</v>
      </c>
      <c r="G958" s="48" t="s">
        <v>288</v>
      </c>
      <c r="H958" s="48" t="s">
        <v>62</v>
      </c>
      <c r="I958" s="48" t="s">
        <v>151</v>
      </c>
      <c r="J958" s="49">
        <v>3</v>
      </c>
      <c r="K958" s="50">
        <v>335</v>
      </c>
      <c r="L958" s="50">
        <v>334.99</v>
      </c>
      <c r="M958" s="48" t="s">
        <v>276</v>
      </c>
      <c r="N958" s="51">
        <v>1</v>
      </c>
      <c r="O958" s="51">
        <v>1</v>
      </c>
      <c r="P958" s="52">
        <v>216.7</v>
      </c>
      <c r="Q958" s="52">
        <v>216.7</v>
      </c>
      <c r="R958" s="53" t="str">
        <f>INDEX(SKU_Master!$D$5:$D$34,MATCH($I958,SKU_Master!$A$5:$A$34,0))</f>
        <v>Accessory</v>
      </c>
      <c r="S958" s="54">
        <f t="shared" si="196"/>
        <v>2.9850746268600403E-5</v>
      </c>
      <c r="T958" s="55">
        <f t="shared" si="197"/>
        <v>1005</v>
      </c>
      <c r="U958" s="55">
        <f t="shared" si="198"/>
        <v>1004.97</v>
      </c>
      <c r="V958" s="55">
        <f t="shared" si="199"/>
        <v>-2.9999999999972715E-2</v>
      </c>
      <c r="W958" s="55">
        <f t="shared" si="200"/>
        <v>1004.97</v>
      </c>
      <c r="X958" s="55">
        <f t="shared" si="201"/>
        <v>0</v>
      </c>
      <c r="Y958" s="55">
        <f t="shared" si="202"/>
        <v>650.09999999999991</v>
      </c>
      <c r="Z958" s="55">
        <f t="shared" si="203"/>
        <v>650.09999999999991</v>
      </c>
      <c r="AA958" s="55">
        <f t="shared" si="204"/>
        <v>0</v>
      </c>
      <c r="AB958" s="55">
        <f t="shared" si="205"/>
        <v>354.87000000000012</v>
      </c>
      <c r="AC958" s="54">
        <f t="shared" si="206"/>
        <v>0.35311501835875708</v>
      </c>
      <c r="AD958" s="56">
        <f>INDEX(Assumptions!$B$14:$B$16,MATCH($R958,Assumptions!$A$14:$A$16,0))</f>
        <v>0.32</v>
      </c>
      <c r="AE958" s="56">
        <f>INDEX(Assumptions!$C$14:$C$16,MATCH($R958,Assumptions!$A$14:$A$16,0))</f>
        <v>0.22</v>
      </c>
      <c r="AF958" s="49">
        <f t="shared" si="207"/>
        <v>0</v>
      </c>
      <c r="AG958" s="49">
        <f t="shared" si="208"/>
        <v>0</v>
      </c>
      <c r="AH958" s="55">
        <f t="shared" si="209"/>
        <v>0</v>
      </c>
    </row>
    <row r="959" spans="1:34" x14ac:dyDescent="0.2">
      <c r="A959" s="48" t="s">
        <v>920</v>
      </c>
      <c r="B959" s="48">
        <v>1</v>
      </c>
      <c r="C959" s="48" t="s">
        <v>853</v>
      </c>
      <c r="D959" s="48" t="s">
        <v>844</v>
      </c>
      <c r="E959" s="48" t="s">
        <v>360</v>
      </c>
      <c r="F959" s="48" t="s">
        <v>280</v>
      </c>
      <c r="G959" s="48" t="s">
        <v>275</v>
      </c>
      <c r="H959" s="48" t="s">
        <v>68</v>
      </c>
      <c r="I959" s="48" t="s">
        <v>113</v>
      </c>
      <c r="J959" s="49">
        <v>26</v>
      </c>
      <c r="K959" s="50">
        <v>2450</v>
      </c>
      <c r="L959" s="50">
        <v>2423.4</v>
      </c>
      <c r="M959" s="48" t="s">
        <v>276</v>
      </c>
      <c r="N959" s="51">
        <v>1.37</v>
      </c>
      <c r="O959" s="51">
        <v>1.3718999999999999</v>
      </c>
      <c r="P959" s="52">
        <v>1496.8</v>
      </c>
      <c r="Q959" s="52">
        <v>1496.8</v>
      </c>
      <c r="R959" s="53" t="str">
        <f>INDEX(SKU_Master!$D$5:$D$34,MATCH($I959,SKU_Master!$A$5:$A$34,0))</f>
        <v>Laptop</v>
      </c>
      <c r="S959" s="54">
        <f t="shared" si="196"/>
        <v>1.0857142857142787E-2</v>
      </c>
      <c r="T959" s="55">
        <f t="shared" si="197"/>
        <v>46496.350364963502</v>
      </c>
      <c r="U959" s="55">
        <f t="shared" si="198"/>
        <v>45991.532846715323</v>
      </c>
      <c r="V959" s="55">
        <f t="shared" si="199"/>
        <v>-504.81751824817911</v>
      </c>
      <c r="W959" s="55">
        <f t="shared" si="200"/>
        <v>45927.837305926092</v>
      </c>
      <c r="X959" s="55">
        <f t="shared" si="201"/>
        <v>-63.695540789231018</v>
      </c>
      <c r="Y959" s="55">
        <f t="shared" si="202"/>
        <v>38916.799999999996</v>
      </c>
      <c r="Z959" s="55">
        <f t="shared" si="203"/>
        <v>38916.799999999996</v>
      </c>
      <c r="AA959" s="55">
        <f t="shared" si="204"/>
        <v>0</v>
      </c>
      <c r="AB959" s="55">
        <f t="shared" si="205"/>
        <v>7011.0373059260965</v>
      </c>
      <c r="AC959" s="54">
        <f t="shared" si="206"/>
        <v>0.15265333003218637</v>
      </c>
      <c r="AD959" s="56">
        <f>INDEX(Assumptions!$B$14:$B$16,MATCH($R959,Assumptions!$A$14:$A$16,0))</f>
        <v>0.12</v>
      </c>
      <c r="AE959" s="56">
        <f>INDEX(Assumptions!$C$14:$C$16,MATCH($R959,Assumptions!$A$14:$A$16,0))</f>
        <v>0.08</v>
      </c>
      <c r="AF959" s="49">
        <f t="shared" si="207"/>
        <v>0</v>
      </c>
      <c r="AG959" s="49">
        <f t="shared" si="208"/>
        <v>0</v>
      </c>
      <c r="AH959" s="55">
        <f t="shared" si="209"/>
        <v>0</v>
      </c>
    </row>
    <row r="960" spans="1:34" x14ac:dyDescent="0.2">
      <c r="A960" s="48" t="s">
        <v>920</v>
      </c>
      <c r="B960" s="48">
        <v>2</v>
      </c>
      <c r="C960" s="48" t="s">
        <v>853</v>
      </c>
      <c r="D960" s="48" t="s">
        <v>844</v>
      </c>
      <c r="E960" s="48" t="s">
        <v>360</v>
      </c>
      <c r="F960" s="48" t="s">
        <v>280</v>
      </c>
      <c r="G960" s="48" t="s">
        <v>275</v>
      </c>
      <c r="H960" s="48" t="s">
        <v>68</v>
      </c>
      <c r="I960" s="48" t="s">
        <v>144</v>
      </c>
      <c r="J960" s="49">
        <v>30</v>
      </c>
      <c r="K960" s="50">
        <v>540</v>
      </c>
      <c r="L960" s="50">
        <v>530.01</v>
      </c>
      <c r="M960" s="48" t="s">
        <v>276</v>
      </c>
      <c r="N960" s="51">
        <v>1.37</v>
      </c>
      <c r="O960" s="51">
        <v>1.3718999999999999</v>
      </c>
      <c r="P960" s="52">
        <v>304.60000000000002</v>
      </c>
      <c r="Q960" s="52">
        <v>304.60000000000002</v>
      </c>
      <c r="R960" s="53" t="str">
        <f>INDEX(SKU_Master!$D$5:$D$34,MATCH($I960,SKU_Master!$A$5:$A$34,0))</f>
        <v>Monitor</v>
      </c>
      <c r="S960" s="54">
        <f t="shared" si="196"/>
        <v>1.8500000000000072E-2</v>
      </c>
      <c r="T960" s="55">
        <f t="shared" si="197"/>
        <v>11824.817518248174</v>
      </c>
      <c r="U960" s="55">
        <f t="shared" si="198"/>
        <v>11606.058394160582</v>
      </c>
      <c r="V960" s="55">
        <f t="shared" si="199"/>
        <v>-218.75912408759177</v>
      </c>
      <c r="W960" s="55">
        <f t="shared" si="200"/>
        <v>11589.984692761864</v>
      </c>
      <c r="X960" s="55">
        <f t="shared" si="201"/>
        <v>-16.073701398718185</v>
      </c>
      <c r="Y960" s="55">
        <f t="shared" si="202"/>
        <v>9138</v>
      </c>
      <c r="Z960" s="55">
        <f t="shared" si="203"/>
        <v>9138</v>
      </c>
      <c r="AA960" s="55">
        <f t="shared" si="204"/>
        <v>0</v>
      </c>
      <c r="AB960" s="55">
        <f t="shared" si="205"/>
        <v>2451.9846927618637</v>
      </c>
      <c r="AC960" s="54">
        <f t="shared" si="206"/>
        <v>0.21156064979906045</v>
      </c>
      <c r="AD960" s="56">
        <f>INDEX(Assumptions!$B$14:$B$16,MATCH($R960,Assumptions!$A$14:$A$16,0))</f>
        <v>0.18</v>
      </c>
      <c r="AE960" s="56">
        <f>INDEX(Assumptions!$C$14:$C$16,MATCH($R960,Assumptions!$A$14:$A$16,0))</f>
        <v>0.12</v>
      </c>
      <c r="AF960" s="49">
        <f t="shared" si="207"/>
        <v>0</v>
      </c>
      <c r="AG960" s="49">
        <f t="shared" si="208"/>
        <v>0</v>
      </c>
      <c r="AH960" s="55">
        <f t="shared" si="209"/>
        <v>0</v>
      </c>
    </row>
    <row r="961" spans="1:34" x14ac:dyDescent="0.2">
      <c r="A961" s="48" t="s">
        <v>921</v>
      </c>
      <c r="B961" s="48">
        <v>1</v>
      </c>
      <c r="C961" s="48" t="s">
        <v>884</v>
      </c>
      <c r="D961" s="48" t="s">
        <v>844</v>
      </c>
      <c r="E961" s="48" t="s">
        <v>393</v>
      </c>
      <c r="F961" s="48" t="s">
        <v>274</v>
      </c>
      <c r="G961" s="48" t="s">
        <v>275</v>
      </c>
      <c r="H961" s="48" t="s">
        <v>66</v>
      </c>
      <c r="I961" s="48" t="s">
        <v>110</v>
      </c>
      <c r="J961" s="49">
        <v>4</v>
      </c>
      <c r="K961" s="50">
        <v>1115</v>
      </c>
      <c r="L961" s="50">
        <v>1098.1600000000001</v>
      </c>
      <c r="M961" s="48" t="s">
        <v>276</v>
      </c>
      <c r="N961" s="51">
        <v>0.92</v>
      </c>
      <c r="O961" s="51">
        <v>0.91820000000000002</v>
      </c>
      <c r="P961" s="52">
        <v>1012.65</v>
      </c>
      <c r="Q961" s="52">
        <v>1012.65</v>
      </c>
      <c r="R961" s="53" t="str">
        <f>INDEX(SKU_Master!$D$5:$D$34,MATCH($I961,SKU_Master!$A$5:$A$34,0))</f>
        <v>Laptop</v>
      </c>
      <c r="S961" s="54">
        <f t="shared" si="196"/>
        <v>1.5103139013452838E-2</v>
      </c>
      <c r="T961" s="55">
        <f t="shared" si="197"/>
        <v>4847.826086956522</v>
      </c>
      <c r="U961" s="55">
        <f t="shared" si="198"/>
        <v>4774.608695652174</v>
      </c>
      <c r="V961" s="55">
        <f t="shared" si="199"/>
        <v>-73.217391304347984</v>
      </c>
      <c r="W961" s="55">
        <f t="shared" si="200"/>
        <v>4783.9686342844698</v>
      </c>
      <c r="X961" s="55">
        <f t="shared" si="201"/>
        <v>9.3599386322957798</v>
      </c>
      <c r="Y961" s="55">
        <f t="shared" si="202"/>
        <v>4050.6</v>
      </c>
      <c r="Z961" s="55">
        <f t="shared" si="203"/>
        <v>4050.6</v>
      </c>
      <c r="AA961" s="55">
        <f t="shared" si="204"/>
        <v>0</v>
      </c>
      <c r="AB961" s="55">
        <f t="shared" si="205"/>
        <v>733.36863428446986</v>
      </c>
      <c r="AC961" s="54">
        <f t="shared" si="206"/>
        <v>0.1532971242806149</v>
      </c>
      <c r="AD961" s="56">
        <f>INDEX(Assumptions!$B$14:$B$16,MATCH($R961,Assumptions!$A$14:$A$16,0))</f>
        <v>0.12</v>
      </c>
      <c r="AE961" s="56">
        <f>INDEX(Assumptions!$C$14:$C$16,MATCH($R961,Assumptions!$A$14:$A$16,0))</f>
        <v>0.08</v>
      </c>
      <c r="AF961" s="49">
        <f t="shared" si="207"/>
        <v>0</v>
      </c>
      <c r="AG961" s="49">
        <f t="shared" si="208"/>
        <v>0</v>
      </c>
      <c r="AH961" s="55">
        <f t="shared" si="209"/>
        <v>0</v>
      </c>
    </row>
    <row r="962" spans="1:34" x14ac:dyDescent="0.2">
      <c r="A962" s="48" t="s">
        <v>921</v>
      </c>
      <c r="B962" s="48">
        <v>2</v>
      </c>
      <c r="C962" s="48" t="s">
        <v>884</v>
      </c>
      <c r="D962" s="48" t="s">
        <v>844</v>
      </c>
      <c r="E962" s="48" t="s">
        <v>393</v>
      </c>
      <c r="F962" s="48" t="s">
        <v>274</v>
      </c>
      <c r="G962" s="48" t="s">
        <v>275</v>
      </c>
      <c r="H962" s="48" t="s">
        <v>66</v>
      </c>
      <c r="I962" s="48" t="s">
        <v>151</v>
      </c>
      <c r="J962" s="49">
        <v>3</v>
      </c>
      <c r="K962" s="50">
        <v>325</v>
      </c>
      <c r="L962" s="50">
        <v>321.26</v>
      </c>
      <c r="M962" s="48" t="s">
        <v>276</v>
      </c>
      <c r="N962" s="51">
        <v>0.92</v>
      </c>
      <c r="O962" s="51">
        <v>0.91820000000000002</v>
      </c>
      <c r="P962" s="52">
        <v>221.7</v>
      </c>
      <c r="Q962" s="52">
        <v>221.7</v>
      </c>
      <c r="R962" s="53" t="str">
        <f>INDEX(SKU_Master!$D$5:$D$34,MATCH($I962,SKU_Master!$A$5:$A$34,0))</f>
        <v>Accessory</v>
      </c>
      <c r="S962" s="54">
        <f t="shared" si="196"/>
        <v>1.150769230769233E-2</v>
      </c>
      <c r="T962" s="55">
        <f t="shared" si="197"/>
        <v>1059.782608695652</v>
      </c>
      <c r="U962" s="55">
        <f t="shared" si="198"/>
        <v>1047.586956521739</v>
      </c>
      <c r="V962" s="55">
        <f t="shared" si="199"/>
        <v>-12.195652173913004</v>
      </c>
      <c r="W962" s="55">
        <f t="shared" si="200"/>
        <v>1049.6406011762142</v>
      </c>
      <c r="X962" s="55">
        <f t="shared" si="201"/>
        <v>2.0536446544751925</v>
      </c>
      <c r="Y962" s="55">
        <f t="shared" si="202"/>
        <v>665.09999999999991</v>
      </c>
      <c r="Z962" s="55">
        <f t="shared" si="203"/>
        <v>665.09999999999991</v>
      </c>
      <c r="AA962" s="55">
        <f t="shared" si="204"/>
        <v>0</v>
      </c>
      <c r="AB962" s="55">
        <f t="shared" si="205"/>
        <v>384.5406011762143</v>
      </c>
      <c r="AC962" s="54">
        <f t="shared" si="206"/>
        <v>0.36635454149287183</v>
      </c>
      <c r="AD962" s="56">
        <f>INDEX(Assumptions!$B$14:$B$16,MATCH($R962,Assumptions!$A$14:$A$16,0))</f>
        <v>0.32</v>
      </c>
      <c r="AE962" s="56">
        <f>INDEX(Assumptions!$C$14:$C$16,MATCH($R962,Assumptions!$A$14:$A$16,0))</f>
        <v>0.22</v>
      </c>
      <c r="AF962" s="49">
        <f t="shared" si="207"/>
        <v>0</v>
      </c>
      <c r="AG962" s="49">
        <f t="shared" si="208"/>
        <v>0</v>
      </c>
      <c r="AH962" s="55">
        <f t="shared" si="209"/>
        <v>0</v>
      </c>
    </row>
    <row r="963" spans="1:34" x14ac:dyDescent="0.2">
      <c r="A963" s="48" t="s">
        <v>922</v>
      </c>
      <c r="B963" s="48">
        <v>1</v>
      </c>
      <c r="C963" s="48" t="s">
        <v>849</v>
      </c>
      <c r="D963" s="48" t="s">
        <v>844</v>
      </c>
      <c r="E963" s="48" t="s">
        <v>366</v>
      </c>
      <c r="F963" s="48" t="s">
        <v>297</v>
      </c>
      <c r="G963" s="48" t="s">
        <v>302</v>
      </c>
      <c r="H963" s="48" t="s">
        <v>66</v>
      </c>
      <c r="I963" s="48" t="s">
        <v>115</v>
      </c>
      <c r="J963" s="49">
        <v>60</v>
      </c>
      <c r="K963" s="50">
        <v>820</v>
      </c>
      <c r="L963" s="50">
        <v>799.69</v>
      </c>
      <c r="M963" s="48" t="s">
        <v>276</v>
      </c>
      <c r="N963" s="51">
        <v>0.92</v>
      </c>
      <c r="O963" s="51">
        <v>0.91820000000000002</v>
      </c>
      <c r="P963" s="52">
        <v>743.6</v>
      </c>
      <c r="Q963" s="52">
        <v>743.6</v>
      </c>
      <c r="R963" s="53" t="str">
        <f>INDEX(SKU_Master!$D$5:$D$34,MATCH($I963,SKU_Master!$A$5:$A$34,0))</f>
        <v>Laptop</v>
      </c>
      <c r="S963" s="54">
        <f t="shared" si="196"/>
        <v>2.4768292682926796E-2</v>
      </c>
      <c r="T963" s="55">
        <f t="shared" si="197"/>
        <v>53478.260869565216</v>
      </c>
      <c r="U963" s="55">
        <f t="shared" si="198"/>
        <v>52153.695652173912</v>
      </c>
      <c r="V963" s="55">
        <f t="shared" si="199"/>
        <v>-1324.565217391304</v>
      </c>
      <c r="W963" s="55">
        <f t="shared" si="200"/>
        <v>52255.935526029185</v>
      </c>
      <c r="X963" s="55">
        <f t="shared" si="201"/>
        <v>102.23987385527289</v>
      </c>
      <c r="Y963" s="55">
        <f t="shared" si="202"/>
        <v>44616</v>
      </c>
      <c r="Z963" s="55">
        <f t="shared" si="203"/>
        <v>44616</v>
      </c>
      <c r="AA963" s="55">
        <f t="shared" si="204"/>
        <v>0</v>
      </c>
      <c r="AB963" s="55">
        <f t="shared" si="205"/>
        <v>7639.935526029185</v>
      </c>
      <c r="AC963" s="54">
        <f t="shared" si="206"/>
        <v>0.14620225337318207</v>
      </c>
      <c r="AD963" s="56">
        <f>INDEX(Assumptions!$B$14:$B$16,MATCH($R963,Assumptions!$A$14:$A$16,0))</f>
        <v>0.12</v>
      </c>
      <c r="AE963" s="56">
        <f>INDEX(Assumptions!$C$14:$C$16,MATCH($R963,Assumptions!$A$14:$A$16,0))</f>
        <v>0.08</v>
      </c>
      <c r="AF963" s="49">
        <f t="shared" si="207"/>
        <v>0</v>
      </c>
      <c r="AG963" s="49">
        <f t="shared" si="208"/>
        <v>0</v>
      </c>
      <c r="AH963" s="55">
        <f t="shared" si="209"/>
        <v>0</v>
      </c>
    </row>
    <row r="964" spans="1:34" x14ac:dyDescent="0.2">
      <c r="A964" s="48" t="s">
        <v>922</v>
      </c>
      <c r="B964" s="48">
        <v>2</v>
      </c>
      <c r="C964" s="48" t="s">
        <v>849</v>
      </c>
      <c r="D964" s="48" t="s">
        <v>844</v>
      </c>
      <c r="E964" s="48" t="s">
        <v>366</v>
      </c>
      <c r="F964" s="48" t="s">
        <v>297</v>
      </c>
      <c r="G964" s="48" t="s">
        <v>302</v>
      </c>
      <c r="H964" s="48" t="s">
        <v>66</v>
      </c>
      <c r="I964" s="48" t="s">
        <v>151</v>
      </c>
      <c r="J964" s="49">
        <v>47</v>
      </c>
      <c r="K964" s="50">
        <v>325</v>
      </c>
      <c r="L964" s="50">
        <v>317.89</v>
      </c>
      <c r="M964" s="48" t="s">
        <v>276</v>
      </c>
      <c r="N964" s="51">
        <v>0.92</v>
      </c>
      <c r="O964" s="51">
        <v>0.91820000000000002</v>
      </c>
      <c r="P964" s="52">
        <v>221.7</v>
      </c>
      <c r="Q964" s="52">
        <v>221.7</v>
      </c>
      <c r="R964" s="53" t="str">
        <f>INDEX(SKU_Master!$D$5:$D$34,MATCH($I964,SKU_Master!$A$5:$A$34,0))</f>
        <v>Accessory</v>
      </c>
      <c r="S964" s="54">
        <f t="shared" si="196"/>
        <v>2.1876923076923127E-2</v>
      </c>
      <c r="T964" s="55">
        <f t="shared" si="197"/>
        <v>16603.260869565216</v>
      </c>
      <c r="U964" s="55">
        <f t="shared" si="198"/>
        <v>16240.032608695652</v>
      </c>
      <c r="V964" s="55">
        <f t="shared" si="199"/>
        <v>-363.22826086956411</v>
      </c>
      <c r="W964" s="55">
        <f t="shared" si="200"/>
        <v>16271.868873883685</v>
      </c>
      <c r="X964" s="55">
        <f t="shared" si="201"/>
        <v>31.836265188032485</v>
      </c>
      <c r="Y964" s="55">
        <f t="shared" si="202"/>
        <v>10419.9</v>
      </c>
      <c r="Z964" s="55">
        <f t="shared" si="203"/>
        <v>10419.9</v>
      </c>
      <c r="AA964" s="55">
        <f t="shared" si="204"/>
        <v>0</v>
      </c>
      <c r="AB964" s="55">
        <f t="shared" si="205"/>
        <v>5851.9688738836849</v>
      </c>
      <c r="AC964" s="54">
        <f t="shared" si="206"/>
        <v>0.35963717009028279</v>
      </c>
      <c r="AD964" s="56">
        <f>INDEX(Assumptions!$B$14:$B$16,MATCH($R964,Assumptions!$A$14:$A$16,0))</f>
        <v>0.32</v>
      </c>
      <c r="AE964" s="56">
        <f>INDEX(Assumptions!$C$14:$C$16,MATCH($R964,Assumptions!$A$14:$A$16,0))</f>
        <v>0.22</v>
      </c>
      <c r="AF964" s="49">
        <f t="shared" si="207"/>
        <v>0</v>
      </c>
      <c r="AG964" s="49">
        <f t="shared" si="208"/>
        <v>0</v>
      </c>
      <c r="AH964" s="55">
        <f t="shared" si="209"/>
        <v>0</v>
      </c>
    </row>
    <row r="965" spans="1:34" x14ac:dyDescent="0.2">
      <c r="A965" s="48" t="s">
        <v>923</v>
      </c>
      <c r="B965" s="48">
        <v>1</v>
      </c>
      <c r="C965" s="48" t="s">
        <v>853</v>
      </c>
      <c r="D965" s="48" t="s">
        <v>844</v>
      </c>
      <c r="E965" s="48" t="s">
        <v>358</v>
      </c>
      <c r="F965" s="48" t="s">
        <v>274</v>
      </c>
      <c r="G965" s="48" t="s">
        <v>288</v>
      </c>
      <c r="H965" s="48" t="s">
        <v>62</v>
      </c>
      <c r="I965" s="48" t="s">
        <v>110</v>
      </c>
      <c r="J965" s="49">
        <v>8</v>
      </c>
      <c r="K965" s="50">
        <v>1165</v>
      </c>
      <c r="L965" s="50">
        <v>1147.08</v>
      </c>
      <c r="M965" s="48" t="s">
        <v>276</v>
      </c>
      <c r="N965" s="51">
        <v>1</v>
      </c>
      <c r="O965" s="51">
        <v>1</v>
      </c>
      <c r="P965" s="52">
        <v>992.65</v>
      </c>
      <c r="Q965" s="52">
        <v>992.65</v>
      </c>
      <c r="R965" s="53" t="str">
        <f>INDEX(SKU_Master!$D$5:$D$34,MATCH($I965,SKU_Master!$A$5:$A$34,0))</f>
        <v>Laptop</v>
      </c>
      <c r="S965" s="54">
        <f t="shared" ref="S965:S1028" si="210">IF(K965=0,0,1-L965/K965)</f>
        <v>1.5381974248927066E-2</v>
      </c>
      <c r="T965" s="55">
        <f t="shared" ref="T965:T1028" si="211">J965*K965/N965</f>
        <v>9320</v>
      </c>
      <c r="U965" s="55">
        <f t="shared" ref="U965:U1028" si="212">J965*L965/N965</f>
        <v>9176.64</v>
      </c>
      <c r="V965" s="55">
        <f t="shared" ref="V965:V1028" si="213">U965-T965</f>
        <v>-143.36000000000058</v>
      </c>
      <c r="W965" s="55">
        <f t="shared" ref="W965:W1028" si="214">J965*L965/O965</f>
        <v>9176.64</v>
      </c>
      <c r="X965" s="55">
        <f t="shared" ref="X965:X1028" si="215">W965-U965</f>
        <v>0</v>
      </c>
      <c r="Y965" s="55">
        <f t="shared" ref="Y965:Y1028" si="216">J965*P965</f>
        <v>7941.2</v>
      </c>
      <c r="Z965" s="55">
        <f t="shared" ref="Z965:Z1028" si="217">J965*Q965</f>
        <v>7941.2</v>
      </c>
      <c r="AA965" s="55">
        <f t="shared" ref="AA965:AA1028" si="218">Y965-Z965</f>
        <v>0</v>
      </c>
      <c r="AB965" s="55">
        <f t="shared" ref="AB965:AB1028" si="219">W965-Z965</f>
        <v>1235.4399999999996</v>
      </c>
      <c r="AC965" s="54">
        <f t="shared" ref="AC965:AC1028" si="220">IF(W965=0,0,AB965/W965)</f>
        <v>0.13462879659657562</v>
      </c>
      <c r="AD965" s="56">
        <f>INDEX(Assumptions!$B$14:$B$16,MATCH($R965,Assumptions!$A$14:$A$16,0))</f>
        <v>0.12</v>
      </c>
      <c r="AE965" s="56">
        <f>INDEX(Assumptions!$C$14:$C$16,MATCH($R965,Assumptions!$A$14:$A$16,0))</f>
        <v>0.08</v>
      </c>
      <c r="AF965" s="49">
        <f t="shared" ref="AF965:AF1028" si="221">IF(AC965&lt;AE965,1,0)</f>
        <v>0</v>
      </c>
      <c r="AG965" s="49">
        <f t="shared" ref="AG965:AG1028" si="222">IF(AND(AF965=1,M965="N"),1,0)</f>
        <v>0</v>
      </c>
      <c r="AH965" s="55">
        <f t="shared" ref="AH965:AH1028" si="223">MAX(0,W965*AD965-AB965)</f>
        <v>0</v>
      </c>
    </row>
    <row r="966" spans="1:34" x14ac:dyDescent="0.2">
      <c r="A966" s="48" t="s">
        <v>924</v>
      </c>
      <c r="B966" s="48">
        <v>1</v>
      </c>
      <c r="C966" s="48" t="s">
        <v>925</v>
      </c>
      <c r="D966" s="48" t="s">
        <v>844</v>
      </c>
      <c r="E966" s="48" t="s">
        <v>368</v>
      </c>
      <c r="F966" s="48" t="s">
        <v>274</v>
      </c>
      <c r="G966" s="48" t="s">
        <v>288</v>
      </c>
      <c r="H966" s="48" t="s">
        <v>68</v>
      </c>
      <c r="I966" s="48" t="s">
        <v>98</v>
      </c>
      <c r="J966" s="49">
        <v>3</v>
      </c>
      <c r="K966" s="50">
        <v>2935</v>
      </c>
      <c r="L966" s="50">
        <v>2905.84</v>
      </c>
      <c r="M966" s="48" t="s">
        <v>276</v>
      </c>
      <c r="N966" s="51">
        <v>1.37</v>
      </c>
      <c r="O966" s="51">
        <v>1.3718999999999999</v>
      </c>
      <c r="P966" s="52">
        <v>1792.2</v>
      </c>
      <c r="Q966" s="52">
        <v>1792.2</v>
      </c>
      <c r="R966" s="53" t="str">
        <f>INDEX(SKU_Master!$D$5:$D$34,MATCH($I966,SKU_Master!$A$5:$A$34,0))</f>
        <v>Laptop</v>
      </c>
      <c r="S966" s="54">
        <f t="shared" si="210"/>
        <v>9.9352640545143922E-3</v>
      </c>
      <c r="T966" s="55">
        <f t="shared" si="211"/>
        <v>6427.0072992700725</v>
      </c>
      <c r="U966" s="55">
        <f t="shared" si="212"/>
        <v>6363.1532846715327</v>
      </c>
      <c r="V966" s="55">
        <f t="shared" si="213"/>
        <v>-63.854014598539834</v>
      </c>
      <c r="W966" s="55">
        <f t="shared" si="214"/>
        <v>6354.3406953859621</v>
      </c>
      <c r="X966" s="55">
        <f t="shared" si="215"/>
        <v>-8.8125892855705388</v>
      </c>
      <c r="Y966" s="55">
        <f t="shared" si="216"/>
        <v>5376.6</v>
      </c>
      <c r="Z966" s="55">
        <f t="shared" si="217"/>
        <v>5376.6</v>
      </c>
      <c r="AA966" s="55">
        <f t="shared" si="218"/>
        <v>0</v>
      </c>
      <c r="AB966" s="55">
        <f t="shared" si="219"/>
        <v>977.74069538596177</v>
      </c>
      <c r="AC966" s="54">
        <f t="shared" si="220"/>
        <v>0.15386973129972753</v>
      </c>
      <c r="AD966" s="56">
        <f>INDEX(Assumptions!$B$14:$B$16,MATCH($R966,Assumptions!$A$14:$A$16,0))</f>
        <v>0.12</v>
      </c>
      <c r="AE966" s="56">
        <f>INDEX(Assumptions!$C$14:$C$16,MATCH($R966,Assumptions!$A$14:$A$16,0))</f>
        <v>0.08</v>
      </c>
      <c r="AF966" s="49">
        <f t="shared" si="221"/>
        <v>0</v>
      </c>
      <c r="AG966" s="49">
        <f t="shared" si="222"/>
        <v>0</v>
      </c>
      <c r="AH966" s="55">
        <f t="shared" si="223"/>
        <v>0</v>
      </c>
    </row>
    <row r="967" spans="1:34" x14ac:dyDescent="0.2">
      <c r="A967" s="48" t="s">
        <v>924</v>
      </c>
      <c r="B967" s="48">
        <v>2</v>
      </c>
      <c r="C967" s="48" t="s">
        <v>925</v>
      </c>
      <c r="D967" s="48" t="s">
        <v>844</v>
      </c>
      <c r="E967" s="48" t="s">
        <v>368</v>
      </c>
      <c r="F967" s="48" t="s">
        <v>274</v>
      </c>
      <c r="G967" s="48" t="s">
        <v>288</v>
      </c>
      <c r="H967" s="48" t="s">
        <v>68</v>
      </c>
      <c r="I967" s="48" t="s">
        <v>166</v>
      </c>
      <c r="J967" s="49">
        <v>1</v>
      </c>
      <c r="K967" s="50">
        <v>375</v>
      </c>
      <c r="L967" s="50">
        <v>373.41</v>
      </c>
      <c r="M967" s="48" t="s">
        <v>276</v>
      </c>
      <c r="N967" s="51">
        <v>1.37</v>
      </c>
      <c r="O967" s="51">
        <v>1.3718999999999999</v>
      </c>
      <c r="P967" s="52">
        <v>172.35</v>
      </c>
      <c r="Q967" s="52">
        <v>172.35</v>
      </c>
      <c r="R967" s="53" t="str">
        <f>INDEX(SKU_Master!$D$5:$D$34,MATCH($I967,SKU_Master!$A$5:$A$34,0))</f>
        <v>Accessory</v>
      </c>
      <c r="S967" s="54">
        <f t="shared" si="210"/>
        <v>4.2399999999999105E-3</v>
      </c>
      <c r="T967" s="55">
        <f t="shared" si="211"/>
        <v>273.72262773722628</v>
      </c>
      <c r="U967" s="55">
        <f t="shared" si="212"/>
        <v>272.56204379562041</v>
      </c>
      <c r="V967" s="55">
        <f t="shared" si="213"/>
        <v>-1.1605839416058643</v>
      </c>
      <c r="W967" s="55">
        <f t="shared" si="214"/>
        <v>272.18456155696481</v>
      </c>
      <c r="X967" s="55">
        <f t="shared" si="215"/>
        <v>-0.37748223865560249</v>
      </c>
      <c r="Y967" s="55">
        <f t="shared" si="216"/>
        <v>172.35</v>
      </c>
      <c r="Z967" s="55">
        <f t="shared" si="217"/>
        <v>172.35</v>
      </c>
      <c r="AA967" s="55">
        <f t="shared" si="218"/>
        <v>0</v>
      </c>
      <c r="AB967" s="55">
        <f t="shared" si="219"/>
        <v>99.834561556964815</v>
      </c>
      <c r="AC967" s="54">
        <f t="shared" si="220"/>
        <v>0.36678994938539411</v>
      </c>
      <c r="AD967" s="56">
        <f>INDEX(Assumptions!$B$14:$B$16,MATCH($R967,Assumptions!$A$14:$A$16,0))</f>
        <v>0.32</v>
      </c>
      <c r="AE967" s="56">
        <f>INDEX(Assumptions!$C$14:$C$16,MATCH($R967,Assumptions!$A$14:$A$16,0))</f>
        <v>0.22</v>
      </c>
      <c r="AF967" s="49">
        <f t="shared" si="221"/>
        <v>0</v>
      </c>
      <c r="AG967" s="49">
        <f t="shared" si="222"/>
        <v>0</v>
      </c>
      <c r="AH967" s="55">
        <f t="shared" si="223"/>
        <v>0</v>
      </c>
    </row>
    <row r="968" spans="1:34" x14ac:dyDescent="0.2">
      <c r="A968" s="48" t="s">
        <v>926</v>
      </c>
      <c r="B968" s="48">
        <v>1</v>
      </c>
      <c r="C968" s="48" t="s">
        <v>851</v>
      </c>
      <c r="D968" s="48" t="s">
        <v>844</v>
      </c>
      <c r="E968" s="48" t="s">
        <v>325</v>
      </c>
      <c r="F968" s="48" t="s">
        <v>274</v>
      </c>
      <c r="G968" s="48" t="s">
        <v>298</v>
      </c>
      <c r="H968" s="48" t="s">
        <v>62</v>
      </c>
      <c r="I968" s="48" t="s">
        <v>101</v>
      </c>
      <c r="J968" s="49">
        <v>9</v>
      </c>
      <c r="K968" s="50">
        <v>3440</v>
      </c>
      <c r="L968" s="50">
        <v>3412.66</v>
      </c>
      <c r="M968" s="48" t="s">
        <v>276</v>
      </c>
      <c r="N968" s="51">
        <v>1</v>
      </c>
      <c r="O968" s="51">
        <v>1</v>
      </c>
      <c r="P968" s="52">
        <v>2938.5</v>
      </c>
      <c r="Q968" s="52">
        <v>2938.5</v>
      </c>
      <c r="R968" s="53" t="str">
        <f>INDEX(SKU_Master!$D$5:$D$34,MATCH($I968,SKU_Master!$A$5:$A$34,0))</f>
        <v>Laptop</v>
      </c>
      <c r="S968" s="54">
        <f t="shared" si="210"/>
        <v>7.9476744186046666E-3</v>
      </c>
      <c r="T968" s="55">
        <f t="shared" si="211"/>
        <v>30960</v>
      </c>
      <c r="U968" s="55">
        <f t="shared" si="212"/>
        <v>30713.94</v>
      </c>
      <c r="V968" s="55">
        <f t="shared" si="213"/>
        <v>-246.06000000000131</v>
      </c>
      <c r="W968" s="55">
        <f t="shared" si="214"/>
        <v>30713.94</v>
      </c>
      <c r="X968" s="55">
        <f t="shared" si="215"/>
        <v>0</v>
      </c>
      <c r="Y968" s="55">
        <f t="shared" si="216"/>
        <v>26446.5</v>
      </c>
      <c r="Z968" s="55">
        <f t="shared" si="217"/>
        <v>26446.5</v>
      </c>
      <c r="AA968" s="55">
        <f t="shared" si="218"/>
        <v>0</v>
      </c>
      <c r="AB968" s="55">
        <f t="shared" si="219"/>
        <v>4267.4399999999987</v>
      </c>
      <c r="AC968" s="54">
        <f t="shared" si="220"/>
        <v>0.13894147087609077</v>
      </c>
      <c r="AD968" s="56">
        <f>INDEX(Assumptions!$B$14:$B$16,MATCH($R968,Assumptions!$A$14:$A$16,0))</f>
        <v>0.12</v>
      </c>
      <c r="AE968" s="56">
        <f>INDEX(Assumptions!$C$14:$C$16,MATCH($R968,Assumptions!$A$14:$A$16,0))</f>
        <v>0.08</v>
      </c>
      <c r="AF968" s="49">
        <f t="shared" si="221"/>
        <v>0</v>
      </c>
      <c r="AG968" s="49">
        <f t="shared" si="222"/>
        <v>0</v>
      </c>
      <c r="AH968" s="55">
        <f t="shared" si="223"/>
        <v>0</v>
      </c>
    </row>
    <row r="969" spans="1:34" x14ac:dyDescent="0.2">
      <c r="A969" s="48" t="s">
        <v>926</v>
      </c>
      <c r="B969" s="48">
        <v>2</v>
      </c>
      <c r="C969" s="48" t="s">
        <v>851</v>
      </c>
      <c r="D969" s="48" t="s">
        <v>844</v>
      </c>
      <c r="E969" s="48" t="s">
        <v>325</v>
      </c>
      <c r="F969" s="48" t="s">
        <v>274</v>
      </c>
      <c r="G969" s="48" t="s">
        <v>298</v>
      </c>
      <c r="H969" s="48" t="s">
        <v>62</v>
      </c>
      <c r="I969" s="48" t="s">
        <v>141</v>
      </c>
      <c r="J969" s="49">
        <v>10</v>
      </c>
      <c r="K969" s="50">
        <v>450</v>
      </c>
      <c r="L969" s="50">
        <v>441.12</v>
      </c>
      <c r="M969" s="48" t="s">
        <v>276</v>
      </c>
      <c r="N969" s="51">
        <v>1</v>
      </c>
      <c r="O969" s="51">
        <v>1</v>
      </c>
      <c r="P969" s="52">
        <v>351.7</v>
      </c>
      <c r="Q969" s="52">
        <v>351.7</v>
      </c>
      <c r="R969" s="53" t="str">
        <f>INDEX(SKU_Master!$D$5:$D$34,MATCH($I969,SKU_Master!$A$5:$A$34,0))</f>
        <v>Monitor</v>
      </c>
      <c r="S969" s="54">
        <f t="shared" si="210"/>
        <v>1.9733333333333269E-2</v>
      </c>
      <c r="T969" s="55">
        <f t="shared" si="211"/>
        <v>4500</v>
      </c>
      <c r="U969" s="55">
        <f t="shared" si="212"/>
        <v>4411.2</v>
      </c>
      <c r="V969" s="55">
        <f t="shared" si="213"/>
        <v>-88.800000000000182</v>
      </c>
      <c r="W969" s="55">
        <f t="shared" si="214"/>
        <v>4411.2</v>
      </c>
      <c r="X969" s="55">
        <f t="shared" si="215"/>
        <v>0</v>
      </c>
      <c r="Y969" s="55">
        <f t="shared" si="216"/>
        <v>3517</v>
      </c>
      <c r="Z969" s="55">
        <f t="shared" si="217"/>
        <v>3517</v>
      </c>
      <c r="AA969" s="55">
        <f t="shared" si="218"/>
        <v>0</v>
      </c>
      <c r="AB969" s="55">
        <f t="shared" si="219"/>
        <v>894.19999999999982</v>
      </c>
      <c r="AC969" s="54">
        <f t="shared" si="220"/>
        <v>0.20271128037722158</v>
      </c>
      <c r="AD969" s="56">
        <f>INDEX(Assumptions!$B$14:$B$16,MATCH($R969,Assumptions!$A$14:$A$16,0))</f>
        <v>0.18</v>
      </c>
      <c r="AE969" s="56">
        <f>INDEX(Assumptions!$C$14:$C$16,MATCH($R969,Assumptions!$A$14:$A$16,0))</f>
        <v>0.12</v>
      </c>
      <c r="AF969" s="49">
        <f t="shared" si="221"/>
        <v>0</v>
      </c>
      <c r="AG969" s="49">
        <f t="shared" si="222"/>
        <v>0</v>
      </c>
      <c r="AH969" s="55">
        <f t="shared" si="223"/>
        <v>0</v>
      </c>
    </row>
    <row r="970" spans="1:34" x14ac:dyDescent="0.2">
      <c r="A970" s="48" t="s">
        <v>926</v>
      </c>
      <c r="B970" s="48">
        <v>3</v>
      </c>
      <c r="C970" s="48" t="s">
        <v>851</v>
      </c>
      <c r="D970" s="48" t="s">
        <v>844</v>
      </c>
      <c r="E970" s="48" t="s">
        <v>325</v>
      </c>
      <c r="F970" s="48" t="s">
        <v>274</v>
      </c>
      <c r="G970" s="48" t="s">
        <v>298</v>
      </c>
      <c r="H970" s="48" t="s">
        <v>62</v>
      </c>
      <c r="I970" s="48" t="s">
        <v>164</v>
      </c>
      <c r="J970" s="49">
        <v>8</v>
      </c>
      <c r="K970" s="50">
        <v>190</v>
      </c>
      <c r="L970" s="50">
        <v>188.78</v>
      </c>
      <c r="M970" s="48" t="s">
        <v>276</v>
      </c>
      <c r="N970" s="51">
        <v>1</v>
      </c>
      <c r="O970" s="51">
        <v>1</v>
      </c>
      <c r="P970" s="52">
        <v>121</v>
      </c>
      <c r="Q970" s="52">
        <v>121</v>
      </c>
      <c r="R970" s="53" t="str">
        <f>INDEX(SKU_Master!$D$5:$D$34,MATCH($I970,SKU_Master!$A$5:$A$34,0))</f>
        <v>Accessory</v>
      </c>
      <c r="S970" s="54">
        <f t="shared" si="210"/>
        <v>6.421052631578994E-3</v>
      </c>
      <c r="T970" s="55">
        <f t="shared" si="211"/>
        <v>1520</v>
      </c>
      <c r="U970" s="55">
        <f t="shared" si="212"/>
        <v>1510.24</v>
      </c>
      <c r="V970" s="55">
        <f t="shared" si="213"/>
        <v>-9.7599999999999909</v>
      </c>
      <c r="W970" s="55">
        <f t="shared" si="214"/>
        <v>1510.24</v>
      </c>
      <c r="X970" s="55">
        <f t="shared" si="215"/>
        <v>0</v>
      </c>
      <c r="Y970" s="55">
        <f t="shared" si="216"/>
        <v>968</v>
      </c>
      <c r="Z970" s="55">
        <f t="shared" si="217"/>
        <v>968</v>
      </c>
      <c r="AA970" s="55">
        <f t="shared" si="218"/>
        <v>0</v>
      </c>
      <c r="AB970" s="55">
        <f t="shared" si="219"/>
        <v>542.24</v>
      </c>
      <c r="AC970" s="54">
        <f t="shared" si="220"/>
        <v>0.35904227142705797</v>
      </c>
      <c r="AD970" s="56">
        <f>INDEX(Assumptions!$B$14:$B$16,MATCH($R970,Assumptions!$A$14:$A$16,0))</f>
        <v>0.32</v>
      </c>
      <c r="AE970" s="56">
        <f>INDEX(Assumptions!$C$14:$C$16,MATCH($R970,Assumptions!$A$14:$A$16,0))</f>
        <v>0.22</v>
      </c>
      <c r="AF970" s="49">
        <f t="shared" si="221"/>
        <v>0</v>
      </c>
      <c r="AG970" s="49">
        <f t="shared" si="222"/>
        <v>0</v>
      </c>
      <c r="AH970" s="55">
        <f t="shared" si="223"/>
        <v>0</v>
      </c>
    </row>
    <row r="971" spans="1:34" x14ac:dyDescent="0.2">
      <c r="A971" s="48" t="s">
        <v>927</v>
      </c>
      <c r="B971" s="48">
        <v>1</v>
      </c>
      <c r="C971" s="48" t="s">
        <v>861</v>
      </c>
      <c r="D971" s="48" t="s">
        <v>844</v>
      </c>
      <c r="E971" s="48" t="s">
        <v>374</v>
      </c>
      <c r="F971" s="48" t="s">
        <v>274</v>
      </c>
      <c r="G971" s="48" t="s">
        <v>281</v>
      </c>
      <c r="H971" s="48" t="s">
        <v>62</v>
      </c>
      <c r="I971" s="48" t="s">
        <v>118</v>
      </c>
      <c r="J971" s="49">
        <v>2</v>
      </c>
      <c r="K971" s="50">
        <v>1365</v>
      </c>
      <c r="L971" s="50">
        <v>1356.71</v>
      </c>
      <c r="M971" s="48" t="s">
        <v>276</v>
      </c>
      <c r="N971" s="51">
        <v>1</v>
      </c>
      <c r="O971" s="51">
        <v>1</v>
      </c>
      <c r="P971" s="52">
        <v>1162.5999999999999</v>
      </c>
      <c r="Q971" s="52">
        <v>1162.5999999999999</v>
      </c>
      <c r="R971" s="53" t="str">
        <f>INDEX(SKU_Master!$D$5:$D$34,MATCH($I971,SKU_Master!$A$5:$A$34,0))</f>
        <v>Laptop</v>
      </c>
      <c r="S971" s="54">
        <f t="shared" si="210"/>
        <v>6.0732600732600339E-3</v>
      </c>
      <c r="T971" s="55">
        <f t="shared" si="211"/>
        <v>2730</v>
      </c>
      <c r="U971" s="55">
        <f t="shared" si="212"/>
        <v>2713.42</v>
      </c>
      <c r="V971" s="55">
        <f t="shared" si="213"/>
        <v>-16.579999999999927</v>
      </c>
      <c r="W971" s="55">
        <f t="shared" si="214"/>
        <v>2713.42</v>
      </c>
      <c r="X971" s="55">
        <f t="shared" si="215"/>
        <v>0</v>
      </c>
      <c r="Y971" s="55">
        <f t="shared" si="216"/>
        <v>2325.1999999999998</v>
      </c>
      <c r="Z971" s="55">
        <f t="shared" si="217"/>
        <v>2325.1999999999998</v>
      </c>
      <c r="AA971" s="55">
        <f t="shared" si="218"/>
        <v>0</v>
      </c>
      <c r="AB971" s="55">
        <f t="shared" si="219"/>
        <v>388.22000000000025</v>
      </c>
      <c r="AC971" s="54">
        <f t="shared" si="220"/>
        <v>0.14307405414569077</v>
      </c>
      <c r="AD971" s="56">
        <f>INDEX(Assumptions!$B$14:$B$16,MATCH($R971,Assumptions!$A$14:$A$16,0))</f>
        <v>0.12</v>
      </c>
      <c r="AE971" s="56">
        <f>INDEX(Assumptions!$C$14:$C$16,MATCH($R971,Assumptions!$A$14:$A$16,0))</f>
        <v>0.08</v>
      </c>
      <c r="AF971" s="49">
        <f t="shared" si="221"/>
        <v>0</v>
      </c>
      <c r="AG971" s="49">
        <f t="shared" si="222"/>
        <v>0</v>
      </c>
      <c r="AH971" s="55">
        <f t="shared" si="223"/>
        <v>0</v>
      </c>
    </row>
    <row r="972" spans="1:34" x14ac:dyDescent="0.2">
      <c r="A972" s="48" t="s">
        <v>927</v>
      </c>
      <c r="B972" s="48">
        <v>2</v>
      </c>
      <c r="C972" s="48" t="s">
        <v>861</v>
      </c>
      <c r="D972" s="48" t="s">
        <v>844</v>
      </c>
      <c r="E972" s="48" t="s">
        <v>374</v>
      </c>
      <c r="F972" s="48" t="s">
        <v>274</v>
      </c>
      <c r="G972" s="48" t="s">
        <v>281</v>
      </c>
      <c r="H972" s="48" t="s">
        <v>62</v>
      </c>
      <c r="I972" s="48" t="s">
        <v>141</v>
      </c>
      <c r="J972" s="49">
        <v>1</v>
      </c>
      <c r="K972" s="50">
        <v>450</v>
      </c>
      <c r="L972" s="50">
        <v>447.09</v>
      </c>
      <c r="M972" s="48" t="s">
        <v>276</v>
      </c>
      <c r="N972" s="51">
        <v>1</v>
      </c>
      <c r="O972" s="51">
        <v>1</v>
      </c>
      <c r="P972" s="52">
        <v>351.7</v>
      </c>
      <c r="Q972" s="52">
        <v>351.7</v>
      </c>
      <c r="R972" s="53" t="str">
        <f>INDEX(SKU_Master!$D$5:$D$34,MATCH($I972,SKU_Master!$A$5:$A$34,0))</f>
        <v>Monitor</v>
      </c>
      <c r="S972" s="54">
        <f t="shared" si="210"/>
        <v>6.4666666666667316E-3</v>
      </c>
      <c r="T972" s="55">
        <f t="shared" si="211"/>
        <v>450</v>
      </c>
      <c r="U972" s="55">
        <f t="shared" si="212"/>
        <v>447.09</v>
      </c>
      <c r="V972" s="55">
        <f t="shared" si="213"/>
        <v>-2.910000000000025</v>
      </c>
      <c r="W972" s="55">
        <f t="shared" si="214"/>
        <v>447.09</v>
      </c>
      <c r="X972" s="55">
        <f t="shared" si="215"/>
        <v>0</v>
      </c>
      <c r="Y972" s="55">
        <f t="shared" si="216"/>
        <v>351.7</v>
      </c>
      <c r="Z972" s="55">
        <f t="shared" si="217"/>
        <v>351.7</v>
      </c>
      <c r="AA972" s="55">
        <f t="shared" si="218"/>
        <v>0</v>
      </c>
      <c r="AB972" s="55">
        <f t="shared" si="219"/>
        <v>95.389999999999986</v>
      </c>
      <c r="AC972" s="54">
        <f t="shared" si="220"/>
        <v>0.21335748954349235</v>
      </c>
      <c r="AD972" s="56">
        <f>INDEX(Assumptions!$B$14:$B$16,MATCH($R972,Assumptions!$A$14:$A$16,0))</f>
        <v>0.18</v>
      </c>
      <c r="AE972" s="56">
        <f>INDEX(Assumptions!$C$14:$C$16,MATCH($R972,Assumptions!$A$14:$A$16,0))</f>
        <v>0.12</v>
      </c>
      <c r="AF972" s="49">
        <f t="shared" si="221"/>
        <v>0</v>
      </c>
      <c r="AG972" s="49">
        <f t="shared" si="222"/>
        <v>0</v>
      </c>
      <c r="AH972" s="55">
        <f t="shared" si="223"/>
        <v>0</v>
      </c>
    </row>
    <row r="973" spans="1:34" x14ac:dyDescent="0.2">
      <c r="A973" s="48" t="s">
        <v>927</v>
      </c>
      <c r="B973" s="48">
        <v>3</v>
      </c>
      <c r="C973" s="48" t="s">
        <v>861</v>
      </c>
      <c r="D973" s="48" t="s">
        <v>844</v>
      </c>
      <c r="E973" s="48" t="s">
        <v>374</v>
      </c>
      <c r="F973" s="48" t="s">
        <v>274</v>
      </c>
      <c r="G973" s="48" t="s">
        <v>281</v>
      </c>
      <c r="H973" s="48" t="s">
        <v>62</v>
      </c>
      <c r="I973" s="48" t="s">
        <v>157</v>
      </c>
      <c r="J973" s="49">
        <v>1</v>
      </c>
      <c r="K973" s="50">
        <v>135</v>
      </c>
      <c r="L973" s="50">
        <v>133.52000000000001</v>
      </c>
      <c r="M973" s="48" t="s">
        <v>276</v>
      </c>
      <c r="N973" s="51">
        <v>1</v>
      </c>
      <c r="O973" s="51">
        <v>1</v>
      </c>
      <c r="P973" s="52">
        <v>86</v>
      </c>
      <c r="Q973" s="52">
        <v>86</v>
      </c>
      <c r="R973" s="53" t="str">
        <f>INDEX(SKU_Master!$D$5:$D$34,MATCH($I973,SKU_Master!$A$5:$A$34,0))</f>
        <v>Accessory</v>
      </c>
      <c r="S973" s="54">
        <f t="shared" si="210"/>
        <v>1.0962962962962841E-2</v>
      </c>
      <c r="T973" s="55">
        <f t="shared" si="211"/>
        <v>135</v>
      </c>
      <c r="U973" s="55">
        <f t="shared" si="212"/>
        <v>133.52000000000001</v>
      </c>
      <c r="V973" s="55">
        <f t="shared" si="213"/>
        <v>-1.4799999999999898</v>
      </c>
      <c r="W973" s="55">
        <f t="shared" si="214"/>
        <v>133.52000000000001</v>
      </c>
      <c r="X973" s="55">
        <f t="shared" si="215"/>
        <v>0</v>
      </c>
      <c r="Y973" s="55">
        <f t="shared" si="216"/>
        <v>86</v>
      </c>
      <c r="Z973" s="55">
        <f t="shared" si="217"/>
        <v>86</v>
      </c>
      <c r="AA973" s="55">
        <f t="shared" si="218"/>
        <v>0</v>
      </c>
      <c r="AB973" s="55">
        <f t="shared" si="219"/>
        <v>47.52000000000001</v>
      </c>
      <c r="AC973" s="54">
        <f t="shared" si="220"/>
        <v>0.35590173756740567</v>
      </c>
      <c r="AD973" s="56">
        <f>INDEX(Assumptions!$B$14:$B$16,MATCH($R973,Assumptions!$A$14:$A$16,0))</f>
        <v>0.32</v>
      </c>
      <c r="AE973" s="56">
        <f>INDEX(Assumptions!$C$14:$C$16,MATCH($R973,Assumptions!$A$14:$A$16,0))</f>
        <v>0.22</v>
      </c>
      <c r="AF973" s="49">
        <f t="shared" si="221"/>
        <v>0</v>
      </c>
      <c r="AG973" s="49">
        <f t="shared" si="222"/>
        <v>0</v>
      </c>
      <c r="AH973" s="55">
        <f t="shared" si="223"/>
        <v>0</v>
      </c>
    </row>
    <row r="974" spans="1:34" x14ac:dyDescent="0.2">
      <c r="A974" s="48" t="s">
        <v>928</v>
      </c>
      <c r="B974" s="48">
        <v>1</v>
      </c>
      <c r="C974" s="48" t="s">
        <v>929</v>
      </c>
      <c r="D974" s="48" t="s">
        <v>844</v>
      </c>
      <c r="E974" s="48" t="s">
        <v>336</v>
      </c>
      <c r="F974" s="48" t="s">
        <v>274</v>
      </c>
      <c r="G974" s="48" t="s">
        <v>288</v>
      </c>
      <c r="H974" s="48" t="s">
        <v>62</v>
      </c>
      <c r="I974" s="48" t="s">
        <v>121</v>
      </c>
      <c r="J974" s="49">
        <v>5</v>
      </c>
      <c r="K974" s="50">
        <v>920</v>
      </c>
      <c r="L974" s="50">
        <v>908.25</v>
      </c>
      <c r="M974" s="48" t="s">
        <v>276</v>
      </c>
      <c r="N974" s="51">
        <v>1</v>
      </c>
      <c r="O974" s="51">
        <v>1</v>
      </c>
      <c r="P974" s="52">
        <v>782.4</v>
      </c>
      <c r="Q974" s="52">
        <v>782.4</v>
      </c>
      <c r="R974" s="53" t="str">
        <f>INDEX(SKU_Master!$D$5:$D$34,MATCH($I974,SKU_Master!$A$5:$A$34,0))</f>
        <v>Laptop</v>
      </c>
      <c r="S974" s="54">
        <f t="shared" si="210"/>
        <v>1.2771739130434834E-2</v>
      </c>
      <c r="T974" s="55">
        <f t="shared" si="211"/>
        <v>4600</v>
      </c>
      <c r="U974" s="55">
        <f t="shared" si="212"/>
        <v>4541.25</v>
      </c>
      <c r="V974" s="55">
        <f t="shared" si="213"/>
        <v>-58.75</v>
      </c>
      <c r="W974" s="55">
        <f t="shared" si="214"/>
        <v>4541.25</v>
      </c>
      <c r="X974" s="55">
        <f t="shared" si="215"/>
        <v>0</v>
      </c>
      <c r="Y974" s="55">
        <f t="shared" si="216"/>
        <v>3912</v>
      </c>
      <c r="Z974" s="55">
        <f t="shared" si="217"/>
        <v>3912</v>
      </c>
      <c r="AA974" s="55">
        <f t="shared" si="218"/>
        <v>0</v>
      </c>
      <c r="AB974" s="55">
        <f t="shared" si="219"/>
        <v>629.25</v>
      </c>
      <c r="AC974" s="54">
        <f t="shared" si="220"/>
        <v>0.13856317093311313</v>
      </c>
      <c r="AD974" s="56">
        <f>INDEX(Assumptions!$B$14:$B$16,MATCH($R974,Assumptions!$A$14:$A$16,0))</f>
        <v>0.12</v>
      </c>
      <c r="AE974" s="56">
        <f>INDEX(Assumptions!$C$14:$C$16,MATCH($R974,Assumptions!$A$14:$A$16,0))</f>
        <v>0.08</v>
      </c>
      <c r="AF974" s="49">
        <f t="shared" si="221"/>
        <v>0</v>
      </c>
      <c r="AG974" s="49">
        <f t="shared" si="222"/>
        <v>0</v>
      </c>
      <c r="AH974" s="55">
        <f t="shared" si="223"/>
        <v>0</v>
      </c>
    </row>
    <row r="975" spans="1:34" x14ac:dyDescent="0.2">
      <c r="A975" s="48" t="s">
        <v>928</v>
      </c>
      <c r="B975" s="48">
        <v>2</v>
      </c>
      <c r="C975" s="48" t="s">
        <v>929</v>
      </c>
      <c r="D975" s="48" t="s">
        <v>844</v>
      </c>
      <c r="E975" s="48" t="s">
        <v>336</v>
      </c>
      <c r="F975" s="48" t="s">
        <v>274</v>
      </c>
      <c r="G975" s="48" t="s">
        <v>288</v>
      </c>
      <c r="H975" s="48" t="s">
        <v>62</v>
      </c>
      <c r="I975" s="48" t="s">
        <v>146</v>
      </c>
      <c r="J975" s="49">
        <v>2</v>
      </c>
      <c r="K975" s="50">
        <v>235</v>
      </c>
      <c r="L975" s="50">
        <v>232.07</v>
      </c>
      <c r="M975" s="48" t="s">
        <v>276</v>
      </c>
      <c r="N975" s="51">
        <v>1</v>
      </c>
      <c r="O975" s="51">
        <v>1</v>
      </c>
      <c r="P975" s="52">
        <v>181.8</v>
      </c>
      <c r="Q975" s="52">
        <v>181.8</v>
      </c>
      <c r="R975" s="53" t="str">
        <f>INDEX(SKU_Master!$D$5:$D$34,MATCH($I975,SKU_Master!$A$5:$A$34,0))</f>
        <v>Monitor</v>
      </c>
      <c r="S975" s="54">
        <f t="shared" si="210"/>
        <v>1.2468085106382976E-2</v>
      </c>
      <c r="T975" s="55">
        <f t="shared" si="211"/>
        <v>470</v>
      </c>
      <c r="U975" s="55">
        <f t="shared" si="212"/>
        <v>464.14</v>
      </c>
      <c r="V975" s="55">
        <f t="shared" si="213"/>
        <v>-5.8600000000000136</v>
      </c>
      <c r="W975" s="55">
        <f t="shared" si="214"/>
        <v>464.14</v>
      </c>
      <c r="X975" s="55">
        <f t="shared" si="215"/>
        <v>0</v>
      </c>
      <c r="Y975" s="55">
        <f t="shared" si="216"/>
        <v>363.6</v>
      </c>
      <c r="Z975" s="55">
        <f t="shared" si="217"/>
        <v>363.6</v>
      </c>
      <c r="AA975" s="55">
        <f t="shared" si="218"/>
        <v>0</v>
      </c>
      <c r="AB975" s="55">
        <f t="shared" si="219"/>
        <v>100.53999999999996</v>
      </c>
      <c r="AC975" s="54">
        <f t="shared" si="220"/>
        <v>0.21661567630456321</v>
      </c>
      <c r="AD975" s="56">
        <f>INDEX(Assumptions!$B$14:$B$16,MATCH($R975,Assumptions!$A$14:$A$16,0))</f>
        <v>0.18</v>
      </c>
      <c r="AE975" s="56">
        <f>INDEX(Assumptions!$C$14:$C$16,MATCH($R975,Assumptions!$A$14:$A$16,0))</f>
        <v>0.12</v>
      </c>
      <c r="AF975" s="49">
        <f t="shared" si="221"/>
        <v>0</v>
      </c>
      <c r="AG975" s="49">
        <f t="shared" si="222"/>
        <v>0</v>
      </c>
      <c r="AH975" s="55">
        <f t="shared" si="223"/>
        <v>0</v>
      </c>
    </row>
    <row r="976" spans="1:34" x14ac:dyDescent="0.2">
      <c r="A976" s="48" t="s">
        <v>928</v>
      </c>
      <c r="B976" s="48">
        <v>3</v>
      </c>
      <c r="C976" s="48" t="s">
        <v>929</v>
      </c>
      <c r="D976" s="48" t="s">
        <v>844</v>
      </c>
      <c r="E976" s="48" t="s">
        <v>336</v>
      </c>
      <c r="F976" s="48" t="s">
        <v>274</v>
      </c>
      <c r="G976" s="48" t="s">
        <v>288</v>
      </c>
      <c r="H976" s="48" t="s">
        <v>62</v>
      </c>
      <c r="I976" s="48" t="s">
        <v>173</v>
      </c>
      <c r="J976" s="49">
        <v>3</v>
      </c>
      <c r="K976" s="50">
        <v>55</v>
      </c>
      <c r="L976" s="50">
        <v>54.79</v>
      </c>
      <c r="M976" s="48" t="s">
        <v>276</v>
      </c>
      <c r="N976" s="51">
        <v>1</v>
      </c>
      <c r="O976" s="51">
        <v>1</v>
      </c>
      <c r="P976" s="52">
        <v>34</v>
      </c>
      <c r="Q976" s="52">
        <v>34</v>
      </c>
      <c r="R976" s="53" t="str">
        <f>INDEX(SKU_Master!$D$5:$D$34,MATCH($I976,SKU_Master!$A$5:$A$34,0))</f>
        <v>Accessory</v>
      </c>
      <c r="S976" s="54">
        <f t="shared" si="210"/>
        <v>3.8181818181818317E-3</v>
      </c>
      <c r="T976" s="55">
        <f t="shared" si="211"/>
        <v>165</v>
      </c>
      <c r="U976" s="55">
        <f t="shared" si="212"/>
        <v>164.37</v>
      </c>
      <c r="V976" s="55">
        <f t="shared" si="213"/>
        <v>-0.62999999999999545</v>
      </c>
      <c r="W976" s="55">
        <f t="shared" si="214"/>
        <v>164.37</v>
      </c>
      <c r="X976" s="55">
        <f t="shared" si="215"/>
        <v>0</v>
      </c>
      <c r="Y976" s="55">
        <f t="shared" si="216"/>
        <v>102</v>
      </c>
      <c r="Z976" s="55">
        <f t="shared" si="217"/>
        <v>102</v>
      </c>
      <c r="AA976" s="55">
        <f t="shared" si="218"/>
        <v>0</v>
      </c>
      <c r="AB976" s="55">
        <f t="shared" si="219"/>
        <v>62.370000000000005</v>
      </c>
      <c r="AC976" s="54">
        <f t="shared" si="220"/>
        <v>0.37944880452637342</v>
      </c>
      <c r="AD976" s="56">
        <f>INDEX(Assumptions!$B$14:$B$16,MATCH($R976,Assumptions!$A$14:$A$16,0))</f>
        <v>0.32</v>
      </c>
      <c r="AE976" s="56">
        <f>INDEX(Assumptions!$C$14:$C$16,MATCH($R976,Assumptions!$A$14:$A$16,0))</f>
        <v>0.22</v>
      </c>
      <c r="AF976" s="49">
        <f t="shared" si="221"/>
        <v>0</v>
      </c>
      <c r="AG976" s="49">
        <f t="shared" si="222"/>
        <v>0</v>
      </c>
      <c r="AH976" s="55">
        <f t="shared" si="223"/>
        <v>0</v>
      </c>
    </row>
    <row r="977" spans="1:34" x14ac:dyDescent="0.2">
      <c r="A977" s="48" t="s">
        <v>930</v>
      </c>
      <c r="B977" s="48">
        <v>1</v>
      </c>
      <c r="C977" s="48" t="s">
        <v>931</v>
      </c>
      <c r="D977" s="48" t="s">
        <v>844</v>
      </c>
      <c r="E977" s="48" t="s">
        <v>395</v>
      </c>
      <c r="F977" s="48" t="s">
        <v>280</v>
      </c>
      <c r="G977" s="48" t="s">
        <v>281</v>
      </c>
      <c r="H977" s="48" t="s">
        <v>66</v>
      </c>
      <c r="I977" s="48" t="s">
        <v>98</v>
      </c>
      <c r="J977" s="49">
        <v>20</v>
      </c>
      <c r="K977" s="50">
        <v>1980</v>
      </c>
      <c r="L977" s="50">
        <v>1915.26</v>
      </c>
      <c r="M977" s="48" t="s">
        <v>276</v>
      </c>
      <c r="N977" s="51">
        <v>0.92</v>
      </c>
      <c r="O977" s="51">
        <v>0.91820000000000002</v>
      </c>
      <c r="P977" s="52">
        <v>1800.2</v>
      </c>
      <c r="Q977" s="52">
        <v>1800.2</v>
      </c>
      <c r="R977" s="53" t="str">
        <f>INDEX(SKU_Master!$D$5:$D$34,MATCH($I977,SKU_Master!$A$5:$A$34,0))</f>
        <v>Laptop</v>
      </c>
      <c r="S977" s="54">
        <f t="shared" si="210"/>
        <v>3.2696969696969669E-2</v>
      </c>
      <c r="T977" s="55">
        <f t="shared" si="211"/>
        <v>43043.47826086956</v>
      </c>
      <c r="U977" s="55">
        <f t="shared" si="212"/>
        <v>41636.086956521736</v>
      </c>
      <c r="V977" s="55">
        <f t="shared" si="213"/>
        <v>-1407.3913043478242</v>
      </c>
      <c r="W977" s="55">
        <f t="shared" si="214"/>
        <v>41717.708560226529</v>
      </c>
      <c r="X977" s="55">
        <f t="shared" si="215"/>
        <v>81.621603704792506</v>
      </c>
      <c r="Y977" s="55">
        <f t="shared" si="216"/>
        <v>36004</v>
      </c>
      <c r="Z977" s="55">
        <f t="shared" si="217"/>
        <v>36004</v>
      </c>
      <c r="AA977" s="55">
        <f t="shared" si="218"/>
        <v>0</v>
      </c>
      <c r="AB977" s="55">
        <f t="shared" si="219"/>
        <v>5713.7085602265288</v>
      </c>
      <c r="AC977" s="54">
        <f t="shared" si="220"/>
        <v>0.13696122719630752</v>
      </c>
      <c r="AD977" s="56">
        <f>INDEX(Assumptions!$B$14:$B$16,MATCH($R977,Assumptions!$A$14:$A$16,0))</f>
        <v>0.12</v>
      </c>
      <c r="AE977" s="56">
        <f>INDEX(Assumptions!$C$14:$C$16,MATCH($R977,Assumptions!$A$14:$A$16,0))</f>
        <v>0.08</v>
      </c>
      <c r="AF977" s="49">
        <f t="shared" si="221"/>
        <v>0</v>
      </c>
      <c r="AG977" s="49">
        <f t="shared" si="222"/>
        <v>0</v>
      </c>
      <c r="AH977" s="55">
        <f t="shared" si="223"/>
        <v>0</v>
      </c>
    </row>
    <row r="978" spans="1:34" x14ac:dyDescent="0.2">
      <c r="A978" s="48" t="s">
        <v>930</v>
      </c>
      <c r="B978" s="48">
        <v>2</v>
      </c>
      <c r="C978" s="48" t="s">
        <v>931</v>
      </c>
      <c r="D978" s="48" t="s">
        <v>844</v>
      </c>
      <c r="E978" s="48" t="s">
        <v>395</v>
      </c>
      <c r="F978" s="48" t="s">
        <v>280</v>
      </c>
      <c r="G978" s="48" t="s">
        <v>281</v>
      </c>
      <c r="H978" s="48" t="s">
        <v>66</v>
      </c>
      <c r="I978" s="48" t="s">
        <v>135</v>
      </c>
      <c r="J978" s="49">
        <v>13</v>
      </c>
      <c r="K978" s="50">
        <v>255</v>
      </c>
      <c r="L978" s="50">
        <v>246.29</v>
      </c>
      <c r="M978" s="48" t="s">
        <v>276</v>
      </c>
      <c r="N978" s="51">
        <v>0.92</v>
      </c>
      <c r="O978" s="51">
        <v>0.91820000000000002</v>
      </c>
      <c r="P978" s="52">
        <v>211.7</v>
      </c>
      <c r="Q978" s="52">
        <v>211.7</v>
      </c>
      <c r="R978" s="53" t="str">
        <f>INDEX(SKU_Master!$D$5:$D$34,MATCH($I978,SKU_Master!$A$5:$A$34,0))</f>
        <v>Monitor</v>
      </c>
      <c r="S978" s="54">
        <f t="shared" si="210"/>
        <v>3.4156862745098104E-2</v>
      </c>
      <c r="T978" s="55">
        <f t="shared" si="211"/>
        <v>3603.260869565217</v>
      </c>
      <c r="U978" s="55">
        <f t="shared" si="212"/>
        <v>3480.1847826086955</v>
      </c>
      <c r="V978" s="55">
        <f t="shared" si="213"/>
        <v>-123.07608695652152</v>
      </c>
      <c r="W978" s="55">
        <f t="shared" si="214"/>
        <v>3487.0071879764755</v>
      </c>
      <c r="X978" s="55">
        <f t="shared" si="215"/>
        <v>6.822405367779993</v>
      </c>
      <c r="Y978" s="55">
        <f t="shared" si="216"/>
        <v>2752.1</v>
      </c>
      <c r="Z978" s="55">
        <f t="shared" si="217"/>
        <v>2752.1</v>
      </c>
      <c r="AA978" s="55">
        <f t="shared" si="218"/>
        <v>0</v>
      </c>
      <c r="AB978" s="55">
        <f t="shared" si="219"/>
        <v>734.9071879764756</v>
      </c>
      <c r="AC978" s="54">
        <f t="shared" si="220"/>
        <v>0.21075585691664295</v>
      </c>
      <c r="AD978" s="56">
        <f>INDEX(Assumptions!$B$14:$B$16,MATCH($R978,Assumptions!$A$14:$A$16,0))</f>
        <v>0.18</v>
      </c>
      <c r="AE978" s="56">
        <f>INDEX(Assumptions!$C$14:$C$16,MATCH($R978,Assumptions!$A$14:$A$16,0))</f>
        <v>0.12</v>
      </c>
      <c r="AF978" s="49">
        <f t="shared" si="221"/>
        <v>0</v>
      </c>
      <c r="AG978" s="49">
        <f t="shared" si="222"/>
        <v>0</v>
      </c>
      <c r="AH978" s="55">
        <f t="shared" si="223"/>
        <v>0</v>
      </c>
    </row>
    <row r="979" spans="1:34" x14ac:dyDescent="0.2">
      <c r="A979" s="48" t="s">
        <v>930</v>
      </c>
      <c r="B979" s="48">
        <v>3</v>
      </c>
      <c r="C979" s="48" t="s">
        <v>931</v>
      </c>
      <c r="D979" s="48" t="s">
        <v>844</v>
      </c>
      <c r="E979" s="48" t="s">
        <v>395</v>
      </c>
      <c r="F979" s="48" t="s">
        <v>280</v>
      </c>
      <c r="G979" s="48" t="s">
        <v>281</v>
      </c>
      <c r="H979" s="48" t="s">
        <v>66</v>
      </c>
      <c r="I979" s="48" t="s">
        <v>151</v>
      </c>
      <c r="J979" s="49">
        <v>11</v>
      </c>
      <c r="K979" s="50">
        <v>325</v>
      </c>
      <c r="L979" s="50">
        <v>319.47000000000003</v>
      </c>
      <c r="M979" s="48" t="s">
        <v>276</v>
      </c>
      <c r="N979" s="51">
        <v>0.92</v>
      </c>
      <c r="O979" s="51">
        <v>0.91820000000000002</v>
      </c>
      <c r="P979" s="52">
        <v>221.7</v>
      </c>
      <c r="Q979" s="52">
        <v>221.7</v>
      </c>
      <c r="R979" s="53" t="str">
        <f>INDEX(SKU_Master!$D$5:$D$34,MATCH($I979,SKU_Master!$A$5:$A$34,0))</f>
        <v>Accessory</v>
      </c>
      <c r="S979" s="54">
        <f t="shared" si="210"/>
        <v>1.7015384615384543E-2</v>
      </c>
      <c r="T979" s="55">
        <f t="shared" si="211"/>
        <v>3885.869565217391</v>
      </c>
      <c r="U979" s="55">
        <f t="shared" si="212"/>
        <v>3819.75</v>
      </c>
      <c r="V979" s="55">
        <f t="shared" si="213"/>
        <v>-66.119565217391028</v>
      </c>
      <c r="W979" s="55">
        <f t="shared" si="214"/>
        <v>3827.2380744935745</v>
      </c>
      <c r="X979" s="55">
        <f t="shared" si="215"/>
        <v>7.4880744935744588</v>
      </c>
      <c r="Y979" s="55">
        <f t="shared" si="216"/>
        <v>2438.6999999999998</v>
      </c>
      <c r="Z979" s="55">
        <f t="shared" si="217"/>
        <v>2438.6999999999998</v>
      </c>
      <c r="AA979" s="55">
        <f t="shared" si="218"/>
        <v>0</v>
      </c>
      <c r="AB979" s="55">
        <f t="shared" si="219"/>
        <v>1388.5380744935746</v>
      </c>
      <c r="AC979" s="54">
        <f t="shared" si="220"/>
        <v>0.36280420696779048</v>
      </c>
      <c r="AD979" s="56">
        <f>INDEX(Assumptions!$B$14:$B$16,MATCH($R979,Assumptions!$A$14:$A$16,0))</f>
        <v>0.32</v>
      </c>
      <c r="AE979" s="56">
        <f>INDEX(Assumptions!$C$14:$C$16,MATCH($R979,Assumptions!$A$14:$A$16,0))</f>
        <v>0.22</v>
      </c>
      <c r="AF979" s="49">
        <f t="shared" si="221"/>
        <v>0</v>
      </c>
      <c r="AG979" s="49">
        <f t="shared" si="222"/>
        <v>0</v>
      </c>
      <c r="AH979" s="55">
        <f t="shared" si="223"/>
        <v>0</v>
      </c>
    </row>
    <row r="980" spans="1:34" x14ac:dyDescent="0.2">
      <c r="A980" s="48" t="s">
        <v>932</v>
      </c>
      <c r="B980" s="48">
        <v>1</v>
      </c>
      <c r="C980" s="48" t="s">
        <v>899</v>
      </c>
      <c r="D980" s="48" t="s">
        <v>844</v>
      </c>
      <c r="E980" s="48" t="s">
        <v>422</v>
      </c>
      <c r="F980" s="48" t="s">
        <v>280</v>
      </c>
      <c r="G980" s="48" t="s">
        <v>281</v>
      </c>
      <c r="H980" s="48" t="s">
        <v>68</v>
      </c>
      <c r="I980" s="48" t="s">
        <v>98</v>
      </c>
      <c r="J980" s="49">
        <v>5</v>
      </c>
      <c r="K980" s="50">
        <v>2935</v>
      </c>
      <c r="L980" s="50">
        <v>2803.46</v>
      </c>
      <c r="M980" s="48" t="s">
        <v>276</v>
      </c>
      <c r="N980" s="51">
        <v>1.37</v>
      </c>
      <c r="O980" s="51">
        <v>1.3718999999999999</v>
      </c>
      <c r="P980" s="52">
        <v>1792.2</v>
      </c>
      <c r="Q980" s="52">
        <v>1792.2</v>
      </c>
      <c r="R980" s="53" t="str">
        <f>INDEX(SKU_Master!$D$5:$D$34,MATCH($I980,SKU_Master!$A$5:$A$34,0))</f>
        <v>Laptop</v>
      </c>
      <c r="S980" s="54">
        <f t="shared" si="210"/>
        <v>4.4817717206132812E-2</v>
      </c>
      <c r="T980" s="55">
        <f t="shared" si="211"/>
        <v>10711.678832116788</v>
      </c>
      <c r="U980" s="55">
        <f t="shared" si="212"/>
        <v>10231.605839416057</v>
      </c>
      <c r="V980" s="55">
        <f t="shared" si="213"/>
        <v>-480.07299270073054</v>
      </c>
      <c r="W980" s="55">
        <f t="shared" si="214"/>
        <v>10217.435673154021</v>
      </c>
      <c r="X980" s="55">
        <f t="shared" si="215"/>
        <v>-14.170166262036219</v>
      </c>
      <c r="Y980" s="55">
        <f t="shared" si="216"/>
        <v>8961</v>
      </c>
      <c r="Z980" s="55">
        <f t="shared" si="217"/>
        <v>8961</v>
      </c>
      <c r="AA980" s="55">
        <f t="shared" si="218"/>
        <v>0</v>
      </c>
      <c r="AB980" s="55">
        <f t="shared" si="219"/>
        <v>1256.4356731540211</v>
      </c>
      <c r="AC980" s="54">
        <f t="shared" si="220"/>
        <v>0.12296976593209828</v>
      </c>
      <c r="AD980" s="56">
        <f>INDEX(Assumptions!$B$14:$B$16,MATCH($R980,Assumptions!$A$14:$A$16,0))</f>
        <v>0.12</v>
      </c>
      <c r="AE980" s="56">
        <f>INDEX(Assumptions!$C$14:$C$16,MATCH($R980,Assumptions!$A$14:$A$16,0))</f>
        <v>0.08</v>
      </c>
      <c r="AF980" s="49">
        <f t="shared" si="221"/>
        <v>0</v>
      </c>
      <c r="AG980" s="49">
        <f t="shared" si="222"/>
        <v>0</v>
      </c>
      <c r="AH980" s="55">
        <f t="shared" si="223"/>
        <v>0</v>
      </c>
    </row>
    <row r="981" spans="1:34" x14ac:dyDescent="0.2">
      <c r="A981" s="48" t="s">
        <v>932</v>
      </c>
      <c r="B981" s="48">
        <v>2</v>
      </c>
      <c r="C981" s="48" t="s">
        <v>899</v>
      </c>
      <c r="D981" s="48" t="s">
        <v>844</v>
      </c>
      <c r="E981" s="48" t="s">
        <v>422</v>
      </c>
      <c r="F981" s="48" t="s">
        <v>280</v>
      </c>
      <c r="G981" s="48" t="s">
        <v>281</v>
      </c>
      <c r="H981" s="48" t="s">
        <v>68</v>
      </c>
      <c r="I981" s="48" t="s">
        <v>146</v>
      </c>
      <c r="J981" s="49">
        <v>2</v>
      </c>
      <c r="K981" s="50">
        <v>350</v>
      </c>
      <c r="L981" s="50">
        <v>342.7</v>
      </c>
      <c r="M981" s="48" t="s">
        <v>276</v>
      </c>
      <c r="N981" s="51">
        <v>1.37</v>
      </c>
      <c r="O981" s="51">
        <v>1.3718999999999999</v>
      </c>
      <c r="P981" s="52">
        <v>196.8</v>
      </c>
      <c r="Q981" s="52">
        <v>196.8</v>
      </c>
      <c r="R981" s="53" t="str">
        <f>INDEX(SKU_Master!$D$5:$D$34,MATCH($I981,SKU_Master!$A$5:$A$34,0))</f>
        <v>Monitor</v>
      </c>
      <c r="S981" s="54">
        <f t="shared" si="210"/>
        <v>2.0857142857142907E-2</v>
      </c>
      <c r="T981" s="55">
        <f t="shared" si="211"/>
        <v>510.94890510948903</v>
      </c>
      <c r="U981" s="55">
        <f t="shared" si="212"/>
        <v>500.29197080291965</v>
      </c>
      <c r="V981" s="55">
        <f t="shared" si="213"/>
        <v>-10.656934306569383</v>
      </c>
      <c r="W981" s="55">
        <f t="shared" si="214"/>
        <v>499.59909614403387</v>
      </c>
      <c r="X981" s="55">
        <f t="shared" si="215"/>
        <v>-0.69287465888578481</v>
      </c>
      <c r="Y981" s="55">
        <f t="shared" si="216"/>
        <v>393.6</v>
      </c>
      <c r="Z981" s="55">
        <f t="shared" si="217"/>
        <v>393.6</v>
      </c>
      <c r="AA981" s="55">
        <f t="shared" si="218"/>
        <v>0</v>
      </c>
      <c r="AB981" s="55">
        <f t="shared" si="219"/>
        <v>105.99909614403384</v>
      </c>
      <c r="AC981" s="54">
        <f t="shared" si="220"/>
        <v>0.2121683104756347</v>
      </c>
      <c r="AD981" s="56">
        <f>INDEX(Assumptions!$B$14:$B$16,MATCH($R981,Assumptions!$A$14:$A$16,0))</f>
        <v>0.18</v>
      </c>
      <c r="AE981" s="56">
        <f>INDEX(Assumptions!$C$14:$C$16,MATCH($R981,Assumptions!$A$14:$A$16,0))</f>
        <v>0.12</v>
      </c>
      <c r="AF981" s="49">
        <f t="shared" si="221"/>
        <v>0</v>
      </c>
      <c r="AG981" s="49">
        <f t="shared" si="222"/>
        <v>0</v>
      </c>
      <c r="AH981" s="55">
        <f t="shared" si="223"/>
        <v>0</v>
      </c>
    </row>
    <row r="982" spans="1:34" x14ac:dyDescent="0.2">
      <c r="A982" s="48" t="s">
        <v>932</v>
      </c>
      <c r="B982" s="48">
        <v>3</v>
      </c>
      <c r="C982" s="48" t="s">
        <v>899</v>
      </c>
      <c r="D982" s="48" t="s">
        <v>844</v>
      </c>
      <c r="E982" s="48" t="s">
        <v>422</v>
      </c>
      <c r="F982" s="48" t="s">
        <v>280</v>
      </c>
      <c r="G982" s="48" t="s">
        <v>281</v>
      </c>
      <c r="H982" s="48" t="s">
        <v>68</v>
      </c>
      <c r="I982" s="48" t="s">
        <v>161</v>
      </c>
      <c r="J982" s="49">
        <v>5</v>
      </c>
      <c r="K982" s="50">
        <v>175</v>
      </c>
      <c r="L982" s="50">
        <v>168.33</v>
      </c>
      <c r="M982" s="48" t="s">
        <v>276</v>
      </c>
      <c r="N982" s="51">
        <v>1.37</v>
      </c>
      <c r="O982" s="51">
        <v>1.3718999999999999</v>
      </c>
      <c r="P982" s="52">
        <v>79</v>
      </c>
      <c r="Q982" s="52">
        <v>79</v>
      </c>
      <c r="R982" s="53" t="str">
        <f>INDEX(SKU_Master!$D$5:$D$34,MATCH($I982,SKU_Master!$A$5:$A$34,0))</f>
        <v>Accessory</v>
      </c>
      <c r="S982" s="54">
        <f t="shared" si="210"/>
        <v>3.8114285714285656E-2</v>
      </c>
      <c r="T982" s="55">
        <f t="shared" si="211"/>
        <v>638.68613138686123</v>
      </c>
      <c r="U982" s="55">
        <f t="shared" si="212"/>
        <v>614.34306569343073</v>
      </c>
      <c r="V982" s="55">
        <f t="shared" si="213"/>
        <v>-24.343065693430503</v>
      </c>
      <c r="W982" s="55">
        <f t="shared" si="214"/>
        <v>613.49223704351641</v>
      </c>
      <c r="X982" s="55">
        <f t="shared" si="215"/>
        <v>-0.85082864991431961</v>
      </c>
      <c r="Y982" s="55">
        <f t="shared" si="216"/>
        <v>395</v>
      </c>
      <c r="Z982" s="55">
        <f t="shared" si="217"/>
        <v>395</v>
      </c>
      <c r="AA982" s="55">
        <f t="shared" si="218"/>
        <v>0</v>
      </c>
      <c r="AB982" s="55">
        <f t="shared" si="219"/>
        <v>218.49223704351641</v>
      </c>
      <c r="AC982" s="54">
        <f t="shared" si="220"/>
        <v>0.35614507217964725</v>
      </c>
      <c r="AD982" s="56">
        <f>INDEX(Assumptions!$B$14:$B$16,MATCH($R982,Assumptions!$A$14:$A$16,0))</f>
        <v>0.32</v>
      </c>
      <c r="AE982" s="56">
        <f>INDEX(Assumptions!$C$14:$C$16,MATCH($R982,Assumptions!$A$14:$A$16,0))</f>
        <v>0.22</v>
      </c>
      <c r="AF982" s="49">
        <f t="shared" si="221"/>
        <v>0</v>
      </c>
      <c r="AG982" s="49">
        <f t="shared" si="222"/>
        <v>0</v>
      </c>
      <c r="AH982" s="55">
        <f t="shared" si="223"/>
        <v>0</v>
      </c>
    </row>
    <row r="983" spans="1:34" x14ac:dyDescent="0.2">
      <c r="A983" s="48" t="s">
        <v>933</v>
      </c>
      <c r="B983" s="48">
        <v>1</v>
      </c>
      <c r="C983" s="48" t="s">
        <v>899</v>
      </c>
      <c r="D983" s="48" t="s">
        <v>844</v>
      </c>
      <c r="E983" s="48" t="s">
        <v>360</v>
      </c>
      <c r="F983" s="48" t="s">
        <v>280</v>
      </c>
      <c r="G983" s="48" t="s">
        <v>275</v>
      </c>
      <c r="H983" s="48" t="s">
        <v>68</v>
      </c>
      <c r="I983" s="48" t="s">
        <v>118</v>
      </c>
      <c r="J983" s="49">
        <v>24</v>
      </c>
      <c r="K983" s="50">
        <v>1925</v>
      </c>
      <c r="L983" s="50">
        <v>1898.52</v>
      </c>
      <c r="M983" s="48" t="s">
        <v>276</v>
      </c>
      <c r="N983" s="51">
        <v>1.37</v>
      </c>
      <c r="O983" s="51">
        <v>1.3718999999999999</v>
      </c>
      <c r="P983" s="52">
        <v>1174.5999999999999</v>
      </c>
      <c r="Q983" s="52">
        <v>1174.5999999999999</v>
      </c>
      <c r="R983" s="53" t="str">
        <f>INDEX(SKU_Master!$D$5:$D$34,MATCH($I983,SKU_Master!$A$5:$A$34,0))</f>
        <v>Laptop</v>
      </c>
      <c r="S983" s="54">
        <f t="shared" si="210"/>
        <v>1.3755844155844188E-2</v>
      </c>
      <c r="T983" s="55">
        <f t="shared" si="211"/>
        <v>33722.627737226278</v>
      </c>
      <c r="U983" s="55">
        <f t="shared" si="212"/>
        <v>33258.744525547438</v>
      </c>
      <c r="V983" s="55">
        <f t="shared" si="213"/>
        <v>-463.88321167883987</v>
      </c>
      <c r="W983" s="55">
        <f t="shared" si="214"/>
        <v>33212.683140170564</v>
      </c>
      <c r="X983" s="55">
        <f t="shared" si="215"/>
        <v>-46.061385376873659</v>
      </c>
      <c r="Y983" s="55">
        <f t="shared" si="216"/>
        <v>28190.399999999998</v>
      </c>
      <c r="Z983" s="55">
        <f t="shared" si="217"/>
        <v>28190.399999999998</v>
      </c>
      <c r="AA983" s="55">
        <f t="shared" si="218"/>
        <v>0</v>
      </c>
      <c r="AB983" s="55">
        <f t="shared" si="219"/>
        <v>5022.2831401705662</v>
      </c>
      <c r="AC983" s="54">
        <f t="shared" si="220"/>
        <v>0.15121582074457998</v>
      </c>
      <c r="AD983" s="56">
        <f>INDEX(Assumptions!$B$14:$B$16,MATCH($R983,Assumptions!$A$14:$A$16,0))</f>
        <v>0.12</v>
      </c>
      <c r="AE983" s="56">
        <f>INDEX(Assumptions!$C$14:$C$16,MATCH($R983,Assumptions!$A$14:$A$16,0))</f>
        <v>0.08</v>
      </c>
      <c r="AF983" s="49">
        <f t="shared" si="221"/>
        <v>0</v>
      </c>
      <c r="AG983" s="49">
        <f t="shared" si="222"/>
        <v>0</v>
      </c>
      <c r="AH983" s="55">
        <f t="shared" si="223"/>
        <v>0</v>
      </c>
    </row>
    <row r="984" spans="1:34" x14ac:dyDescent="0.2">
      <c r="A984" s="48" t="s">
        <v>933</v>
      </c>
      <c r="B984" s="48">
        <v>2</v>
      </c>
      <c r="C984" s="48" t="s">
        <v>899</v>
      </c>
      <c r="D984" s="48" t="s">
        <v>844</v>
      </c>
      <c r="E984" s="48" t="s">
        <v>360</v>
      </c>
      <c r="F984" s="48" t="s">
        <v>280</v>
      </c>
      <c r="G984" s="48" t="s">
        <v>275</v>
      </c>
      <c r="H984" s="48" t="s">
        <v>68</v>
      </c>
      <c r="I984" s="48" t="s">
        <v>138</v>
      </c>
      <c r="J984" s="49">
        <v>12</v>
      </c>
      <c r="K984" s="50">
        <v>665</v>
      </c>
      <c r="L984" s="50">
        <v>642.38</v>
      </c>
      <c r="M984" s="48" t="s">
        <v>276</v>
      </c>
      <c r="N984" s="51">
        <v>1.37</v>
      </c>
      <c r="O984" s="51">
        <v>1.3718999999999999</v>
      </c>
      <c r="P984" s="52">
        <v>373.2</v>
      </c>
      <c r="Q984" s="52">
        <v>373.2</v>
      </c>
      <c r="R984" s="53" t="str">
        <f>INDEX(SKU_Master!$D$5:$D$34,MATCH($I984,SKU_Master!$A$5:$A$34,0))</f>
        <v>Monitor</v>
      </c>
      <c r="S984" s="54">
        <f t="shared" si="210"/>
        <v>3.4015037593984943E-2</v>
      </c>
      <c r="T984" s="55">
        <f t="shared" si="211"/>
        <v>5824.8175182481746</v>
      </c>
      <c r="U984" s="55">
        <f t="shared" si="212"/>
        <v>5626.6861313868603</v>
      </c>
      <c r="V984" s="55">
        <f t="shared" si="213"/>
        <v>-198.13138686131424</v>
      </c>
      <c r="W984" s="55">
        <f t="shared" si="214"/>
        <v>5618.8935053575333</v>
      </c>
      <c r="X984" s="55">
        <f t="shared" si="215"/>
        <v>-7.7926260293270389</v>
      </c>
      <c r="Y984" s="55">
        <f t="shared" si="216"/>
        <v>4478.3999999999996</v>
      </c>
      <c r="Z984" s="55">
        <f t="shared" si="217"/>
        <v>4478.3999999999996</v>
      </c>
      <c r="AA984" s="55">
        <f t="shared" si="218"/>
        <v>0</v>
      </c>
      <c r="AB984" s="55">
        <f t="shared" si="219"/>
        <v>1140.4935053575336</v>
      </c>
      <c r="AC984" s="54">
        <f t="shared" si="220"/>
        <v>0.2029747501478876</v>
      </c>
      <c r="AD984" s="56">
        <f>INDEX(Assumptions!$B$14:$B$16,MATCH($R984,Assumptions!$A$14:$A$16,0))</f>
        <v>0.18</v>
      </c>
      <c r="AE984" s="56">
        <f>INDEX(Assumptions!$C$14:$C$16,MATCH($R984,Assumptions!$A$14:$A$16,0))</f>
        <v>0.12</v>
      </c>
      <c r="AF984" s="49">
        <f t="shared" si="221"/>
        <v>0</v>
      </c>
      <c r="AG984" s="49">
        <f t="shared" si="222"/>
        <v>0</v>
      </c>
      <c r="AH984" s="55">
        <f t="shared" si="223"/>
        <v>0</v>
      </c>
    </row>
    <row r="985" spans="1:34" x14ac:dyDescent="0.2">
      <c r="A985" s="48" t="s">
        <v>933</v>
      </c>
      <c r="B985" s="48">
        <v>3</v>
      </c>
      <c r="C985" s="48" t="s">
        <v>899</v>
      </c>
      <c r="D985" s="48" t="s">
        <v>844</v>
      </c>
      <c r="E985" s="48" t="s">
        <v>360</v>
      </c>
      <c r="F985" s="48" t="s">
        <v>280</v>
      </c>
      <c r="G985" s="48" t="s">
        <v>275</v>
      </c>
      <c r="H985" s="48" t="s">
        <v>68</v>
      </c>
      <c r="I985" s="48" t="s">
        <v>177</v>
      </c>
      <c r="J985" s="49">
        <v>18</v>
      </c>
      <c r="K985" s="50">
        <v>105</v>
      </c>
      <c r="L985" s="50">
        <v>103.64</v>
      </c>
      <c r="M985" s="48" t="s">
        <v>276</v>
      </c>
      <c r="N985" s="51">
        <v>1.37</v>
      </c>
      <c r="O985" s="51">
        <v>1.3718999999999999</v>
      </c>
      <c r="P985" s="52">
        <v>47</v>
      </c>
      <c r="Q985" s="52">
        <v>47</v>
      </c>
      <c r="R985" s="53" t="str">
        <f>INDEX(SKU_Master!$D$5:$D$34,MATCH($I985,SKU_Master!$A$5:$A$34,0))</f>
        <v>Accessory</v>
      </c>
      <c r="S985" s="54">
        <f t="shared" si="210"/>
        <v>1.2952380952380937E-2</v>
      </c>
      <c r="T985" s="55">
        <f t="shared" si="211"/>
        <v>1379.5620437956204</v>
      </c>
      <c r="U985" s="55">
        <f t="shared" si="212"/>
        <v>1361.6934306569342</v>
      </c>
      <c r="V985" s="55">
        <f t="shared" si="213"/>
        <v>-17.868613138686214</v>
      </c>
      <c r="W985" s="55">
        <f t="shared" si="214"/>
        <v>1359.8075661491364</v>
      </c>
      <c r="X985" s="55">
        <f t="shared" si="215"/>
        <v>-1.8858645077978053</v>
      </c>
      <c r="Y985" s="55">
        <f t="shared" si="216"/>
        <v>846</v>
      </c>
      <c r="Z985" s="55">
        <f t="shared" si="217"/>
        <v>846</v>
      </c>
      <c r="AA985" s="55">
        <f t="shared" si="218"/>
        <v>0</v>
      </c>
      <c r="AB985" s="55">
        <f t="shared" si="219"/>
        <v>513.80756614913639</v>
      </c>
      <c r="AC985" s="54">
        <f t="shared" si="220"/>
        <v>0.37785314550366661</v>
      </c>
      <c r="AD985" s="56">
        <f>INDEX(Assumptions!$B$14:$B$16,MATCH($R985,Assumptions!$A$14:$A$16,0))</f>
        <v>0.32</v>
      </c>
      <c r="AE985" s="56">
        <f>INDEX(Assumptions!$C$14:$C$16,MATCH($R985,Assumptions!$A$14:$A$16,0))</f>
        <v>0.22</v>
      </c>
      <c r="AF985" s="49">
        <f t="shared" si="221"/>
        <v>0</v>
      </c>
      <c r="AG985" s="49">
        <f t="shared" si="222"/>
        <v>0</v>
      </c>
      <c r="AH985" s="55">
        <f t="shared" si="223"/>
        <v>0</v>
      </c>
    </row>
    <row r="986" spans="1:34" x14ac:dyDescent="0.2">
      <c r="A986" s="48" t="s">
        <v>934</v>
      </c>
      <c r="B986" s="48">
        <v>1</v>
      </c>
      <c r="C986" s="48" t="s">
        <v>904</v>
      </c>
      <c r="D986" s="48" t="s">
        <v>844</v>
      </c>
      <c r="E986" s="48" t="s">
        <v>305</v>
      </c>
      <c r="F986" s="48" t="s">
        <v>274</v>
      </c>
      <c r="G986" s="48" t="s">
        <v>306</v>
      </c>
      <c r="H986" s="48" t="s">
        <v>62</v>
      </c>
      <c r="I986" s="48" t="s">
        <v>103</v>
      </c>
      <c r="J986" s="49">
        <v>6</v>
      </c>
      <c r="K986" s="50">
        <v>1135</v>
      </c>
      <c r="L986" s="50">
        <v>1115.1400000000001</v>
      </c>
      <c r="M986" s="48" t="s">
        <v>276</v>
      </c>
      <c r="N986" s="51">
        <v>1</v>
      </c>
      <c r="O986" s="51">
        <v>1</v>
      </c>
      <c r="P986" s="52">
        <v>968.6</v>
      </c>
      <c r="Q986" s="52">
        <v>968.6</v>
      </c>
      <c r="R986" s="53" t="str">
        <f>INDEX(SKU_Master!$D$5:$D$34,MATCH($I986,SKU_Master!$A$5:$A$34,0))</f>
        <v>Laptop</v>
      </c>
      <c r="S986" s="54">
        <f t="shared" si="210"/>
        <v>1.7497797356828104E-2</v>
      </c>
      <c r="T986" s="55">
        <f t="shared" si="211"/>
        <v>6810</v>
      </c>
      <c r="U986" s="55">
        <f t="shared" si="212"/>
        <v>6690.84</v>
      </c>
      <c r="V986" s="55">
        <f t="shared" si="213"/>
        <v>-119.15999999999985</v>
      </c>
      <c r="W986" s="55">
        <f t="shared" si="214"/>
        <v>6690.84</v>
      </c>
      <c r="X986" s="55">
        <f t="shared" si="215"/>
        <v>0</v>
      </c>
      <c r="Y986" s="55">
        <f t="shared" si="216"/>
        <v>5811.6</v>
      </c>
      <c r="Z986" s="55">
        <f t="shared" si="217"/>
        <v>5811.6</v>
      </c>
      <c r="AA986" s="55">
        <f t="shared" si="218"/>
        <v>0</v>
      </c>
      <c r="AB986" s="55">
        <f t="shared" si="219"/>
        <v>879.23999999999978</v>
      </c>
      <c r="AC986" s="54">
        <f t="shared" si="220"/>
        <v>0.1314095091199311</v>
      </c>
      <c r="AD986" s="56">
        <f>INDEX(Assumptions!$B$14:$B$16,MATCH($R986,Assumptions!$A$14:$A$16,0))</f>
        <v>0.12</v>
      </c>
      <c r="AE986" s="56">
        <f>INDEX(Assumptions!$C$14:$C$16,MATCH($R986,Assumptions!$A$14:$A$16,0))</f>
        <v>0.08</v>
      </c>
      <c r="AF986" s="49">
        <f t="shared" si="221"/>
        <v>0</v>
      </c>
      <c r="AG986" s="49">
        <f t="shared" si="222"/>
        <v>0</v>
      </c>
      <c r="AH986" s="55">
        <f t="shared" si="223"/>
        <v>0</v>
      </c>
    </row>
    <row r="987" spans="1:34" x14ac:dyDescent="0.2">
      <c r="A987" s="48" t="s">
        <v>934</v>
      </c>
      <c r="B987" s="48">
        <v>2</v>
      </c>
      <c r="C987" s="48" t="s">
        <v>904</v>
      </c>
      <c r="D987" s="48" t="s">
        <v>844</v>
      </c>
      <c r="E987" s="48" t="s">
        <v>305</v>
      </c>
      <c r="F987" s="48" t="s">
        <v>274</v>
      </c>
      <c r="G987" s="48" t="s">
        <v>306</v>
      </c>
      <c r="H987" s="48" t="s">
        <v>62</v>
      </c>
      <c r="I987" s="48" t="s">
        <v>135</v>
      </c>
      <c r="J987" s="49">
        <v>3</v>
      </c>
      <c r="K987" s="50">
        <v>240</v>
      </c>
      <c r="L987" s="50">
        <v>238.53</v>
      </c>
      <c r="M987" s="48" t="s">
        <v>276</v>
      </c>
      <c r="N987" s="51">
        <v>1</v>
      </c>
      <c r="O987" s="51">
        <v>1</v>
      </c>
      <c r="P987" s="52">
        <v>186.7</v>
      </c>
      <c r="Q987" s="52">
        <v>186.7</v>
      </c>
      <c r="R987" s="53" t="str">
        <f>INDEX(SKU_Master!$D$5:$D$34,MATCH($I987,SKU_Master!$A$5:$A$34,0))</f>
        <v>Monitor</v>
      </c>
      <c r="S987" s="54">
        <f t="shared" si="210"/>
        <v>6.1250000000000471E-3</v>
      </c>
      <c r="T987" s="55">
        <f t="shared" si="211"/>
        <v>720</v>
      </c>
      <c r="U987" s="55">
        <f t="shared" si="212"/>
        <v>715.59</v>
      </c>
      <c r="V987" s="55">
        <f t="shared" si="213"/>
        <v>-4.4099999999999682</v>
      </c>
      <c r="W987" s="55">
        <f t="shared" si="214"/>
        <v>715.59</v>
      </c>
      <c r="X987" s="55">
        <f t="shared" si="215"/>
        <v>0</v>
      </c>
      <c r="Y987" s="55">
        <f t="shared" si="216"/>
        <v>560.09999999999991</v>
      </c>
      <c r="Z987" s="55">
        <f t="shared" si="217"/>
        <v>560.09999999999991</v>
      </c>
      <c r="AA987" s="55">
        <f t="shared" si="218"/>
        <v>0</v>
      </c>
      <c r="AB987" s="55">
        <f t="shared" si="219"/>
        <v>155.49000000000012</v>
      </c>
      <c r="AC987" s="54">
        <f t="shared" si="220"/>
        <v>0.21728922986626437</v>
      </c>
      <c r="AD987" s="56">
        <f>INDEX(Assumptions!$B$14:$B$16,MATCH($R987,Assumptions!$A$14:$A$16,0))</f>
        <v>0.18</v>
      </c>
      <c r="AE987" s="56">
        <f>INDEX(Assumptions!$C$14:$C$16,MATCH($R987,Assumptions!$A$14:$A$16,0))</f>
        <v>0.12</v>
      </c>
      <c r="AF987" s="49">
        <f t="shared" si="221"/>
        <v>0</v>
      </c>
      <c r="AG987" s="49">
        <f t="shared" si="222"/>
        <v>0</v>
      </c>
      <c r="AH987" s="55">
        <f t="shared" si="223"/>
        <v>0</v>
      </c>
    </row>
    <row r="988" spans="1:34" x14ac:dyDescent="0.2">
      <c r="A988" s="48" t="s">
        <v>935</v>
      </c>
      <c r="B988" s="48">
        <v>1</v>
      </c>
      <c r="C988" s="48" t="s">
        <v>936</v>
      </c>
      <c r="D988" s="48" t="s">
        <v>844</v>
      </c>
      <c r="E988" s="48" t="s">
        <v>427</v>
      </c>
      <c r="F988" s="48" t="s">
        <v>297</v>
      </c>
      <c r="G988" s="48" t="s">
        <v>302</v>
      </c>
      <c r="H988" s="48" t="s">
        <v>66</v>
      </c>
      <c r="I988" s="48" t="s">
        <v>93</v>
      </c>
      <c r="J988" s="49">
        <v>59</v>
      </c>
      <c r="K988" s="50">
        <v>1325</v>
      </c>
      <c r="L988" s="50">
        <v>1232.8499999999999</v>
      </c>
      <c r="M988" s="48" t="s">
        <v>276</v>
      </c>
      <c r="N988" s="51">
        <v>0.92</v>
      </c>
      <c r="O988" s="51">
        <v>0.91820000000000002</v>
      </c>
      <c r="P988" s="52">
        <v>1206.2</v>
      </c>
      <c r="Q988" s="52">
        <v>1206.2</v>
      </c>
      <c r="R988" s="53" t="str">
        <f>INDEX(SKU_Master!$D$5:$D$34,MATCH($I988,SKU_Master!$A$5:$A$34,0))</f>
        <v>Laptop</v>
      </c>
      <c r="S988" s="54">
        <f t="shared" si="210"/>
        <v>6.9547169811320808E-2</v>
      </c>
      <c r="T988" s="55">
        <f t="shared" si="211"/>
        <v>84972.826086956513</v>
      </c>
      <c r="U988" s="55">
        <f t="shared" si="212"/>
        <v>79063.206521739121</v>
      </c>
      <c r="V988" s="55">
        <f t="shared" si="213"/>
        <v>-5909.6195652173919</v>
      </c>
      <c r="W988" s="55">
        <f t="shared" si="214"/>
        <v>79218.198649531681</v>
      </c>
      <c r="X988" s="55">
        <f t="shared" si="215"/>
        <v>154.9921277925605</v>
      </c>
      <c r="Y988" s="55">
        <f t="shared" si="216"/>
        <v>71165.8</v>
      </c>
      <c r="Z988" s="55">
        <f t="shared" si="217"/>
        <v>71165.8</v>
      </c>
      <c r="AA988" s="55">
        <f t="shared" si="218"/>
        <v>0</v>
      </c>
      <c r="AB988" s="55">
        <f t="shared" si="219"/>
        <v>8052.3986495316785</v>
      </c>
      <c r="AC988" s="54">
        <f t="shared" si="220"/>
        <v>0.10164834326965957</v>
      </c>
      <c r="AD988" s="56">
        <f>INDEX(Assumptions!$B$14:$B$16,MATCH($R988,Assumptions!$A$14:$A$16,0))</f>
        <v>0.12</v>
      </c>
      <c r="AE988" s="56">
        <f>INDEX(Assumptions!$C$14:$C$16,MATCH($R988,Assumptions!$A$14:$A$16,0))</f>
        <v>0.08</v>
      </c>
      <c r="AF988" s="49">
        <f t="shared" si="221"/>
        <v>0</v>
      </c>
      <c r="AG988" s="49">
        <f t="shared" si="222"/>
        <v>0</v>
      </c>
      <c r="AH988" s="55">
        <f t="shared" si="223"/>
        <v>1453.7851884121228</v>
      </c>
    </row>
    <row r="989" spans="1:34" x14ac:dyDescent="0.2">
      <c r="A989" s="48" t="s">
        <v>935</v>
      </c>
      <c r="B989" s="48">
        <v>2</v>
      </c>
      <c r="C989" s="48" t="s">
        <v>936</v>
      </c>
      <c r="D989" s="48" t="s">
        <v>844</v>
      </c>
      <c r="E989" s="48" t="s">
        <v>427</v>
      </c>
      <c r="F989" s="48" t="s">
        <v>297</v>
      </c>
      <c r="G989" s="48" t="s">
        <v>302</v>
      </c>
      <c r="H989" s="48" t="s">
        <v>66</v>
      </c>
      <c r="I989" s="48" t="s">
        <v>146</v>
      </c>
      <c r="J989" s="49">
        <v>25</v>
      </c>
      <c r="K989" s="50">
        <v>250</v>
      </c>
      <c r="L989" s="50">
        <v>240.25</v>
      </c>
      <c r="M989" s="48" t="s">
        <v>276</v>
      </c>
      <c r="N989" s="51">
        <v>0.92</v>
      </c>
      <c r="O989" s="51">
        <v>0.91820000000000002</v>
      </c>
      <c r="P989" s="52">
        <v>206.8</v>
      </c>
      <c r="Q989" s="52">
        <v>206.8</v>
      </c>
      <c r="R989" s="53" t="str">
        <f>INDEX(SKU_Master!$D$5:$D$34,MATCH($I989,SKU_Master!$A$5:$A$34,0))</f>
        <v>Monitor</v>
      </c>
      <c r="S989" s="54">
        <f t="shared" si="210"/>
        <v>3.9000000000000035E-2</v>
      </c>
      <c r="T989" s="55">
        <f t="shared" si="211"/>
        <v>6793.478260869565</v>
      </c>
      <c r="U989" s="55">
        <f t="shared" si="212"/>
        <v>6528.532608695652</v>
      </c>
      <c r="V989" s="55">
        <f t="shared" si="213"/>
        <v>-264.945652173913</v>
      </c>
      <c r="W989" s="55">
        <f t="shared" si="214"/>
        <v>6541.3308647353515</v>
      </c>
      <c r="X989" s="55">
        <f t="shared" si="215"/>
        <v>12.798256039699481</v>
      </c>
      <c r="Y989" s="55">
        <f t="shared" si="216"/>
        <v>5170</v>
      </c>
      <c r="Z989" s="55">
        <f t="shared" si="217"/>
        <v>5170</v>
      </c>
      <c r="AA989" s="55">
        <f t="shared" si="218"/>
        <v>0</v>
      </c>
      <c r="AB989" s="55">
        <f t="shared" si="219"/>
        <v>1371.3308647353515</v>
      </c>
      <c r="AC989" s="54">
        <f t="shared" si="220"/>
        <v>0.20964095733610819</v>
      </c>
      <c r="AD989" s="56">
        <f>INDEX(Assumptions!$B$14:$B$16,MATCH($R989,Assumptions!$A$14:$A$16,0))</f>
        <v>0.18</v>
      </c>
      <c r="AE989" s="56">
        <f>INDEX(Assumptions!$C$14:$C$16,MATCH($R989,Assumptions!$A$14:$A$16,0))</f>
        <v>0.12</v>
      </c>
      <c r="AF989" s="49">
        <f t="shared" si="221"/>
        <v>0</v>
      </c>
      <c r="AG989" s="49">
        <f t="shared" si="222"/>
        <v>0</v>
      </c>
      <c r="AH989" s="55">
        <f t="shared" si="223"/>
        <v>0</v>
      </c>
    </row>
    <row r="990" spans="1:34" x14ac:dyDescent="0.2">
      <c r="A990" s="48" t="s">
        <v>935</v>
      </c>
      <c r="B990" s="48">
        <v>3</v>
      </c>
      <c r="C990" s="48" t="s">
        <v>936</v>
      </c>
      <c r="D990" s="48" t="s">
        <v>844</v>
      </c>
      <c r="E990" s="48" t="s">
        <v>427</v>
      </c>
      <c r="F990" s="48" t="s">
        <v>297</v>
      </c>
      <c r="G990" s="48" t="s">
        <v>302</v>
      </c>
      <c r="H990" s="48" t="s">
        <v>66</v>
      </c>
      <c r="I990" s="48" t="s">
        <v>177</v>
      </c>
      <c r="J990" s="49">
        <v>40</v>
      </c>
      <c r="K990" s="50">
        <v>75</v>
      </c>
      <c r="L990" s="50">
        <v>69.540000000000006</v>
      </c>
      <c r="M990" s="48" t="s">
        <v>276</v>
      </c>
      <c r="N990" s="51">
        <v>0.92</v>
      </c>
      <c r="O990" s="51">
        <v>0.91820000000000002</v>
      </c>
      <c r="P990" s="52">
        <v>49</v>
      </c>
      <c r="Q990" s="52">
        <v>49</v>
      </c>
      <c r="R990" s="53" t="str">
        <f>INDEX(SKU_Master!$D$5:$D$34,MATCH($I990,SKU_Master!$A$5:$A$34,0))</f>
        <v>Accessory</v>
      </c>
      <c r="S990" s="54">
        <f t="shared" si="210"/>
        <v>7.2799999999999865E-2</v>
      </c>
      <c r="T990" s="55">
        <f t="shared" si="211"/>
        <v>3260.869565217391</v>
      </c>
      <c r="U990" s="55">
        <f t="shared" si="212"/>
        <v>3023.4782608695655</v>
      </c>
      <c r="V990" s="55">
        <f t="shared" si="213"/>
        <v>-237.39130434782555</v>
      </c>
      <c r="W990" s="55">
        <f t="shared" si="214"/>
        <v>3029.4053583097366</v>
      </c>
      <c r="X990" s="55">
        <f t="shared" si="215"/>
        <v>5.9270974401711101</v>
      </c>
      <c r="Y990" s="55">
        <f t="shared" si="216"/>
        <v>1960</v>
      </c>
      <c r="Z990" s="55">
        <f t="shared" si="217"/>
        <v>1960</v>
      </c>
      <c r="AA990" s="55">
        <f t="shared" si="218"/>
        <v>0</v>
      </c>
      <c r="AB990" s="55">
        <f t="shared" si="219"/>
        <v>1069.4053583097366</v>
      </c>
      <c r="AC990" s="54">
        <f t="shared" si="220"/>
        <v>0.35300834052343977</v>
      </c>
      <c r="AD990" s="56">
        <f>INDEX(Assumptions!$B$14:$B$16,MATCH($R990,Assumptions!$A$14:$A$16,0))</f>
        <v>0.32</v>
      </c>
      <c r="AE990" s="56">
        <f>INDEX(Assumptions!$C$14:$C$16,MATCH($R990,Assumptions!$A$14:$A$16,0))</f>
        <v>0.22</v>
      </c>
      <c r="AF990" s="49">
        <f t="shared" si="221"/>
        <v>0</v>
      </c>
      <c r="AG990" s="49">
        <f t="shared" si="222"/>
        <v>0</v>
      </c>
      <c r="AH990" s="55">
        <f t="shared" si="223"/>
        <v>0</v>
      </c>
    </row>
    <row r="991" spans="1:34" x14ac:dyDescent="0.2">
      <c r="A991" s="48" t="s">
        <v>937</v>
      </c>
      <c r="B991" s="48">
        <v>1</v>
      </c>
      <c r="C991" s="48" t="s">
        <v>938</v>
      </c>
      <c r="D991" s="48" t="s">
        <v>844</v>
      </c>
      <c r="E991" s="48" t="s">
        <v>309</v>
      </c>
      <c r="F991" s="48" t="s">
        <v>280</v>
      </c>
      <c r="G991" s="48" t="s">
        <v>298</v>
      </c>
      <c r="H991" s="48" t="s">
        <v>70</v>
      </c>
      <c r="I991" s="48" t="s">
        <v>113</v>
      </c>
      <c r="J991" s="49">
        <v>23</v>
      </c>
      <c r="K991" s="50">
        <v>167790</v>
      </c>
      <c r="L991" s="50">
        <v>161093.76000000001</v>
      </c>
      <c r="M991" s="48" t="s">
        <v>276</v>
      </c>
      <c r="N991" s="51">
        <v>83.5</v>
      </c>
      <c r="O991" s="51">
        <v>84.521799999999999</v>
      </c>
      <c r="P991" s="52">
        <v>1683.15</v>
      </c>
      <c r="Q991" s="52">
        <v>1703.15</v>
      </c>
      <c r="R991" s="53" t="str">
        <f>INDEX(SKU_Master!$D$5:$D$34,MATCH($I991,SKU_Master!$A$5:$A$34,0))</f>
        <v>Laptop</v>
      </c>
      <c r="S991" s="54">
        <f t="shared" si="210"/>
        <v>3.9908456999821151E-2</v>
      </c>
      <c r="T991" s="55">
        <f t="shared" si="211"/>
        <v>46217.604790419158</v>
      </c>
      <c r="U991" s="55">
        <f t="shared" si="212"/>
        <v>44373.13149700599</v>
      </c>
      <c r="V991" s="55">
        <f t="shared" si="213"/>
        <v>-1844.473293413168</v>
      </c>
      <c r="W991" s="55">
        <f t="shared" si="214"/>
        <v>43836.696331597297</v>
      </c>
      <c r="X991" s="55">
        <f t="shared" si="215"/>
        <v>-536.43516540869314</v>
      </c>
      <c r="Y991" s="55">
        <f t="shared" si="216"/>
        <v>38712.450000000004</v>
      </c>
      <c r="Z991" s="55">
        <f t="shared" si="217"/>
        <v>39172.450000000004</v>
      </c>
      <c r="AA991" s="55">
        <f t="shared" si="218"/>
        <v>-460</v>
      </c>
      <c r="AB991" s="55">
        <f t="shared" si="219"/>
        <v>4664.2463315972927</v>
      </c>
      <c r="AC991" s="54">
        <f t="shared" si="220"/>
        <v>0.10640049825641912</v>
      </c>
      <c r="AD991" s="56">
        <f>INDEX(Assumptions!$B$14:$B$16,MATCH($R991,Assumptions!$A$14:$A$16,0))</f>
        <v>0.12</v>
      </c>
      <c r="AE991" s="56">
        <f>INDEX(Assumptions!$C$14:$C$16,MATCH($R991,Assumptions!$A$14:$A$16,0))</f>
        <v>0.08</v>
      </c>
      <c r="AF991" s="49">
        <f t="shared" si="221"/>
        <v>0</v>
      </c>
      <c r="AG991" s="49">
        <f t="shared" si="222"/>
        <v>0</v>
      </c>
      <c r="AH991" s="55">
        <f t="shared" si="223"/>
        <v>596.1572281943827</v>
      </c>
    </row>
    <row r="992" spans="1:34" x14ac:dyDescent="0.2">
      <c r="A992" s="48" t="s">
        <v>937</v>
      </c>
      <c r="B992" s="48">
        <v>2</v>
      </c>
      <c r="C992" s="48" t="s">
        <v>938</v>
      </c>
      <c r="D992" s="48" t="s">
        <v>844</v>
      </c>
      <c r="E992" s="48" t="s">
        <v>309</v>
      </c>
      <c r="F992" s="48" t="s">
        <v>280</v>
      </c>
      <c r="G992" s="48" t="s">
        <v>298</v>
      </c>
      <c r="H992" s="48" t="s">
        <v>70</v>
      </c>
      <c r="I992" s="48" t="s">
        <v>138</v>
      </c>
      <c r="J992" s="49">
        <v>21</v>
      </c>
      <c r="K992" s="50">
        <v>47515</v>
      </c>
      <c r="L992" s="50">
        <v>46374.29</v>
      </c>
      <c r="M992" s="48" t="s">
        <v>276</v>
      </c>
      <c r="N992" s="51">
        <v>83.5</v>
      </c>
      <c r="O992" s="51">
        <v>84.521799999999999</v>
      </c>
      <c r="P992" s="52">
        <v>439.85</v>
      </c>
      <c r="Q992" s="52">
        <v>459.85</v>
      </c>
      <c r="R992" s="53" t="str">
        <f>INDEX(SKU_Master!$D$5:$D$34,MATCH($I992,SKU_Master!$A$5:$A$34,0))</f>
        <v>Monitor</v>
      </c>
      <c r="S992" s="54">
        <f t="shared" si="210"/>
        <v>2.4007366094917382E-2</v>
      </c>
      <c r="T992" s="55">
        <f t="shared" si="211"/>
        <v>11949.880239520959</v>
      </c>
      <c r="U992" s="55">
        <f t="shared" si="212"/>
        <v>11662.995089820359</v>
      </c>
      <c r="V992" s="55">
        <f t="shared" si="213"/>
        <v>-286.88514970059987</v>
      </c>
      <c r="W992" s="55">
        <f t="shared" si="214"/>
        <v>11521.998939918458</v>
      </c>
      <c r="X992" s="55">
        <f t="shared" si="215"/>
        <v>-140.99614990190094</v>
      </c>
      <c r="Y992" s="55">
        <f t="shared" si="216"/>
        <v>9236.85</v>
      </c>
      <c r="Z992" s="55">
        <f t="shared" si="217"/>
        <v>9656.85</v>
      </c>
      <c r="AA992" s="55">
        <f t="shared" si="218"/>
        <v>-420</v>
      </c>
      <c r="AB992" s="55">
        <f t="shared" si="219"/>
        <v>1865.1489399184575</v>
      </c>
      <c r="AC992" s="54">
        <f t="shared" si="220"/>
        <v>0.16187720113882056</v>
      </c>
      <c r="AD992" s="56">
        <f>INDEX(Assumptions!$B$14:$B$16,MATCH($R992,Assumptions!$A$14:$A$16,0))</f>
        <v>0.18</v>
      </c>
      <c r="AE992" s="56">
        <f>INDEX(Assumptions!$C$14:$C$16,MATCH($R992,Assumptions!$A$14:$A$16,0))</f>
        <v>0.12</v>
      </c>
      <c r="AF992" s="49">
        <f t="shared" si="221"/>
        <v>0</v>
      </c>
      <c r="AG992" s="49">
        <f t="shared" si="222"/>
        <v>0</v>
      </c>
      <c r="AH992" s="55">
        <f t="shared" si="223"/>
        <v>208.81086926686476</v>
      </c>
    </row>
    <row r="993" spans="1:34" x14ac:dyDescent="0.2">
      <c r="A993" s="48" t="s">
        <v>937</v>
      </c>
      <c r="B993" s="48">
        <v>3</v>
      </c>
      <c r="C993" s="48" t="s">
        <v>938</v>
      </c>
      <c r="D993" s="48" t="s">
        <v>844</v>
      </c>
      <c r="E993" s="48" t="s">
        <v>309</v>
      </c>
      <c r="F993" s="48" t="s">
        <v>280</v>
      </c>
      <c r="G993" s="48" t="s">
        <v>298</v>
      </c>
      <c r="H993" s="48" t="s">
        <v>70</v>
      </c>
      <c r="I993" s="48" t="s">
        <v>161</v>
      </c>
      <c r="J993" s="49">
        <v>18</v>
      </c>
      <c r="K993" s="50">
        <v>12195</v>
      </c>
      <c r="L993" s="50">
        <v>11741.95</v>
      </c>
      <c r="M993" s="48" t="s">
        <v>276</v>
      </c>
      <c r="N993" s="51">
        <v>83.5</v>
      </c>
      <c r="O993" s="51">
        <v>84.521799999999999</v>
      </c>
      <c r="P993" s="52">
        <v>92.7</v>
      </c>
      <c r="Q993" s="52">
        <v>97.7</v>
      </c>
      <c r="R993" s="53" t="str">
        <f>INDEX(SKU_Master!$D$5:$D$34,MATCH($I993,SKU_Master!$A$5:$A$34,0))</f>
        <v>Accessory</v>
      </c>
      <c r="S993" s="54">
        <f t="shared" si="210"/>
        <v>3.7150471504714955E-2</v>
      </c>
      <c r="T993" s="55">
        <f t="shared" si="211"/>
        <v>2628.8622754491016</v>
      </c>
      <c r="U993" s="55">
        <f t="shared" si="212"/>
        <v>2531.1988023952094</v>
      </c>
      <c r="V993" s="55">
        <f t="shared" si="213"/>
        <v>-97.663473053892176</v>
      </c>
      <c r="W993" s="55">
        <f t="shared" si="214"/>
        <v>2500.5986621203051</v>
      </c>
      <c r="X993" s="55">
        <f t="shared" si="215"/>
        <v>-30.600140274904334</v>
      </c>
      <c r="Y993" s="55">
        <f t="shared" si="216"/>
        <v>1668.6000000000001</v>
      </c>
      <c r="Z993" s="55">
        <f t="shared" si="217"/>
        <v>1758.6000000000001</v>
      </c>
      <c r="AA993" s="55">
        <f t="shared" si="218"/>
        <v>-90</v>
      </c>
      <c r="AB993" s="55">
        <f t="shared" si="219"/>
        <v>741.99866212030497</v>
      </c>
      <c r="AC993" s="54">
        <f t="shared" si="220"/>
        <v>0.29672840882476925</v>
      </c>
      <c r="AD993" s="56">
        <f>INDEX(Assumptions!$B$14:$B$16,MATCH($R993,Assumptions!$A$14:$A$16,0))</f>
        <v>0.32</v>
      </c>
      <c r="AE993" s="56">
        <f>INDEX(Assumptions!$C$14:$C$16,MATCH($R993,Assumptions!$A$14:$A$16,0))</f>
        <v>0.22</v>
      </c>
      <c r="AF993" s="49">
        <f t="shared" si="221"/>
        <v>0</v>
      </c>
      <c r="AG993" s="49">
        <f t="shared" si="222"/>
        <v>0</v>
      </c>
      <c r="AH993" s="55">
        <f t="shared" si="223"/>
        <v>58.192909758192627</v>
      </c>
    </row>
    <row r="994" spans="1:34" x14ac:dyDescent="0.2">
      <c r="A994" s="48" t="s">
        <v>939</v>
      </c>
      <c r="B994" s="48">
        <v>1</v>
      </c>
      <c r="C994" s="48" t="s">
        <v>868</v>
      </c>
      <c r="D994" s="48" t="s">
        <v>844</v>
      </c>
      <c r="E994" s="48" t="s">
        <v>279</v>
      </c>
      <c r="F994" s="48" t="s">
        <v>280</v>
      </c>
      <c r="G994" s="48" t="s">
        <v>281</v>
      </c>
      <c r="H994" s="48" t="s">
        <v>64</v>
      </c>
      <c r="I994" s="48" t="s">
        <v>93</v>
      </c>
      <c r="J994" s="49">
        <v>26</v>
      </c>
      <c r="K994" s="50">
        <v>1145</v>
      </c>
      <c r="L994" s="50">
        <v>1121.6500000000001</v>
      </c>
      <c r="M994" s="48" t="s">
        <v>276</v>
      </c>
      <c r="N994" s="51">
        <v>0.79</v>
      </c>
      <c r="O994" s="51">
        <v>0.79600000000000004</v>
      </c>
      <c r="P994" s="52">
        <v>1210.2</v>
      </c>
      <c r="Q994" s="52">
        <v>1210.2</v>
      </c>
      <c r="R994" s="53" t="str">
        <f>INDEX(SKU_Master!$D$5:$D$34,MATCH($I994,SKU_Master!$A$5:$A$34,0))</f>
        <v>Laptop</v>
      </c>
      <c r="S994" s="54">
        <f t="shared" si="210"/>
        <v>2.0393013100436619E-2</v>
      </c>
      <c r="T994" s="55">
        <f t="shared" si="211"/>
        <v>37683.544303797469</v>
      </c>
      <c r="U994" s="55">
        <f t="shared" si="212"/>
        <v>36915.063291139239</v>
      </c>
      <c r="V994" s="55">
        <f t="shared" si="213"/>
        <v>-768.48101265823061</v>
      </c>
      <c r="W994" s="55">
        <f t="shared" si="214"/>
        <v>36636.809045226131</v>
      </c>
      <c r="X994" s="55">
        <f t="shared" si="215"/>
        <v>-278.2542459131073</v>
      </c>
      <c r="Y994" s="55">
        <f t="shared" si="216"/>
        <v>31465.200000000001</v>
      </c>
      <c r="Z994" s="55">
        <f t="shared" si="217"/>
        <v>31465.200000000001</v>
      </c>
      <c r="AA994" s="55">
        <f t="shared" si="218"/>
        <v>0</v>
      </c>
      <c r="AB994" s="55">
        <f t="shared" si="219"/>
        <v>5171.6090452261305</v>
      </c>
      <c r="AC994" s="54">
        <f t="shared" si="220"/>
        <v>0.14115882851156777</v>
      </c>
      <c r="AD994" s="56">
        <f>INDEX(Assumptions!$B$14:$B$16,MATCH($R994,Assumptions!$A$14:$A$16,0))</f>
        <v>0.12</v>
      </c>
      <c r="AE994" s="56">
        <f>INDEX(Assumptions!$C$14:$C$16,MATCH($R994,Assumptions!$A$14:$A$16,0))</f>
        <v>0.08</v>
      </c>
      <c r="AF994" s="49">
        <f t="shared" si="221"/>
        <v>0</v>
      </c>
      <c r="AG994" s="49">
        <f t="shared" si="222"/>
        <v>0</v>
      </c>
      <c r="AH994" s="55">
        <f t="shared" si="223"/>
        <v>0</v>
      </c>
    </row>
    <row r="995" spans="1:34" x14ac:dyDescent="0.2">
      <c r="A995" s="48" t="s">
        <v>939</v>
      </c>
      <c r="B995" s="48">
        <v>2</v>
      </c>
      <c r="C995" s="48" t="s">
        <v>868</v>
      </c>
      <c r="D995" s="48" t="s">
        <v>844</v>
      </c>
      <c r="E995" s="48" t="s">
        <v>279</v>
      </c>
      <c r="F995" s="48" t="s">
        <v>280</v>
      </c>
      <c r="G995" s="48" t="s">
        <v>281</v>
      </c>
      <c r="H995" s="48" t="s">
        <v>64</v>
      </c>
      <c r="I995" s="48" t="s">
        <v>135</v>
      </c>
      <c r="J995" s="49">
        <v>19</v>
      </c>
      <c r="K995" s="50">
        <v>225</v>
      </c>
      <c r="L995" s="50">
        <v>221.43</v>
      </c>
      <c r="M995" s="48" t="s">
        <v>276</v>
      </c>
      <c r="N995" s="51">
        <v>0.79</v>
      </c>
      <c r="O995" s="51">
        <v>0.79600000000000004</v>
      </c>
      <c r="P995" s="52">
        <v>216.7</v>
      </c>
      <c r="Q995" s="52">
        <v>216.7</v>
      </c>
      <c r="R995" s="53" t="str">
        <f>INDEX(SKU_Master!$D$5:$D$34,MATCH($I995,SKU_Master!$A$5:$A$34,0))</f>
        <v>Monitor</v>
      </c>
      <c r="S995" s="54">
        <f t="shared" si="210"/>
        <v>1.5866666666666585E-2</v>
      </c>
      <c r="T995" s="55">
        <f t="shared" si="211"/>
        <v>5411.3924050632913</v>
      </c>
      <c r="U995" s="55">
        <f t="shared" si="212"/>
        <v>5325.5316455696202</v>
      </c>
      <c r="V995" s="55">
        <f t="shared" si="213"/>
        <v>-85.860759493671139</v>
      </c>
      <c r="W995" s="55">
        <f t="shared" si="214"/>
        <v>5285.3894472361808</v>
      </c>
      <c r="X995" s="55">
        <f t="shared" si="215"/>
        <v>-40.14219833343941</v>
      </c>
      <c r="Y995" s="55">
        <f t="shared" si="216"/>
        <v>4117.3</v>
      </c>
      <c r="Z995" s="55">
        <f t="shared" si="217"/>
        <v>4117.3</v>
      </c>
      <c r="AA995" s="55">
        <f t="shared" si="218"/>
        <v>0</v>
      </c>
      <c r="AB995" s="55">
        <f t="shared" si="219"/>
        <v>1168.0894472361806</v>
      </c>
      <c r="AC995" s="54">
        <f t="shared" si="220"/>
        <v>0.22100347739691997</v>
      </c>
      <c r="AD995" s="56">
        <f>INDEX(Assumptions!$B$14:$B$16,MATCH($R995,Assumptions!$A$14:$A$16,0))</f>
        <v>0.18</v>
      </c>
      <c r="AE995" s="56">
        <f>INDEX(Assumptions!$C$14:$C$16,MATCH($R995,Assumptions!$A$14:$A$16,0))</f>
        <v>0.12</v>
      </c>
      <c r="AF995" s="49">
        <f t="shared" si="221"/>
        <v>0</v>
      </c>
      <c r="AG995" s="49">
        <f t="shared" si="222"/>
        <v>0</v>
      </c>
      <c r="AH995" s="55">
        <f t="shared" si="223"/>
        <v>0</v>
      </c>
    </row>
    <row r="996" spans="1:34" x14ac:dyDescent="0.2">
      <c r="A996" s="48" t="s">
        <v>939</v>
      </c>
      <c r="B996" s="48">
        <v>3</v>
      </c>
      <c r="C996" s="48" t="s">
        <v>868</v>
      </c>
      <c r="D996" s="48" t="s">
        <v>844</v>
      </c>
      <c r="E996" s="48" t="s">
        <v>279</v>
      </c>
      <c r="F996" s="48" t="s">
        <v>280</v>
      </c>
      <c r="G996" s="48" t="s">
        <v>281</v>
      </c>
      <c r="H996" s="48" t="s">
        <v>64</v>
      </c>
      <c r="I996" s="48" t="s">
        <v>157</v>
      </c>
      <c r="J996" s="49">
        <v>26</v>
      </c>
      <c r="K996" s="50">
        <v>115</v>
      </c>
      <c r="L996" s="50">
        <v>112.86</v>
      </c>
      <c r="M996" s="48" t="s">
        <v>276</v>
      </c>
      <c r="N996" s="51">
        <v>0.79</v>
      </c>
      <c r="O996" s="51">
        <v>0.79600000000000004</v>
      </c>
      <c r="P996" s="52">
        <v>92</v>
      </c>
      <c r="Q996" s="52">
        <v>92</v>
      </c>
      <c r="R996" s="53" t="str">
        <f>INDEX(SKU_Master!$D$5:$D$34,MATCH($I996,SKU_Master!$A$5:$A$34,0))</f>
        <v>Accessory</v>
      </c>
      <c r="S996" s="54">
        <f t="shared" si="210"/>
        <v>1.8608695652173934E-2</v>
      </c>
      <c r="T996" s="55">
        <f t="shared" si="211"/>
        <v>3784.8101265822784</v>
      </c>
      <c r="U996" s="55">
        <f t="shared" si="212"/>
        <v>3714.3797468354433</v>
      </c>
      <c r="V996" s="55">
        <f t="shared" si="213"/>
        <v>-70.430379746835115</v>
      </c>
      <c r="W996" s="55">
        <f t="shared" si="214"/>
        <v>3686.3819095477388</v>
      </c>
      <c r="X996" s="55">
        <f t="shared" si="215"/>
        <v>-27.997837287704442</v>
      </c>
      <c r="Y996" s="55">
        <f t="shared" si="216"/>
        <v>2392</v>
      </c>
      <c r="Z996" s="55">
        <f t="shared" si="217"/>
        <v>2392</v>
      </c>
      <c r="AA996" s="55">
        <f t="shared" si="218"/>
        <v>0</v>
      </c>
      <c r="AB996" s="55">
        <f t="shared" si="219"/>
        <v>1294.3819095477388</v>
      </c>
      <c r="AC996" s="54">
        <f t="shared" si="220"/>
        <v>0.35112528796739323</v>
      </c>
      <c r="AD996" s="56">
        <f>INDEX(Assumptions!$B$14:$B$16,MATCH($R996,Assumptions!$A$14:$A$16,0))</f>
        <v>0.32</v>
      </c>
      <c r="AE996" s="56">
        <f>INDEX(Assumptions!$C$14:$C$16,MATCH($R996,Assumptions!$A$14:$A$16,0))</f>
        <v>0.22</v>
      </c>
      <c r="AF996" s="49">
        <f t="shared" si="221"/>
        <v>0</v>
      </c>
      <c r="AG996" s="49">
        <f t="shared" si="222"/>
        <v>0</v>
      </c>
      <c r="AH996" s="55">
        <f t="shared" si="223"/>
        <v>0</v>
      </c>
    </row>
    <row r="997" spans="1:34" x14ac:dyDescent="0.2">
      <c r="A997" s="48" t="s">
        <v>940</v>
      </c>
      <c r="B997" s="48">
        <v>1</v>
      </c>
      <c r="C997" s="48" t="s">
        <v>931</v>
      </c>
      <c r="D997" s="48" t="s">
        <v>844</v>
      </c>
      <c r="E997" s="48" t="s">
        <v>358</v>
      </c>
      <c r="F997" s="48" t="s">
        <v>274</v>
      </c>
      <c r="G997" s="48" t="s">
        <v>288</v>
      </c>
      <c r="H997" s="48" t="s">
        <v>62</v>
      </c>
      <c r="I997" s="48" t="s">
        <v>98</v>
      </c>
      <c r="J997" s="49">
        <v>6</v>
      </c>
      <c r="K997" s="50">
        <v>2085</v>
      </c>
      <c r="L997" s="50">
        <v>2070.62</v>
      </c>
      <c r="M997" s="48" t="s">
        <v>276</v>
      </c>
      <c r="N997" s="51">
        <v>1</v>
      </c>
      <c r="O997" s="51">
        <v>1</v>
      </c>
      <c r="P997" s="52">
        <v>1780.2</v>
      </c>
      <c r="Q997" s="52">
        <v>1780.2</v>
      </c>
      <c r="R997" s="53" t="str">
        <f>INDEX(SKU_Master!$D$5:$D$34,MATCH($I997,SKU_Master!$A$5:$A$34,0))</f>
        <v>Laptop</v>
      </c>
      <c r="S997" s="54">
        <f t="shared" si="210"/>
        <v>6.8968824940048856E-3</v>
      </c>
      <c r="T997" s="55">
        <f t="shared" si="211"/>
        <v>12510</v>
      </c>
      <c r="U997" s="55">
        <f t="shared" si="212"/>
        <v>12423.72</v>
      </c>
      <c r="V997" s="55">
        <f t="shared" si="213"/>
        <v>-86.280000000000655</v>
      </c>
      <c r="W997" s="55">
        <f t="shared" si="214"/>
        <v>12423.72</v>
      </c>
      <c r="X997" s="55">
        <f t="shared" si="215"/>
        <v>0</v>
      </c>
      <c r="Y997" s="55">
        <f t="shared" si="216"/>
        <v>10681.2</v>
      </c>
      <c r="Z997" s="55">
        <f t="shared" si="217"/>
        <v>10681.2</v>
      </c>
      <c r="AA997" s="55">
        <f t="shared" si="218"/>
        <v>0</v>
      </c>
      <c r="AB997" s="55">
        <f t="shared" si="219"/>
        <v>1742.5199999999986</v>
      </c>
      <c r="AC997" s="54">
        <f t="shared" si="220"/>
        <v>0.14025750741323845</v>
      </c>
      <c r="AD997" s="56">
        <f>INDEX(Assumptions!$B$14:$B$16,MATCH($R997,Assumptions!$A$14:$A$16,0))</f>
        <v>0.12</v>
      </c>
      <c r="AE997" s="56">
        <f>INDEX(Assumptions!$C$14:$C$16,MATCH($R997,Assumptions!$A$14:$A$16,0))</f>
        <v>0.08</v>
      </c>
      <c r="AF997" s="49">
        <f t="shared" si="221"/>
        <v>0</v>
      </c>
      <c r="AG997" s="49">
        <f t="shared" si="222"/>
        <v>0</v>
      </c>
      <c r="AH997" s="55">
        <f t="shared" si="223"/>
        <v>0</v>
      </c>
    </row>
    <row r="998" spans="1:34" x14ac:dyDescent="0.2">
      <c r="A998" s="48" t="s">
        <v>940</v>
      </c>
      <c r="B998" s="48">
        <v>2</v>
      </c>
      <c r="C998" s="48" t="s">
        <v>931</v>
      </c>
      <c r="D998" s="48" t="s">
        <v>844</v>
      </c>
      <c r="E998" s="48" t="s">
        <v>358</v>
      </c>
      <c r="F998" s="48" t="s">
        <v>274</v>
      </c>
      <c r="G998" s="48" t="s">
        <v>288</v>
      </c>
      <c r="H998" s="48" t="s">
        <v>62</v>
      </c>
      <c r="I998" s="48" t="s">
        <v>164</v>
      </c>
      <c r="J998" s="49">
        <v>4</v>
      </c>
      <c r="K998" s="50">
        <v>190</v>
      </c>
      <c r="L998" s="50">
        <v>189.44</v>
      </c>
      <c r="M998" s="48" t="s">
        <v>276</v>
      </c>
      <c r="N998" s="51">
        <v>1</v>
      </c>
      <c r="O998" s="51">
        <v>1</v>
      </c>
      <c r="P998" s="52">
        <v>121</v>
      </c>
      <c r="Q998" s="52">
        <v>121</v>
      </c>
      <c r="R998" s="53" t="str">
        <f>INDEX(SKU_Master!$D$5:$D$34,MATCH($I998,SKU_Master!$A$5:$A$34,0))</f>
        <v>Accessory</v>
      </c>
      <c r="S998" s="54">
        <f t="shared" si="210"/>
        <v>2.9473684210526985E-3</v>
      </c>
      <c r="T998" s="55">
        <f t="shared" si="211"/>
        <v>760</v>
      </c>
      <c r="U998" s="55">
        <f t="shared" si="212"/>
        <v>757.76</v>
      </c>
      <c r="V998" s="55">
        <f t="shared" si="213"/>
        <v>-2.2400000000000091</v>
      </c>
      <c r="W998" s="55">
        <f t="shared" si="214"/>
        <v>757.76</v>
      </c>
      <c r="X998" s="55">
        <f t="shared" si="215"/>
        <v>0</v>
      </c>
      <c r="Y998" s="55">
        <f t="shared" si="216"/>
        <v>484</v>
      </c>
      <c r="Z998" s="55">
        <f t="shared" si="217"/>
        <v>484</v>
      </c>
      <c r="AA998" s="55">
        <f t="shared" si="218"/>
        <v>0</v>
      </c>
      <c r="AB998" s="55">
        <f t="shared" si="219"/>
        <v>273.76</v>
      </c>
      <c r="AC998" s="54">
        <f t="shared" si="220"/>
        <v>0.36127533783783783</v>
      </c>
      <c r="AD998" s="56">
        <f>INDEX(Assumptions!$B$14:$B$16,MATCH($R998,Assumptions!$A$14:$A$16,0))</f>
        <v>0.32</v>
      </c>
      <c r="AE998" s="56">
        <f>INDEX(Assumptions!$C$14:$C$16,MATCH($R998,Assumptions!$A$14:$A$16,0))</f>
        <v>0.22</v>
      </c>
      <c r="AF998" s="49">
        <f t="shared" si="221"/>
        <v>0</v>
      </c>
      <c r="AG998" s="49">
        <f t="shared" si="222"/>
        <v>0</v>
      </c>
      <c r="AH998" s="55">
        <f t="shared" si="223"/>
        <v>0</v>
      </c>
    </row>
    <row r="999" spans="1:34" x14ac:dyDescent="0.2">
      <c r="A999" s="48" t="s">
        <v>941</v>
      </c>
      <c r="B999" s="48">
        <v>1</v>
      </c>
      <c r="C999" s="48" t="s">
        <v>904</v>
      </c>
      <c r="D999" s="48" t="s">
        <v>844</v>
      </c>
      <c r="E999" s="48" t="s">
        <v>410</v>
      </c>
      <c r="F999" s="48" t="s">
        <v>297</v>
      </c>
      <c r="G999" s="48" t="s">
        <v>302</v>
      </c>
      <c r="H999" s="48" t="s">
        <v>64</v>
      </c>
      <c r="I999" s="48" t="s">
        <v>93</v>
      </c>
      <c r="J999" s="49">
        <v>77</v>
      </c>
      <c r="K999" s="50">
        <v>1145</v>
      </c>
      <c r="L999" s="50">
        <v>1112.46</v>
      </c>
      <c r="M999" s="48" t="s">
        <v>276</v>
      </c>
      <c r="N999" s="51">
        <v>0.79</v>
      </c>
      <c r="O999" s="51">
        <v>0.79600000000000004</v>
      </c>
      <c r="P999" s="52">
        <v>1210.2</v>
      </c>
      <c r="Q999" s="52">
        <v>1210.2</v>
      </c>
      <c r="R999" s="53" t="str">
        <f>INDEX(SKU_Master!$D$5:$D$34,MATCH($I999,SKU_Master!$A$5:$A$34,0))</f>
        <v>Laptop</v>
      </c>
      <c r="S999" s="54">
        <f t="shared" si="210"/>
        <v>2.8419213973799096E-2</v>
      </c>
      <c r="T999" s="55">
        <f t="shared" si="211"/>
        <v>111601.2658227848</v>
      </c>
      <c r="U999" s="55">
        <f t="shared" si="212"/>
        <v>108429.64556962025</v>
      </c>
      <c r="V999" s="55">
        <f t="shared" si="213"/>
        <v>-3171.620253164554</v>
      </c>
      <c r="W999" s="55">
        <f t="shared" si="214"/>
        <v>107612.33668341707</v>
      </c>
      <c r="X999" s="55">
        <f t="shared" si="215"/>
        <v>-817.30888620317273</v>
      </c>
      <c r="Y999" s="55">
        <f t="shared" si="216"/>
        <v>93185.400000000009</v>
      </c>
      <c r="Z999" s="55">
        <f t="shared" si="217"/>
        <v>93185.400000000009</v>
      </c>
      <c r="AA999" s="55">
        <f t="shared" si="218"/>
        <v>0</v>
      </c>
      <c r="AB999" s="55">
        <f t="shared" si="219"/>
        <v>14426.936683417065</v>
      </c>
      <c r="AC999" s="54">
        <f t="shared" si="220"/>
        <v>0.13406396634485718</v>
      </c>
      <c r="AD999" s="56">
        <f>INDEX(Assumptions!$B$14:$B$16,MATCH($R999,Assumptions!$A$14:$A$16,0))</f>
        <v>0.12</v>
      </c>
      <c r="AE999" s="56">
        <f>INDEX(Assumptions!$C$14:$C$16,MATCH($R999,Assumptions!$A$14:$A$16,0))</f>
        <v>0.08</v>
      </c>
      <c r="AF999" s="49">
        <f t="shared" si="221"/>
        <v>0</v>
      </c>
      <c r="AG999" s="49">
        <f t="shared" si="222"/>
        <v>0</v>
      </c>
      <c r="AH999" s="55">
        <f t="shared" si="223"/>
        <v>0</v>
      </c>
    </row>
    <row r="1000" spans="1:34" x14ac:dyDescent="0.2">
      <c r="A1000" s="48" t="s">
        <v>941</v>
      </c>
      <c r="B1000" s="48">
        <v>2</v>
      </c>
      <c r="C1000" s="48" t="s">
        <v>904</v>
      </c>
      <c r="D1000" s="48" t="s">
        <v>844</v>
      </c>
      <c r="E1000" s="48" t="s">
        <v>410</v>
      </c>
      <c r="F1000" s="48" t="s">
        <v>297</v>
      </c>
      <c r="G1000" s="48" t="s">
        <v>302</v>
      </c>
      <c r="H1000" s="48" t="s">
        <v>64</v>
      </c>
      <c r="I1000" s="48" t="s">
        <v>135</v>
      </c>
      <c r="J1000" s="49">
        <v>68</v>
      </c>
      <c r="K1000" s="50">
        <v>225</v>
      </c>
      <c r="L1000" s="50">
        <v>207.51</v>
      </c>
      <c r="M1000" s="48" t="s">
        <v>276</v>
      </c>
      <c r="N1000" s="51">
        <v>0.79</v>
      </c>
      <c r="O1000" s="51">
        <v>0.79600000000000004</v>
      </c>
      <c r="P1000" s="52">
        <v>216.7</v>
      </c>
      <c r="Q1000" s="52">
        <v>216.7</v>
      </c>
      <c r="R1000" s="53" t="str">
        <f>INDEX(SKU_Master!$D$5:$D$34,MATCH($I1000,SKU_Master!$A$5:$A$34,0))</f>
        <v>Monitor</v>
      </c>
      <c r="S1000" s="54">
        <f t="shared" si="210"/>
        <v>7.7733333333333321E-2</v>
      </c>
      <c r="T1000" s="55">
        <f t="shared" si="211"/>
        <v>19367.088607594935</v>
      </c>
      <c r="U1000" s="55">
        <f t="shared" si="212"/>
        <v>17861.620253164558</v>
      </c>
      <c r="V1000" s="55">
        <f t="shared" si="213"/>
        <v>-1505.4683544303771</v>
      </c>
      <c r="W1000" s="55">
        <f t="shared" si="214"/>
        <v>17726.984924623113</v>
      </c>
      <c r="X1000" s="55">
        <f t="shared" si="215"/>
        <v>-134.63532854144432</v>
      </c>
      <c r="Y1000" s="55">
        <f t="shared" si="216"/>
        <v>14735.599999999999</v>
      </c>
      <c r="Z1000" s="55">
        <f t="shared" si="217"/>
        <v>14735.599999999999</v>
      </c>
      <c r="AA1000" s="55">
        <f t="shared" si="218"/>
        <v>0</v>
      </c>
      <c r="AB1000" s="55">
        <f t="shared" si="219"/>
        <v>2991.3849246231148</v>
      </c>
      <c r="AC1000" s="54">
        <f t="shared" si="220"/>
        <v>0.1687475302395065</v>
      </c>
      <c r="AD1000" s="56">
        <f>INDEX(Assumptions!$B$14:$B$16,MATCH($R1000,Assumptions!$A$14:$A$16,0))</f>
        <v>0.18</v>
      </c>
      <c r="AE1000" s="56">
        <f>INDEX(Assumptions!$C$14:$C$16,MATCH($R1000,Assumptions!$A$14:$A$16,0))</f>
        <v>0.12</v>
      </c>
      <c r="AF1000" s="49">
        <f t="shared" si="221"/>
        <v>0</v>
      </c>
      <c r="AG1000" s="49">
        <f t="shared" si="222"/>
        <v>0</v>
      </c>
      <c r="AH1000" s="55">
        <f t="shared" si="223"/>
        <v>199.47236180904565</v>
      </c>
    </row>
    <row r="1001" spans="1:34" x14ac:dyDescent="0.2">
      <c r="A1001" s="48" t="s">
        <v>941</v>
      </c>
      <c r="B1001" s="48">
        <v>3</v>
      </c>
      <c r="C1001" s="48" t="s">
        <v>904</v>
      </c>
      <c r="D1001" s="48" t="s">
        <v>844</v>
      </c>
      <c r="E1001" s="48" t="s">
        <v>410</v>
      </c>
      <c r="F1001" s="48" t="s">
        <v>297</v>
      </c>
      <c r="G1001" s="48" t="s">
        <v>302</v>
      </c>
      <c r="H1001" s="48" t="s">
        <v>64</v>
      </c>
      <c r="I1001" s="48" t="s">
        <v>157</v>
      </c>
      <c r="J1001" s="49">
        <v>45</v>
      </c>
      <c r="K1001" s="50">
        <v>115</v>
      </c>
      <c r="L1001" s="50">
        <v>110.09</v>
      </c>
      <c r="M1001" s="48" t="s">
        <v>276</v>
      </c>
      <c r="N1001" s="51">
        <v>0.79</v>
      </c>
      <c r="O1001" s="51">
        <v>0.79600000000000004</v>
      </c>
      <c r="P1001" s="52">
        <v>92</v>
      </c>
      <c r="Q1001" s="52">
        <v>92</v>
      </c>
      <c r="R1001" s="53" t="str">
        <f>INDEX(SKU_Master!$D$5:$D$34,MATCH($I1001,SKU_Master!$A$5:$A$34,0))</f>
        <v>Accessory</v>
      </c>
      <c r="S1001" s="54">
        <f t="shared" si="210"/>
        <v>4.2695652173913023E-2</v>
      </c>
      <c r="T1001" s="55">
        <f t="shared" si="211"/>
        <v>6550.6329113924048</v>
      </c>
      <c r="U1001" s="55">
        <f t="shared" si="212"/>
        <v>6270.9493670886077</v>
      </c>
      <c r="V1001" s="55">
        <f t="shared" si="213"/>
        <v>-279.68354430379713</v>
      </c>
      <c r="W1001" s="55">
        <f t="shared" si="214"/>
        <v>6223.6809045226128</v>
      </c>
      <c r="X1001" s="55">
        <f t="shared" si="215"/>
        <v>-47.268462565994923</v>
      </c>
      <c r="Y1001" s="55">
        <f t="shared" si="216"/>
        <v>4140</v>
      </c>
      <c r="Z1001" s="55">
        <f t="shared" si="217"/>
        <v>4140</v>
      </c>
      <c r="AA1001" s="55">
        <f t="shared" si="218"/>
        <v>0</v>
      </c>
      <c r="AB1001" s="55">
        <f t="shared" si="219"/>
        <v>2083.6809045226128</v>
      </c>
      <c r="AC1001" s="54">
        <f t="shared" si="220"/>
        <v>0.3347988009810155</v>
      </c>
      <c r="AD1001" s="56">
        <f>INDEX(Assumptions!$B$14:$B$16,MATCH($R1001,Assumptions!$A$14:$A$16,0))</f>
        <v>0.32</v>
      </c>
      <c r="AE1001" s="56">
        <f>INDEX(Assumptions!$C$14:$C$16,MATCH($R1001,Assumptions!$A$14:$A$16,0))</f>
        <v>0.22</v>
      </c>
      <c r="AF1001" s="49">
        <f t="shared" si="221"/>
        <v>0</v>
      </c>
      <c r="AG1001" s="49">
        <f t="shared" si="222"/>
        <v>0</v>
      </c>
      <c r="AH1001" s="55">
        <f t="shared" si="223"/>
        <v>0</v>
      </c>
    </row>
    <row r="1002" spans="1:34" x14ac:dyDescent="0.2">
      <c r="A1002" s="48" t="s">
        <v>942</v>
      </c>
      <c r="B1002" s="48">
        <v>1</v>
      </c>
      <c r="C1002" s="48" t="s">
        <v>938</v>
      </c>
      <c r="D1002" s="48" t="s">
        <v>844</v>
      </c>
      <c r="E1002" s="48" t="s">
        <v>273</v>
      </c>
      <c r="F1002" s="48" t="s">
        <v>274</v>
      </c>
      <c r="G1002" s="48" t="s">
        <v>275</v>
      </c>
      <c r="H1002" s="48" t="s">
        <v>66</v>
      </c>
      <c r="I1002" s="48" t="s">
        <v>110</v>
      </c>
      <c r="J1002" s="49">
        <v>7</v>
      </c>
      <c r="K1002" s="50">
        <v>1115</v>
      </c>
      <c r="L1002" s="50">
        <v>1110.33</v>
      </c>
      <c r="M1002" s="48" t="s">
        <v>276</v>
      </c>
      <c r="N1002" s="51">
        <v>0.92</v>
      </c>
      <c r="O1002" s="51">
        <v>0.91820000000000002</v>
      </c>
      <c r="P1002" s="52">
        <v>1012.65</v>
      </c>
      <c r="Q1002" s="52">
        <v>1012.65</v>
      </c>
      <c r="R1002" s="53" t="str">
        <f>INDEX(SKU_Master!$D$5:$D$34,MATCH($I1002,SKU_Master!$A$5:$A$34,0))</f>
        <v>Laptop</v>
      </c>
      <c r="S1002" s="54">
        <f t="shared" si="210"/>
        <v>4.1883408071750061E-3</v>
      </c>
      <c r="T1002" s="55">
        <f t="shared" si="211"/>
        <v>8483.6956521739121</v>
      </c>
      <c r="U1002" s="55">
        <f t="shared" si="212"/>
        <v>8448.1630434782601</v>
      </c>
      <c r="V1002" s="55">
        <f t="shared" si="213"/>
        <v>-35.532608695652016</v>
      </c>
      <c r="W1002" s="55">
        <f t="shared" si="214"/>
        <v>8464.7244609017635</v>
      </c>
      <c r="X1002" s="55">
        <f t="shared" si="215"/>
        <v>16.561417423503372</v>
      </c>
      <c r="Y1002" s="55">
        <f t="shared" si="216"/>
        <v>7088.55</v>
      </c>
      <c r="Z1002" s="55">
        <f t="shared" si="217"/>
        <v>7088.55</v>
      </c>
      <c r="AA1002" s="55">
        <f t="shared" si="218"/>
        <v>0</v>
      </c>
      <c r="AB1002" s="55">
        <f t="shared" si="219"/>
        <v>1376.1744609017633</v>
      </c>
      <c r="AC1002" s="54">
        <f t="shared" si="220"/>
        <v>0.16257758504228462</v>
      </c>
      <c r="AD1002" s="56">
        <f>INDEX(Assumptions!$B$14:$B$16,MATCH($R1002,Assumptions!$A$14:$A$16,0))</f>
        <v>0.12</v>
      </c>
      <c r="AE1002" s="56">
        <f>INDEX(Assumptions!$C$14:$C$16,MATCH($R1002,Assumptions!$A$14:$A$16,0))</f>
        <v>0.08</v>
      </c>
      <c r="AF1002" s="49">
        <f t="shared" si="221"/>
        <v>0</v>
      </c>
      <c r="AG1002" s="49">
        <f t="shared" si="222"/>
        <v>0</v>
      </c>
      <c r="AH1002" s="55">
        <f t="shared" si="223"/>
        <v>0</v>
      </c>
    </row>
    <row r="1003" spans="1:34" x14ac:dyDescent="0.2">
      <c r="A1003" s="48" t="s">
        <v>942</v>
      </c>
      <c r="B1003" s="48">
        <v>2</v>
      </c>
      <c r="C1003" s="48" t="s">
        <v>938</v>
      </c>
      <c r="D1003" s="48" t="s">
        <v>844</v>
      </c>
      <c r="E1003" s="48" t="s">
        <v>273</v>
      </c>
      <c r="F1003" s="48" t="s">
        <v>274</v>
      </c>
      <c r="G1003" s="48" t="s">
        <v>275</v>
      </c>
      <c r="H1003" s="48" t="s">
        <v>66</v>
      </c>
      <c r="I1003" s="48" t="s">
        <v>135</v>
      </c>
      <c r="J1003" s="49">
        <v>7</v>
      </c>
      <c r="K1003" s="50">
        <v>255</v>
      </c>
      <c r="L1003" s="50">
        <v>253.54</v>
      </c>
      <c r="M1003" s="48" t="s">
        <v>276</v>
      </c>
      <c r="N1003" s="51">
        <v>0.92</v>
      </c>
      <c r="O1003" s="51">
        <v>0.91820000000000002</v>
      </c>
      <c r="P1003" s="52">
        <v>211.7</v>
      </c>
      <c r="Q1003" s="52">
        <v>211.7</v>
      </c>
      <c r="R1003" s="53" t="str">
        <f>INDEX(SKU_Master!$D$5:$D$34,MATCH($I1003,SKU_Master!$A$5:$A$34,0))</f>
        <v>Monitor</v>
      </c>
      <c r="S1003" s="54">
        <f t="shared" si="210"/>
        <v>5.7254901960784865E-3</v>
      </c>
      <c r="T1003" s="55">
        <f t="shared" si="211"/>
        <v>1940.2173913043478</v>
      </c>
      <c r="U1003" s="55">
        <f t="shared" si="212"/>
        <v>1929.1086956521738</v>
      </c>
      <c r="V1003" s="55">
        <f t="shared" si="213"/>
        <v>-11.108695652173992</v>
      </c>
      <c r="W1003" s="55">
        <f t="shared" si="214"/>
        <v>1932.8904378131126</v>
      </c>
      <c r="X1003" s="55">
        <f t="shared" si="215"/>
        <v>3.7817421609388475</v>
      </c>
      <c r="Y1003" s="55">
        <f t="shared" si="216"/>
        <v>1481.8999999999999</v>
      </c>
      <c r="Z1003" s="55">
        <f t="shared" si="217"/>
        <v>1481.8999999999999</v>
      </c>
      <c r="AA1003" s="55">
        <f t="shared" si="218"/>
        <v>0</v>
      </c>
      <c r="AB1003" s="55">
        <f t="shared" si="219"/>
        <v>450.99043781311275</v>
      </c>
      <c r="AC1003" s="54">
        <f t="shared" si="220"/>
        <v>0.23332436696379277</v>
      </c>
      <c r="AD1003" s="56">
        <f>INDEX(Assumptions!$B$14:$B$16,MATCH($R1003,Assumptions!$A$14:$A$16,0))</f>
        <v>0.18</v>
      </c>
      <c r="AE1003" s="56">
        <f>INDEX(Assumptions!$C$14:$C$16,MATCH($R1003,Assumptions!$A$14:$A$16,0))</f>
        <v>0.12</v>
      </c>
      <c r="AF1003" s="49">
        <f t="shared" si="221"/>
        <v>0</v>
      </c>
      <c r="AG1003" s="49">
        <f t="shared" si="222"/>
        <v>0</v>
      </c>
      <c r="AH1003" s="55">
        <f t="shared" si="223"/>
        <v>0</v>
      </c>
    </row>
    <row r="1004" spans="1:34" x14ac:dyDescent="0.2">
      <c r="A1004" s="48" t="s">
        <v>942</v>
      </c>
      <c r="B1004" s="48">
        <v>3</v>
      </c>
      <c r="C1004" s="48" t="s">
        <v>938</v>
      </c>
      <c r="D1004" s="48" t="s">
        <v>844</v>
      </c>
      <c r="E1004" s="48" t="s">
        <v>273</v>
      </c>
      <c r="F1004" s="48" t="s">
        <v>274</v>
      </c>
      <c r="G1004" s="48" t="s">
        <v>275</v>
      </c>
      <c r="H1004" s="48" t="s">
        <v>66</v>
      </c>
      <c r="I1004" s="48" t="s">
        <v>151</v>
      </c>
      <c r="J1004" s="49">
        <v>3</v>
      </c>
      <c r="K1004" s="50">
        <v>325</v>
      </c>
      <c r="L1004" s="50">
        <v>322.12</v>
      </c>
      <c r="M1004" s="48" t="s">
        <v>276</v>
      </c>
      <c r="N1004" s="51">
        <v>0.92</v>
      </c>
      <c r="O1004" s="51">
        <v>0.91820000000000002</v>
      </c>
      <c r="P1004" s="52">
        <v>221.7</v>
      </c>
      <c r="Q1004" s="52">
        <v>221.7</v>
      </c>
      <c r="R1004" s="53" t="str">
        <f>INDEX(SKU_Master!$D$5:$D$34,MATCH($I1004,SKU_Master!$A$5:$A$34,0))</f>
        <v>Accessory</v>
      </c>
      <c r="S1004" s="54">
        <f t="shared" si="210"/>
        <v>8.8615384615384762E-3</v>
      </c>
      <c r="T1004" s="55">
        <f t="shared" si="211"/>
        <v>1059.782608695652</v>
      </c>
      <c r="U1004" s="55">
        <f t="shared" si="212"/>
        <v>1050.391304347826</v>
      </c>
      <c r="V1004" s="55">
        <f t="shared" si="213"/>
        <v>-9.3913043478260079</v>
      </c>
      <c r="W1004" s="55">
        <f t="shared" si="214"/>
        <v>1052.4504465258115</v>
      </c>
      <c r="X1004" s="55">
        <f t="shared" si="215"/>
        <v>2.05914217798545</v>
      </c>
      <c r="Y1004" s="55">
        <f t="shared" si="216"/>
        <v>665.09999999999991</v>
      </c>
      <c r="Z1004" s="55">
        <f t="shared" si="217"/>
        <v>665.09999999999991</v>
      </c>
      <c r="AA1004" s="55">
        <f t="shared" si="218"/>
        <v>0</v>
      </c>
      <c r="AB1004" s="55">
        <f t="shared" si="219"/>
        <v>387.35044652581155</v>
      </c>
      <c r="AC1004" s="54">
        <f t="shared" si="220"/>
        <v>0.36804625605364472</v>
      </c>
      <c r="AD1004" s="56">
        <f>INDEX(Assumptions!$B$14:$B$16,MATCH($R1004,Assumptions!$A$14:$A$16,0))</f>
        <v>0.32</v>
      </c>
      <c r="AE1004" s="56">
        <f>INDEX(Assumptions!$C$14:$C$16,MATCH($R1004,Assumptions!$A$14:$A$16,0))</f>
        <v>0.22</v>
      </c>
      <c r="AF1004" s="49">
        <f t="shared" si="221"/>
        <v>0</v>
      </c>
      <c r="AG1004" s="49">
        <f t="shared" si="222"/>
        <v>0</v>
      </c>
      <c r="AH1004" s="55">
        <f t="shared" si="223"/>
        <v>0</v>
      </c>
    </row>
    <row r="1005" spans="1:34" x14ac:dyDescent="0.2">
      <c r="A1005" s="48" t="s">
        <v>943</v>
      </c>
      <c r="B1005" s="48">
        <v>1</v>
      </c>
      <c r="C1005" s="48" t="s">
        <v>907</v>
      </c>
      <c r="D1005" s="48" t="s">
        <v>844</v>
      </c>
      <c r="E1005" s="48" t="s">
        <v>314</v>
      </c>
      <c r="F1005" s="48" t="s">
        <v>274</v>
      </c>
      <c r="G1005" s="48" t="s">
        <v>298</v>
      </c>
      <c r="H1005" s="48" t="s">
        <v>68</v>
      </c>
      <c r="I1005" s="48" t="s">
        <v>108</v>
      </c>
      <c r="J1005" s="49">
        <v>9</v>
      </c>
      <c r="K1005" s="50">
        <v>1895</v>
      </c>
      <c r="L1005" s="50">
        <v>1881.2</v>
      </c>
      <c r="M1005" s="48" t="s">
        <v>276</v>
      </c>
      <c r="N1005" s="51">
        <v>1.37</v>
      </c>
      <c r="O1005" s="51">
        <v>1.3718999999999999</v>
      </c>
      <c r="P1005" s="52">
        <v>1157</v>
      </c>
      <c r="Q1005" s="52">
        <v>1157</v>
      </c>
      <c r="R1005" s="53" t="str">
        <f>INDEX(SKU_Master!$D$5:$D$34,MATCH($I1005,SKU_Master!$A$5:$A$34,0))</f>
        <v>Laptop</v>
      </c>
      <c r="S1005" s="54">
        <f t="shared" si="210"/>
        <v>7.2823218997360994E-3</v>
      </c>
      <c r="T1005" s="55">
        <f t="shared" si="211"/>
        <v>12448.905109489051</v>
      </c>
      <c r="U1005" s="55">
        <f t="shared" si="212"/>
        <v>12358.24817518248</v>
      </c>
      <c r="V1005" s="55">
        <f t="shared" si="213"/>
        <v>-90.656934306571202</v>
      </c>
      <c r="W1005" s="55">
        <f t="shared" si="214"/>
        <v>12341.13273562213</v>
      </c>
      <c r="X1005" s="55">
        <f t="shared" si="215"/>
        <v>-17.115439560349841</v>
      </c>
      <c r="Y1005" s="55">
        <f t="shared" si="216"/>
        <v>10413</v>
      </c>
      <c r="Z1005" s="55">
        <f t="shared" si="217"/>
        <v>10413</v>
      </c>
      <c r="AA1005" s="55">
        <f t="shared" si="218"/>
        <v>0</v>
      </c>
      <c r="AB1005" s="55">
        <f t="shared" si="219"/>
        <v>1928.13273562213</v>
      </c>
      <c r="AC1005" s="54">
        <f t="shared" si="220"/>
        <v>0.15623628534977674</v>
      </c>
      <c r="AD1005" s="56">
        <f>INDEX(Assumptions!$B$14:$B$16,MATCH($R1005,Assumptions!$A$14:$A$16,0))</f>
        <v>0.12</v>
      </c>
      <c r="AE1005" s="56">
        <f>INDEX(Assumptions!$C$14:$C$16,MATCH($R1005,Assumptions!$A$14:$A$16,0))</f>
        <v>0.08</v>
      </c>
      <c r="AF1005" s="49">
        <f t="shared" si="221"/>
        <v>0</v>
      </c>
      <c r="AG1005" s="49">
        <f t="shared" si="222"/>
        <v>0</v>
      </c>
      <c r="AH1005" s="55">
        <f t="shared" si="223"/>
        <v>0</v>
      </c>
    </row>
    <row r="1006" spans="1:34" x14ac:dyDescent="0.2">
      <c r="A1006" s="48" t="s">
        <v>943</v>
      </c>
      <c r="B1006" s="48">
        <v>2</v>
      </c>
      <c r="C1006" s="48" t="s">
        <v>907</v>
      </c>
      <c r="D1006" s="48" t="s">
        <v>844</v>
      </c>
      <c r="E1006" s="48" t="s">
        <v>314</v>
      </c>
      <c r="F1006" s="48" t="s">
        <v>274</v>
      </c>
      <c r="G1006" s="48" t="s">
        <v>298</v>
      </c>
      <c r="H1006" s="48" t="s">
        <v>68</v>
      </c>
      <c r="I1006" s="48" t="s">
        <v>161</v>
      </c>
      <c r="J1006" s="49">
        <v>10</v>
      </c>
      <c r="K1006" s="50">
        <v>175</v>
      </c>
      <c r="L1006" s="50">
        <v>173.09</v>
      </c>
      <c r="M1006" s="48" t="s">
        <v>276</v>
      </c>
      <c r="N1006" s="51">
        <v>1.37</v>
      </c>
      <c r="O1006" s="51">
        <v>1.3718999999999999</v>
      </c>
      <c r="P1006" s="52">
        <v>79</v>
      </c>
      <c r="Q1006" s="52">
        <v>79</v>
      </c>
      <c r="R1006" s="53" t="str">
        <f>INDEX(SKU_Master!$D$5:$D$34,MATCH($I1006,SKU_Master!$A$5:$A$34,0))</f>
        <v>Accessory</v>
      </c>
      <c r="S1006" s="54">
        <f t="shared" si="210"/>
        <v>1.0914285714285654E-2</v>
      </c>
      <c r="T1006" s="55">
        <f t="shared" si="211"/>
        <v>1277.3722627737225</v>
      </c>
      <c r="U1006" s="55">
        <f t="shared" si="212"/>
        <v>1263.4306569343066</v>
      </c>
      <c r="V1006" s="55">
        <f t="shared" si="213"/>
        <v>-13.941605839415843</v>
      </c>
      <c r="W1006" s="55">
        <f t="shared" si="214"/>
        <v>1261.6808805306512</v>
      </c>
      <c r="X1006" s="55">
        <f t="shared" si="215"/>
        <v>-1.7497764036554599</v>
      </c>
      <c r="Y1006" s="55">
        <f t="shared" si="216"/>
        <v>790</v>
      </c>
      <c r="Z1006" s="55">
        <f t="shared" si="217"/>
        <v>790</v>
      </c>
      <c r="AA1006" s="55">
        <f t="shared" si="218"/>
        <v>0</v>
      </c>
      <c r="AB1006" s="55">
        <f t="shared" si="219"/>
        <v>471.68088053065117</v>
      </c>
      <c r="AC1006" s="54">
        <f t="shared" si="220"/>
        <v>0.37385117568894805</v>
      </c>
      <c r="AD1006" s="56">
        <f>INDEX(Assumptions!$B$14:$B$16,MATCH($R1006,Assumptions!$A$14:$A$16,0))</f>
        <v>0.32</v>
      </c>
      <c r="AE1006" s="56">
        <f>INDEX(Assumptions!$C$14:$C$16,MATCH($R1006,Assumptions!$A$14:$A$16,0))</f>
        <v>0.22</v>
      </c>
      <c r="AF1006" s="49">
        <f t="shared" si="221"/>
        <v>0</v>
      </c>
      <c r="AG1006" s="49">
        <f t="shared" si="222"/>
        <v>0</v>
      </c>
      <c r="AH1006" s="55">
        <f t="shared" si="223"/>
        <v>0</v>
      </c>
    </row>
    <row r="1007" spans="1:34" x14ac:dyDescent="0.2">
      <c r="A1007" s="48" t="s">
        <v>944</v>
      </c>
      <c r="B1007" s="48">
        <v>1</v>
      </c>
      <c r="C1007" s="48" t="s">
        <v>863</v>
      </c>
      <c r="D1007" s="48" t="s">
        <v>844</v>
      </c>
      <c r="E1007" s="48" t="s">
        <v>395</v>
      </c>
      <c r="F1007" s="48" t="s">
        <v>280</v>
      </c>
      <c r="G1007" s="48" t="s">
        <v>281</v>
      </c>
      <c r="H1007" s="48" t="s">
        <v>66</v>
      </c>
      <c r="I1007" s="48" t="s">
        <v>118</v>
      </c>
      <c r="J1007" s="49">
        <v>15</v>
      </c>
      <c r="K1007" s="50">
        <v>1300</v>
      </c>
      <c r="L1007" s="50">
        <v>1264.17</v>
      </c>
      <c r="M1007" s="48" t="s">
        <v>276</v>
      </c>
      <c r="N1007" s="51">
        <v>0.92</v>
      </c>
      <c r="O1007" s="51">
        <v>0.91820000000000002</v>
      </c>
      <c r="P1007" s="52">
        <v>1182.5999999999999</v>
      </c>
      <c r="Q1007" s="52">
        <v>1182.5999999999999</v>
      </c>
      <c r="R1007" s="53" t="str">
        <f>INDEX(SKU_Master!$D$5:$D$34,MATCH($I1007,SKU_Master!$A$5:$A$34,0))</f>
        <v>Laptop</v>
      </c>
      <c r="S1007" s="54">
        <f t="shared" si="210"/>
        <v>2.7561538461538415E-2</v>
      </c>
      <c r="T1007" s="55">
        <f t="shared" si="211"/>
        <v>21195.652173913044</v>
      </c>
      <c r="U1007" s="55">
        <f t="shared" si="212"/>
        <v>20611.467391304352</v>
      </c>
      <c r="V1007" s="55">
        <f t="shared" si="213"/>
        <v>-584.18478260869233</v>
      </c>
      <c r="W1007" s="55">
        <f t="shared" si="214"/>
        <v>20651.873230233068</v>
      </c>
      <c r="X1007" s="55">
        <f t="shared" si="215"/>
        <v>40.405838928716548</v>
      </c>
      <c r="Y1007" s="55">
        <f t="shared" si="216"/>
        <v>17739</v>
      </c>
      <c r="Z1007" s="55">
        <f t="shared" si="217"/>
        <v>17739</v>
      </c>
      <c r="AA1007" s="55">
        <f t="shared" si="218"/>
        <v>0</v>
      </c>
      <c r="AB1007" s="55">
        <f t="shared" si="219"/>
        <v>2912.8732302330682</v>
      </c>
      <c r="AC1007" s="54">
        <f t="shared" si="220"/>
        <v>0.14104644153871726</v>
      </c>
      <c r="AD1007" s="56">
        <f>INDEX(Assumptions!$B$14:$B$16,MATCH($R1007,Assumptions!$A$14:$A$16,0))</f>
        <v>0.12</v>
      </c>
      <c r="AE1007" s="56">
        <f>INDEX(Assumptions!$C$14:$C$16,MATCH($R1007,Assumptions!$A$14:$A$16,0))</f>
        <v>0.08</v>
      </c>
      <c r="AF1007" s="49">
        <f t="shared" si="221"/>
        <v>0</v>
      </c>
      <c r="AG1007" s="49">
        <f t="shared" si="222"/>
        <v>0</v>
      </c>
      <c r="AH1007" s="55">
        <f t="shared" si="223"/>
        <v>0</v>
      </c>
    </row>
    <row r="1008" spans="1:34" x14ac:dyDescent="0.2">
      <c r="A1008" s="48" t="s">
        <v>944</v>
      </c>
      <c r="B1008" s="48">
        <v>2</v>
      </c>
      <c r="C1008" s="48" t="s">
        <v>863</v>
      </c>
      <c r="D1008" s="48" t="s">
        <v>844</v>
      </c>
      <c r="E1008" s="48" t="s">
        <v>395</v>
      </c>
      <c r="F1008" s="48" t="s">
        <v>280</v>
      </c>
      <c r="G1008" s="48" t="s">
        <v>281</v>
      </c>
      <c r="H1008" s="48" t="s">
        <v>66</v>
      </c>
      <c r="I1008" s="48" t="s">
        <v>161</v>
      </c>
      <c r="J1008" s="49">
        <v>17</v>
      </c>
      <c r="K1008" s="50">
        <v>120</v>
      </c>
      <c r="L1008" s="50">
        <v>116.67</v>
      </c>
      <c r="M1008" s="48" t="s">
        <v>276</v>
      </c>
      <c r="N1008" s="51">
        <v>0.92</v>
      </c>
      <c r="O1008" s="51">
        <v>0.91820000000000002</v>
      </c>
      <c r="P1008" s="52">
        <v>81</v>
      </c>
      <c r="Q1008" s="52">
        <v>81</v>
      </c>
      <c r="R1008" s="53" t="str">
        <f>INDEX(SKU_Master!$D$5:$D$34,MATCH($I1008,SKU_Master!$A$5:$A$34,0))</f>
        <v>Accessory</v>
      </c>
      <c r="S1008" s="54">
        <f t="shared" si="210"/>
        <v>2.7749999999999941E-2</v>
      </c>
      <c r="T1008" s="55">
        <f t="shared" si="211"/>
        <v>2217.391304347826</v>
      </c>
      <c r="U1008" s="55">
        <f t="shared" si="212"/>
        <v>2155.858695652174</v>
      </c>
      <c r="V1008" s="55">
        <f t="shared" si="213"/>
        <v>-61.532608695652016</v>
      </c>
      <c r="W1008" s="55">
        <f t="shared" si="214"/>
        <v>2160.0849488128947</v>
      </c>
      <c r="X1008" s="55">
        <f t="shared" si="215"/>
        <v>4.2262531607207166</v>
      </c>
      <c r="Y1008" s="55">
        <f t="shared" si="216"/>
        <v>1377</v>
      </c>
      <c r="Z1008" s="55">
        <f t="shared" si="217"/>
        <v>1377</v>
      </c>
      <c r="AA1008" s="55">
        <f t="shared" si="218"/>
        <v>0</v>
      </c>
      <c r="AB1008" s="55">
        <f t="shared" si="219"/>
        <v>783.08494881289471</v>
      </c>
      <c r="AC1008" s="54">
        <f t="shared" si="220"/>
        <v>0.36252507071226536</v>
      </c>
      <c r="AD1008" s="56">
        <f>INDEX(Assumptions!$B$14:$B$16,MATCH($R1008,Assumptions!$A$14:$A$16,0))</f>
        <v>0.32</v>
      </c>
      <c r="AE1008" s="56">
        <f>INDEX(Assumptions!$C$14:$C$16,MATCH($R1008,Assumptions!$A$14:$A$16,0))</f>
        <v>0.22</v>
      </c>
      <c r="AF1008" s="49">
        <f t="shared" si="221"/>
        <v>0</v>
      </c>
      <c r="AG1008" s="49">
        <f t="shared" si="222"/>
        <v>0</v>
      </c>
      <c r="AH1008" s="55">
        <f t="shared" si="223"/>
        <v>0</v>
      </c>
    </row>
    <row r="1009" spans="1:34" x14ac:dyDescent="0.2">
      <c r="A1009" s="48" t="s">
        <v>945</v>
      </c>
      <c r="B1009" s="48">
        <v>1</v>
      </c>
      <c r="C1009" s="48" t="s">
        <v>904</v>
      </c>
      <c r="D1009" s="48" t="s">
        <v>844</v>
      </c>
      <c r="E1009" s="48" t="s">
        <v>293</v>
      </c>
      <c r="F1009" s="48" t="s">
        <v>274</v>
      </c>
      <c r="G1009" s="48" t="s">
        <v>275</v>
      </c>
      <c r="H1009" s="48" t="s">
        <v>66</v>
      </c>
      <c r="I1009" s="48" t="s">
        <v>98</v>
      </c>
      <c r="J1009" s="49">
        <v>2</v>
      </c>
      <c r="K1009" s="50">
        <v>1980</v>
      </c>
      <c r="L1009" s="50">
        <v>1951.91</v>
      </c>
      <c r="M1009" s="48" t="s">
        <v>276</v>
      </c>
      <c r="N1009" s="51">
        <v>0.92</v>
      </c>
      <c r="O1009" s="51">
        <v>0.91820000000000002</v>
      </c>
      <c r="P1009" s="52">
        <v>1800.2</v>
      </c>
      <c r="Q1009" s="52">
        <v>1800.2</v>
      </c>
      <c r="R1009" s="53" t="str">
        <f>INDEX(SKU_Master!$D$5:$D$34,MATCH($I1009,SKU_Master!$A$5:$A$34,0))</f>
        <v>Laptop</v>
      </c>
      <c r="S1009" s="54">
        <f t="shared" si="210"/>
        <v>1.4186868686868692E-2</v>
      </c>
      <c r="T1009" s="55">
        <f t="shared" si="211"/>
        <v>4304.347826086956</v>
      </c>
      <c r="U1009" s="55">
        <f t="shared" si="212"/>
        <v>4243.282608695652</v>
      </c>
      <c r="V1009" s="55">
        <f t="shared" si="213"/>
        <v>-61.065217391304031</v>
      </c>
      <c r="W1009" s="55">
        <f t="shared" si="214"/>
        <v>4251.6009583968635</v>
      </c>
      <c r="X1009" s="55">
        <f t="shared" si="215"/>
        <v>8.3183497012114458</v>
      </c>
      <c r="Y1009" s="55">
        <f t="shared" si="216"/>
        <v>3600.4</v>
      </c>
      <c r="Z1009" s="55">
        <f t="shared" si="217"/>
        <v>3600.4</v>
      </c>
      <c r="AA1009" s="55">
        <f t="shared" si="218"/>
        <v>0</v>
      </c>
      <c r="AB1009" s="55">
        <f t="shared" si="219"/>
        <v>651.20095839686337</v>
      </c>
      <c r="AC1009" s="54">
        <f t="shared" si="220"/>
        <v>0.15316605786127432</v>
      </c>
      <c r="AD1009" s="56">
        <f>INDEX(Assumptions!$B$14:$B$16,MATCH($R1009,Assumptions!$A$14:$A$16,0))</f>
        <v>0.12</v>
      </c>
      <c r="AE1009" s="56">
        <f>INDEX(Assumptions!$C$14:$C$16,MATCH($R1009,Assumptions!$A$14:$A$16,0))</f>
        <v>0.08</v>
      </c>
      <c r="AF1009" s="49">
        <f t="shared" si="221"/>
        <v>0</v>
      </c>
      <c r="AG1009" s="49">
        <f t="shared" si="222"/>
        <v>0</v>
      </c>
      <c r="AH1009" s="55">
        <f t="shared" si="223"/>
        <v>0</v>
      </c>
    </row>
    <row r="1010" spans="1:34" x14ac:dyDescent="0.2">
      <c r="A1010" s="48" t="s">
        <v>945</v>
      </c>
      <c r="B1010" s="48">
        <v>2</v>
      </c>
      <c r="C1010" s="48" t="s">
        <v>904</v>
      </c>
      <c r="D1010" s="48" t="s">
        <v>844</v>
      </c>
      <c r="E1010" s="48" t="s">
        <v>293</v>
      </c>
      <c r="F1010" s="48" t="s">
        <v>274</v>
      </c>
      <c r="G1010" s="48" t="s">
        <v>275</v>
      </c>
      <c r="H1010" s="48" t="s">
        <v>66</v>
      </c>
      <c r="I1010" s="48" t="s">
        <v>141</v>
      </c>
      <c r="J1010" s="49">
        <v>1</v>
      </c>
      <c r="K1010" s="50">
        <v>450</v>
      </c>
      <c r="L1010" s="50">
        <v>449.96</v>
      </c>
      <c r="M1010" s="48" t="s">
        <v>276</v>
      </c>
      <c r="N1010" s="51">
        <v>0.92</v>
      </c>
      <c r="O1010" s="51">
        <v>0.91820000000000002</v>
      </c>
      <c r="P1010" s="52">
        <v>376.7</v>
      </c>
      <c r="Q1010" s="52">
        <v>376.7</v>
      </c>
      <c r="R1010" s="53" t="str">
        <f>INDEX(SKU_Master!$D$5:$D$34,MATCH($I1010,SKU_Master!$A$5:$A$34,0))</f>
        <v>Monitor</v>
      </c>
      <c r="S1010" s="54">
        <f t="shared" si="210"/>
        <v>8.8888888888916107E-5</v>
      </c>
      <c r="T1010" s="55">
        <f t="shared" si="211"/>
        <v>489.13043478260869</v>
      </c>
      <c r="U1010" s="55">
        <f t="shared" si="212"/>
        <v>489.08695652173907</v>
      </c>
      <c r="V1010" s="55">
        <f t="shared" si="213"/>
        <v>-4.3478260869619589E-2</v>
      </c>
      <c r="W1010" s="55">
        <f t="shared" si="214"/>
        <v>490.04574166848175</v>
      </c>
      <c r="X1010" s="55">
        <f t="shared" si="215"/>
        <v>0.95878514674268445</v>
      </c>
      <c r="Y1010" s="55">
        <f t="shared" si="216"/>
        <v>376.7</v>
      </c>
      <c r="Z1010" s="55">
        <f t="shared" si="217"/>
        <v>376.7</v>
      </c>
      <c r="AA1010" s="55">
        <f t="shared" si="218"/>
        <v>0</v>
      </c>
      <c r="AB1010" s="55">
        <f t="shared" si="219"/>
        <v>113.34574166848176</v>
      </c>
      <c r="AC1010" s="54">
        <f t="shared" si="220"/>
        <v>0.23129624855542708</v>
      </c>
      <c r="AD1010" s="56">
        <f>INDEX(Assumptions!$B$14:$B$16,MATCH($R1010,Assumptions!$A$14:$A$16,0))</f>
        <v>0.18</v>
      </c>
      <c r="AE1010" s="56">
        <f>INDEX(Assumptions!$C$14:$C$16,MATCH($R1010,Assumptions!$A$14:$A$16,0))</f>
        <v>0.12</v>
      </c>
      <c r="AF1010" s="49">
        <f t="shared" si="221"/>
        <v>0</v>
      </c>
      <c r="AG1010" s="49">
        <f t="shared" si="222"/>
        <v>0</v>
      </c>
      <c r="AH1010" s="55">
        <f t="shared" si="223"/>
        <v>0</v>
      </c>
    </row>
    <row r="1011" spans="1:34" x14ac:dyDescent="0.2">
      <c r="A1011" s="48" t="s">
        <v>945</v>
      </c>
      <c r="B1011" s="48">
        <v>3</v>
      </c>
      <c r="C1011" s="48" t="s">
        <v>904</v>
      </c>
      <c r="D1011" s="48" t="s">
        <v>844</v>
      </c>
      <c r="E1011" s="48" t="s">
        <v>293</v>
      </c>
      <c r="F1011" s="48" t="s">
        <v>274</v>
      </c>
      <c r="G1011" s="48" t="s">
        <v>275</v>
      </c>
      <c r="H1011" s="48" t="s">
        <v>66</v>
      </c>
      <c r="I1011" s="48" t="s">
        <v>161</v>
      </c>
      <c r="J1011" s="49">
        <v>1</v>
      </c>
      <c r="K1011" s="50">
        <v>120</v>
      </c>
      <c r="L1011" s="50">
        <v>119.82</v>
      </c>
      <c r="M1011" s="48" t="s">
        <v>276</v>
      </c>
      <c r="N1011" s="51">
        <v>0.92</v>
      </c>
      <c r="O1011" s="51">
        <v>0.91820000000000002</v>
      </c>
      <c r="P1011" s="52">
        <v>81</v>
      </c>
      <c r="Q1011" s="52">
        <v>81</v>
      </c>
      <c r="R1011" s="53" t="str">
        <f>INDEX(SKU_Master!$D$5:$D$34,MATCH($I1011,SKU_Master!$A$5:$A$34,0))</f>
        <v>Accessory</v>
      </c>
      <c r="S1011" s="54">
        <f t="shared" si="210"/>
        <v>1.5000000000000568E-3</v>
      </c>
      <c r="T1011" s="55">
        <f t="shared" si="211"/>
        <v>130.43478260869566</v>
      </c>
      <c r="U1011" s="55">
        <f t="shared" si="212"/>
        <v>130.2391304347826</v>
      </c>
      <c r="V1011" s="55">
        <f t="shared" si="213"/>
        <v>-0.19565217391306078</v>
      </c>
      <c r="W1011" s="55">
        <f t="shared" si="214"/>
        <v>130.49444565454149</v>
      </c>
      <c r="X1011" s="55">
        <f t="shared" si="215"/>
        <v>0.25531521975889859</v>
      </c>
      <c r="Y1011" s="55">
        <f t="shared" si="216"/>
        <v>81</v>
      </c>
      <c r="Z1011" s="55">
        <f t="shared" si="217"/>
        <v>81</v>
      </c>
      <c r="AA1011" s="55">
        <f t="shared" si="218"/>
        <v>0</v>
      </c>
      <c r="AB1011" s="55">
        <f t="shared" si="219"/>
        <v>49.494445654541494</v>
      </c>
      <c r="AC1011" s="54">
        <f t="shared" si="220"/>
        <v>0.37928392588883325</v>
      </c>
      <c r="AD1011" s="56">
        <f>INDEX(Assumptions!$B$14:$B$16,MATCH($R1011,Assumptions!$A$14:$A$16,0))</f>
        <v>0.32</v>
      </c>
      <c r="AE1011" s="56">
        <f>INDEX(Assumptions!$C$14:$C$16,MATCH($R1011,Assumptions!$A$14:$A$16,0))</f>
        <v>0.22</v>
      </c>
      <c r="AF1011" s="49">
        <f t="shared" si="221"/>
        <v>0</v>
      </c>
      <c r="AG1011" s="49">
        <f t="shared" si="222"/>
        <v>0</v>
      </c>
      <c r="AH1011" s="55">
        <f t="shared" si="223"/>
        <v>0</v>
      </c>
    </row>
    <row r="1012" spans="1:34" x14ac:dyDescent="0.2">
      <c r="A1012" s="48" t="s">
        <v>946</v>
      </c>
      <c r="B1012" s="48">
        <v>1</v>
      </c>
      <c r="C1012" s="48" t="s">
        <v>925</v>
      </c>
      <c r="D1012" s="48" t="s">
        <v>844</v>
      </c>
      <c r="E1012" s="48" t="s">
        <v>397</v>
      </c>
      <c r="F1012" s="48" t="s">
        <v>280</v>
      </c>
      <c r="G1012" s="48" t="s">
        <v>306</v>
      </c>
      <c r="H1012" s="48" t="s">
        <v>70</v>
      </c>
      <c r="I1012" s="48" t="s">
        <v>110</v>
      </c>
      <c r="J1012" s="49">
        <v>15</v>
      </c>
      <c r="K1012" s="50">
        <v>113335</v>
      </c>
      <c r="L1012" s="50">
        <v>110977.46</v>
      </c>
      <c r="M1012" s="48" t="s">
        <v>276</v>
      </c>
      <c r="N1012" s="51">
        <v>83.5</v>
      </c>
      <c r="O1012" s="51">
        <v>84.521799999999999</v>
      </c>
      <c r="P1012" s="52">
        <v>1136.8599999999999</v>
      </c>
      <c r="Q1012" s="52">
        <v>1156.8599999999999</v>
      </c>
      <c r="R1012" s="53" t="str">
        <f>INDEX(SKU_Master!$D$5:$D$34,MATCH($I1012,SKU_Master!$A$5:$A$34,0))</f>
        <v>Laptop</v>
      </c>
      <c r="S1012" s="54">
        <f t="shared" si="210"/>
        <v>2.0801517624740806E-2</v>
      </c>
      <c r="T1012" s="55">
        <f t="shared" si="211"/>
        <v>20359.580838323353</v>
      </c>
      <c r="U1012" s="55">
        <f t="shared" si="212"/>
        <v>19936.070658682638</v>
      </c>
      <c r="V1012" s="55">
        <f t="shared" si="213"/>
        <v>-423.51017964071434</v>
      </c>
      <c r="W1012" s="55">
        <f t="shared" si="214"/>
        <v>19695.059736068095</v>
      </c>
      <c r="X1012" s="55">
        <f t="shared" si="215"/>
        <v>-241.01092261454323</v>
      </c>
      <c r="Y1012" s="55">
        <f t="shared" si="216"/>
        <v>17052.899999999998</v>
      </c>
      <c r="Z1012" s="55">
        <f t="shared" si="217"/>
        <v>17352.899999999998</v>
      </c>
      <c r="AA1012" s="55">
        <f t="shared" si="218"/>
        <v>-300</v>
      </c>
      <c r="AB1012" s="55">
        <f t="shared" si="219"/>
        <v>2342.1597360680971</v>
      </c>
      <c r="AC1012" s="54">
        <f t="shared" si="220"/>
        <v>0.11892117959809163</v>
      </c>
      <c r="AD1012" s="56">
        <f>INDEX(Assumptions!$B$14:$B$16,MATCH($R1012,Assumptions!$A$14:$A$16,0))</f>
        <v>0.12</v>
      </c>
      <c r="AE1012" s="56">
        <f>INDEX(Assumptions!$C$14:$C$16,MATCH($R1012,Assumptions!$A$14:$A$16,0))</f>
        <v>0.08</v>
      </c>
      <c r="AF1012" s="49">
        <f t="shared" si="221"/>
        <v>0</v>
      </c>
      <c r="AG1012" s="49">
        <f t="shared" si="222"/>
        <v>0</v>
      </c>
      <c r="AH1012" s="55">
        <f t="shared" si="223"/>
        <v>21.24743226007422</v>
      </c>
    </row>
    <row r="1013" spans="1:34" x14ac:dyDescent="0.2">
      <c r="A1013" s="48" t="s">
        <v>946</v>
      </c>
      <c r="B1013" s="48">
        <v>2</v>
      </c>
      <c r="C1013" s="48" t="s">
        <v>925</v>
      </c>
      <c r="D1013" s="48" t="s">
        <v>844</v>
      </c>
      <c r="E1013" s="48" t="s">
        <v>397</v>
      </c>
      <c r="F1013" s="48" t="s">
        <v>280</v>
      </c>
      <c r="G1013" s="48" t="s">
        <v>306</v>
      </c>
      <c r="H1013" s="48" t="s">
        <v>70</v>
      </c>
      <c r="I1013" s="48" t="s">
        <v>148</v>
      </c>
      <c r="J1013" s="49">
        <v>16</v>
      </c>
      <c r="K1013" s="50">
        <v>42335</v>
      </c>
      <c r="L1013" s="50">
        <v>41044.379999999997</v>
      </c>
      <c r="M1013" s="48" t="s">
        <v>276</v>
      </c>
      <c r="N1013" s="51">
        <v>83.5</v>
      </c>
      <c r="O1013" s="51">
        <v>84.521799999999999</v>
      </c>
      <c r="P1013" s="52">
        <v>391.9</v>
      </c>
      <c r="Q1013" s="52">
        <v>411.9</v>
      </c>
      <c r="R1013" s="53" t="str">
        <f>INDEX(SKU_Master!$D$5:$D$34,MATCH($I1013,SKU_Master!$A$5:$A$34,0))</f>
        <v>Monitor</v>
      </c>
      <c r="S1013" s="54">
        <f t="shared" si="210"/>
        <v>3.0485886382425997E-2</v>
      </c>
      <c r="T1013" s="55">
        <f t="shared" si="211"/>
        <v>8112.0958083832338</v>
      </c>
      <c r="U1013" s="55">
        <f t="shared" si="212"/>
        <v>7864.7913772455086</v>
      </c>
      <c r="V1013" s="55">
        <f t="shared" si="213"/>
        <v>-247.30443113772526</v>
      </c>
      <c r="W1013" s="55">
        <f t="shared" si="214"/>
        <v>7769.7124292194439</v>
      </c>
      <c r="X1013" s="55">
        <f t="shared" si="215"/>
        <v>-95.078948026064609</v>
      </c>
      <c r="Y1013" s="55">
        <f t="shared" si="216"/>
        <v>6270.4</v>
      </c>
      <c r="Z1013" s="55">
        <f t="shared" si="217"/>
        <v>6590.4</v>
      </c>
      <c r="AA1013" s="55">
        <f t="shared" si="218"/>
        <v>-320</v>
      </c>
      <c r="AB1013" s="55">
        <f t="shared" si="219"/>
        <v>1179.3124292194443</v>
      </c>
      <c r="AC1013" s="54">
        <f t="shared" si="220"/>
        <v>0.15178327897753607</v>
      </c>
      <c r="AD1013" s="56">
        <f>INDEX(Assumptions!$B$14:$B$16,MATCH($R1013,Assumptions!$A$14:$A$16,0))</f>
        <v>0.18</v>
      </c>
      <c r="AE1013" s="56">
        <f>INDEX(Assumptions!$C$14:$C$16,MATCH($R1013,Assumptions!$A$14:$A$16,0))</f>
        <v>0.12</v>
      </c>
      <c r="AF1013" s="49">
        <f t="shared" si="221"/>
        <v>0</v>
      </c>
      <c r="AG1013" s="49">
        <f t="shared" si="222"/>
        <v>0</v>
      </c>
      <c r="AH1013" s="55">
        <f t="shared" si="223"/>
        <v>219.23580804005564</v>
      </c>
    </row>
    <row r="1014" spans="1:34" x14ac:dyDescent="0.2">
      <c r="A1014" s="48" t="s">
        <v>946</v>
      </c>
      <c r="B1014" s="48">
        <v>3</v>
      </c>
      <c r="C1014" s="48" t="s">
        <v>925</v>
      </c>
      <c r="D1014" s="48" t="s">
        <v>844</v>
      </c>
      <c r="E1014" s="48" t="s">
        <v>397</v>
      </c>
      <c r="F1014" s="48" t="s">
        <v>280</v>
      </c>
      <c r="G1014" s="48" t="s">
        <v>306</v>
      </c>
      <c r="H1014" s="48" t="s">
        <v>70</v>
      </c>
      <c r="I1014" s="48" t="s">
        <v>177</v>
      </c>
      <c r="J1014" s="49">
        <v>16</v>
      </c>
      <c r="K1014" s="50">
        <v>7520</v>
      </c>
      <c r="L1014" s="50">
        <v>7360.87</v>
      </c>
      <c r="M1014" s="48" t="s">
        <v>276</v>
      </c>
      <c r="N1014" s="51">
        <v>83.5</v>
      </c>
      <c r="O1014" s="51">
        <v>84.521799999999999</v>
      </c>
      <c r="P1014" s="52">
        <v>57.18</v>
      </c>
      <c r="Q1014" s="52">
        <v>62.18</v>
      </c>
      <c r="R1014" s="53" t="str">
        <f>INDEX(SKU_Master!$D$5:$D$34,MATCH($I1014,SKU_Master!$A$5:$A$34,0))</f>
        <v>Accessory</v>
      </c>
      <c r="S1014" s="54">
        <f t="shared" si="210"/>
        <v>2.1160904255319135E-2</v>
      </c>
      <c r="T1014" s="55">
        <f t="shared" si="211"/>
        <v>1440.9580838323354</v>
      </c>
      <c r="U1014" s="55">
        <f t="shared" si="212"/>
        <v>1410.4661077844312</v>
      </c>
      <c r="V1014" s="55">
        <f t="shared" si="213"/>
        <v>-30.491976047904245</v>
      </c>
      <c r="W1014" s="55">
        <f t="shared" si="214"/>
        <v>1393.4147166766443</v>
      </c>
      <c r="X1014" s="55">
        <f t="shared" si="215"/>
        <v>-17.051391107786912</v>
      </c>
      <c r="Y1014" s="55">
        <f t="shared" si="216"/>
        <v>914.88</v>
      </c>
      <c r="Z1014" s="55">
        <f t="shared" si="217"/>
        <v>994.88</v>
      </c>
      <c r="AA1014" s="55">
        <f t="shared" si="218"/>
        <v>-80</v>
      </c>
      <c r="AB1014" s="55">
        <f t="shared" si="219"/>
        <v>398.53471667664428</v>
      </c>
      <c r="AC1014" s="54">
        <f t="shared" si="220"/>
        <v>0.28601299520301265</v>
      </c>
      <c r="AD1014" s="56">
        <f>INDEX(Assumptions!$B$14:$B$16,MATCH($R1014,Assumptions!$A$14:$A$16,0))</f>
        <v>0.32</v>
      </c>
      <c r="AE1014" s="56">
        <f>INDEX(Assumptions!$C$14:$C$16,MATCH($R1014,Assumptions!$A$14:$A$16,0))</f>
        <v>0.22</v>
      </c>
      <c r="AF1014" s="49">
        <f t="shared" si="221"/>
        <v>0</v>
      </c>
      <c r="AG1014" s="49">
        <f t="shared" si="222"/>
        <v>0</v>
      </c>
      <c r="AH1014" s="55">
        <f t="shared" si="223"/>
        <v>47.357992659881916</v>
      </c>
    </row>
    <row r="1015" spans="1:34" x14ac:dyDescent="0.2">
      <c r="A1015" s="48" t="s">
        <v>947</v>
      </c>
      <c r="B1015" s="48">
        <v>1</v>
      </c>
      <c r="C1015" s="48" t="s">
        <v>938</v>
      </c>
      <c r="D1015" s="48" t="s">
        <v>844</v>
      </c>
      <c r="E1015" s="48" t="s">
        <v>311</v>
      </c>
      <c r="F1015" s="48" t="s">
        <v>297</v>
      </c>
      <c r="G1015" s="48" t="s">
        <v>302</v>
      </c>
      <c r="H1015" s="48" t="s">
        <v>62</v>
      </c>
      <c r="I1015" s="48" t="s">
        <v>93</v>
      </c>
      <c r="J1015" s="49">
        <v>44</v>
      </c>
      <c r="K1015" s="50">
        <v>1390</v>
      </c>
      <c r="L1015" s="50">
        <v>1352.67</v>
      </c>
      <c r="M1015" s="48" t="s">
        <v>276</v>
      </c>
      <c r="N1015" s="51">
        <v>1</v>
      </c>
      <c r="O1015" s="51">
        <v>1</v>
      </c>
      <c r="P1015" s="52">
        <v>1186.2</v>
      </c>
      <c r="Q1015" s="52">
        <v>1186.2</v>
      </c>
      <c r="R1015" s="53" t="str">
        <f>INDEX(SKU_Master!$D$5:$D$34,MATCH($I1015,SKU_Master!$A$5:$A$34,0))</f>
        <v>Laptop</v>
      </c>
      <c r="S1015" s="54">
        <f t="shared" si="210"/>
        <v>2.6856115107913636E-2</v>
      </c>
      <c r="T1015" s="55">
        <f t="shared" si="211"/>
        <v>61160</v>
      </c>
      <c r="U1015" s="55">
        <f t="shared" si="212"/>
        <v>59517.48</v>
      </c>
      <c r="V1015" s="55">
        <f t="shared" si="213"/>
        <v>-1642.5199999999968</v>
      </c>
      <c r="W1015" s="55">
        <f t="shared" si="214"/>
        <v>59517.48</v>
      </c>
      <c r="X1015" s="55">
        <f t="shared" si="215"/>
        <v>0</v>
      </c>
      <c r="Y1015" s="55">
        <f t="shared" si="216"/>
        <v>52192.800000000003</v>
      </c>
      <c r="Z1015" s="55">
        <f t="shared" si="217"/>
        <v>52192.800000000003</v>
      </c>
      <c r="AA1015" s="55">
        <f t="shared" si="218"/>
        <v>0</v>
      </c>
      <c r="AB1015" s="55">
        <f t="shared" si="219"/>
        <v>7324.68</v>
      </c>
      <c r="AC1015" s="54">
        <f t="shared" si="220"/>
        <v>0.12306771052806671</v>
      </c>
      <c r="AD1015" s="56">
        <f>INDEX(Assumptions!$B$14:$B$16,MATCH($R1015,Assumptions!$A$14:$A$16,0))</f>
        <v>0.12</v>
      </c>
      <c r="AE1015" s="56">
        <f>INDEX(Assumptions!$C$14:$C$16,MATCH($R1015,Assumptions!$A$14:$A$16,0))</f>
        <v>0.08</v>
      </c>
      <c r="AF1015" s="49">
        <f t="shared" si="221"/>
        <v>0</v>
      </c>
      <c r="AG1015" s="49">
        <f t="shared" si="222"/>
        <v>0</v>
      </c>
      <c r="AH1015" s="55">
        <f t="shared" si="223"/>
        <v>0</v>
      </c>
    </row>
    <row r="1016" spans="1:34" x14ac:dyDescent="0.2">
      <c r="A1016" s="48" t="s">
        <v>947</v>
      </c>
      <c r="B1016" s="48">
        <v>2</v>
      </c>
      <c r="C1016" s="48" t="s">
        <v>938</v>
      </c>
      <c r="D1016" s="48" t="s">
        <v>844</v>
      </c>
      <c r="E1016" s="48" t="s">
        <v>311</v>
      </c>
      <c r="F1016" s="48" t="s">
        <v>297</v>
      </c>
      <c r="G1016" s="48" t="s">
        <v>302</v>
      </c>
      <c r="H1016" s="48" t="s">
        <v>62</v>
      </c>
      <c r="I1016" s="48" t="s">
        <v>138</v>
      </c>
      <c r="J1016" s="49">
        <v>23</v>
      </c>
      <c r="K1016" s="50">
        <v>455</v>
      </c>
      <c r="L1016" s="50">
        <v>423.16</v>
      </c>
      <c r="M1016" s="48" t="s">
        <v>276</v>
      </c>
      <c r="N1016" s="51">
        <v>1</v>
      </c>
      <c r="O1016" s="51">
        <v>1</v>
      </c>
      <c r="P1016" s="52">
        <v>358.2</v>
      </c>
      <c r="Q1016" s="52">
        <v>358.2</v>
      </c>
      <c r="R1016" s="53" t="str">
        <f>INDEX(SKU_Master!$D$5:$D$34,MATCH($I1016,SKU_Master!$A$5:$A$34,0))</f>
        <v>Monitor</v>
      </c>
      <c r="S1016" s="54">
        <f t="shared" si="210"/>
        <v>6.9978021978021943E-2</v>
      </c>
      <c r="T1016" s="55">
        <f t="shared" si="211"/>
        <v>10465</v>
      </c>
      <c r="U1016" s="55">
        <f t="shared" si="212"/>
        <v>9732.68</v>
      </c>
      <c r="V1016" s="55">
        <f t="shared" si="213"/>
        <v>-732.31999999999971</v>
      </c>
      <c r="W1016" s="55">
        <f t="shared" si="214"/>
        <v>9732.68</v>
      </c>
      <c r="X1016" s="55">
        <f t="shared" si="215"/>
        <v>0</v>
      </c>
      <c r="Y1016" s="55">
        <f t="shared" si="216"/>
        <v>8238.6</v>
      </c>
      <c r="Z1016" s="55">
        <f t="shared" si="217"/>
        <v>8238.6</v>
      </c>
      <c r="AA1016" s="55">
        <f t="shared" si="218"/>
        <v>0</v>
      </c>
      <c r="AB1016" s="55">
        <f t="shared" si="219"/>
        <v>1494.08</v>
      </c>
      <c r="AC1016" s="54">
        <f t="shared" si="220"/>
        <v>0.15351167407127325</v>
      </c>
      <c r="AD1016" s="56">
        <f>INDEX(Assumptions!$B$14:$B$16,MATCH($R1016,Assumptions!$A$14:$A$16,0))</f>
        <v>0.18</v>
      </c>
      <c r="AE1016" s="56">
        <f>INDEX(Assumptions!$C$14:$C$16,MATCH($R1016,Assumptions!$A$14:$A$16,0))</f>
        <v>0.12</v>
      </c>
      <c r="AF1016" s="49">
        <f t="shared" si="221"/>
        <v>0</v>
      </c>
      <c r="AG1016" s="49">
        <f t="shared" si="222"/>
        <v>0</v>
      </c>
      <c r="AH1016" s="55">
        <f t="shared" si="223"/>
        <v>257.80240000000003</v>
      </c>
    </row>
    <row r="1017" spans="1:34" x14ac:dyDescent="0.2">
      <c r="A1017" s="48" t="s">
        <v>947</v>
      </c>
      <c r="B1017" s="48">
        <v>3</v>
      </c>
      <c r="C1017" s="48" t="s">
        <v>938</v>
      </c>
      <c r="D1017" s="48" t="s">
        <v>844</v>
      </c>
      <c r="E1017" s="48" t="s">
        <v>311</v>
      </c>
      <c r="F1017" s="48" t="s">
        <v>297</v>
      </c>
      <c r="G1017" s="48" t="s">
        <v>302</v>
      </c>
      <c r="H1017" s="48" t="s">
        <v>62</v>
      </c>
      <c r="I1017" s="48" t="s">
        <v>166</v>
      </c>
      <c r="J1017" s="49">
        <v>32</v>
      </c>
      <c r="K1017" s="50">
        <v>265</v>
      </c>
      <c r="L1017" s="50">
        <v>249.34</v>
      </c>
      <c r="M1017" s="48" t="s">
        <v>276</v>
      </c>
      <c r="N1017" s="51">
        <v>1</v>
      </c>
      <c r="O1017" s="51">
        <v>1</v>
      </c>
      <c r="P1017" s="52">
        <v>169.35</v>
      </c>
      <c r="Q1017" s="52">
        <v>169.35</v>
      </c>
      <c r="R1017" s="53" t="str">
        <f>INDEX(SKU_Master!$D$5:$D$34,MATCH($I1017,SKU_Master!$A$5:$A$34,0))</f>
        <v>Accessory</v>
      </c>
      <c r="S1017" s="54">
        <f t="shared" si="210"/>
        <v>5.9094339622641545E-2</v>
      </c>
      <c r="T1017" s="55">
        <f t="shared" si="211"/>
        <v>8480</v>
      </c>
      <c r="U1017" s="55">
        <f t="shared" si="212"/>
        <v>7978.88</v>
      </c>
      <c r="V1017" s="55">
        <f t="shared" si="213"/>
        <v>-501.11999999999989</v>
      </c>
      <c r="W1017" s="55">
        <f t="shared" si="214"/>
        <v>7978.88</v>
      </c>
      <c r="X1017" s="55">
        <f t="shared" si="215"/>
        <v>0</v>
      </c>
      <c r="Y1017" s="55">
        <f t="shared" si="216"/>
        <v>5419.2</v>
      </c>
      <c r="Z1017" s="55">
        <f t="shared" si="217"/>
        <v>5419.2</v>
      </c>
      <c r="AA1017" s="55">
        <f t="shared" si="218"/>
        <v>0</v>
      </c>
      <c r="AB1017" s="55">
        <f t="shared" si="219"/>
        <v>2559.6800000000003</v>
      </c>
      <c r="AC1017" s="54">
        <f t="shared" si="220"/>
        <v>0.3208069302959814</v>
      </c>
      <c r="AD1017" s="56">
        <f>INDEX(Assumptions!$B$14:$B$16,MATCH($R1017,Assumptions!$A$14:$A$16,0))</f>
        <v>0.32</v>
      </c>
      <c r="AE1017" s="56">
        <f>INDEX(Assumptions!$C$14:$C$16,MATCH($R1017,Assumptions!$A$14:$A$16,0))</f>
        <v>0.22</v>
      </c>
      <c r="AF1017" s="49">
        <f t="shared" si="221"/>
        <v>0</v>
      </c>
      <c r="AG1017" s="49">
        <f t="shared" si="222"/>
        <v>0</v>
      </c>
      <c r="AH1017" s="55">
        <f t="shared" si="223"/>
        <v>0</v>
      </c>
    </row>
    <row r="1018" spans="1:34" x14ac:dyDescent="0.2">
      <c r="A1018" s="48" t="s">
        <v>948</v>
      </c>
      <c r="B1018" s="48">
        <v>1</v>
      </c>
      <c r="C1018" s="48" t="s">
        <v>863</v>
      </c>
      <c r="D1018" s="48" t="s">
        <v>844</v>
      </c>
      <c r="E1018" s="48" t="s">
        <v>279</v>
      </c>
      <c r="F1018" s="48" t="s">
        <v>280</v>
      </c>
      <c r="G1018" s="48" t="s">
        <v>281</v>
      </c>
      <c r="H1018" s="48" t="s">
        <v>64</v>
      </c>
      <c r="I1018" s="48" t="s">
        <v>110</v>
      </c>
      <c r="J1018" s="49">
        <v>25</v>
      </c>
      <c r="K1018" s="50">
        <v>960</v>
      </c>
      <c r="L1018" s="50">
        <v>935.74</v>
      </c>
      <c r="M1018" s="48" t="s">
        <v>276</v>
      </c>
      <c r="N1018" s="51">
        <v>0.79</v>
      </c>
      <c r="O1018" s="51">
        <v>0.79600000000000004</v>
      </c>
      <c r="P1018" s="52">
        <v>1016.65</v>
      </c>
      <c r="Q1018" s="52">
        <v>1016.65</v>
      </c>
      <c r="R1018" s="53" t="str">
        <f>INDEX(SKU_Master!$D$5:$D$34,MATCH($I1018,SKU_Master!$A$5:$A$34,0))</f>
        <v>Laptop</v>
      </c>
      <c r="S1018" s="54">
        <f t="shared" si="210"/>
        <v>2.5270833333333353E-2</v>
      </c>
      <c r="T1018" s="55">
        <f t="shared" si="211"/>
        <v>30379.746835443035</v>
      </c>
      <c r="U1018" s="55">
        <f t="shared" si="212"/>
        <v>29612.025316455696</v>
      </c>
      <c r="V1018" s="55">
        <f t="shared" si="213"/>
        <v>-767.72151898733864</v>
      </c>
      <c r="W1018" s="55">
        <f t="shared" si="214"/>
        <v>29388.819095477385</v>
      </c>
      <c r="X1018" s="55">
        <f t="shared" si="215"/>
        <v>-223.20622097831074</v>
      </c>
      <c r="Y1018" s="55">
        <f t="shared" si="216"/>
        <v>25416.25</v>
      </c>
      <c r="Z1018" s="55">
        <f t="shared" si="217"/>
        <v>25416.25</v>
      </c>
      <c r="AA1018" s="55">
        <f t="shared" si="218"/>
        <v>0</v>
      </c>
      <c r="AB1018" s="55">
        <f t="shared" si="219"/>
        <v>3972.5690954773854</v>
      </c>
      <c r="AC1018" s="54">
        <f t="shared" si="220"/>
        <v>0.13517280441148177</v>
      </c>
      <c r="AD1018" s="56">
        <f>INDEX(Assumptions!$B$14:$B$16,MATCH($R1018,Assumptions!$A$14:$A$16,0))</f>
        <v>0.12</v>
      </c>
      <c r="AE1018" s="56">
        <f>INDEX(Assumptions!$C$14:$C$16,MATCH($R1018,Assumptions!$A$14:$A$16,0))</f>
        <v>0.08</v>
      </c>
      <c r="AF1018" s="49">
        <f t="shared" si="221"/>
        <v>0</v>
      </c>
      <c r="AG1018" s="49">
        <f t="shared" si="222"/>
        <v>0</v>
      </c>
      <c r="AH1018" s="55">
        <f t="shared" si="223"/>
        <v>0</v>
      </c>
    </row>
    <row r="1019" spans="1:34" x14ac:dyDescent="0.2">
      <c r="A1019" s="48" t="s">
        <v>948</v>
      </c>
      <c r="B1019" s="48">
        <v>2</v>
      </c>
      <c r="C1019" s="48" t="s">
        <v>863</v>
      </c>
      <c r="D1019" s="48" t="s">
        <v>844</v>
      </c>
      <c r="E1019" s="48" t="s">
        <v>279</v>
      </c>
      <c r="F1019" s="48" t="s">
        <v>280</v>
      </c>
      <c r="G1019" s="48" t="s">
        <v>281</v>
      </c>
      <c r="H1019" s="48" t="s">
        <v>64</v>
      </c>
      <c r="I1019" s="48" t="s">
        <v>164</v>
      </c>
      <c r="J1019" s="49">
        <v>20</v>
      </c>
      <c r="K1019" s="50">
        <v>160</v>
      </c>
      <c r="L1019" s="50">
        <v>154.59</v>
      </c>
      <c r="M1019" s="48" t="s">
        <v>276</v>
      </c>
      <c r="N1019" s="51">
        <v>0.79</v>
      </c>
      <c r="O1019" s="51">
        <v>0.79600000000000004</v>
      </c>
      <c r="P1019" s="52">
        <v>127</v>
      </c>
      <c r="Q1019" s="52">
        <v>127</v>
      </c>
      <c r="R1019" s="53" t="str">
        <f>INDEX(SKU_Master!$D$5:$D$34,MATCH($I1019,SKU_Master!$A$5:$A$34,0))</f>
        <v>Accessory</v>
      </c>
      <c r="S1019" s="54">
        <f t="shared" si="210"/>
        <v>3.3812500000000023E-2</v>
      </c>
      <c r="T1019" s="55">
        <f t="shared" si="211"/>
        <v>4050.6329113924048</v>
      </c>
      <c r="U1019" s="55">
        <f t="shared" si="212"/>
        <v>3913.6708860759495</v>
      </c>
      <c r="V1019" s="55">
        <f t="shared" si="213"/>
        <v>-136.96202531645531</v>
      </c>
      <c r="W1019" s="55">
        <f t="shared" si="214"/>
        <v>3884.1708542713568</v>
      </c>
      <c r="X1019" s="55">
        <f t="shared" si="215"/>
        <v>-29.500031804592709</v>
      </c>
      <c r="Y1019" s="55">
        <f t="shared" si="216"/>
        <v>2540</v>
      </c>
      <c r="Z1019" s="55">
        <f t="shared" si="217"/>
        <v>2540</v>
      </c>
      <c r="AA1019" s="55">
        <f t="shared" si="218"/>
        <v>0</v>
      </c>
      <c r="AB1019" s="55">
        <f t="shared" si="219"/>
        <v>1344.1708542713568</v>
      </c>
      <c r="AC1019" s="54">
        <f t="shared" si="220"/>
        <v>0.34606378161588719</v>
      </c>
      <c r="AD1019" s="56">
        <f>INDEX(Assumptions!$B$14:$B$16,MATCH($R1019,Assumptions!$A$14:$A$16,0))</f>
        <v>0.32</v>
      </c>
      <c r="AE1019" s="56">
        <f>INDEX(Assumptions!$C$14:$C$16,MATCH($R1019,Assumptions!$A$14:$A$16,0))</f>
        <v>0.22</v>
      </c>
      <c r="AF1019" s="49">
        <f t="shared" si="221"/>
        <v>0</v>
      </c>
      <c r="AG1019" s="49">
        <f t="shared" si="222"/>
        <v>0</v>
      </c>
      <c r="AH1019" s="55">
        <f t="shared" si="223"/>
        <v>0</v>
      </c>
    </row>
    <row r="1020" spans="1:34" x14ac:dyDescent="0.2">
      <c r="A1020" s="48" t="s">
        <v>949</v>
      </c>
      <c r="B1020" s="48">
        <v>1</v>
      </c>
      <c r="C1020" s="48" t="s">
        <v>925</v>
      </c>
      <c r="D1020" s="48" t="s">
        <v>844</v>
      </c>
      <c r="E1020" s="48" t="s">
        <v>305</v>
      </c>
      <c r="F1020" s="48" t="s">
        <v>274</v>
      </c>
      <c r="G1020" s="48" t="s">
        <v>306</v>
      </c>
      <c r="H1020" s="48" t="s">
        <v>62</v>
      </c>
      <c r="I1020" s="48" t="s">
        <v>98</v>
      </c>
      <c r="J1020" s="49">
        <v>2</v>
      </c>
      <c r="K1020" s="50">
        <v>2085</v>
      </c>
      <c r="L1020" s="50">
        <v>2064.12</v>
      </c>
      <c r="M1020" s="48" t="s">
        <v>276</v>
      </c>
      <c r="N1020" s="51">
        <v>1</v>
      </c>
      <c r="O1020" s="51">
        <v>1</v>
      </c>
      <c r="P1020" s="52">
        <v>1780.2</v>
      </c>
      <c r="Q1020" s="52">
        <v>1780.2</v>
      </c>
      <c r="R1020" s="53" t="str">
        <f>INDEX(SKU_Master!$D$5:$D$34,MATCH($I1020,SKU_Master!$A$5:$A$34,0))</f>
        <v>Laptop</v>
      </c>
      <c r="S1020" s="54">
        <f t="shared" si="210"/>
        <v>1.0014388489208659E-2</v>
      </c>
      <c r="T1020" s="55">
        <f t="shared" si="211"/>
        <v>4170</v>
      </c>
      <c r="U1020" s="55">
        <f t="shared" si="212"/>
        <v>4128.24</v>
      </c>
      <c r="V1020" s="55">
        <f t="shared" si="213"/>
        <v>-41.760000000000218</v>
      </c>
      <c r="W1020" s="55">
        <f t="shared" si="214"/>
        <v>4128.24</v>
      </c>
      <c r="X1020" s="55">
        <f t="shared" si="215"/>
        <v>0</v>
      </c>
      <c r="Y1020" s="55">
        <f t="shared" si="216"/>
        <v>3560.4</v>
      </c>
      <c r="Z1020" s="55">
        <f t="shared" si="217"/>
        <v>3560.4</v>
      </c>
      <c r="AA1020" s="55">
        <f t="shared" si="218"/>
        <v>0</v>
      </c>
      <c r="AB1020" s="55">
        <f t="shared" si="219"/>
        <v>567.83999999999969</v>
      </c>
      <c r="AC1020" s="54">
        <f t="shared" si="220"/>
        <v>0.13755014243357938</v>
      </c>
      <c r="AD1020" s="56">
        <f>INDEX(Assumptions!$B$14:$B$16,MATCH($R1020,Assumptions!$A$14:$A$16,0))</f>
        <v>0.12</v>
      </c>
      <c r="AE1020" s="56">
        <f>INDEX(Assumptions!$C$14:$C$16,MATCH($R1020,Assumptions!$A$14:$A$16,0))</f>
        <v>0.08</v>
      </c>
      <c r="AF1020" s="49">
        <f t="shared" si="221"/>
        <v>0</v>
      </c>
      <c r="AG1020" s="49">
        <f t="shared" si="222"/>
        <v>0</v>
      </c>
      <c r="AH1020" s="55">
        <f t="shared" si="223"/>
        <v>0</v>
      </c>
    </row>
    <row r="1021" spans="1:34" x14ac:dyDescent="0.2">
      <c r="A1021" s="48" t="s">
        <v>949</v>
      </c>
      <c r="B1021" s="48">
        <v>2</v>
      </c>
      <c r="C1021" s="48" t="s">
        <v>925</v>
      </c>
      <c r="D1021" s="48" t="s">
        <v>844</v>
      </c>
      <c r="E1021" s="48" t="s">
        <v>305</v>
      </c>
      <c r="F1021" s="48" t="s">
        <v>274</v>
      </c>
      <c r="G1021" s="48" t="s">
        <v>306</v>
      </c>
      <c r="H1021" s="48" t="s">
        <v>62</v>
      </c>
      <c r="I1021" s="48" t="s">
        <v>161</v>
      </c>
      <c r="J1021" s="49">
        <v>1</v>
      </c>
      <c r="K1021" s="50">
        <v>120</v>
      </c>
      <c r="L1021" s="50">
        <v>118.29</v>
      </c>
      <c r="M1021" s="48" t="s">
        <v>276</v>
      </c>
      <c r="N1021" s="51">
        <v>1</v>
      </c>
      <c r="O1021" s="51">
        <v>1</v>
      </c>
      <c r="P1021" s="52">
        <v>76</v>
      </c>
      <c r="Q1021" s="52">
        <v>76</v>
      </c>
      <c r="R1021" s="53" t="str">
        <f>INDEX(SKU_Master!$D$5:$D$34,MATCH($I1021,SKU_Master!$A$5:$A$34,0))</f>
        <v>Accessory</v>
      </c>
      <c r="S1021" s="54">
        <f t="shared" si="210"/>
        <v>1.4249999999999985E-2</v>
      </c>
      <c r="T1021" s="55">
        <f t="shared" si="211"/>
        <v>120</v>
      </c>
      <c r="U1021" s="55">
        <f t="shared" si="212"/>
        <v>118.29</v>
      </c>
      <c r="V1021" s="55">
        <f t="shared" si="213"/>
        <v>-1.7099999999999937</v>
      </c>
      <c r="W1021" s="55">
        <f t="shared" si="214"/>
        <v>118.29</v>
      </c>
      <c r="X1021" s="55">
        <f t="shared" si="215"/>
        <v>0</v>
      </c>
      <c r="Y1021" s="55">
        <f t="shared" si="216"/>
        <v>76</v>
      </c>
      <c r="Z1021" s="55">
        <f t="shared" si="217"/>
        <v>76</v>
      </c>
      <c r="AA1021" s="55">
        <f t="shared" si="218"/>
        <v>0</v>
      </c>
      <c r="AB1021" s="55">
        <f t="shared" si="219"/>
        <v>42.290000000000006</v>
      </c>
      <c r="AC1021" s="54">
        <f t="shared" si="220"/>
        <v>0.35751120128497765</v>
      </c>
      <c r="AD1021" s="56">
        <f>INDEX(Assumptions!$B$14:$B$16,MATCH($R1021,Assumptions!$A$14:$A$16,0))</f>
        <v>0.32</v>
      </c>
      <c r="AE1021" s="56">
        <f>INDEX(Assumptions!$C$14:$C$16,MATCH($R1021,Assumptions!$A$14:$A$16,0))</f>
        <v>0.22</v>
      </c>
      <c r="AF1021" s="49">
        <f t="shared" si="221"/>
        <v>0</v>
      </c>
      <c r="AG1021" s="49">
        <f t="shared" si="222"/>
        <v>0</v>
      </c>
      <c r="AH1021" s="55">
        <f t="shared" si="223"/>
        <v>0</v>
      </c>
    </row>
    <row r="1022" spans="1:34" x14ac:dyDescent="0.2">
      <c r="A1022" s="48" t="s">
        <v>950</v>
      </c>
      <c r="B1022" s="48">
        <v>1</v>
      </c>
      <c r="C1022" s="48" t="s">
        <v>904</v>
      </c>
      <c r="D1022" s="48" t="s">
        <v>844</v>
      </c>
      <c r="E1022" s="48" t="s">
        <v>349</v>
      </c>
      <c r="F1022" s="48" t="s">
        <v>274</v>
      </c>
      <c r="G1022" s="48" t="s">
        <v>275</v>
      </c>
      <c r="H1022" s="48" t="s">
        <v>66</v>
      </c>
      <c r="I1022" s="48" t="s">
        <v>103</v>
      </c>
      <c r="J1022" s="49">
        <v>4</v>
      </c>
      <c r="K1022" s="50">
        <v>1090</v>
      </c>
      <c r="L1022" s="50">
        <v>1081.23</v>
      </c>
      <c r="M1022" s="48" t="s">
        <v>276</v>
      </c>
      <c r="N1022" s="51">
        <v>0.92</v>
      </c>
      <c r="O1022" s="51">
        <v>0.91820000000000002</v>
      </c>
      <c r="P1022" s="52">
        <v>988.6</v>
      </c>
      <c r="Q1022" s="52">
        <v>988.6</v>
      </c>
      <c r="R1022" s="53" t="str">
        <f>INDEX(SKU_Master!$D$5:$D$34,MATCH($I1022,SKU_Master!$A$5:$A$34,0))</f>
        <v>Laptop</v>
      </c>
      <c r="S1022" s="54">
        <f t="shared" si="210"/>
        <v>8.0458715596329888E-3</v>
      </c>
      <c r="T1022" s="55">
        <f t="shared" si="211"/>
        <v>4739.1304347826081</v>
      </c>
      <c r="U1022" s="55">
        <f t="shared" si="212"/>
        <v>4701</v>
      </c>
      <c r="V1022" s="55">
        <f t="shared" si="213"/>
        <v>-38.130434782608063</v>
      </c>
      <c r="W1022" s="55">
        <f t="shared" si="214"/>
        <v>4710.2156392942716</v>
      </c>
      <c r="X1022" s="55">
        <f t="shared" si="215"/>
        <v>9.2156392942715684</v>
      </c>
      <c r="Y1022" s="55">
        <f t="shared" si="216"/>
        <v>3954.4</v>
      </c>
      <c r="Z1022" s="55">
        <f t="shared" si="217"/>
        <v>3954.4</v>
      </c>
      <c r="AA1022" s="55">
        <f t="shared" si="218"/>
        <v>0</v>
      </c>
      <c r="AB1022" s="55">
        <f t="shared" si="219"/>
        <v>755.81563929427148</v>
      </c>
      <c r="AC1022" s="54">
        <f t="shared" si="220"/>
        <v>0.16046306521276696</v>
      </c>
      <c r="AD1022" s="56">
        <f>INDEX(Assumptions!$B$14:$B$16,MATCH($R1022,Assumptions!$A$14:$A$16,0))</f>
        <v>0.12</v>
      </c>
      <c r="AE1022" s="56">
        <f>INDEX(Assumptions!$C$14:$C$16,MATCH($R1022,Assumptions!$A$14:$A$16,0))</f>
        <v>0.08</v>
      </c>
      <c r="AF1022" s="49">
        <f t="shared" si="221"/>
        <v>0</v>
      </c>
      <c r="AG1022" s="49">
        <f t="shared" si="222"/>
        <v>0</v>
      </c>
      <c r="AH1022" s="55">
        <f t="shared" si="223"/>
        <v>0</v>
      </c>
    </row>
    <row r="1023" spans="1:34" x14ac:dyDescent="0.2">
      <c r="A1023" s="48" t="s">
        <v>951</v>
      </c>
      <c r="B1023" s="48">
        <v>1</v>
      </c>
      <c r="C1023" s="48" t="s">
        <v>952</v>
      </c>
      <c r="D1023" s="48" t="s">
        <v>844</v>
      </c>
      <c r="E1023" s="48" t="s">
        <v>437</v>
      </c>
      <c r="F1023" s="48" t="s">
        <v>274</v>
      </c>
      <c r="G1023" s="48" t="s">
        <v>302</v>
      </c>
      <c r="H1023" s="48" t="s">
        <v>62</v>
      </c>
      <c r="I1023" s="48" t="s">
        <v>108</v>
      </c>
      <c r="J1023" s="49">
        <v>8</v>
      </c>
      <c r="K1023" s="50">
        <v>1345</v>
      </c>
      <c r="L1023" s="50">
        <v>1336.95</v>
      </c>
      <c r="M1023" s="48" t="s">
        <v>276</v>
      </c>
      <c r="N1023" s="51">
        <v>1</v>
      </c>
      <c r="O1023" s="51">
        <v>1</v>
      </c>
      <c r="P1023" s="52">
        <v>1145</v>
      </c>
      <c r="Q1023" s="52">
        <v>1145</v>
      </c>
      <c r="R1023" s="53" t="str">
        <f>INDEX(SKU_Master!$D$5:$D$34,MATCH($I1023,SKU_Master!$A$5:$A$34,0))</f>
        <v>Laptop</v>
      </c>
      <c r="S1023" s="54">
        <f t="shared" si="210"/>
        <v>5.9851301115241284E-3</v>
      </c>
      <c r="T1023" s="55">
        <f t="shared" si="211"/>
        <v>10760</v>
      </c>
      <c r="U1023" s="55">
        <f t="shared" si="212"/>
        <v>10695.6</v>
      </c>
      <c r="V1023" s="55">
        <f t="shared" si="213"/>
        <v>-64.399999999999636</v>
      </c>
      <c r="W1023" s="55">
        <f t="shared" si="214"/>
        <v>10695.6</v>
      </c>
      <c r="X1023" s="55">
        <f t="shared" si="215"/>
        <v>0</v>
      </c>
      <c r="Y1023" s="55">
        <f t="shared" si="216"/>
        <v>9160</v>
      </c>
      <c r="Z1023" s="55">
        <f t="shared" si="217"/>
        <v>9160</v>
      </c>
      <c r="AA1023" s="55">
        <f t="shared" si="218"/>
        <v>0</v>
      </c>
      <c r="AB1023" s="55">
        <f t="shared" si="219"/>
        <v>1535.6000000000004</v>
      </c>
      <c r="AC1023" s="54">
        <f t="shared" si="220"/>
        <v>0.14357305807995815</v>
      </c>
      <c r="AD1023" s="56">
        <f>INDEX(Assumptions!$B$14:$B$16,MATCH($R1023,Assumptions!$A$14:$A$16,0))</f>
        <v>0.12</v>
      </c>
      <c r="AE1023" s="56">
        <f>INDEX(Assumptions!$C$14:$C$16,MATCH($R1023,Assumptions!$A$14:$A$16,0))</f>
        <v>0.08</v>
      </c>
      <c r="AF1023" s="49">
        <f t="shared" si="221"/>
        <v>0</v>
      </c>
      <c r="AG1023" s="49">
        <f t="shared" si="222"/>
        <v>0</v>
      </c>
      <c r="AH1023" s="55">
        <f t="shared" si="223"/>
        <v>0</v>
      </c>
    </row>
    <row r="1024" spans="1:34" x14ac:dyDescent="0.2">
      <c r="A1024" s="48" t="s">
        <v>951</v>
      </c>
      <c r="B1024" s="48">
        <v>2</v>
      </c>
      <c r="C1024" s="48" t="s">
        <v>952</v>
      </c>
      <c r="D1024" s="48" t="s">
        <v>844</v>
      </c>
      <c r="E1024" s="48" t="s">
        <v>437</v>
      </c>
      <c r="F1024" s="48" t="s">
        <v>274</v>
      </c>
      <c r="G1024" s="48" t="s">
        <v>302</v>
      </c>
      <c r="H1024" s="48" t="s">
        <v>62</v>
      </c>
      <c r="I1024" s="48" t="s">
        <v>144</v>
      </c>
      <c r="J1024" s="49">
        <v>5</v>
      </c>
      <c r="K1024" s="50">
        <v>370</v>
      </c>
      <c r="L1024" s="50">
        <v>356.36</v>
      </c>
      <c r="M1024" s="48" t="s">
        <v>276</v>
      </c>
      <c r="N1024" s="51">
        <v>1</v>
      </c>
      <c r="O1024" s="51">
        <v>1</v>
      </c>
      <c r="P1024" s="52">
        <v>289.60000000000002</v>
      </c>
      <c r="Q1024" s="52">
        <v>289.60000000000002</v>
      </c>
      <c r="R1024" s="53" t="str">
        <f>INDEX(SKU_Master!$D$5:$D$34,MATCH($I1024,SKU_Master!$A$5:$A$34,0))</f>
        <v>Monitor</v>
      </c>
      <c r="S1024" s="54">
        <f t="shared" si="210"/>
        <v>3.6864864864864844E-2</v>
      </c>
      <c r="T1024" s="55">
        <f t="shared" si="211"/>
        <v>1850</v>
      </c>
      <c r="U1024" s="55">
        <f t="shared" si="212"/>
        <v>1781.8000000000002</v>
      </c>
      <c r="V1024" s="55">
        <f t="shared" si="213"/>
        <v>-68.199999999999818</v>
      </c>
      <c r="W1024" s="55">
        <f t="shared" si="214"/>
        <v>1781.8000000000002</v>
      </c>
      <c r="X1024" s="55">
        <f t="shared" si="215"/>
        <v>0</v>
      </c>
      <c r="Y1024" s="55">
        <f t="shared" si="216"/>
        <v>1448</v>
      </c>
      <c r="Z1024" s="55">
        <f t="shared" si="217"/>
        <v>1448</v>
      </c>
      <c r="AA1024" s="55">
        <f t="shared" si="218"/>
        <v>0</v>
      </c>
      <c r="AB1024" s="55">
        <f t="shared" si="219"/>
        <v>333.80000000000018</v>
      </c>
      <c r="AC1024" s="54">
        <f t="shared" si="220"/>
        <v>0.18733864631271757</v>
      </c>
      <c r="AD1024" s="56">
        <f>INDEX(Assumptions!$B$14:$B$16,MATCH($R1024,Assumptions!$A$14:$A$16,0))</f>
        <v>0.18</v>
      </c>
      <c r="AE1024" s="56">
        <f>INDEX(Assumptions!$C$14:$C$16,MATCH($R1024,Assumptions!$A$14:$A$16,0))</f>
        <v>0.12</v>
      </c>
      <c r="AF1024" s="49">
        <f t="shared" si="221"/>
        <v>0</v>
      </c>
      <c r="AG1024" s="49">
        <f t="shared" si="222"/>
        <v>0</v>
      </c>
      <c r="AH1024" s="55">
        <f t="shared" si="223"/>
        <v>0</v>
      </c>
    </row>
    <row r="1025" spans="1:34" x14ac:dyDescent="0.2">
      <c r="A1025" s="48" t="s">
        <v>953</v>
      </c>
      <c r="B1025" s="48">
        <v>1</v>
      </c>
      <c r="C1025" s="48" t="s">
        <v>889</v>
      </c>
      <c r="D1025" s="48" t="s">
        <v>844</v>
      </c>
      <c r="E1025" s="48" t="s">
        <v>362</v>
      </c>
      <c r="F1025" s="48" t="s">
        <v>280</v>
      </c>
      <c r="G1025" s="48" t="s">
        <v>275</v>
      </c>
      <c r="H1025" s="48" t="s">
        <v>62</v>
      </c>
      <c r="I1025" s="48" t="s">
        <v>103</v>
      </c>
      <c r="J1025" s="49">
        <v>8</v>
      </c>
      <c r="K1025" s="50">
        <v>1135</v>
      </c>
      <c r="L1025" s="50">
        <v>1112.73</v>
      </c>
      <c r="M1025" s="48" t="s">
        <v>276</v>
      </c>
      <c r="N1025" s="51">
        <v>1</v>
      </c>
      <c r="O1025" s="51">
        <v>1</v>
      </c>
      <c r="P1025" s="52">
        <v>968.6</v>
      </c>
      <c r="Q1025" s="52">
        <v>968.6</v>
      </c>
      <c r="R1025" s="53" t="str">
        <f>INDEX(SKU_Master!$D$5:$D$34,MATCH($I1025,SKU_Master!$A$5:$A$34,0))</f>
        <v>Laptop</v>
      </c>
      <c r="S1025" s="54">
        <f t="shared" si="210"/>
        <v>1.9621145374449367E-2</v>
      </c>
      <c r="T1025" s="55">
        <f t="shared" si="211"/>
        <v>9080</v>
      </c>
      <c r="U1025" s="55">
        <f t="shared" si="212"/>
        <v>8901.84</v>
      </c>
      <c r="V1025" s="55">
        <f t="shared" si="213"/>
        <v>-178.15999999999985</v>
      </c>
      <c r="W1025" s="55">
        <f t="shared" si="214"/>
        <v>8901.84</v>
      </c>
      <c r="X1025" s="55">
        <f t="shared" si="215"/>
        <v>0</v>
      </c>
      <c r="Y1025" s="55">
        <f t="shared" si="216"/>
        <v>7748.8</v>
      </c>
      <c r="Z1025" s="55">
        <f t="shared" si="217"/>
        <v>7748.8</v>
      </c>
      <c r="AA1025" s="55">
        <f t="shared" si="218"/>
        <v>0</v>
      </c>
      <c r="AB1025" s="55">
        <f t="shared" si="219"/>
        <v>1153.04</v>
      </c>
      <c r="AC1025" s="54">
        <f t="shared" si="220"/>
        <v>0.12952827729997393</v>
      </c>
      <c r="AD1025" s="56">
        <f>INDEX(Assumptions!$B$14:$B$16,MATCH($R1025,Assumptions!$A$14:$A$16,0))</f>
        <v>0.12</v>
      </c>
      <c r="AE1025" s="56">
        <f>INDEX(Assumptions!$C$14:$C$16,MATCH($R1025,Assumptions!$A$14:$A$16,0))</f>
        <v>0.08</v>
      </c>
      <c r="AF1025" s="49">
        <f t="shared" si="221"/>
        <v>0</v>
      </c>
      <c r="AG1025" s="49">
        <f t="shared" si="222"/>
        <v>0</v>
      </c>
      <c r="AH1025" s="55">
        <f t="shared" si="223"/>
        <v>0</v>
      </c>
    </row>
    <row r="1026" spans="1:34" x14ac:dyDescent="0.2">
      <c r="A1026" s="48" t="s">
        <v>953</v>
      </c>
      <c r="B1026" s="48">
        <v>2</v>
      </c>
      <c r="C1026" s="48" t="s">
        <v>889</v>
      </c>
      <c r="D1026" s="48" t="s">
        <v>844</v>
      </c>
      <c r="E1026" s="48" t="s">
        <v>362</v>
      </c>
      <c r="F1026" s="48" t="s">
        <v>280</v>
      </c>
      <c r="G1026" s="48" t="s">
        <v>275</v>
      </c>
      <c r="H1026" s="48" t="s">
        <v>62</v>
      </c>
      <c r="I1026" s="48" t="s">
        <v>138</v>
      </c>
      <c r="J1026" s="49">
        <v>5</v>
      </c>
      <c r="K1026" s="50">
        <v>455</v>
      </c>
      <c r="L1026" s="50">
        <v>445.65</v>
      </c>
      <c r="M1026" s="48" t="s">
        <v>276</v>
      </c>
      <c r="N1026" s="51">
        <v>1</v>
      </c>
      <c r="O1026" s="51">
        <v>1</v>
      </c>
      <c r="P1026" s="52">
        <v>358.2</v>
      </c>
      <c r="Q1026" s="52">
        <v>358.2</v>
      </c>
      <c r="R1026" s="53" t="str">
        <f>INDEX(SKU_Master!$D$5:$D$34,MATCH($I1026,SKU_Master!$A$5:$A$34,0))</f>
        <v>Monitor</v>
      </c>
      <c r="S1026" s="54">
        <f t="shared" si="210"/>
        <v>2.0549450549450565E-2</v>
      </c>
      <c r="T1026" s="55">
        <f t="shared" si="211"/>
        <v>2275</v>
      </c>
      <c r="U1026" s="55">
        <f t="shared" si="212"/>
        <v>2228.25</v>
      </c>
      <c r="V1026" s="55">
        <f t="shared" si="213"/>
        <v>-46.75</v>
      </c>
      <c r="W1026" s="55">
        <f t="shared" si="214"/>
        <v>2228.25</v>
      </c>
      <c r="X1026" s="55">
        <f t="shared" si="215"/>
        <v>0</v>
      </c>
      <c r="Y1026" s="55">
        <f t="shared" si="216"/>
        <v>1791</v>
      </c>
      <c r="Z1026" s="55">
        <f t="shared" si="217"/>
        <v>1791</v>
      </c>
      <c r="AA1026" s="55">
        <f t="shared" si="218"/>
        <v>0</v>
      </c>
      <c r="AB1026" s="55">
        <f t="shared" si="219"/>
        <v>437.25</v>
      </c>
      <c r="AC1026" s="54">
        <f t="shared" si="220"/>
        <v>0.19623022551329519</v>
      </c>
      <c r="AD1026" s="56">
        <f>INDEX(Assumptions!$B$14:$B$16,MATCH($R1026,Assumptions!$A$14:$A$16,0))</f>
        <v>0.18</v>
      </c>
      <c r="AE1026" s="56">
        <f>INDEX(Assumptions!$C$14:$C$16,MATCH($R1026,Assumptions!$A$14:$A$16,0))</f>
        <v>0.12</v>
      </c>
      <c r="AF1026" s="49">
        <f t="shared" si="221"/>
        <v>0</v>
      </c>
      <c r="AG1026" s="49">
        <f t="shared" si="222"/>
        <v>0</v>
      </c>
      <c r="AH1026" s="55">
        <f t="shared" si="223"/>
        <v>0</v>
      </c>
    </row>
    <row r="1027" spans="1:34" x14ac:dyDescent="0.2">
      <c r="A1027" s="48" t="s">
        <v>954</v>
      </c>
      <c r="B1027" s="48">
        <v>1</v>
      </c>
      <c r="C1027" s="48" t="s">
        <v>851</v>
      </c>
      <c r="D1027" s="48" t="s">
        <v>844</v>
      </c>
      <c r="E1027" s="48" t="s">
        <v>314</v>
      </c>
      <c r="F1027" s="48" t="s">
        <v>274</v>
      </c>
      <c r="G1027" s="48" t="s">
        <v>298</v>
      </c>
      <c r="H1027" s="48" t="s">
        <v>68</v>
      </c>
      <c r="I1027" s="48" t="s">
        <v>98</v>
      </c>
      <c r="J1027" s="49">
        <v>7</v>
      </c>
      <c r="K1027" s="50">
        <v>2935</v>
      </c>
      <c r="L1027" s="50">
        <v>2892.07</v>
      </c>
      <c r="M1027" s="48" t="s">
        <v>276</v>
      </c>
      <c r="N1027" s="51">
        <v>1.37</v>
      </c>
      <c r="O1027" s="51">
        <v>1.3718999999999999</v>
      </c>
      <c r="P1027" s="52">
        <v>1792.2</v>
      </c>
      <c r="Q1027" s="52">
        <v>1792.2</v>
      </c>
      <c r="R1027" s="53" t="str">
        <f>INDEX(SKU_Master!$D$5:$D$34,MATCH($I1027,SKU_Master!$A$5:$A$34,0))</f>
        <v>Laptop</v>
      </c>
      <c r="S1027" s="54">
        <f t="shared" si="210"/>
        <v>1.4626916524701827E-2</v>
      </c>
      <c r="T1027" s="55">
        <f t="shared" si="211"/>
        <v>14996.350364963502</v>
      </c>
      <c r="U1027" s="55">
        <f t="shared" si="212"/>
        <v>14777</v>
      </c>
      <c r="V1027" s="55">
        <f t="shared" si="213"/>
        <v>-219.35036496350222</v>
      </c>
      <c r="W1027" s="55">
        <f t="shared" si="214"/>
        <v>14756.534732852251</v>
      </c>
      <c r="X1027" s="55">
        <f t="shared" si="215"/>
        <v>-20.465267147748818</v>
      </c>
      <c r="Y1027" s="55">
        <f t="shared" si="216"/>
        <v>12545.4</v>
      </c>
      <c r="Z1027" s="55">
        <f t="shared" si="217"/>
        <v>12545.4</v>
      </c>
      <c r="AA1027" s="55">
        <f t="shared" si="218"/>
        <v>0</v>
      </c>
      <c r="AB1027" s="55">
        <f t="shared" si="219"/>
        <v>2211.1347328522515</v>
      </c>
      <c r="AC1027" s="54">
        <f t="shared" si="220"/>
        <v>0.14984105502287307</v>
      </c>
      <c r="AD1027" s="56">
        <f>INDEX(Assumptions!$B$14:$B$16,MATCH($R1027,Assumptions!$A$14:$A$16,0))</f>
        <v>0.12</v>
      </c>
      <c r="AE1027" s="56">
        <f>INDEX(Assumptions!$C$14:$C$16,MATCH($R1027,Assumptions!$A$14:$A$16,0))</f>
        <v>0.08</v>
      </c>
      <c r="AF1027" s="49">
        <f t="shared" si="221"/>
        <v>0</v>
      </c>
      <c r="AG1027" s="49">
        <f t="shared" si="222"/>
        <v>0</v>
      </c>
      <c r="AH1027" s="55">
        <f t="shared" si="223"/>
        <v>0</v>
      </c>
    </row>
    <row r="1028" spans="1:34" x14ac:dyDescent="0.2">
      <c r="A1028" s="48" t="s">
        <v>954</v>
      </c>
      <c r="B1028" s="48">
        <v>2</v>
      </c>
      <c r="C1028" s="48" t="s">
        <v>851</v>
      </c>
      <c r="D1028" s="48" t="s">
        <v>844</v>
      </c>
      <c r="E1028" s="48" t="s">
        <v>314</v>
      </c>
      <c r="F1028" s="48" t="s">
        <v>274</v>
      </c>
      <c r="G1028" s="48" t="s">
        <v>298</v>
      </c>
      <c r="H1028" s="48" t="s">
        <v>68</v>
      </c>
      <c r="I1028" s="48" t="s">
        <v>170</v>
      </c>
      <c r="J1028" s="49">
        <v>3</v>
      </c>
      <c r="K1028" s="50">
        <v>280</v>
      </c>
      <c r="L1028" s="50">
        <v>279.51</v>
      </c>
      <c r="M1028" s="48" t="s">
        <v>276</v>
      </c>
      <c r="N1028" s="51">
        <v>1.37</v>
      </c>
      <c r="O1028" s="51">
        <v>1.3718999999999999</v>
      </c>
      <c r="P1028" s="52">
        <v>129</v>
      </c>
      <c r="Q1028" s="52">
        <v>129</v>
      </c>
      <c r="R1028" s="53" t="str">
        <f>INDEX(SKU_Master!$D$5:$D$34,MATCH($I1028,SKU_Master!$A$5:$A$34,0))</f>
        <v>Accessory</v>
      </c>
      <c r="S1028" s="54">
        <f t="shared" si="210"/>
        <v>1.7500000000000293E-3</v>
      </c>
      <c r="T1028" s="55">
        <f t="shared" si="211"/>
        <v>613.13868613138686</v>
      </c>
      <c r="U1028" s="55">
        <f t="shared" si="212"/>
        <v>612.06569343065689</v>
      </c>
      <c r="V1028" s="55">
        <f t="shared" si="213"/>
        <v>-1.0729927007299693</v>
      </c>
      <c r="W1028" s="55">
        <f t="shared" si="214"/>
        <v>611.2180188060355</v>
      </c>
      <c r="X1028" s="55">
        <f t="shared" si="215"/>
        <v>-0.84767462462139065</v>
      </c>
      <c r="Y1028" s="55">
        <f t="shared" si="216"/>
        <v>387</v>
      </c>
      <c r="Z1028" s="55">
        <f t="shared" si="217"/>
        <v>387</v>
      </c>
      <c r="AA1028" s="55">
        <f t="shared" si="218"/>
        <v>0</v>
      </c>
      <c r="AB1028" s="55">
        <f t="shared" si="219"/>
        <v>224.2180188060355</v>
      </c>
      <c r="AC1028" s="54">
        <f t="shared" si="220"/>
        <v>0.36683803799506287</v>
      </c>
      <c r="AD1028" s="56">
        <f>INDEX(Assumptions!$B$14:$B$16,MATCH($R1028,Assumptions!$A$14:$A$16,0))</f>
        <v>0.32</v>
      </c>
      <c r="AE1028" s="56">
        <f>INDEX(Assumptions!$C$14:$C$16,MATCH($R1028,Assumptions!$A$14:$A$16,0))</f>
        <v>0.22</v>
      </c>
      <c r="AF1028" s="49">
        <f t="shared" si="221"/>
        <v>0</v>
      </c>
      <c r="AG1028" s="49">
        <f t="shared" si="222"/>
        <v>0</v>
      </c>
      <c r="AH1028" s="55">
        <f t="shared" si="223"/>
        <v>0</v>
      </c>
    </row>
    <row r="1029" spans="1:34" x14ac:dyDescent="0.2">
      <c r="A1029" s="48" t="s">
        <v>955</v>
      </c>
      <c r="B1029" s="48">
        <v>1</v>
      </c>
      <c r="C1029" s="48" t="s">
        <v>851</v>
      </c>
      <c r="D1029" s="48" t="s">
        <v>844</v>
      </c>
      <c r="E1029" s="48" t="s">
        <v>384</v>
      </c>
      <c r="F1029" s="48" t="s">
        <v>297</v>
      </c>
      <c r="G1029" s="48" t="s">
        <v>281</v>
      </c>
      <c r="H1029" s="48" t="s">
        <v>70</v>
      </c>
      <c r="I1029" s="48" t="s">
        <v>93</v>
      </c>
      <c r="J1029" s="49">
        <v>76</v>
      </c>
      <c r="K1029" s="50">
        <v>134750</v>
      </c>
      <c r="L1029" s="50">
        <v>131116.1</v>
      </c>
      <c r="M1029" s="48" t="s">
        <v>276</v>
      </c>
      <c r="N1029" s="51">
        <v>83.5</v>
      </c>
      <c r="O1029" s="51">
        <v>84.521799999999999</v>
      </c>
      <c r="P1029" s="52">
        <v>1351.7</v>
      </c>
      <c r="Q1029" s="52">
        <v>1371.7</v>
      </c>
      <c r="R1029" s="53" t="str">
        <f>INDEX(SKU_Master!$D$5:$D$34,MATCH($I1029,SKU_Master!$A$5:$A$34,0))</f>
        <v>Laptop</v>
      </c>
      <c r="S1029" s="54">
        <f t="shared" ref="S1029:S1092" si="224">IF(K1029=0,0,1-L1029/K1029)</f>
        <v>2.6967717996289386E-2</v>
      </c>
      <c r="T1029" s="55">
        <f t="shared" ref="T1029:T1092" si="225">J1029*K1029/N1029</f>
        <v>122646.70658682635</v>
      </c>
      <c r="U1029" s="55">
        <f t="shared" ref="U1029:U1092" si="226">J1029*L1029/N1029</f>
        <v>119339.20479041916</v>
      </c>
      <c r="V1029" s="55">
        <f t="shared" ref="V1029:V1092" si="227">U1029-T1029</f>
        <v>-3307.5017964071885</v>
      </c>
      <c r="W1029" s="55">
        <f t="shared" ref="W1029:W1092" si="228">J1029*L1029/O1029</f>
        <v>117896.49060952321</v>
      </c>
      <c r="X1029" s="55">
        <f t="shared" ref="X1029:X1092" si="229">W1029-U1029</f>
        <v>-1442.7141808959423</v>
      </c>
      <c r="Y1029" s="55">
        <f t="shared" ref="Y1029:Y1092" si="230">J1029*P1029</f>
        <v>102729.2</v>
      </c>
      <c r="Z1029" s="55">
        <f t="shared" ref="Z1029:Z1092" si="231">J1029*Q1029</f>
        <v>104249.2</v>
      </c>
      <c r="AA1029" s="55">
        <f t="shared" ref="AA1029:AA1092" si="232">Y1029-Z1029</f>
        <v>-1520</v>
      </c>
      <c r="AB1029" s="55">
        <f t="shared" ref="AB1029:AB1092" si="233">W1029-Z1029</f>
        <v>13647.290609523217</v>
      </c>
      <c r="AC1029" s="54">
        <f t="shared" ref="AC1029:AC1092" si="234">IF(W1029=0,0,AB1029/W1029)</f>
        <v>0.11575654660259109</v>
      </c>
      <c r="AD1029" s="56">
        <f>INDEX(Assumptions!$B$14:$B$16,MATCH($R1029,Assumptions!$A$14:$A$16,0))</f>
        <v>0.12</v>
      </c>
      <c r="AE1029" s="56">
        <f>INDEX(Assumptions!$C$14:$C$16,MATCH($R1029,Assumptions!$A$14:$A$16,0))</f>
        <v>0.08</v>
      </c>
      <c r="AF1029" s="49">
        <f t="shared" ref="AF1029:AF1092" si="235">IF(AC1029&lt;AE1029,1,0)</f>
        <v>0</v>
      </c>
      <c r="AG1029" s="49">
        <f t="shared" ref="AG1029:AG1092" si="236">IF(AND(AF1029=1,M1029="N"),1,0)</f>
        <v>0</v>
      </c>
      <c r="AH1029" s="55">
        <f t="shared" ref="AH1029:AH1092" si="237">MAX(0,W1029*AD1029-AB1029)</f>
        <v>500.28826361956817</v>
      </c>
    </row>
    <row r="1030" spans="1:34" x14ac:dyDescent="0.2">
      <c r="A1030" s="48" t="s">
        <v>955</v>
      </c>
      <c r="B1030" s="48">
        <v>2</v>
      </c>
      <c r="C1030" s="48" t="s">
        <v>851</v>
      </c>
      <c r="D1030" s="48" t="s">
        <v>844</v>
      </c>
      <c r="E1030" s="48" t="s">
        <v>384</v>
      </c>
      <c r="F1030" s="48" t="s">
        <v>297</v>
      </c>
      <c r="G1030" s="48" t="s">
        <v>281</v>
      </c>
      <c r="H1030" s="48" t="s">
        <v>70</v>
      </c>
      <c r="I1030" s="48" t="s">
        <v>138</v>
      </c>
      <c r="J1030" s="49">
        <v>84</v>
      </c>
      <c r="K1030" s="50">
        <v>47515</v>
      </c>
      <c r="L1030" s="50">
        <v>46242.26</v>
      </c>
      <c r="M1030" s="48" t="s">
        <v>276</v>
      </c>
      <c r="N1030" s="51">
        <v>83.5</v>
      </c>
      <c r="O1030" s="51">
        <v>84.521799999999999</v>
      </c>
      <c r="P1030" s="52">
        <v>439.85</v>
      </c>
      <c r="Q1030" s="52">
        <v>459.85</v>
      </c>
      <c r="R1030" s="53" t="str">
        <f>INDEX(SKU_Master!$D$5:$D$34,MATCH($I1030,SKU_Master!$A$5:$A$34,0))</f>
        <v>Monitor</v>
      </c>
      <c r="S1030" s="54">
        <f t="shared" si="224"/>
        <v>2.6786067557613369E-2</v>
      </c>
      <c r="T1030" s="55">
        <f t="shared" si="225"/>
        <v>47799.520958083835</v>
      </c>
      <c r="U1030" s="55">
        <f t="shared" si="226"/>
        <v>46519.159760479044</v>
      </c>
      <c r="V1030" s="55">
        <f t="shared" si="227"/>
        <v>-1280.3611976047905</v>
      </c>
      <c r="W1030" s="55">
        <f t="shared" si="228"/>
        <v>45956.780854170174</v>
      </c>
      <c r="X1030" s="55">
        <f t="shared" si="229"/>
        <v>-562.37890630886977</v>
      </c>
      <c r="Y1030" s="55">
        <f t="shared" si="230"/>
        <v>36947.4</v>
      </c>
      <c r="Z1030" s="55">
        <f t="shared" si="231"/>
        <v>38627.4</v>
      </c>
      <c r="AA1030" s="55">
        <f t="shared" si="232"/>
        <v>-1680</v>
      </c>
      <c r="AB1030" s="55">
        <f t="shared" si="233"/>
        <v>7329.3808541701728</v>
      </c>
      <c r="AC1030" s="54">
        <f t="shared" si="234"/>
        <v>0.15948420924928852</v>
      </c>
      <c r="AD1030" s="56">
        <f>INDEX(Assumptions!$B$14:$B$16,MATCH($R1030,Assumptions!$A$14:$A$16,0))</f>
        <v>0.18</v>
      </c>
      <c r="AE1030" s="56">
        <f>INDEX(Assumptions!$C$14:$C$16,MATCH($R1030,Assumptions!$A$14:$A$16,0))</f>
        <v>0.12</v>
      </c>
      <c r="AF1030" s="49">
        <f t="shared" si="235"/>
        <v>0</v>
      </c>
      <c r="AG1030" s="49">
        <f t="shared" si="236"/>
        <v>0</v>
      </c>
      <c r="AH1030" s="55">
        <f t="shared" si="237"/>
        <v>942.83969958045782</v>
      </c>
    </row>
    <row r="1031" spans="1:34" x14ac:dyDescent="0.2">
      <c r="A1031" s="48" t="s">
        <v>955</v>
      </c>
      <c r="B1031" s="48">
        <v>3</v>
      </c>
      <c r="C1031" s="48" t="s">
        <v>851</v>
      </c>
      <c r="D1031" s="48" t="s">
        <v>844</v>
      </c>
      <c r="E1031" s="48" t="s">
        <v>384</v>
      </c>
      <c r="F1031" s="48" t="s">
        <v>297</v>
      </c>
      <c r="G1031" s="48" t="s">
        <v>281</v>
      </c>
      <c r="H1031" s="48" t="s">
        <v>70</v>
      </c>
      <c r="I1031" s="48" t="s">
        <v>166</v>
      </c>
      <c r="J1031" s="49">
        <v>70</v>
      </c>
      <c r="K1031" s="50">
        <v>25820</v>
      </c>
      <c r="L1031" s="50">
        <v>25229.19</v>
      </c>
      <c r="M1031" s="48" t="s">
        <v>276</v>
      </c>
      <c r="N1031" s="51">
        <v>83.5</v>
      </c>
      <c r="O1031" s="51">
        <v>84.521799999999999</v>
      </c>
      <c r="P1031" s="52">
        <v>196.32</v>
      </c>
      <c r="Q1031" s="52">
        <v>201.32</v>
      </c>
      <c r="R1031" s="53" t="str">
        <f>INDEX(SKU_Master!$D$5:$D$34,MATCH($I1031,SKU_Master!$A$5:$A$34,0))</f>
        <v>Accessory</v>
      </c>
      <c r="S1031" s="54">
        <f t="shared" si="224"/>
        <v>2.2881874515879197E-2</v>
      </c>
      <c r="T1031" s="55">
        <f t="shared" si="225"/>
        <v>21645.508982035928</v>
      </c>
      <c r="U1031" s="55">
        <f t="shared" si="226"/>
        <v>21150.219161676643</v>
      </c>
      <c r="V1031" s="55">
        <f t="shared" si="227"/>
        <v>-495.28982035928493</v>
      </c>
      <c r="W1031" s="55">
        <f t="shared" si="228"/>
        <v>20894.53016854823</v>
      </c>
      <c r="X1031" s="55">
        <f t="shared" si="229"/>
        <v>-255.68899312841313</v>
      </c>
      <c r="Y1031" s="55">
        <f t="shared" si="230"/>
        <v>13742.4</v>
      </c>
      <c r="Z1031" s="55">
        <f t="shared" si="231"/>
        <v>14092.4</v>
      </c>
      <c r="AA1031" s="55">
        <f t="shared" si="232"/>
        <v>-350</v>
      </c>
      <c r="AB1031" s="55">
        <f t="shared" si="233"/>
        <v>6802.1301685482304</v>
      </c>
      <c r="AC1031" s="54">
        <f t="shared" si="234"/>
        <v>0.32554597369158494</v>
      </c>
      <c r="AD1031" s="56">
        <f>INDEX(Assumptions!$B$14:$B$16,MATCH($R1031,Assumptions!$A$14:$A$16,0))</f>
        <v>0.32</v>
      </c>
      <c r="AE1031" s="56">
        <f>INDEX(Assumptions!$C$14:$C$16,MATCH($R1031,Assumptions!$A$14:$A$16,0))</f>
        <v>0.22</v>
      </c>
      <c r="AF1031" s="49">
        <f t="shared" si="235"/>
        <v>0</v>
      </c>
      <c r="AG1031" s="49">
        <f t="shared" si="236"/>
        <v>0</v>
      </c>
      <c r="AH1031" s="55">
        <f t="shared" si="237"/>
        <v>0</v>
      </c>
    </row>
    <row r="1032" spans="1:34" x14ac:dyDescent="0.2">
      <c r="A1032" s="48" t="s">
        <v>956</v>
      </c>
      <c r="B1032" s="48">
        <v>1</v>
      </c>
      <c r="C1032" s="48" t="s">
        <v>957</v>
      </c>
      <c r="D1032" s="48" t="s">
        <v>958</v>
      </c>
      <c r="E1032" s="48" t="s">
        <v>558</v>
      </c>
      <c r="F1032" s="48" t="s">
        <v>280</v>
      </c>
      <c r="G1032" s="48" t="s">
        <v>288</v>
      </c>
      <c r="H1032" s="48" t="s">
        <v>62</v>
      </c>
      <c r="I1032" s="48" t="s">
        <v>110</v>
      </c>
      <c r="J1032" s="49">
        <v>18</v>
      </c>
      <c r="K1032" s="50">
        <v>1165</v>
      </c>
      <c r="L1032" s="50">
        <v>1129.52</v>
      </c>
      <c r="M1032" s="48" t="s">
        <v>276</v>
      </c>
      <c r="N1032" s="51">
        <v>1</v>
      </c>
      <c r="O1032" s="51">
        <v>1</v>
      </c>
      <c r="P1032" s="52">
        <v>992.65</v>
      </c>
      <c r="Q1032" s="52">
        <v>992.65</v>
      </c>
      <c r="R1032" s="53" t="str">
        <f>INDEX(SKU_Master!$D$5:$D$34,MATCH($I1032,SKU_Master!$A$5:$A$34,0))</f>
        <v>Laptop</v>
      </c>
      <c r="S1032" s="54">
        <f t="shared" si="224"/>
        <v>3.0454935622317603E-2</v>
      </c>
      <c r="T1032" s="55">
        <f t="shared" si="225"/>
        <v>20970</v>
      </c>
      <c r="U1032" s="55">
        <f t="shared" si="226"/>
        <v>20331.36</v>
      </c>
      <c r="V1032" s="55">
        <f t="shared" si="227"/>
        <v>-638.63999999999942</v>
      </c>
      <c r="W1032" s="55">
        <f t="shared" si="228"/>
        <v>20331.36</v>
      </c>
      <c r="X1032" s="55">
        <f t="shared" si="229"/>
        <v>0</v>
      </c>
      <c r="Y1032" s="55">
        <f t="shared" si="230"/>
        <v>17867.7</v>
      </c>
      <c r="Z1032" s="55">
        <f t="shared" si="231"/>
        <v>17867.7</v>
      </c>
      <c r="AA1032" s="55">
        <f t="shared" si="232"/>
        <v>0</v>
      </c>
      <c r="AB1032" s="55">
        <f t="shared" si="233"/>
        <v>2463.66</v>
      </c>
      <c r="AC1032" s="54">
        <f t="shared" si="234"/>
        <v>0.12117536652737446</v>
      </c>
      <c r="AD1032" s="56">
        <f>INDEX(Assumptions!$B$14:$B$16,MATCH($R1032,Assumptions!$A$14:$A$16,0))</f>
        <v>0.12</v>
      </c>
      <c r="AE1032" s="56">
        <f>INDEX(Assumptions!$C$14:$C$16,MATCH($R1032,Assumptions!$A$14:$A$16,0))</f>
        <v>0.08</v>
      </c>
      <c r="AF1032" s="49">
        <f t="shared" si="235"/>
        <v>0</v>
      </c>
      <c r="AG1032" s="49">
        <f t="shared" si="236"/>
        <v>0</v>
      </c>
      <c r="AH1032" s="55">
        <f t="shared" si="237"/>
        <v>0</v>
      </c>
    </row>
    <row r="1033" spans="1:34" x14ac:dyDescent="0.2">
      <c r="A1033" s="48" t="s">
        <v>956</v>
      </c>
      <c r="B1033" s="48">
        <v>2</v>
      </c>
      <c r="C1033" s="48" t="s">
        <v>957</v>
      </c>
      <c r="D1033" s="48" t="s">
        <v>958</v>
      </c>
      <c r="E1033" s="48" t="s">
        <v>558</v>
      </c>
      <c r="F1033" s="48" t="s">
        <v>280</v>
      </c>
      <c r="G1033" s="48" t="s">
        <v>288</v>
      </c>
      <c r="H1033" s="48" t="s">
        <v>62</v>
      </c>
      <c r="I1033" s="48" t="s">
        <v>161</v>
      </c>
      <c r="J1033" s="49">
        <v>15</v>
      </c>
      <c r="K1033" s="50">
        <v>120</v>
      </c>
      <c r="L1033" s="50">
        <v>117.87</v>
      </c>
      <c r="M1033" s="48" t="s">
        <v>276</v>
      </c>
      <c r="N1033" s="51">
        <v>1</v>
      </c>
      <c r="O1033" s="51">
        <v>1</v>
      </c>
      <c r="P1033" s="52">
        <v>76</v>
      </c>
      <c r="Q1033" s="52">
        <v>76</v>
      </c>
      <c r="R1033" s="53" t="str">
        <f>INDEX(SKU_Master!$D$5:$D$34,MATCH($I1033,SKU_Master!$A$5:$A$34,0))</f>
        <v>Accessory</v>
      </c>
      <c r="S1033" s="54">
        <f t="shared" si="224"/>
        <v>1.7749999999999932E-2</v>
      </c>
      <c r="T1033" s="55">
        <f t="shared" si="225"/>
        <v>1800</v>
      </c>
      <c r="U1033" s="55">
        <f t="shared" si="226"/>
        <v>1768.0500000000002</v>
      </c>
      <c r="V1033" s="55">
        <f t="shared" si="227"/>
        <v>-31.949999999999818</v>
      </c>
      <c r="W1033" s="55">
        <f t="shared" si="228"/>
        <v>1768.0500000000002</v>
      </c>
      <c r="X1033" s="55">
        <f t="shared" si="229"/>
        <v>0</v>
      </c>
      <c r="Y1033" s="55">
        <f t="shared" si="230"/>
        <v>1140</v>
      </c>
      <c r="Z1033" s="55">
        <f t="shared" si="231"/>
        <v>1140</v>
      </c>
      <c r="AA1033" s="55">
        <f t="shared" si="232"/>
        <v>0</v>
      </c>
      <c r="AB1033" s="55">
        <f t="shared" si="233"/>
        <v>628.05000000000018</v>
      </c>
      <c r="AC1033" s="54">
        <f t="shared" si="234"/>
        <v>0.35522185458556044</v>
      </c>
      <c r="AD1033" s="56">
        <f>INDEX(Assumptions!$B$14:$B$16,MATCH($R1033,Assumptions!$A$14:$A$16,0))</f>
        <v>0.32</v>
      </c>
      <c r="AE1033" s="56">
        <f>INDEX(Assumptions!$C$14:$C$16,MATCH($R1033,Assumptions!$A$14:$A$16,0))</f>
        <v>0.22</v>
      </c>
      <c r="AF1033" s="49">
        <f t="shared" si="235"/>
        <v>0</v>
      </c>
      <c r="AG1033" s="49">
        <f t="shared" si="236"/>
        <v>0</v>
      </c>
      <c r="AH1033" s="55">
        <f t="shared" si="237"/>
        <v>0</v>
      </c>
    </row>
    <row r="1034" spans="1:34" x14ac:dyDescent="0.2">
      <c r="A1034" s="48" t="s">
        <v>959</v>
      </c>
      <c r="B1034" s="48">
        <v>1</v>
      </c>
      <c r="C1034" s="48" t="s">
        <v>960</v>
      </c>
      <c r="D1034" s="48" t="s">
        <v>958</v>
      </c>
      <c r="E1034" s="48" t="s">
        <v>301</v>
      </c>
      <c r="F1034" s="48" t="s">
        <v>274</v>
      </c>
      <c r="G1034" s="48" t="s">
        <v>302</v>
      </c>
      <c r="H1034" s="48" t="s">
        <v>62</v>
      </c>
      <c r="I1034" s="48" t="s">
        <v>93</v>
      </c>
      <c r="J1034" s="49">
        <v>7</v>
      </c>
      <c r="K1034" s="50">
        <v>1390</v>
      </c>
      <c r="L1034" s="50">
        <v>1373.41</v>
      </c>
      <c r="M1034" s="48" t="s">
        <v>276</v>
      </c>
      <c r="N1034" s="51">
        <v>1</v>
      </c>
      <c r="O1034" s="51">
        <v>1</v>
      </c>
      <c r="P1034" s="52">
        <v>1186.2</v>
      </c>
      <c r="Q1034" s="52">
        <v>1186.2</v>
      </c>
      <c r="R1034" s="53" t="str">
        <f>INDEX(SKU_Master!$D$5:$D$34,MATCH($I1034,SKU_Master!$A$5:$A$34,0))</f>
        <v>Laptop</v>
      </c>
      <c r="S1034" s="54">
        <f t="shared" si="224"/>
        <v>1.1935251798561142E-2</v>
      </c>
      <c r="T1034" s="55">
        <f t="shared" si="225"/>
        <v>9730</v>
      </c>
      <c r="U1034" s="55">
        <f t="shared" si="226"/>
        <v>9613.8700000000008</v>
      </c>
      <c r="V1034" s="55">
        <f t="shared" si="227"/>
        <v>-116.1299999999992</v>
      </c>
      <c r="W1034" s="55">
        <f t="shared" si="228"/>
        <v>9613.8700000000008</v>
      </c>
      <c r="X1034" s="55">
        <f t="shared" si="229"/>
        <v>0</v>
      </c>
      <c r="Y1034" s="55">
        <f t="shared" si="230"/>
        <v>8303.4</v>
      </c>
      <c r="Z1034" s="55">
        <f t="shared" si="231"/>
        <v>8303.4</v>
      </c>
      <c r="AA1034" s="55">
        <f t="shared" si="232"/>
        <v>0</v>
      </c>
      <c r="AB1034" s="55">
        <f t="shared" si="233"/>
        <v>1310.4700000000012</v>
      </c>
      <c r="AC1034" s="54">
        <f t="shared" si="234"/>
        <v>0.13631035160658517</v>
      </c>
      <c r="AD1034" s="56">
        <f>INDEX(Assumptions!$B$14:$B$16,MATCH($R1034,Assumptions!$A$14:$A$16,0))</f>
        <v>0.12</v>
      </c>
      <c r="AE1034" s="56">
        <f>INDEX(Assumptions!$C$14:$C$16,MATCH($R1034,Assumptions!$A$14:$A$16,0))</f>
        <v>0.08</v>
      </c>
      <c r="AF1034" s="49">
        <f t="shared" si="235"/>
        <v>0</v>
      </c>
      <c r="AG1034" s="49">
        <f t="shared" si="236"/>
        <v>0</v>
      </c>
      <c r="AH1034" s="55">
        <f t="shared" si="237"/>
        <v>0</v>
      </c>
    </row>
    <row r="1035" spans="1:34" x14ac:dyDescent="0.2">
      <c r="A1035" s="48" t="s">
        <v>959</v>
      </c>
      <c r="B1035" s="48">
        <v>2</v>
      </c>
      <c r="C1035" s="48" t="s">
        <v>960</v>
      </c>
      <c r="D1035" s="48" t="s">
        <v>958</v>
      </c>
      <c r="E1035" s="48" t="s">
        <v>301</v>
      </c>
      <c r="F1035" s="48" t="s">
        <v>274</v>
      </c>
      <c r="G1035" s="48" t="s">
        <v>302</v>
      </c>
      <c r="H1035" s="48" t="s">
        <v>62</v>
      </c>
      <c r="I1035" s="48" t="s">
        <v>138</v>
      </c>
      <c r="J1035" s="49">
        <v>7</v>
      </c>
      <c r="K1035" s="50">
        <v>455</v>
      </c>
      <c r="L1035" s="50">
        <v>428.72</v>
      </c>
      <c r="M1035" s="48" t="s">
        <v>276</v>
      </c>
      <c r="N1035" s="51">
        <v>1</v>
      </c>
      <c r="O1035" s="51">
        <v>1</v>
      </c>
      <c r="P1035" s="52">
        <v>358.2</v>
      </c>
      <c r="Q1035" s="52">
        <v>358.2</v>
      </c>
      <c r="R1035" s="53" t="str">
        <f>INDEX(SKU_Master!$D$5:$D$34,MATCH($I1035,SKU_Master!$A$5:$A$34,0))</f>
        <v>Monitor</v>
      </c>
      <c r="S1035" s="54">
        <f t="shared" si="224"/>
        <v>5.7758241758241735E-2</v>
      </c>
      <c r="T1035" s="55">
        <f t="shared" si="225"/>
        <v>3185</v>
      </c>
      <c r="U1035" s="55">
        <f t="shared" si="226"/>
        <v>3001.04</v>
      </c>
      <c r="V1035" s="55">
        <f t="shared" si="227"/>
        <v>-183.96000000000004</v>
      </c>
      <c r="W1035" s="55">
        <f t="shared" si="228"/>
        <v>3001.04</v>
      </c>
      <c r="X1035" s="55">
        <f t="shared" si="229"/>
        <v>0</v>
      </c>
      <c r="Y1035" s="55">
        <f t="shared" si="230"/>
        <v>2507.4</v>
      </c>
      <c r="Z1035" s="55">
        <f t="shared" si="231"/>
        <v>2507.4</v>
      </c>
      <c r="AA1035" s="55">
        <f t="shared" si="232"/>
        <v>0</v>
      </c>
      <c r="AB1035" s="55">
        <f t="shared" si="233"/>
        <v>493.63999999999987</v>
      </c>
      <c r="AC1035" s="54">
        <f t="shared" si="234"/>
        <v>0.16448964359022203</v>
      </c>
      <c r="AD1035" s="56">
        <f>INDEX(Assumptions!$B$14:$B$16,MATCH($R1035,Assumptions!$A$14:$A$16,0))</f>
        <v>0.18</v>
      </c>
      <c r="AE1035" s="56">
        <f>INDEX(Assumptions!$C$14:$C$16,MATCH($R1035,Assumptions!$A$14:$A$16,0))</f>
        <v>0.12</v>
      </c>
      <c r="AF1035" s="49">
        <f t="shared" si="235"/>
        <v>0</v>
      </c>
      <c r="AG1035" s="49">
        <f t="shared" si="236"/>
        <v>0</v>
      </c>
      <c r="AH1035" s="55">
        <f t="shared" si="237"/>
        <v>46.547200000000089</v>
      </c>
    </row>
    <row r="1036" spans="1:34" x14ac:dyDescent="0.2">
      <c r="A1036" s="48" t="s">
        <v>959</v>
      </c>
      <c r="B1036" s="48">
        <v>3</v>
      </c>
      <c r="C1036" s="48" t="s">
        <v>960</v>
      </c>
      <c r="D1036" s="48" t="s">
        <v>958</v>
      </c>
      <c r="E1036" s="48" t="s">
        <v>301</v>
      </c>
      <c r="F1036" s="48" t="s">
        <v>274</v>
      </c>
      <c r="G1036" s="48" t="s">
        <v>302</v>
      </c>
      <c r="H1036" s="48" t="s">
        <v>62</v>
      </c>
      <c r="I1036" s="48" t="s">
        <v>161</v>
      </c>
      <c r="J1036" s="49">
        <v>8</v>
      </c>
      <c r="K1036" s="50">
        <v>120</v>
      </c>
      <c r="L1036" s="50">
        <v>115.47</v>
      </c>
      <c r="M1036" s="48" t="s">
        <v>276</v>
      </c>
      <c r="N1036" s="51">
        <v>1</v>
      </c>
      <c r="O1036" s="51">
        <v>1</v>
      </c>
      <c r="P1036" s="52">
        <v>76</v>
      </c>
      <c r="Q1036" s="52">
        <v>76</v>
      </c>
      <c r="R1036" s="53" t="str">
        <f>INDEX(SKU_Master!$D$5:$D$34,MATCH($I1036,SKU_Master!$A$5:$A$34,0))</f>
        <v>Accessory</v>
      </c>
      <c r="S1036" s="54">
        <f t="shared" si="224"/>
        <v>3.7750000000000061E-2</v>
      </c>
      <c r="T1036" s="55">
        <f t="shared" si="225"/>
        <v>960</v>
      </c>
      <c r="U1036" s="55">
        <f t="shared" si="226"/>
        <v>923.76</v>
      </c>
      <c r="V1036" s="55">
        <f t="shared" si="227"/>
        <v>-36.240000000000009</v>
      </c>
      <c r="W1036" s="55">
        <f t="shared" si="228"/>
        <v>923.76</v>
      </c>
      <c r="X1036" s="55">
        <f t="shared" si="229"/>
        <v>0</v>
      </c>
      <c r="Y1036" s="55">
        <f t="shared" si="230"/>
        <v>608</v>
      </c>
      <c r="Z1036" s="55">
        <f t="shared" si="231"/>
        <v>608</v>
      </c>
      <c r="AA1036" s="55">
        <f t="shared" si="232"/>
        <v>0</v>
      </c>
      <c r="AB1036" s="55">
        <f t="shared" si="233"/>
        <v>315.76</v>
      </c>
      <c r="AC1036" s="54">
        <f t="shared" si="234"/>
        <v>0.34182038624751016</v>
      </c>
      <c r="AD1036" s="56">
        <f>INDEX(Assumptions!$B$14:$B$16,MATCH($R1036,Assumptions!$A$14:$A$16,0))</f>
        <v>0.32</v>
      </c>
      <c r="AE1036" s="56">
        <f>INDEX(Assumptions!$C$14:$C$16,MATCH($R1036,Assumptions!$A$14:$A$16,0))</f>
        <v>0.22</v>
      </c>
      <c r="AF1036" s="49">
        <f t="shared" si="235"/>
        <v>0</v>
      </c>
      <c r="AG1036" s="49">
        <f t="shared" si="236"/>
        <v>0</v>
      </c>
      <c r="AH1036" s="55">
        <f t="shared" si="237"/>
        <v>0</v>
      </c>
    </row>
    <row r="1037" spans="1:34" x14ac:dyDescent="0.2">
      <c r="A1037" s="48" t="s">
        <v>961</v>
      </c>
      <c r="B1037" s="48">
        <v>1</v>
      </c>
      <c r="C1037" s="48" t="s">
        <v>962</v>
      </c>
      <c r="D1037" s="48" t="s">
        <v>958</v>
      </c>
      <c r="E1037" s="48" t="s">
        <v>366</v>
      </c>
      <c r="F1037" s="48" t="s">
        <v>297</v>
      </c>
      <c r="G1037" s="48" t="s">
        <v>302</v>
      </c>
      <c r="H1037" s="48" t="s">
        <v>66</v>
      </c>
      <c r="I1037" s="48" t="s">
        <v>108</v>
      </c>
      <c r="J1037" s="49">
        <v>18</v>
      </c>
      <c r="K1037" s="50">
        <v>1280</v>
      </c>
      <c r="L1037" s="50">
        <v>1225.96</v>
      </c>
      <c r="M1037" s="48" t="s">
        <v>276</v>
      </c>
      <c r="N1037" s="51">
        <v>0.92</v>
      </c>
      <c r="O1037" s="51">
        <v>0.92220000000000002</v>
      </c>
      <c r="P1037" s="52">
        <v>1165</v>
      </c>
      <c r="Q1037" s="52">
        <v>1232.6199999999999</v>
      </c>
      <c r="R1037" s="53" t="str">
        <f>INDEX(SKU_Master!$D$5:$D$34,MATCH($I1037,SKU_Master!$A$5:$A$34,0))</f>
        <v>Laptop</v>
      </c>
      <c r="S1037" s="54">
        <f t="shared" si="224"/>
        <v>4.2218749999999972E-2</v>
      </c>
      <c r="T1037" s="55">
        <f t="shared" si="225"/>
        <v>25043.478260869564</v>
      </c>
      <c r="U1037" s="55">
        <f t="shared" si="226"/>
        <v>23986.173913043476</v>
      </c>
      <c r="V1037" s="55">
        <f t="shared" si="227"/>
        <v>-1057.3043478260879</v>
      </c>
      <c r="W1037" s="55">
        <f t="shared" si="228"/>
        <v>23928.952504879635</v>
      </c>
      <c r="X1037" s="55">
        <f t="shared" si="229"/>
        <v>-57.221408163841261</v>
      </c>
      <c r="Y1037" s="55">
        <f t="shared" si="230"/>
        <v>20970</v>
      </c>
      <c r="Z1037" s="55">
        <f t="shared" si="231"/>
        <v>22187.159999999996</v>
      </c>
      <c r="AA1037" s="55">
        <f t="shared" si="232"/>
        <v>-1217.1599999999962</v>
      </c>
      <c r="AB1037" s="55">
        <f t="shared" si="233"/>
        <v>1741.7925048796387</v>
      </c>
      <c r="AC1037" s="54">
        <f t="shared" si="234"/>
        <v>7.2790169336683225E-2</v>
      </c>
      <c r="AD1037" s="56">
        <f>INDEX(Assumptions!$B$14:$B$16,MATCH($R1037,Assumptions!$A$14:$A$16,0))</f>
        <v>0.12</v>
      </c>
      <c r="AE1037" s="56">
        <f>INDEX(Assumptions!$C$14:$C$16,MATCH($R1037,Assumptions!$A$14:$A$16,0))</f>
        <v>0.08</v>
      </c>
      <c r="AF1037" s="49">
        <f t="shared" si="235"/>
        <v>1</v>
      </c>
      <c r="AG1037" s="49">
        <f t="shared" si="236"/>
        <v>1</v>
      </c>
      <c r="AH1037" s="55">
        <f t="shared" si="237"/>
        <v>1129.6817957059175</v>
      </c>
    </row>
    <row r="1038" spans="1:34" x14ac:dyDescent="0.2">
      <c r="A1038" s="48" t="s">
        <v>961</v>
      </c>
      <c r="B1038" s="48">
        <v>2</v>
      </c>
      <c r="C1038" s="48" t="s">
        <v>962</v>
      </c>
      <c r="D1038" s="48" t="s">
        <v>958</v>
      </c>
      <c r="E1038" s="48" t="s">
        <v>366</v>
      </c>
      <c r="F1038" s="48" t="s">
        <v>297</v>
      </c>
      <c r="G1038" s="48" t="s">
        <v>302</v>
      </c>
      <c r="H1038" s="48" t="s">
        <v>66</v>
      </c>
      <c r="I1038" s="48" t="s">
        <v>161</v>
      </c>
      <c r="J1038" s="49">
        <v>11</v>
      </c>
      <c r="K1038" s="50">
        <v>120</v>
      </c>
      <c r="L1038" s="50">
        <v>117.06</v>
      </c>
      <c r="M1038" s="48" t="s">
        <v>276</v>
      </c>
      <c r="N1038" s="51">
        <v>0.92</v>
      </c>
      <c r="O1038" s="51">
        <v>0.92220000000000002</v>
      </c>
      <c r="P1038" s="52">
        <v>81</v>
      </c>
      <c r="Q1038" s="52">
        <v>81</v>
      </c>
      <c r="R1038" s="53" t="str">
        <f>INDEX(SKU_Master!$D$5:$D$34,MATCH($I1038,SKU_Master!$A$5:$A$34,0))</f>
        <v>Accessory</v>
      </c>
      <c r="S1038" s="54">
        <f t="shared" si="224"/>
        <v>2.4499999999999966E-2</v>
      </c>
      <c r="T1038" s="55">
        <f t="shared" si="225"/>
        <v>1434.782608695652</v>
      </c>
      <c r="U1038" s="55">
        <f t="shared" si="226"/>
        <v>1399.6304347826087</v>
      </c>
      <c r="V1038" s="55">
        <f t="shared" si="227"/>
        <v>-35.152173913043271</v>
      </c>
      <c r="W1038" s="55">
        <f t="shared" si="228"/>
        <v>1396.2914769030579</v>
      </c>
      <c r="X1038" s="55">
        <f t="shared" si="229"/>
        <v>-3.3389578795508896</v>
      </c>
      <c r="Y1038" s="55">
        <f t="shared" si="230"/>
        <v>891</v>
      </c>
      <c r="Z1038" s="55">
        <f t="shared" si="231"/>
        <v>891</v>
      </c>
      <c r="AA1038" s="55">
        <f t="shared" si="232"/>
        <v>0</v>
      </c>
      <c r="AB1038" s="55">
        <f t="shared" si="233"/>
        <v>505.29147690305786</v>
      </c>
      <c r="AC1038" s="54">
        <f t="shared" si="234"/>
        <v>0.361881086622245</v>
      </c>
      <c r="AD1038" s="56">
        <f>INDEX(Assumptions!$B$14:$B$16,MATCH($R1038,Assumptions!$A$14:$A$16,0))</f>
        <v>0.32</v>
      </c>
      <c r="AE1038" s="56">
        <f>INDEX(Assumptions!$C$14:$C$16,MATCH($R1038,Assumptions!$A$14:$A$16,0))</f>
        <v>0.22</v>
      </c>
      <c r="AF1038" s="49">
        <f t="shared" si="235"/>
        <v>0</v>
      </c>
      <c r="AG1038" s="49">
        <f t="shared" si="236"/>
        <v>0</v>
      </c>
      <c r="AH1038" s="55">
        <f t="shared" si="237"/>
        <v>0</v>
      </c>
    </row>
    <row r="1039" spans="1:34" x14ac:dyDescent="0.2">
      <c r="A1039" s="48" t="s">
        <v>963</v>
      </c>
      <c r="B1039" s="48">
        <v>1</v>
      </c>
      <c r="C1039" s="48" t="s">
        <v>964</v>
      </c>
      <c r="D1039" s="48" t="s">
        <v>958</v>
      </c>
      <c r="E1039" s="48" t="s">
        <v>558</v>
      </c>
      <c r="F1039" s="48" t="s">
        <v>280</v>
      </c>
      <c r="G1039" s="48" t="s">
        <v>288</v>
      </c>
      <c r="H1039" s="48" t="s">
        <v>62</v>
      </c>
      <c r="I1039" s="48" t="s">
        <v>93</v>
      </c>
      <c r="J1039" s="49">
        <v>22</v>
      </c>
      <c r="K1039" s="50">
        <v>1390</v>
      </c>
      <c r="L1039" s="50">
        <v>1342.9</v>
      </c>
      <c r="M1039" s="48" t="s">
        <v>276</v>
      </c>
      <c r="N1039" s="51">
        <v>1</v>
      </c>
      <c r="O1039" s="51">
        <v>1</v>
      </c>
      <c r="P1039" s="52">
        <v>1186.2</v>
      </c>
      <c r="Q1039" s="52">
        <v>1186.2</v>
      </c>
      <c r="R1039" s="53" t="str">
        <f>INDEX(SKU_Master!$D$5:$D$34,MATCH($I1039,SKU_Master!$A$5:$A$34,0))</f>
        <v>Laptop</v>
      </c>
      <c r="S1039" s="54">
        <f t="shared" si="224"/>
        <v>3.3884892086330831E-2</v>
      </c>
      <c r="T1039" s="55">
        <f t="shared" si="225"/>
        <v>30580</v>
      </c>
      <c r="U1039" s="55">
        <f t="shared" si="226"/>
        <v>29543.800000000003</v>
      </c>
      <c r="V1039" s="55">
        <f t="shared" si="227"/>
        <v>-1036.1999999999971</v>
      </c>
      <c r="W1039" s="55">
        <f t="shared" si="228"/>
        <v>29543.800000000003</v>
      </c>
      <c r="X1039" s="55">
        <f t="shared" si="229"/>
        <v>0</v>
      </c>
      <c r="Y1039" s="55">
        <f t="shared" si="230"/>
        <v>26096.400000000001</v>
      </c>
      <c r="Z1039" s="55">
        <f t="shared" si="231"/>
        <v>26096.400000000001</v>
      </c>
      <c r="AA1039" s="55">
        <f t="shared" si="232"/>
        <v>0</v>
      </c>
      <c r="AB1039" s="55">
        <f t="shared" si="233"/>
        <v>3447.4000000000015</v>
      </c>
      <c r="AC1039" s="54">
        <f t="shared" si="234"/>
        <v>0.11668776528408671</v>
      </c>
      <c r="AD1039" s="56">
        <f>INDEX(Assumptions!$B$14:$B$16,MATCH($R1039,Assumptions!$A$14:$A$16,0))</f>
        <v>0.12</v>
      </c>
      <c r="AE1039" s="56">
        <f>INDEX(Assumptions!$C$14:$C$16,MATCH($R1039,Assumptions!$A$14:$A$16,0))</f>
        <v>0.08</v>
      </c>
      <c r="AF1039" s="49">
        <f t="shared" si="235"/>
        <v>0</v>
      </c>
      <c r="AG1039" s="49">
        <f t="shared" si="236"/>
        <v>0</v>
      </c>
      <c r="AH1039" s="55">
        <f t="shared" si="237"/>
        <v>97.855999999998858</v>
      </c>
    </row>
    <row r="1040" spans="1:34" x14ac:dyDescent="0.2">
      <c r="A1040" s="48" t="s">
        <v>965</v>
      </c>
      <c r="B1040" s="48">
        <v>1</v>
      </c>
      <c r="C1040" s="48" t="s">
        <v>966</v>
      </c>
      <c r="D1040" s="48" t="s">
        <v>958</v>
      </c>
      <c r="E1040" s="48" t="s">
        <v>360</v>
      </c>
      <c r="F1040" s="48" t="s">
        <v>280</v>
      </c>
      <c r="G1040" s="48" t="s">
        <v>275</v>
      </c>
      <c r="H1040" s="48" t="s">
        <v>68</v>
      </c>
      <c r="I1040" s="48" t="s">
        <v>121</v>
      </c>
      <c r="J1040" s="49">
        <v>5</v>
      </c>
      <c r="K1040" s="50">
        <v>1300</v>
      </c>
      <c r="L1040" s="50">
        <v>1272.26</v>
      </c>
      <c r="M1040" s="48" t="s">
        <v>276</v>
      </c>
      <c r="N1040" s="51">
        <v>1.37</v>
      </c>
      <c r="O1040" s="51">
        <v>1.3652</v>
      </c>
      <c r="P1040" s="52">
        <v>794.4</v>
      </c>
      <c r="Q1040" s="52">
        <v>794.4</v>
      </c>
      <c r="R1040" s="53" t="str">
        <f>INDEX(SKU_Master!$D$5:$D$34,MATCH($I1040,SKU_Master!$A$5:$A$34,0))</f>
        <v>Laptop</v>
      </c>
      <c r="S1040" s="54">
        <f t="shared" si="224"/>
        <v>2.1338461538461528E-2</v>
      </c>
      <c r="T1040" s="55">
        <f t="shared" si="225"/>
        <v>4744.5255474452551</v>
      </c>
      <c r="U1040" s="55">
        <f t="shared" si="226"/>
        <v>4643.2846715328469</v>
      </c>
      <c r="V1040" s="55">
        <f t="shared" si="227"/>
        <v>-101.24087591240823</v>
      </c>
      <c r="W1040" s="55">
        <f t="shared" si="228"/>
        <v>4659.6103135071789</v>
      </c>
      <c r="X1040" s="55">
        <f t="shared" si="229"/>
        <v>16.325641974332029</v>
      </c>
      <c r="Y1040" s="55">
        <f t="shared" si="230"/>
        <v>3972</v>
      </c>
      <c r="Z1040" s="55">
        <f t="shared" si="231"/>
        <v>3972</v>
      </c>
      <c r="AA1040" s="55">
        <f t="shared" si="232"/>
        <v>0</v>
      </c>
      <c r="AB1040" s="55">
        <f t="shared" si="233"/>
        <v>687.61031350717894</v>
      </c>
      <c r="AC1040" s="54">
        <f t="shared" si="234"/>
        <v>0.14756820146825345</v>
      </c>
      <c r="AD1040" s="56">
        <f>INDEX(Assumptions!$B$14:$B$16,MATCH($R1040,Assumptions!$A$14:$A$16,0))</f>
        <v>0.12</v>
      </c>
      <c r="AE1040" s="56">
        <f>INDEX(Assumptions!$C$14:$C$16,MATCH($R1040,Assumptions!$A$14:$A$16,0))</f>
        <v>0.08</v>
      </c>
      <c r="AF1040" s="49">
        <f t="shared" si="235"/>
        <v>0</v>
      </c>
      <c r="AG1040" s="49">
        <f t="shared" si="236"/>
        <v>0</v>
      </c>
      <c r="AH1040" s="55">
        <f t="shared" si="237"/>
        <v>0</v>
      </c>
    </row>
    <row r="1041" spans="1:34" x14ac:dyDescent="0.2">
      <c r="A1041" s="48" t="s">
        <v>965</v>
      </c>
      <c r="B1041" s="48">
        <v>2</v>
      </c>
      <c r="C1041" s="48" t="s">
        <v>966</v>
      </c>
      <c r="D1041" s="48" t="s">
        <v>958</v>
      </c>
      <c r="E1041" s="48" t="s">
        <v>360</v>
      </c>
      <c r="F1041" s="48" t="s">
        <v>280</v>
      </c>
      <c r="G1041" s="48" t="s">
        <v>275</v>
      </c>
      <c r="H1041" s="48" t="s">
        <v>68</v>
      </c>
      <c r="I1041" s="48" t="s">
        <v>144</v>
      </c>
      <c r="J1041" s="49">
        <v>4</v>
      </c>
      <c r="K1041" s="50">
        <v>540</v>
      </c>
      <c r="L1041" s="50">
        <v>521.98</v>
      </c>
      <c r="M1041" s="48" t="s">
        <v>276</v>
      </c>
      <c r="N1041" s="51">
        <v>1.37</v>
      </c>
      <c r="O1041" s="51">
        <v>1.3652</v>
      </c>
      <c r="P1041" s="52">
        <v>304.60000000000002</v>
      </c>
      <c r="Q1041" s="52">
        <v>304.60000000000002</v>
      </c>
      <c r="R1041" s="53" t="str">
        <f>INDEX(SKU_Master!$D$5:$D$34,MATCH($I1041,SKU_Master!$A$5:$A$34,0))</f>
        <v>Monitor</v>
      </c>
      <c r="S1041" s="54">
        <f t="shared" si="224"/>
        <v>3.3370370370370384E-2</v>
      </c>
      <c r="T1041" s="55">
        <f t="shared" si="225"/>
        <v>1576.6423357664232</v>
      </c>
      <c r="U1041" s="55">
        <f t="shared" si="226"/>
        <v>1524.0291970802919</v>
      </c>
      <c r="V1041" s="55">
        <f t="shared" si="227"/>
        <v>-52.613138686131379</v>
      </c>
      <c r="W1041" s="55">
        <f t="shared" si="228"/>
        <v>1529.3876355112805</v>
      </c>
      <c r="X1041" s="55">
        <f t="shared" si="229"/>
        <v>5.3584384309885991</v>
      </c>
      <c r="Y1041" s="55">
        <f t="shared" si="230"/>
        <v>1218.4000000000001</v>
      </c>
      <c r="Z1041" s="55">
        <f t="shared" si="231"/>
        <v>1218.4000000000001</v>
      </c>
      <c r="AA1041" s="55">
        <f t="shared" si="232"/>
        <v>0</v>
      </c>
      <c r="AB1041" s="55">
        <f t="shared" si="233"/>
        <v>310.98763551128036</v>
      </c>
      <c r="AC1041" s="54">
        <f t="shared" si="234"/>
        <v>0.20334127744358019</v>
      </c>
      <c r="AD1041" s="56">
        <f>INDEX(Assumptions!$B$14:$B$16,MATCH($R1041,Assumptions!$A$14:$A$16,0))</f>
        <v>0.18</v>
      </c>
      <c r="AE1041" s="56">
        <f>INDEX(Assumptions!$C$14:$C$16,MATCH($R1041,Assumptions!$A$14:$A$16,0))</f>
        <v>0.12</v>
      </c>
      <c r="AF1041" s="49">
        <f t="shared" si="235"/>
        <v>0</v>
      </c>
      <c r="AG1041" s="49">
        <f t="shared" si="236"/>
        <v>0</v>
      </c>
      <c r="AH1041" s="55">
        <f t="shared" si="237"/>
        <v>0</v>
      </c>
    </row>
    <row r="1042" spans="1:34" x14ac:dyDescent="0.2">
      <c r="A1042" s="48" t="s">
        <v>965</v>
      </c>
      <c r="B1042" s="48">
        <v>3</v>
      </c>
      <c r="C1042" s="48" t="s">
        <v>966</v>
      </c>
      <c r="D1042" s="48" t="s">
        <v>958</v>
      </c>
      <c r="E1042" s="48" t="s">
        <v>360</v>
      </c>
      <c r="F1042" s="48" t="s">
        <v>280</v>
      </c>
      <c r="G1042" s="48" t="s">
        <v>275</v>
      </c>
      <c r="H1042" s="48" t="s">
        <v>68</v>
      </c>
      <c r="I1042" s="48" t="s">
        <v>177</v>
      </c>
      <c r="J1042" s="49">
        <v>3</v>
      </c>
      <c r="K1042" s="50">
        <v>105</v>
      </c>
      <c r="L1042" s="50">
        <v>102.52</v>
      </c>
      <c r="M1042" s="48" t="s">
        <v>276</v>
      </c>
      <c r="N1042" s="51">
        <v>1.37</v>
      </c>
      <c r="O1042" s="51">
        <v>1.3652</v>
      </c>
      <c r="P1042" s="52">
        <v>47</v>
      </c>
      <c r="Q1042" s="52">
        <v>47</v>
      </c>
      <c r="R1042" s="53" t="str">
        <f>INDEX(SKU_Master!$D$5:$D$34,MATCH($I1042,SKU_Master!$A$5:$A$34,0))</f>
        <v>Accessory</v>
      </c>
      <c r="S1042" s="54">
        <f t="shared" si="224"/>
        <v>2.3619047619047651E-2</v>
      </c>
      <c r="T1042" s="55">
        <f t="shared" si="225"/>
        <v>229.92700729927006</v>
      </c>
      <c r="U1042" s="55">
        <f t="shared" si="226"/>
        <v>224.49635036496349</v>
      </c>
      <c r="V1042" s="55">
        <f t="shared" si="227"/>
        <v>-5.4306569343065689</v>
      </c>
      <c r="W1042" s="55">
        <f t="shared" si="228"/>
        <v>225.28567242894815</v>
      </c>
      <c r="X1042" s="55">
        <f t="shared" si="229"/>
        <v>0.7893220639846561</v>
      </c>
      <c r="Y1042" s="55">
        <f t="shared" si="230"/>
        <v>141</v>
      </c>
      <c r="Z1042" s="55">
        <f t="shared" si="231"/>
        <v>141</v>
      </c>
      <c r="AA1042" s="55">
        <f t="shared" si="232"/>
        <v>0</v>
      </c>
      <c r="AB1042" s="55">
        <f t="shared" si="233"/>
        <v>84.285672428948146</v>
      </c>
      <c r="AC1042" s="54">
        <f t="shared" si="234"/>
        <v>0.37412797502926259</v>
      </c>
      <c r="AD1042" s="56">
        <f>INDEX(Assumptions!$B$14:$B$16,MATCH($R1042,Assumptions!$A$14:$A$16,0))</f>
        <v>0.32</v>
      </c>
      <c r="AE1042" s="56">
        <f>INDEX(Assumptions!$C$14:$C$16,MATCH($R1042,Assumptions!$A$14:$A$16,0))</f>
        <v>0.22</v>
      </c>
      <c r="AF1042" s="49">
        <f t="shared" si="235"/>
        <v>0</v>
      </c>
      <c r="AG1042" s="49">
        <f t="shared" si="236"/>
        <v>0</v>
      </c>
      <c r="AH1042" s="55">
        <f t="shared" si="237"/>
        <v>0</v>
      </c>
    </row>
    <row r="1043" spans="1:34" x14ac:dyDescent="0.2">
      <c r="A1043" s="48" t="s">
        <v>967</v>
      </c>
      <c r="B1043" s="48">
        <v>1</v>
      </c>
      <c r="C1043" s="48" t="s">
        <v>968</v>
      </c>
      <c r="D1043" s="48" t="s">
        <v>958</v>
      </c>
      <c r="E1043" s="48" t="s">
        <v>407</v>
      </c>
      <c r="F1043" s="48" t="s">
        <v>274</v>
      </c>
      <c r="G1043" s="48" t="s">
        <v>302</v>
      </c>
      <c r="H1043" s="48" t="s">
        <v>62</v>
      </c>
      <c r="I1043" s="48" t="s">
        <v>106</v>
      </c>
      <c r="J1043" s="49">
        <v>3</v>
      </c>
      <c r="K1043" s="50">
        <v>1520</v>
      </c>
      <c r="L1043" s="50">
        <v>1457.11</v>
      </c>
      <c r="M1043" s="48" t="s">
        <v>276</v>
      </c>
      <c r="N1043" s="51">
        <v>1</v>
      </c>
      <c r="O1043" s="51">
        <v>1</v>
      </c>
      <c r="P1043" s="52">
        <v>1298.4000000000001</v>
      </c>
      <c r="Q1043" s="52">
        <v>1298.4000000000001</v>
      </c>
      <c r="R1043" s="53" t="str">
        <f>INDEX(SKU_Master!$D$5:$D$34,MATCH($I1043,SKU_Master!$A$5:$A$34,0))</f>
        <v>Laptop</v>
      </c>
      <c r="S1043" s="54">
        <f t="shared" si="224"/>
        <v>4.1375000000000051E-2</v>
      </c>
      <c r="T1043" s="55">
        <f t="shared" si="225"/>
        <v>4560</v>
      </c>
      <c r="U1043" s="55">
        <f t="shared" si="226"/>
        <v>4371.33</v>
      </c>
      <c r="V1043" s="55">
        <f t="shared" si="227"/>
        <v>-188.67000000000007</v>
      </c>
      <c r="W1043" s="55">
        <f t="shared" si="228"/>
        <v>4371.33</v>
      </c>
      <c r="X1043" s="55">
        <f t="shared" si="229"/>
        <v>0</v>
      </c>
      <c r="Y1043" s="55">
        <f t="shared" si="230"/>
        <v>3895.2000000000003</v>
      </c>
      <c r="Z1043" s="55">
        <f t="shared" si="231"/>
        <v>3895.2000000000003</v>
      </c>
      <c r="AA1043" s="55">
        <f t="shared" si="232"/>
        <v>0</v>
      </c>
      <c r="AB1043" s="55">
        <f t="shared" si="233"/>
        <v>476.12999999999965</v>
      </c>
      <c r="AC1043" s="54">
        <f t="shared" si="234"/>
        <v>0.10892108351462819</v>
      </c>
      <c r="AD1043" s="56">
        <f>INDEX(Assumptions!$B$14:$B$16,MATCH($R1043,Assumptions!$A$14:$A$16,0))</f>
        <v>0.12</v>
      </c>
      <c r="AE1043" s="56">
        <f>INDEX(Assumptions!$C$14:$C$16,MATCH($R1043,Assumptions!$A$14:$A$16,0))</f>
        <v>0.08</v>
      </c>
      <c r="AF1043" s="49">
        <f t="shared" si="235"/>
        <v>0</v>
      </c>
      <c r="AG1043" s="49">
        <f t="shared" si="236"/>
        <v>0</v>
      </c>
      <c r="AH1043" s="55">
        <f t="shared" si="237"/>
        <v>48.429600000000278</v>
      </c>
    </row>
    <row r="1044" spans="1:34" x14ac:dyDescent="0.2">
      <c r="A1044" s="48" t="s">
        <v>967</v>
      </c>
      <c r="B1044" s="48">
        <v>2</v>
      </c>
      <c r="C1044" s="48" t="s">
        <v>968</v>
      </c>
      <c r="D1044" s="48" t="s">
        <v>958</v>
      </c>
      <c r="E1044" s="48" t="s">
        <v>407</v>
      </c>
      <c r="F1044" s="48" t="s">
        <v>274</v>
      </c>
      <c r="G1044" s="48" t="s">
        <v>302</v>
      </c>
      <c r="H1044" s="48" t="s">
        <v>62</v>
      </c>
      <c r="I1044" s="48" t="s">
        <v>144</v>
      </c>
      <c r="J1044" s="49">
        <v>1</v>
      </c>
      <c r="K1044" s="50">
        <v>370</v>
      </c>
      <c r="L1044" s="50">
        <v>364.39</v>
      </c>
      <c r="M1044" s="48" t="s">
        <v>276</v>
      </c>
      <c r="N1044" s="51">
        <v>1</v>
      </c>
      <c r="O1044" s="51">
        <v>1</v>
      </c>
      <c r="P1044" s="52">
        <v>289.60000000000002</v>
      </c>
      <c r="Q1044" s="52">
        <v>289.60000000000002</v>
      </c>
      <c r="R1044" s="53" t="str">
        <f>INDEX(SKU_Master!$D$5:$D$34,MATCH($I1044,SKU_Master!$A$5:$A$34,0))</f>
        <v>Monitor</v>
      </c>
      <c r="S1044" s="54">
        <f t="shared" si="224"/>
        <v>1.5162162162162152E-2</v>
      </c>
      <c r="T1044" s="55">
        <f t="shared" si="225"/>
        <v>370</v>
      </c>
      <c r="U1044" s="55">
        <f t="shared" si="226"/>
        <v>364.39</v>
      </c>
      <c r="V1044" s="55">
        <f t="shared" si="227"/>
        <v>-5.6100000000000136</v>
      </c>
      <c r="W1044" s="55">
        <f t="shared" si="228"/>
        <v>364.39</v>
      </c>
      <c r="X1044" s="55">
        <f t="shared" si="229"/>
        <v>0</v>
      </c>
      <c r="Y1044" s="55">
        <f t="shared" si="230"/>
        <v>289.60000000000002</v>
      </c>
      <c r="Z1044" s="55">
        <f t="shared" si="231"/>
        <v>289.60000000000002</v>
      </c>
      <c r="AA1044" s="55">
        <f t="shared" si="232"/>
        <v>0</v>
      </c>
      <c r="AB1044" s="55">
        <f t="shared" si="233"/>
        <v>74.789999999999964</v>
      </c>
      <c r="AC1044" s="54">
        <f t="shared" si="234"/>
        <v>0.20524712533274778</v>
      </c>
      <c r="AD1044" s="56">
        <f>INDEX(Assumptions!$B$14:$B$16,MATCH($R1044,Assumptions!$A$14:$A$16,0))</f>
        <v>0.18</v>
      </c>
      <c r="AE1044" s="56">
        <f>INDEX(Assumptions!$C$14:$C$16,MATCH($R1044,Assumptions!$A$14:$A$16,0))</f>
        <v>0.12</v>
      </c>
      <c r="AF1044" s="49">
        <f t="shared" si="235"/>
        <v>0</v>
      </c>
      <c r="AG1044" s="49">
        <f t="shared" si="236"/>
        <v>0</v>
      </c>
      <c r="AH1044" s="55">
        <f t="shared" si="237"/>
        <v>0</v>
      </c>
    </row>
    <row r="1045" spans="1:34" x14ac:dyDescent="0.2">
      <c r="A1045" s="48" t="s">
        <v>969</v>
      </c>
      <c r="B1045" s="48">
        <v>1</v>
      </c>
      <c r="C1045" s="48" t="s">
        <v>970</v>
      </c>
      <c r="D1045" s="48" t="s">
        <v>958</v>
      </c>
      <c r="E1045" s="48" t="s">
        <v>287</v>
      </c>
      <c r="F1045" s="48" t="s">
        <v>274</v>
      </c>
      <c r="G1045" s="48" t="s">
        <v>288</v>
      </c>
      <c r="H1045" s="48" t="s">
        <v>62</v>
      </c>
      <c r="I1045" s="48" t="s">
        <v>103</v>
      </c>
      <c r="J1045" s="49">
        <v>7</v>
      </c>
      <c r="K1045" s="50">
        <v>1135</v>
      </c>
      <c r="L1045" s="50">
        <v>1118.56</v>
      </c>
      <c r="M1045" s="48" t="s">
        <v>276</v>
      </c>
      <c r="N1045" s="51">
        <v>1</v>
      </c>
      <c r="O1045" s="51">
        <v>1</v>
      </c>
      <c r="P1045" s="52">
        <v>968.6</v>
      </c>
      <c r="Q1045" s="52">
        <v>968.6</v>
      </c>
      <c r="R1045" s="53" t="str">
        <f>INDEX(SKU_Master!$D$5:$D$34,MATCH($I1045,SKU_Master!$A$5:$A$34,0))</f>
        <v>Laptop</v>
      </c>
      <c r="S1045" s="54">
        <f t="shared" si="224"/>
        <v>1.4484581497797411E-2</v>
      </c>
      <c r="T1045" s="55">
        <f t="shared" si="225"/>
        <v>7945</v>
      </c>
      <c r="U1045" s="55">
        <f t="shared" si="226"/>
        <v>7829.92</v>
      </c>
      <c r="V1045" s="55">
        <f t="shared" si="227"/>
        <v>-115.07999999999993</v>
      </c>
      <c r="W1045" s="55">
        <f t="shared" si="228"/>
        <v>7829.92</v>
      </c>
      <c r="X1045" s="55">
        <f t="shared" si="229"/>
        <v>0</v>
      </c>
      <c r="Y1045" s="55">
        <f t="shared" si="230"/>
        <v>6780.2</v>
      </c>
      <c r="Z1045" s="55">
        <f t="shared" si="231"/>
        <v>6780.2</v>
      </c>
      <c r="AA1045" s="55">
        <f t="shared" si="232"/>
        <v>0</v>
      </c>
      <c r="AB1045" s="55">
        <f t="shared" si="233"/>
        <v>1049.7200000000003</v>
      </c>
      <c r="AC1045" s="54">
        <f t="shared" si="234"/>
        <v>0.13406522672006868</v>
      </c>
      <c r="AD1045" s="56">
        <f>INDEX(Assumptions!$B$14:$B$16,MATCH($R1045,Assumptions!$A$14:$A$16,0))</f>
        <v>0.12</v>
      </c>
      <c r="AE1045" s="56">
        <f>INDEX(Assumptions!$C$14:$C$16,MATCH($R1045,Assumptions!$A$14:$A$16,0))</f>
        <v>0.08</v>
      </c>
      <c r="AF1045" s="49">
        <f t="shared" si="235"/>
        <v>0</v>
      </c>
      <c r="AG1045" s="49">
        <f t="shared" si="236"/>
        <v>0</v>
      </c>
      <c r="AH1045" s="55">
        <f t="shared" si="237"/>
        <v>0</v>
      </c>
    </row>
    <row r="1046" spans="1:34" x14ac:dyDescent="0.2">
      <c r="A1046" s="48" t="s">
        <v>969</v>
      </c>
      <c r="B1046" s="48">
        <v>2</v>
      </c>
      <c r="C1046" s="48" t="s">
        <v>970</v>
      </c>
      <c r="D1046" s="48" t="s">
        <v>958</v>
      </c>
      <c r="E1046" s="48" t="s">
        <v>287</v>
      </c>
      <c r="F1046" s="48" t="s">
        <v>274</v>
      </c>
      <c r="G1046" s="48" t="s">
        <v>288</v>
      </c>
      <c r="H1046" s="48" t="s">
        <v>62</v>
      </c>
      <c r="I1046" s="48" t="s">
        <v>141</v>
      </c>
      <c r="J1046" s="49">
        <v>3</v>
      </c>
      <c r="K1046" s="50">
        <v>450</v>
      </c>
      <c r="L1046" s="50">
        <v>442.27</v>
      </c>
      <c r="M1046" s="48" t="s">
        <v>276</v>
      </c>
      <c r="N1046" s="51">
        <v>1</v>
      </c>
      <c r="O1046" s="51">
        <v>1</v>
      </c>
      <c r="P1046" s="52">
        <v>351.7</v>
      </c>
      <c r="Q1046" s="52">
        <v>351.7</v>
      </c>
      <c r="R1046" s="53" t="str">
        <f>INDEX(SKU_Master!$D$5:$D$34,MATCH($I1046,SKU_Master!$A$5:$A$34,0))</f>
        <v>Monitor</v>
      </c>
      <c r="S1046" s="54">
        <f t="shared" si="224"/>
        <v>1.7177777777777847E-2</v>
      </c>
      <c r="T1046" s="55">
        <f t="shared" si="225"/>
        <v>1350</v>
      </c>
      <c r="U1046" s="55">
        <f t="shared" si="226"/>
        <v>1326.81</v>
      </c>
      <c r="V1046" s="55">
        <f t="shared" si="227"/>
        <v>-23.190000000000055</v>
      </c>
      <c r="W1046" s="55">
        <f t="shared" si="228"/>
        <v>1326.81</v>
      </c>
      <c r="X1046" s="55">
        <f t="shared" si="229"/>
        <v>0</v>
      </c>
      <c r="Y1046" s="55">
        <f t="shared" si="230"/>
        <v>1055.0999999999999</v>
      </c>
      <c r="Z1046" s="55">
        <f t="shared" si="231"/>
        <v>1055.0999999999999</v>
      </c>
      <c r="AA1046" s="55">
        <f t="shared" si="232"/>
        <v>0</v>
      </c>
      <c r="AB1046" s="55">
        <f t="shared" si="233"/>
        <v>271.71000000000004</v>
      </c>
      <c r="AC1046" s="54">
        <f t="shared" si="234"/>
        <v>0.20478440771474443</v>
      </c>
      <c r="AD1046" s="56">
        <f>INDEX(Assumptions!$B$14:$B$16,MATCH($R1046,Assumptions!$A$14:$A$16,0))</f>
        <v>0.18</v>
      </c>
      <c r="AE1046" s="56">
        <f>INDEX(Assumptions!$C$14:$C$16,MATCH($R1046,Assumptions!$A$14:$A$16,0))</f>
        <v>0.12</v>
      </c>
      <c r="AF1046" s="49">
        <f t="shared" si="235"/>
        <v>0</v>
      </c>
      <c r="AG1046" s="49">
        <f t="shared" si="236"/>
        <v>0</v>
      </c>
      <c r="AH1046" s="55">
        <f t="shared" si="237"/>
        <v>0</v>
      </c>
    </row>
    <row r="1047" spans="1:34" x14ac:dyDescent="0.2">
      <c r="A1047" s="48" t="s">
        <v>969</v>
      </c>
      <c r="B1047" s="48">
        <v>3</v>
      </c>
      <c r="C1047" s="48" t="s">
        <v>970</v>
      </c>
      <c r="D1047" s="48" t="s">
        <v>958</v>
      </c>
      <c r="E1047" s="48" t="s">
        <v>287</v>
      </c>
      <c r="F1047" s="48" t="s">
        <v>274</v>
      </c>
      <c r="G1047" s="48" t="s">
        <v>288</v>
      </c>
      <c r="H1047" s="48" t="s">
        <v>62</v>
      </c>
      <c r="I1047" s="48" t="s">
        <v>151</v>
      </c>
      <c r="J1047" s="49">
        <v>6</v>
      </c>
      <c r="K1047" s="50">
        <v>335</v>
      </c>
      <c r="L1047" s="50">
        <v>328.41</v>
      </c>
      <c r="M1047" s="48" t="s">
        <v>276</v>
      </c>
      <c r="N1047" s="51">
        <v>1</v>
      </c>
      <c r="O1047" s="51">
        <v>1</v>
      </c>
      <c r="P1047" s="52">
        <v>216.7</v>
      </c>
      <c r="Q1047" s="52">
        <v>216.7</v>
      </c>
      <c r="R1047" s="53" t="str">
        <f>INDEX(SKU_Master!$D$5:$D$34,MATCH($I1047,SKU_Master!$A$5:$A$34,0))</f>
        <v>Accessory</v>
      </c>
      <c r="S1047" s="54">
        <f t="shared" si="224"/>
        <v>1.9671641791044747E-2</v>
      </c>
      <c r="T1047" s="55">
        <f t="shared" si="225"/>
        <v>2010</v>
      </c>
      <c r="U1047" s="55">
        <f t="shared" si="226"/>
        <v>1970.46</v>
      </c>
      <c r="V1047" s="55">
        <f t="shared" si="227"/>
        <v>-39.539999999999964</v>
      </c>
      <c r="W1047" s="55">
        <f t="shared" si="228"/>
        <v>1970.46</v>
      </c>
      <c r="X1047" s="55">
        <f t="shared" si="229"/>
        <v>0</v>
      </c>
      <c r="Y1047" s="55">
        <f t="shared" si="230"/>
        <v>1300.1999999999998</v>
      </c>
      <c r="Z1047" s="55">
        <f t="shared" si="231"/>
        <v>1300.1999999999998</v>
      </c>
      <c r="AA1047" s="55">
        <f t="shared" si="232"/>
        <v>0</v>
      </c>
      <c r="AB1047" s="55">
        <f t="shared" si="233"/>
        <v>670.26000000000022</v>
      </c>
      <c r="AC1047" s="54">
        <f t="shared" si="234"/>
        <v>0.34015407569806044</v>
      </c>
      <c r="AD1047" s="56">
        <f>INDEX(Assumptions!$B$14:$B$16,MATCH($R1047,Assumptions!$A$14:$A$16,0))</f>
        <v>0.32</v>
      </c>
      <c r="AE1047" s="56">
        <f>INDEX(Assumptions!$C$14:$C$16,MATCH($R1047,Assumptions!$A$14:$A$16,0))</f>
        <v>0.22</v>
      </c>
      <c r="AF1047" s="49">
        <f t="shared" si="235"/>
        <v>0</v>
      </c>
      <c r="AG1047" s="49">
        <f t="shared" si="236"/>
        <v>0</v>
      </c>
      <c r="AH1047" s="55">
        <f t="shared" si="237"/>
        <v>0</v>
      </c>
    </row>
    <row r="1048" spans="1:34" x14ac:dyDescent="0.2">
      <c r="A1048" s="48" t="s">
        <v>971</v>
      </c>
      <c r="B1048" s="48">
        <v>1</v>
      </c>
      <c r="C1048" s="48" t="s">
        <v>972</v>
      </c>
      <c r="D1048" s="48" t="s">
        <v>958</v>
      </c>
      <c r="E1048" s="48" t="s">
        <v>293</v>
      </c>
      <c r="F1048" s="48" t="s">
        <v>274</v>
      </c>
      <c r="G1048" s="48" t="s">
        <v>275</v>
      </c>
      <c r="H1048" s="48" t="s">
        <v>66</v>
      </c>
      <c r="I1048" s="48" t="s">
        <v>113</v>
      </c>
      <c r="J1048" s="49">
        <v>6</v>
      </c>
      <c r="K1048" s="50">
        <v>1655</v>
      </c>
      <c r="L1048" s="50">
        <v>1633.3</v>
      </c>
      <c r="M1048" s="48" t="s">
        <v>276</v>
      </c>
      <c r="N1048" s="51">
        <v>0.92</v>
      </c>
      <c r="O1048" s="51">
        <v>0.92220000000000002</v>
      </c>
      <c r="P1048" s="52">
        <v>1504.8</v>
      </c>
      <c r="Q1048" s="52">
        <v>1504.8</v>
      </c>
      <c r="R1048" s="53" t="str">
        <f>INDEX(SKU_Master!$D$5:$D$34,MATCH($I1048,SKU_Master!$A$5:$A$34,0))</f>
        <v>Laptop</v>
      </c>
      <c r="S1048" s="54">
        <f t="shared" si="224"/>
        <v>1.311178247734146E-2</v>
      </c>
      <c r="T1048" s="55">
        <f t="shared" si="225"/>
        <v>10793.478260869564</v>
      </c>
      <c r="U1048" s="55">
        <f t="shared" si="226"/>
        <v>10651.95652173913</v>
      </c>
      <c r="V1048" s="55">
        <f t="shared" si="227"/>
        <v>-141.52173913043407</v>
      </c>
      <c r="W1048" s="55">
        <f t="shared" si="228"/>
        <v>10626.545217957058</v>
      </c>
      <c r="X1048" s="55">
        <f t="shared" si="229"/>
        <v>-25.411303782071627</v>
      </c>
      <c r="Y1048" s="55">
        <f t="shared" si="230"/>
        <v>9028.7999999999993</v>
      </c>
      <c r="Z1048" s="55">
        <f t="shared" si="231"/>
        <v>9028.7999999999993</v>
      </c>
      <c r="AA1048" s="55">
        <f t="shared" si="232"/>
        <v>0</v>
      </c>
      <c r="AB1048" s="55">
        <f t="shared" si="233"/>
        <v>1597.7452179570591</v>
      </c>
      <c r="AC1048" s="54">
        <f t="shared" si="234"/>
        <v>0.15035415416641157</v>
      </c>
      <c r="AD1048" s="56">
        <f>INDEX(Assumptions!$B$14:$B$16,MATCH($R1048,Assumptions!$A$14:$A$16,0))</f>
        <v>0.12</v>
      </c>
      <c r="AE1048" s="56">
        <f>INDEX(Assumptions!$C$14:$C$16,MATCH($R1048,Assumptions!$A$14:$A$16,0))</f>
        <v>0.08</v>
      </c>
      <c r="AF1048" s="49">
        <f t="shared" si="235"/>
        <v>0</v>
      </c>
      <c r="AG1048" s="49">
        <f t="shared" si="236"/>
        <v>0</v>
      </c>
      <c r="AH1048" s="55">
        <f t="shared" si="237"/>
        <v>0</v>
      </c>
    </row>
    <row r="1049" spans="1:34" x14ac:dyDescent="0.2">
      <c r="A1049" s="48" t="s">
        <v>971</v>
      </c>
      <c r="B1049" s="48">
        <v>2</v>
      </c>
      <c r="C1049" s="48" t="s">
        <v>972</v>
      </c>
      <c r="D1049" s="48" t="s">
        <v>958</v>
      </c>
      <c r="E1049" s="48" t="s">
        <v>293</v>
      </c>
      <c r="F1049" s="48" t="s">
        <v>274</v>
      </c>
      <c r="G1049" s="48" t="s">
        <v>275</v>
      </c>
      <c r="H1049" s="48" t="s">
        <v>66</v>
      </c>
      <c r="I1049" s="48" t="s">
        <v>166</v>
      </c>
      <c r="J1049" s="49">
        <v>3</v>
      </c>
      <c r="K1049" s="50">
        <v>255</v>
      </c>
      <c r="L1049" s="50">
        <v>251.22</v>
      </c>
      <c r="M1049" s="48" t="s">
        <v>276</v>
      </c>
      <c r="N1049" s="51">
        <v>0.92</v>
      </c>
      <c r="O1049" s="51">
        <v>0.92220000000000002</v>
      </c>
      <c r="P1049" s="52">
        <v>174.35</v>
      </c>
      <c r="Q1049" s="52">
        <v>174.35</v>
      </c>
      <c r="R1049" s="53" t="str">
        <f>INDEX(SKU_Master!$D$5:$D$34,MATCH($I1049,SKU_Master!$A$5:$A$34,0))</f>
        <v>Accessory</v>
      </c>
      <c r="S1049" s="54">
        <f t="shared" si="224"/>
        <v>1.482352941176468E-2</v>
      </c>
      <c r="T1049" s="55">
        <f t="shared" si="225"/>
        <v>831.52173913043475</v>
      </c>
      <c r="U1049" s="55">
        <f t="shared" si="226"/>
        <v>819.195652173913</v>
      </c>
      <c r="V1049" s="55">
        <f t="shared" si="227"/>
        <v>-12.326086956521749</v>
      </c>
      <c r="W1049" s="55">
        <f t="shared" si="228"/>
        <v>817.24137931034477</v>
      </c>
      <c r="X1049" s="55">
        <f t="shared" si="229"/>
        <v>-1.9542728635682352</v>
      </c>
      <c r="Y1049" s="55">
        <f t="shared" si="230"/>
        <v>523.04999999999995</v>
      </c>
      <c r="Z1049" s="55">
        <f t="shared" si="231"/>
        <v>523.04999999999995</v>
      </c>
      <c r="AA1049" s="55">
        <f t="shared" si="232"/>
        <v>0</v>
      </c>
      <c r="AB1049" s="55">
        <f t="shared" si="233"/>
        <v>294.19137931034481</v>
      </c>
      <c r="AC1049" s="54">
        <f t="shared" si="234"/>
        <v>0.35998101265822785</v>
      </c>
      <c r="AD1049" s="56">
        <f>INDEX(Assumptions!$B$14:$B$16,MATCH($R1049,Assumptions!$A$14:$A$16,0))</f>
        <v>0.32</v>
      </c>
      <c r="AE1049" s="56">
        <f>INDEX(Assumptions!$C$14:$C$16,MATCH($R1049,Assumptions!$A$14:$A$16,0))</f>
        <v>0.22</v>
      </c>
      <c r="AF1049" s="49">
        <f t="shared" si="235"/>
        <v>0</v>
      </c>
      <c r="AG1049" s="49">
        <f t="shared" si="236"/>
        <v>0</v>
      </c>
      <c r="AH1049" s="55">
        <f t="shared" si="237"/>
        <v>0</v>
      </c>
    </row>
    <row r="1050" spans="1:34" x14ac:dyDescent="0.2">
      <c r="A1050" s="48" t="s">
        <v>973</v>
      </c>
      <c r="B1050" s="48">
        <v>1</v>
      </c>
      <c r="C1050" s="48" t="s">
        <v>974</v>
      </c>
      <c r="D1050" s="48" t="s">
        <v>958</v>
      </c>
      <c r="E1050" s="48" t="s">
        <v>273</v>
      </c>
      <c r="F1050" s="48" t="s">
        <v>274</v>
      </c>
      <c r="G1050" s="48" t="s">
        <v>275</v>
      </c>
      <c r="H1050" s="48" t="s">
        <v>66</v>
      </c>
      <c r="I1050" s="48" t="s">
        <v>115</v>
      </c>
      <c r="J1050" s="49">
        <v>9</v>
      </c>
      <c r="K1050" s="50">
        <v>820</v>
      </c>
      <c r="L1050" s="50">
        <v>816.02</v>
      </c>
      <c r="M1050" s="48" t="s">
        <v>276</v>
      </c>
      <c r="N1050" s="51">
        <v>0.92</v>
      </c>
      <c r="O1050" s="51">
        <v>0.92220000000000002</v>
      </c>
      <c r="P1050" s="52">
        <v>743.6</v>
      </c>
      <c r="Q1050" s="52">
        <v>743.6</v>
      </c>
      <c r="R1050" s="53" t="str">
        <f>INDEX(SKU_Master!$D$5:$D$34,MATCH($I1050,SKU_Master!$A$5:$A$34,0))</f>
        <v>Laptop</v>
      </c>
      <c r="S1050" s="54">
        <f t="shared" si="224"/>
        <v>4.8536585365853702E-3</v>
      </c>
      <c r="T1050" s="55">
        <f t="shared" si="225"/>
        <v>8021.7391304347821</v>
      </c>
      <c r="U1050" s="55">
        <f t="shared" si="226"/>
        <v>7982.804347826087</v>
      </c>
      <c r="V1050" s="55">
        <f t="shared" si="227"/>
        <v>-38.934782608695059</v>
      </c>
      <c r="W1050" s="55">
        <f t="shared" si="228"/>
        <v>7963.7605725439171</v>
      </c>
      <c r="X1050" s="55">
        <f t="shared" si="229"/>
        <v>-19.043775282169918</v>
      </c>
      <c r="Y1050" s="55">
        <f t="shared" si="230"/>
        <v>6692.4000000000005</v>
      </c>
      <c r="Z1050" s="55">
        <f t="shared" si="231"/>
        <v>6692.4000000000005</v>
      </c>
      <c r="AA1050" s="55">
        <f t="shared" si="232"/>
        <v>0</v>
      </c>
      <c r="AB1050" s="55">
        <f t="shared" si="233"/>
        <v>1271.3605725439165</v>
      </c>
      <c r="AC1050" s="54">
        <f t="shared" si="234"/>
        <v>0.15964324403813629</v>
      </c>
      <c r="AD1050" s="56">
        <f>INDEX(Assumptions!$B$14:$B$16,MATCH($R1050,Assumptions!$A$14:$A$16,0))</f>
        <v>0.12</v>
      </c>
      <c r="AE1050" s="56">
        <f>INDEX(Assumptions!$C$14:$C$16,MATCH($R1050,Assumptions!$A$14:$A$16,0))</f>
        <v>0.08</v>
      </c>
      <c r="AF1050" s="49">
        <f t="shared" si="235"/>
        <v>0</v>
      </c>
      <c r="AG1050" s="49">
        <f t="shared" si="236"/>
        <v>0</v>
      </c>
      <c r="AH1050" s="55">
        <f t="shared" si="237"/>
        <v>0</v>
      </c>
    </row>
    <row r="1051" spans="1:34" x14ac:dyDescent="0.2">
      <c r="A1051" s="48" t="s">
        <v>973</v>
      </c>
      <c r="B1051" s="48">
        <v>2</v>
      </c>
      <c r="C1051" s="48" t="s">
        <v>974</v>
      </c>
      <c r="D1051" s="48" t="s">
        <v>958</v>
      </c>
      <c r="E1051" s="48" t="s">
        <v>273</v>
      </c>
      <c r="F1051" s="48" t="s">
        <v>274</v>
      </c>
      <c r="G1051" s="48" t="s">
        <v>275</v>
      </c>
      <c r="H1051" s="48" t="s">
        <v>66</v>
      </c>
      <c r="I1051" s="48" t="s">
        <v>157</v>
      </c>
      <c r="J1051" s="49">
        <v>8</v>
      </c>
      <c r="K1051" s="50">
        <v>135</v>
      </c>
      <c r="L1051" s="50">
        <v>134.57</v>
      </c>
      <c r="M1051" s="48" t="s">
        <v>276</v>
      </c>
      <c r="N1051" s="51">
        <v>0.92</v>
      </c>
      <c r="O1051" s="51">
        <v>0.92220000000000002</v>
      </c>
      <c r="P1051" s="52">
        <v>91</v>
      </c>
      <c r="Q1051" s="52">
        <v>91</v>
      </c>
      <c r="R1051" s="53" t="str">
        <f>INDEX(SKU_Master!$D$5:$D$34,MATCH($I1051,SKU_Master!$A$5:$A$34,0))</f>
        <v>Accessory</v>
      </c>
      <c r="S1051" s="54">
        <f t="shared" si="224"/>
        <v>3.1851851851852908E-3</v>
      </c>
      <c r="T1051" s="55">
        <f t="shared" si="225"/>
        <v>1173.9130434782608</v>
      </c>
      <c r="U1051" s="55">
        <f t="shared" si="226"/>
        <v>1170.1739130434783</v>
      </c>
      <c r="V1051" s="55">
        <f t="shared" si="227"/>
        <v>-3.7391304347825098</v>
      </c>
      <c r="W1051" s="55">
        <f t="shared" si="228"/>
        <v>1167.3823465625676</v>
      </c>
      <c r="X1051" s="55">
        <f t="shared" si="229"/>
        <v>-2.7915664809106602</v>
      </c>
      <c r="Y1051" s="55">
        <f t="shared" si="230"/>
        <v>728</v>
      </c>
      <c r="Z1051" s="55">
        <f t="shared" si="231"/>
        <v>728</v>
      </c>
      <c r="AA1051" s="55">
        <f t="shared" si="232"/>
        <v>0</v>
      </c>
      <c r="AB1051" s="55">
        <f t="shared" si="233"/>
        <v>439.38234656256759</v>
      </c>
      <c r="AC1051" s="54">
        <f t="shared" si="234"/>
        <v>0.37638255183176034</v>
      </c>
      <c r="AD1051" s="56">
        <f>INDEX(Assumptions!$B$14:$B$16,MATCH($R1051,Assumptions!$A$14:$A$16,0))</f>
        <v>0.32</v>
      </c>
      <c r="AE1051" s="56">
        <f>INDEX(Assumptions!$C$14:$C$16,MATCH($R1051,Assumptions!$A$14:$A$16,0))</f>
        <v>0.22</v>
      </c>
      <c r="AF1051" s="49">
        <f t="shared" si="235"/>
        <v>0</v>
      </c>
      <c r="AG1051" s="49">
        <f t="shared" si="236"/>
        <v>0</v>
      </c>
      <c r="AH1051" s="55">
        <f t="shared" si="237"/>
        <v>0</v>
      </c>
    </row>
    <row r="1052" spans="1:34" x14ac:dyDescent="0.2">
      <c r="A1052" s="48" t="s">
        <v>975</v>
      </c>
      <c r="B1052" s="48">
        <v>1</v>
      </c>
      <c r="C1052" s="48" t="s">
        <v>976</v>
      </c>
      <c r="D1052" s="48" t="s">
        <v>958</v>
      </c>
      <c r="E1052" s="48" t="s">
        <v>301</v>
      </c>
      <c r="F1052" s="48" t="s">
        <v>274</v>
      </c>
      <c r="G1052" s="48" t="s">
        <v>302</v>
      </c>
      <c r="H1052" s="48" t="s">
        <v>62</v>
      </c>
      <c r="I1052" s="48" t="s">
        <v>98</v>
      </c>
      <c r="J1052" s="49">
        <v>3</v>
      </c>
      <c r="K1052" s="50">
        <v>2085</v>
      </c>
      <c r="L1052" s="50">
        <v>2023.01</v>
      </c>
      <c r="M1052" s="48" t="s">
        <v>276</v>
      </c>
      <c r="N1052" s="51">
        <v>1</v>
      </c>
      <c r="O1052" s="51">
        <v>1</v>
      </c>
      <c r="P1052" s="52">
        <v>1780.2</v>
      </c>
      <c r="Q1052" s="52">
        <v>1780.2</v>
      </c>
      <c r="R1052" s="53" t="str">
        <f>INDEX(SKU_Master!$D$5:$D$34,MATCH($I1052,SKU_Master!$A$5:$A$34,0))</f>
        <v>Laptop</v>
      </c>
      <c r="S1052" s="54">
        <f t="shared" si="224"/>
        <v>2.9731414868105488E-2</v>
      </c>
      <c r="T1052" s="55">
        <f t="shared" si="225"/>
        <v>6255</v>
      </c>
      <c r="U1052" s="55">
        <f t="shared" si="226"/>
        <v>6069.03</v>
      </c>
      <c r="V1052" s="55">
        <f t="shared" si="227"/>
        <v>-185.97000000000025</v>
      </c>
      <c r="W1052" s="55">
        <f t="shared" si="228"/>
        <v>6069.03</v>
      </c>
      <c r="X1052" s="55">
        <f t="shared" si="229"/>
        <v>0</v>
      </c>
      <c r="Y1052" s="55">
        <f t="shared" si="230"/>
        <v>5340.6</v>
      </c>
      <c r="Z1052" s="55">
        <f t="shared" si="231"/>
        <v>5340.6</v>
      </c>
      <c r="AA1052" s="55">
        <f t="shared" si="232"/>
        <v>0</v>
      </c>
      <c r="AB1052" s="55">
        <f t="shared" si="233"/>
        <v>728.42999999999938</v>
      </c>
      <c r="AC1052" s="54">
        <f t="shared" si="234"/>
        <v>0.12002412247097137</v>
      </c>
      <c r="AD1052" s="56">
        <f>INDEX(Assumptions!$B$14:$B$16,MATCH($R1052,Assumptions!$A$14:$A$16,0))</f>
        <v>0.12</v>
      </c>
      <c r="AE1052" s="56">
        <f>INDEX(Assumptions!$C$14:$C$16,MATCH($R1052,Assumptions!$A$14:$A$16,0))</f>
        <v>0.08</v>
      </c>
      <c r="AF1052" s="49">
        <f t="shared" si="235"/>
        <v>0</v>
      </c>
      <c r="AG1052" s="49">
        <f t="shared" si="236"/>
        <v>0</v>
      </c>
      <c r="AH1052" s="55">
        <f t="shared" si="237"/>
        <v>0</v>
      </c>
    </row>
    <row r="1053" spans="1:34" x14ac:dyDescent="0.2">
      <c r="A1053" s="48" t="s">
        <v>975</v>
      </c>
      <c r="B1053" s="48">
        <v>2</v>
      </c>
      <c r="C1053" s="48" t="s">
        <v>976</v>
      </c>
      <c r="D1053" s="48" t="s">
        <v>958</v>
      </c>
      <c r="E1053" s="48" t="s">
        <v>301</v>
      </c>
      <c r="F1053" s="48" t="s">
        <v>274</v>
      </c>
      <c r="G1053" s="48" t="s">
        <v>302</v>
      </c>
      <c r="H1053" s="48" t="s">
        <v>62</v>
      </c>
      <c r="I1053" s="48" t="s">
        <v>135</v>
      </c>
      <c r="J1053" s="49">
        <v>2</v>
      </c>
      <c r="K1053" s="50">
        <v>240</v>
      </c>
      <c r="L1053" s="50">
        <v>229.91</v>
      </c>
      <c r="M1053" s="48" t="s">
        <v>276</v>
      </c>
      <c r="N1053" s="51">
        <v>1</v>
      </c>
      <c r="O1053" s="51">
        <v>1</v>
      </c>
      <c r="P1053" s="52">
        <v>186.7</v>
      </c>
      <c r="Q1053" s="52">
        <v>186.7</v>
      </c>
      <c r="R1053" s="53" t="str">
        <f>INDEX(SKU_Master!$D$5:$D$34,MATCH($I1053,SKU_Master!$A$5:$A$34,0))</f>
        <v>Monitor</v>
      </c>
      <c r="S1053" s="54">
        <f t="shared" si="224"/>
        <v>4.2041666666666644E-2</v>
      </c>
      <c r="T1053" s="55">
        <f t="shared" si="225"/>
        <v>480</v>
      </c>
      <c r="U1053" s="55">
        <f t="shared" si="226"/>
        <v>459.82</v>
      </c>
      <c r="V1053" s="55">
        <f t="shared" si="227"/>
        <v>-20.180000000000007</v>
      </c>
      <c r="W1053" s="55">
        <f t="shared" si="228"/>
        <v>459.82</v>
      </c>
      <c r="X1053" s="55">
        <f t="shared" si="229"/>
        <v>0</v>
      </c>
      <c r="Y1053" s="55">
        <f t="shared" si="230"/>
        <v>373.4</v>
      </c>
      <c r="Z1053" s="55">
        <f t="shared" si="231"/>
        <v>373.4</v>
      </c>
      <c r="AA1053" s="55">
        <f t="shared" si="232"/>
        <v>0</v>
      </c>
      <c r="AB1053" s="55">
        <f t="shared" si="233"/>
        <v>86.420000000000016</v>
      </c>
      <c r="AC1053" s="54">
        <f t="shared" si="234"/>
        <v>0.1879431081727633</v>
      </c>
      <c r="AD1053" s="56">
        <f>INDEX(Assumptions!$B$14:$B$16,MATCH($R1053,Assumptions!$A$14:$A$16,0))</f>
        <v>0.18</v>
      </c>
      <c r="AE1053" s="56">
        <f>INDEX(Assumptions!$C$14:$C$16,MATCH($R1053,Assumptions!$A$14:$A$16,0))</f>
        <v>0.12</v>
      </c>
      <c r="AF1053" s="49">
        <f t="shared" si="235"/>
        <v>0</v>
      </c>
      <c r="AG1053" s="49">
        <f t="shared" si="236"/>
        <v>0</v>
      </c>
      <c r="AH1053" s="55">
        <f t="shared" si="237"/>
        <v>0</v>
      </c>
    </row>
    <row r="1054" spans="1:34" x14ac:dyDescent="0.2">
      <c r="A1054" s="48" t="s">
        <v>975</v>
      </c>
      <c r="B1054" s="48">
        <v>3</v>
      </c>
      <c r="C1054" s="48" t="s">
        <v>976</v>
      </c>
      <c r="D1054" s="48" t="s">
        <v>958</v>
      </c>
      <c r="E1054" s="48" t="s">
        <v>301</v>
      </c>
      <c r="F1054" s="48" t="s">
        <v>274</v>
      </c>
      <c r="G1054" s="48" t="s">
        <v>302</v>
      </c>
      <c r="H1054" s="48" t="s">
        <v>62</v>
      </c>
      <c r="I1054" s="48" t="s">
        <v>173</v>
      </c>
      <c r="J1054" s="49">
        <v>2</v>
      </c>
      <c r="K1054" s="50">
        <v>55</v>
      </c>
      <c r="L1054" s="50">
        <v>53.1</v>
      </c>
      <c r="M1054" s="48" t="s">
        <v>276</v>
      </c>
      <c r="N1054" s="51">
        <v>1</v>
      </c>
      <c r="O1054" s="51">
        <v>1</v>
      </c>
      <c r="P1054" s="52">
        <v>34</v>
      </c>
      <c r="Q1054" s="52">
        <v>34</v>
      </c>
      <c r="R1054" s="53" t="str">
        <f>INDEX(SKU_Master!$D$5:$D$34,MATCH($I1054,SKU_Master!$A$5:$A$34,0))</f>
        <v>Accessory</v>
      </c>
      <c r="S1054" s="54">
        <f t="shared" si="224"/>
        <v>3.4545454545454546E-2</v>
      </c>
      <c r="T1054" s="55">
        <f t="shared" si="225"/>
        <v>110</v>
      </c>
      <c r="U1054" s="55">
        <f t="shared" si="226"/>
        <v>106.2</v>
      </c>
      <c r="V1054" s="55">
        <f t="shared" si="227"/>
        <v>-3.7999999999999972</v>
      </c>
      <c r="W1054" s="55">
        <f t="shared" si="228"/>
        <v>106.2</v>
      </c>
      <c r="X1054" s="55">
        <f t="shared" si="229"/>
        <v>0</v>
      </c>
      <c r="Y1054" s="55">
        <f t="shared" si="230"/>
        <v>68</v>
      </c>
      <c r="Z1054" s="55">
        <f t="shared" si="231"/>
        <v>68</v>
      </c>
      <c r="AA1054" s="55">
        <f t="shared" si="232"/>
        <v>0</v>
      </c>
      <c r="AB1054" s="55">
        <f t="shared" si="233"/>
        <v>38.200000000000003</v>
      </c>
      <c r="AC1054" s="54">
        <f t="shared" si="234"/>
        <v>0.35969868173258007</v>
      </c>
      <c r="AD1054" s="56">
        <f>INDEX(Assumptions!$B$14:$B$16,MATCH($R1054,Assumptions!$A$14:$A$16,0))</f>
        <v>0.32</v>
      </c>
      <c r="AE1054" s="56">
        <f>INDEX(Assumptions!$C$14:$C$16,MATCH($R1054,Assumptions!$A$14:$A$16,0))</f>
        <v>0.22</v>
      </c>
      <c r="AF1054" s="49">
        <f t="shared" si="235"/>
        <v>0</v>
      </c>
      <c r="AG1054" s="49">
        <f t="shared" si="236"/>
        <v>0</v>
      </c>
      <c r="AH1054" s="55">
        <f t="shared" si="237"/>
        <v>0</v>
      </c>
    </row>
    <row r="1055" spans="1:34" x14ac:dyDescent="0.2">
      <c r="A1055" s="48" t="s">
        <v>977</v>
      </c>
      <c r="B1055" s="48">
        <v>1</v>
      </c>
      <c r="C1055" s="48" t="s">
        <v>978</v>
      </c>
      <c r="D1055" s="48" t="s">
        <v>958</v>
      </c>
      <c r="E1055" s="48" t="s">
        <v>393</v>
      </c>
      <c r="F1055" s="48" t="s">
        <v>274</v>
      </c>
      <c r="G1055" s="48" t="s">
        <v>275</v>
      </c>
      <c r="H1055" s="48" t="s">
        <v>66</v>
      </c>
      <c r="I1055" s="48" t="s">
        <v>101</v>
      </c>
      <c r="J1055" s="49">
        <v>8</v>
      </c>
      <c r="K1055" s="50">
        <v>3250</v>
      </c>
      <c r="L1055" s="50">
        <v>3239.56</v>
      </c>
      <c r="M1055" s="48" t="s">
        <v>276</v>
      </c>
      <c r="N1055" s="51">
        <v>0.92</v>
      </c>
      <c r="O1055" s="51">
        <v>0.92220000000000002</v>
      </c>
      <c r="P1055" s="52">
        <v>2958.5</v>
      </c>
      <c r="Q1055" s="52">
        <v>2958.5</v>
      </c>
      <c r="R1055" s="53" t="str">
        <f>INDEX(SKU_Master!$D$5:$D$34,MATCH($I1055,SKU_Master!$A$5:$A$34,0))</f>
        <v>Laptop</v>
      </c>
      <c r="S1055" s="54">
        <f t="shared" si="224"/>
        <v>3.2123076923077365E-3</v>
      </c>
      <c r="T1055" s="55">
        <f t="shared" si="225"/>
        <v>28260.869565217388</v>
      </c>
      <c r="U1055" s="55">
        <f t="shared" si="226"/>
        <v>28170.086956521736</v>
      </c>
      <c r="V1055" s="55">
        <f t="shared" si="227"/>
        <v>-90.782608695652016</v>
      </c>
      <c r="W1055" s="55">
        <f t="shared" si="228"/>
        <v>28102.884406853176</v>
      </c>
      <c r="X1055" s="55">
        <f t="shared" si="229"/>
        <v>-67.202549668560096</v>
      </c>
      <c r="Y1055" s="55">
        <f t="shared" si="230"/>
        <v>23668</v>
      </c>
      <c r="Z1055" s="55">
        <f t="shared" si="231"/>
        <v>23668</v>
      </c>
      <c r="AA1055" s="55">
        <f t="shared" si="232"/>
        <v>0</v>
      </c>
      <c r="AB1055" s="55">
        <f t="shared" si="233"/>
        <v>4434.8844068531762</v>
      </c>
      <c r="AC1055" s="54">
        <f t="shared" si="234"/>
        <v>0.15780886910568098</v>
      </c>
      <c r="AD1055" s="56">
        <f>INDEX(Assumptions!$B$14:$B$16,MATCH($R1055,Assumptions!$A$14:$A$16,0))</f>
        <v>0.12</v>
      </c>
      <c r="AE1055" s="56">
        <f>INDEX(Assumptions!$C$14:$C$16,MATCH($R1055,Assumptions!$A$14:$A$16,0))</f>
        <v>0.08</v>
      </c>
      <c r="AF1055" s="49">
        <f t="shared" si="235"/>
        <v>0</v>
      </c>
      <c r="AG1055" s="49">
        <f t="shared" si="236"/>
        <v>0</v>
      </c>
      <c r="AH1055" s="55">
        <f t="shared" si="237"/>
        <v>0</v>
      </c>
    </row>
    <row r="1056" spans="1:34" x14ac:dyDescent="0.2">
      <c r="A1056" s="48" t="s">
        <v>979</v>
      </c>
      <c r="B1056" s="48">
        <v>1</v>
      </c>
      <c r="C1056" s="48" t="s">
        <v>974</v>
      </c>
      <c r="D1056" s="48" t="s">
        <v>958</v>
      </c>
      <c r="E1056" s="48" t="s">
        <v>558</v>
      </c>
      <c r="F1056" s="48" t="s">
        <v>280</v>
      </c>
      <c r="G1056" s="48" t="s">
        <v>288</v>
      </c>
      <c r="H1056" s="48" t="s">
        <v>62</v>
      </c>
      <c r="I1056" s="48" t="s">
        <v>98</v>
      </c>
      <c r="J1056" s="49">
        <v>12</v>
      </c>
      <c r="K1056" s="50">
        <v>2085</v>
      </c>
      <c r="L1056" s="50">
        <v>1997.06</v>
      </c>
      <c r="M1056" s="48" t="s">
        <v>276</v>
      </c>
      <c r="N1056" s="51">
        <v>1</v>
      </c>
      <c r="O1056" s="51">
        <v>1</v>
      </c>
      <c r="P1056" s="52">
        <v>1780.2</v>
      </c>
      <c r="Q1056" s="52">
        <v>1780.2</v>
      </c>
      <c r="R1056" s="53" t="str">
        <f>INDEX(SKU_Master!$D$5:$D$34,MATCH($I1056,SKU_Master!$A$5:$A$34,0))</f>
        <v>Laptop</v>
      </c>
      <c r="S1056" s="54">
        <f t="shared" si="224"/>
        <v>4.2177458033573201E-2</v>
      </c>
      <c r="T1056" s="55">
        <f t="shared" si="225"/>
        <v>25020</v>
      </c>
      <c r="U1056" s="55">
        <f t="shared" si="226"/>
        <v>23964.720000000001</v>
      </c>
      <c r="V1056" s="55">
        <f t="shared" si="227"/>
        <v>-1055.2799999999988</v>
      </c>
      <c r="W1056" s="55">
        <f t="shared" si="228"/>
        <v>23964.720000000001</v>
      </c>
      <c r="X1056" s="55">
        <f t="shared" si="229"/>
        <v>0</v>
      </c>
      <c r="Y1056" s="55">
        <f t="shared" si="230"/>
        <v>21362.400000000001</v>
      </c>
      <c r="Z1056" s="55">
        <f t="shared" si="231"/>
        <v>21362.400000000001</v>
      </c>
      <c r="AA1056" s="55">
        <f t="shared" si="232"/>
        <v>0</v>
      </c>
      <c r="AB1056" s="55">
        <f t="shared" si="233"/>
        <v>2602.3199999999997</v>
      </c>
      <c r="AC1056" s="54">
        <f t="shared" si="234"/>
        <v>0.10858962675132443</v>
      </c>
      <c r="AD1056" s="56">
        <f>INDEX(Assumptions!$B$14:$B$16,MATCH($R1056,Assumptions!$A$14:$A$16,0))</f>
        <v>0.12</v>
      </c>
      <c r="AE1056" s="56">
        <f>INDEX(Assumptions!$C$14:$C$16,MATCH($R1056,Assumptions!$A$14:$A$16,0))</f>
        <v>0.08</v>
      </c>
      <c r="AF1056" s="49">
        <f t="shared" si="235"/>
        <v>0</v>
      </c>
      <c r="AG1056" s="49">
        <f t="shared" si="236"/>
        <v>0</v>
      </c>
      <c r="AH1056" s="55">
        <f t="shared" si="237"/>
        <v>273.44640000000027</v>
      </c>
    </row>
    <row r="1057" spans="1:34" x14ac:dyDescent="0.2">
      <c r="A1057" s="48" t="s">
        <v>979</v>
      </c>
      <c r="B1057" s="48">
        <v>2</v>
      </c>
      <c r="C1057" s="48" t="s">
        <v>974</v>
      </c>
      <c r="D1057" s="48" t="s">
        <v>958</v>
      </c>
      <c r="E1057" s="48" t="s">
        <v>558</v>
      </c>
      <c r="F1057" s="48" t="s">
        <v>280</v>
      </c>
      <c r="G1057" s="48" t="s">
        <v>288</v>
      </c>
      <c r="H1057" s="48" t="s">
        <v>62</v>
      </c>
      <c r="I1057" s="48" t="s">
        <v>135</v>
      </c>
      <c r="J1057" s="49">
        <v>4</v>
      </c>
      <c r="K1057" s="50">
        <v>240</v>
      </c>
      <c r="L1057" s="50">
        <v>230.42</v>
      </c>
      <c r="M1057" s="48" t="s">
        <v>276</v>
      </c>
      <c r="N1057" s="51">
        <v>1</v>
      </c>
      <c r="O1057" s="51">
        <v>1</v>
      </c>
      <c r="P1057" s="52">
        <v>186.7</v>
      </c>
      <c r="Q1057" s="52">
        <v>186.7</v>
      </c>
      <c r="R1057" s="53" t="str">
        <f>INDEX(SKU_Master!$D$5:$D$34,MATCH($I1057,SKU_Master!$A$5:$A$34,0))</f>
        <v>Monitor</v>
      </c>
      <c r="S1057" s="54">
        <f t="shared" si="224"/>
        <v>3.9916666666666711E-2</v>
      </c>
      <c r="T1057" s="55">
        <f t="shared" si="225"/>
        <v>960</v>
      </c>
      <c r="U1057" s="55">
        <f t="shared" si="226"/>
        <v>921.68</v>
      </c>
      <c r="V1057" s="55">
        <f t="shared" si="227"/>
        <v>-38.32000000000005</v>
      </c>
      <c r="W1057" s="55">
        <f t="shared" si="228"/>
        <v>921.68</v>
      </c>
      <c r="X1057" s="55">
        <f t="shared" si="229"/>
        <v>0</v>
      </c>
      <c r="Y1057" s="55">
        <f t="shared" si="230"/>
        <v>746.8</v>
      </c>
      <c r="Z1057" s="55">
        <f t="shared" si="231"/>
        <v>746.8</v>
      </c>
      <c r="AA1057" s="55">
        <f t="shared" si="232"/>
        <v>0</v>
      </c>
      <c r="AB1057" s="55">
        <f t="shared" si="233"/>
        <v>174.88</v>
      </c>
      <c r="AC1057" s="54">
        <f t="shared" si="234"/>
        <v>0.1897404739171947</v>
      </c>
      <c r="AD1057" s="56">
        <f>INDEX(Assumptions!$B$14:$B$16,MATCH($R1057,Assumptions!$A$14:$A$16,0))</f>
        <v>0.18</v>
      </c>
      <c r="AE1057" s="56">
        <f>INDEX(Assumptions!$C$14:$C$16,MATCH($R1057,Assumptions!$A$14:$A$16,0))</f>
        <v>0.12</v>
      </c>
      <c r="AF1057" s="49">
        <f t="shared" si="235"/>
        <v>0</v>
      </c>
      <c r="AG1057" s="49">
        <f t="shared" si="236"/>
        <v>0</v>
      </c>
      <c r="AH1057" s="55">
        <f t="shared" si="237"/>
        <v>0</v>
      </c>
    </row>
    <row r="1058" spans="1:34" x14ac:dyDescent="0.2">
      <c r="A1058" s="48" t="s">
        <v>979</v>
      </c>
      <c r="B1058" s="48">
        <v>3</v>
      </c>
      <c r="C1058" s="48" t="s">
        <v>974</v>
      </c>
      <c r="D1058" s="48" t="s">
        <v>958</v>
      </c>
      <c r="E1058" s="48" t="s">
        <v>558</v>
      </c>
      <c r="F1058" s="48" t="s">
        <v>280</v>
      </c>
      <c r="G1058" s="48" t="s">
        <v>288</v>
      </c>
      <c r="H1058" s="48" t="s">
        <v>62</v>
      </c>
      <c r="I1058" s="48" t="s">
        <v>166</v>
      </c>
      <c r="J1058" s="49">
        <v>8</v>
      </c>
      <c r="K1058" s="50">
        <v>265</v>
      </c>
      <c r="L1058" s="50">
        <v>256.83</v>
      </c>
      <c r="M1058" s="48" t="s">
        <v>276</v>
      </c>
      <c r="N1058" s="51">
        <v>1</v>
      </c>
      <c r="O1058" s="51">
        <v>1</v>
      </c>
      <c r="P1058" s="52">
        <v>169.35</v>
      </c>
      <c r="Q1058" s="52">
        <v>169.35</v>
      </c>
      <c r="R1058" s="53" t="str">
        <f>INDEX(SKU_Master!$D$5:$D$34,MATCH($I1058,SKU_Master!$A$5:$A$34,0))</f>
        <v>Accessory</v>
      </c>
      <c r="S1058" s="54">
        <f t="shared" si="224"/>
        <v>3.0830188679245363E-2</v>
      </c>
      <c r="T1058" s="55">
        <f t="shared" si="225"/>
        <v>2120</v>
      </c>
      <c r="U1058" s="55">
        <f t="shared" si="226"/>
        <v>2054.64</v>
      </c>
      <c r="V1058" s="55">
        <f t="shared" si="227"/>
        <v>-65.360000000000127</v>
      </c>
      <c r="W1058" s="55">
        <f t="shared" si="228"/>
        <v>2054.64</v>
      </c>
      <c r="X1058" s="55">
        <f t="shared" si="229"/>
        <v>0</v>
      </c>
      <c r="Y1058" s="55">
        <f t="shared" si="230"/>
        <v>1354.8</v>
      </c>
      <c r="Z1058" s="55">
        <f t="shared" si="231"/>
        <v>1354.8</v>
      </c>
      <c r="AA1058" s="55">
        <f t="shared" si="232"/>
        <v>0</v>
      </c>
      <c r="AB1058" s="55">
        <f t="shared" si="233"/>
        <v>699.83999999999992</v>
      </c>
      <c r="AC1058" s="54">
        <f t="shared" si="234"/>
        <v>0.34061441420394811</v>
      </c>
      <c r="AD1058" s="56">
        <f>INDEX(Assumptions!$B$14:$B$16,MATCH($R1058,Assumptions!$A$14:$A$16,0))</f>
        <v>0.32</v>
      </c>
      <c r="AE1058" s="56">
        <f>INDEX(Assumptions!$C$14:$C$16,MATCH($R1058,Assumptions!$A$14:$A$16,0))</f>
        <v>0.22</v>
      </c>
      <c r="AF1058" s="49">
        <f t="shared" si="235"/>
        <v>0</v>
      </c>
      <c r="AG1058" s="49">
        <f t="shared" si="236"/>
        <v>0</v>
      </c>
      <c r="AH1058" s="55">
        <f t="shared" si="237"/>
        <v>0</v>
      </c>
    </row>
    <row r="1059" spans="1:34" x14ac:dyDescent="0.2">
      <c r="A1059" s="48" t="s">
        <v>980</v>
      </c>
      <c r="B1059" s="48">
        <v>1</v>
      </c>
      <c r="C1059" s="48" t="s">
        <v>966</v>
      </c>
      <c r="D1059" s="48" t="s">
        <v>958</v>
      </c>
      <c r="E1059" s="48" t="s">
        <v>284</v>
      </c>
      <c r="F1059" s="48" t="s">
        <v>274</v>
      </c>
      <c r="G1059" s="48" t="s">
        <v>275</v>
      </c>
      <c r="H1059" s="48" t="s">
        <v>64</v>
      </c>
      <c r="I1059" s="48" t="s">
        <v>110</v>
      </c>
      <c r="J1059" s="49">
        <v>9</v>
      </c>
      <c r="K1059" s="50">
        <v>960</v>
      </c>
      <c r="L1059" s="50">
        <v>955.81</v>
      </c>
      <c r="M1059" s="48" t="s">
        <v>276</v>
      </c>
      <c r="N1059" s="51">
        <v>0.79</v>
      </c>
      <c r="O1059" s="51">
        <v>0.80300000000000005</v>
      </c>
      <c r="P1059" s="52">
        <v>1016.65</v>
      </c>
      <c r="Q1059" s="52">
        <v>1016.65</v>
      </c>
      <c r="R1059" s="53" t="str">
        <f>INDEX(SKU_Master!$D$5:$D$34,MATCH($I1059,SKU_Master!$A$5:$A$34,0))</f>
        <v>Laptop</v>
      </c>
      <c r="S1059" s="54">
        <f t="shared" si="224"/>
        <v>4.3645833333333384E-3</v>
      </c>
      <c r="T1059" s="55">
        <f t="shared" si="225"/>
        <v>10936.708860759492</v>
      </c>
      <c r="U1059" s="55">
        <f t="shared" si="226"/>
        <v>10888.974683544302</v>
      </c>
      <c r="V1059" s="55">
        <f t="shared" si="227"/>
        <v>-47.734177215190357</v>
      </c>
      <c r="W1059" s="55">
        <f t="shared" si="228"/>
        <v>10712.689912826898</v>
      </c>
      <c r="X1059" s="55">
        <f t="shared" si="229"/>
        <v>-176.28477071740417</v>
      </c>
      <c r="Y1059" s="55">
        <f t="shared" si="230"/>
        <v>9149.85</v>
      </c>
      <c r="Z1059" s="55">
        <f t="shared" si="231"/>
        <v>9149.85</v>
      </c>
      <c r="AA1059" s="55">
        <f t="shared" si="232"/>
        <v>0</v>
      </c>
      <c r="AB1059" s="55">
        <f t="shared" si="233"/>
        <v>1562.8399128268975</v>
      </c>
      <c r="AC1059" s="54">
        <f t="shared" si="234"/>
        <v>0.14588678712296363</v>
      </c>
      <c r="AD1059" s="56">
        <f>INDEX(Assumptions!$B$14:$B$16,MATCH($R1059,Assumptions!$A$14:$A$16,0))</f>
        <v>0.12</v>
      </c>
      <c r="AE1059" s="56">
        <f>INDEX(Assumptions!$C$14:$C$16,MATCH($R1059,Assumptions!$A$14:$A$16,0))</f>
        <v>0.08</v>
      </c>
      <c r="AF1059" s="49">
        <f t="shared" si="235"/>
        <v>0</v>
      </c>
      <c r="AG1059" s="49">
        <f t="shared" si="236"/>
        <v>0</v>
      </c>
      <c r="AH1059" s="55">
        <f t="shared" si="237"/>
        <v>0</v>
      </c>
    </row>
    <row r="1060" spans="1:34" x14ac:dyDescent="0.2">
      <c r="A1060" s="48" t="s">
        <v>980</v>
      </c>
      <c r="B1060" s="48">
        <v>2</v>
      </c>
      <c r="C1060" s="48" t="s">
        <v>966</v>
      </c>
      <c r="D1060" s="48" t="s">
        <v>958</v>
      </c>
      <c r="E1060" s="48" t="s">
        <v>284</v>
      </c>
      <c r="F1060" s="48" t="s">
        <v>274</v>
      </c>
      <c r="G1060" s="48" t="s">
        <v>275</v>
      </c>
      <c r="H1060" s="48" t="s">
        <v>64</v>
      </c>
      <c r="I1060" s="48" t="s">
        <v>141</v>
      </c>
      <c r="J1060" s="49">
        <v>9</v>
      </c>
      <c r="K1060" s="50">
        <v>395</v>
      </c>
      <c r="L1060" s="50">
        <v>393.68</v>
      </c>
      <c r="M1060" s="48" t="s">
        <v>276</v>
      </c>
      <c r="N1060" s="51">
        <v>0.79</v>
      </c>
      <c r="O1060" s="51">
        <v>0.80300000000000005</v>
      </c>
      <c r="P1060" s="52">
        <v>381.7</v>
      </c>
      <c r="Q1060" s="52">
        <v>381.7</v>
      </c>
      <c r="R1060" s="53" t="str">
        <f>INDEX(SKU_Master!$D$5:$D$34,MATCH($I1060,SKU_Master!$A$5:$A$34,0))</f>
        <v>Monitor</v>
      </c>
      <c r="S1060" s="54">
        <f t="shared" si="224"/>
        <v>3.3417721518986809E-3</v>
      </c>
      <c r="T1060" s="55">
        <f t="shared" si="225"/>
        <v>4500</v>
      </c>
      <c r="U1060" s="55">
        <f t="shared" si="226"/>
        <v>4484.9620253164558</v>
      </c>
      <c r="V1060" s="55">
        <f t="shared" si="227"/>
        <v>-15.037974683544235</v>
      </c>
      <c r="W1060" s="55">
        <f t="shared" si="228"/>
        <v>4412.3536737235363</v>
      </c>
      <c r="X1060" s="55">
        <f t="shared" si="229"/>
        <v>-72.608351592919462</v>
      </c>
      <c r="Y1060" s="55">
        <f t="shared" si="230"/>
        <v>3435.2999999999997</v>
      </c>
      <c r="Z1060" s="55">
        <f t="shared" si="231"/>
        <v>3435.2999999999997</v>
      </c>
      <c r="AA1060" s="55">
        <f t="shared" si="232"/>
        <v>0</v>
      </c>
      <c r="AB1060" s="55">
        <f t="shared" si="233"/>
        <v>977.05367372353658</v>
      </c>
      <c r="AC1060" s="54">
        <f t="shared" si="234"/>
        <v>0.22143593781751675</v>
      </c>
      <c r="AD1060" s="56">
        <f>INDEX(Assumptions!$B$14:$B$16,MATCH($R1060,Assumptions!$A$14:$A$16,0))</f>
        <v>0.18</v>
      </c>
      <c r="AE1060" s="56">
        <f>INDEX(Assumptions!$C$14:$C$16,MATCH($R1060,Assumptions!$A$14:$A$16,0))</f>
        <v>0.12</v>
      </c>
      <c r="AF1060" s="49">
        <f t="shared" si="235"/>
        <v>0</v>
      </c>
      <c r="AG1060" s="49">
        <f t="shared" si="236"/>
        <v>0</v>
      </c>
      <c r="AH1060" s="55">
        <f t="shared" si="237"/>
        <v>0</v>
      </c>
    </row>
    <row r="1061" spans="1:34" x14ac:dyDescent="0.2">
      <c r="A1061" s="48" t="s">
        <v>980</v>
      </c>
      <c r="B1061" s="48">
        <v>3</v>
      </c>
      <c r="C1061" s="48" t="s">
        <v>966</v>
      </c>
      <c r="D1061" s="48" t="s">
        <v>958</v>
      </c>
      <c r="E1061" s="48" t="s">
        <v>284</v>
      </c>
      <c r="F1061" s="48" t="s">
        <v>274</v>
      </c>
      <c r="G1061" s="48" t="s">
        <v>275</v>
      </c>
      <c r="H1061" s="48" t="s">
        <v>64</v>
      </c>
      <c r="I1061" s="48" t="s">
        <v>151</v>
      </c>
      <c r="J1061" s="49">
        <v>6</v>
      </c>
      <c r="K1061" s="50">
        <v>280</v>
      </c>
      <c r="L1061" s="50">
        <v>275.67</v>
      </c>
      <c r="M1061" s="48" t="s">
        <v>276</v>
      </c>
      <c r="N1061" s="51">
        <v>0.79</v>
      </c>
      <c r="O1061" s="51">
        <v>0.80300000000000005</v>
      </c>
      <c r="P1061" s="52">
        <v>222.7</v>
      </c>
      <c r="Q1061" s="52">
        <v>222.7</v>
      </c>
      <c r="R1061" s="53" t="str">
        <f>INDEX(SKU_Master!$D$5:$D$34,MATCH($I1061,SKU_Master!$A$5:$A$34,0))</f>
        <v>Accessory</v>
      </c>
      <c r="S1061" s="54">
        <f t="shared" si="224"/>
        <v>1.5464285714285708E-2</v>
      </c>
      <c r="T1061" s="55">
        <f t="shared" si="225"/>
        <v>2126.5822784810125</v>
      </c>
      <c r="U1061" s="55">
        <f t="shared" si="226"/>
        <v>2093.6962025316457</v>
      </c>
      <c r="V1061" s="55">
        <f t="shared" si="227"/>
        <v>-32.886075949366841</v>
      </c>
      <c r="W1061" s="55">
        <f t="shared" si="228"/>
        <v>2059.8007471980072</v>
      </c>
      <c r="X1061" s="55">
        <f t="shared" si="229"/>
        <v>-33.895455333638438</v>
      </c>
      <c r="Y1061" s="55">
        <f t="shared" si="230"/>
        <v>1336.1999999999998</v>
      </c>
      <c r="Z1061" s="55">
        <f t="shared" si="231"/>
        <v>1336.1999999999998</v>
      </c>
      <c r="AA1061" s="55">
        <f t="shared" si="232"/>
        <v>0</v>
      </c>
      <c r="AB1061" s="55">
        <f t="shared" si="233"/>
        <v>723.60074719800741</v>
      </c>
      <c r="AC1061" s="54">
        <f t="shared" si="234"/>
        <v>0.35129647767257954</v>
      </c>
      <c r="AD1061" s="56">
        <f>INDEX(Assumptions!$B$14:$B$16,MATCH($R1061,Assumptions!$A$14:$A$16,0))</f>
        <v>0.32</v>
      </c>
      <c r="AE1061" s="56">
        <f>INDEX(Assumptions!$C$14:$C$16,MATCH($R1061,Assumptions!$A$14:$A$16,0))</f>
        <v>0.22</v>
      </c>
      <c r="AF1061" s="49">
        <f t="shared" si="235"/>
        <v>0</v>
      </c>
      <c r="AG1061" s="49">
        <f t="shared" si="236"/>
        <v>0</v>
      </c>
      <c r="AH1061" s="55">
        <f t="shared" si="237"/>
        <v>0</v>
      </c>
    </row>
    <row r="1062" spans="1:34" x14ac:dyDescent="0.2">
      <c r="A1062" s="48" t="s">
        <v>981</v>
      </c>
      <c r="B1062" s="48">
        <v>1</v>
      </c>
      <c r="C1062" s="48" t="s">
        <v>982</v>
      </c>
      <c r="D1062" s="48" t="s">
        <v>958</v>
      </c>
      <c r="E1062" s="48" t="s">
        <v>358</v>
      </c>
      <c r="F1062" s="48" t="s">
        <v>274</v>
      </c>
      <c r="G1062" s="48" t="s">
        <v>288</v>
      </c>
      <c r="H1062" s="48" t="s">
        <v>62</v>
      </c>
      <c r="I1062" s="48" t="s">
        <v>98</v>
      </c>
      <c r="J1062" s="49">
        <v>7</v>
      </c>
      <c r="K1062" s="50">
        <v>2085</v>
      </c>
      <c r="L1062" s="50">
        <v>2062.8200000000002</v>
      </c>
      <c r="M1062" s="48" t="s">
        <v>276</v>
      </c>
      <c r="N1062" s="51">
        <v>1</v>
      </c>
      <c r="O1062" s="51">
        <v>1</v>
      </c>
      <c r="P1062" s="52">
        <v>1780.2</v>
      </c>
      <c r="Q1062" s="52">
        <v>1780.2</v>
      </c>
      <c r="R1062" s="53" t="str">
        <f>INDEX(SKU_Master!$D$5:$D$34,MATCH($I1062,SKU_Master!$A$5:$A$34,0))</f>
        <v>Laptop</v>
      </c>
      <c r="S1062" s="54">
        <f t="shared" si="224"/>
        <v>1.0637889688249302E-2</v>
      </c>
      <c r="T1062" s="55">
        <f t="shared" si="225"/>
        <v>14595</v>
      </c>
      <c r="U1062" s="55">
        <f t="shared" si="226"/>
        <v>14439.740000000002</v>
      </c>
      <c r="V1062" s="55">
        <f t="shared" si="227"/>
        <v>-155.2599999999984</v>
      </c>
      <c r="W1062" s="55">
        <f t="shared" si="228"/>
        <v>14439.740000000002</v>
      </c>
      <c r="X1062" s="55">
        <f t="shared" si="229"/>
        <v>0</v>
      </c>
      <c r="Y1062" s="55">
        <f t="shared" si="230"/>
        <v>12461.4</v>
      </c>
      <c r="Z1062" s="55">
        <f t="shared" si="231"/>
        <v>12461.4</v>
      </c>
      <c r="AA1062" s="55">
        <f t="shared" si="232"/>
        <v>0</v>
      </c>
      <c r="AB1062" s="55">
        <f t="shared" si="233"/>
        <v>1978.340000000002</v>
      </c>
      <c r="AC1062" s="54">
        <f t="shared" si="234"/>
        <v>0.13700662200288938</v>
      </c>
      <c r="AD1062" s="56">
        <f>INDEX(Assumptions!$B$14:$B$16,MATCH($R1062,Assumptions!$A$14:$A$16,0))</f>
        <v>0.12</v>
      </c>
      <c r="AE1062" s="56">
        <f>INDEX(Assumptions!$C$14:$C$16,MATCH($R1062,Assumptions!$A$14:$A$16,0))</f>
        <v>0.08</v>
      </c>
      <c r="AF1062" s="49">
        <f t="shared" si="235"/>
        <v>0</v>
      </c>
      <c r="AG1062" s="49">
        <f t="shared" si="236"/>
        <v>0</v>
      </c>
      <c r="AH1062" s="55">
        <f t="shared" si="237"/>
        <v>0</v>
      </c>
    </row>
    <row r="1063" spans="1:34" x14ac:dyDescent="0.2">
      <c r="A1063" s="48" t="s">
        <v>981</v>
      </c>
      <c r="B1063" s="48">
        <v>2</v>
      </c>
      <c r="C1063" s="48" t="s">
        <v>982</v>
      </c>
      <c r="D1063" s="48" t="s">
        <v>958</v>
      </c>
      <c r="E1063" s="48" t="s">
        <v>358</v>
      </c>
      <c r="F1063" s="48" t="s">
        <v>274</v>
      </c>
      <c r="G1063" s="48" t="s">
        <v>288</v>
      </c>
      <c r="H1063" s="48" t="s">
        <v>62</v>
      </c>
      <c r="I1063" s="48" t="s">
        <v>151</v>
      </c>
      <c r="J1063" s="49">
        <v>6</v>
      </c>
      <c r="K1063" s="50">
        <v>335</v>
      </c>
      <c r="L1063" s="50">
        <v>333.68</v>
      </c>
      <c r="M1063" s="48" t="s">
        <v>276</v>
      </c>
      <c r="N1063" s="51">
        <v>1</v>
      </c>
      <c r="O1063" s="51">
        <v>1</v>
      </c>
      <c r="P1063" s="52">
        <v>216.7</v>
      </c>
      <c r="Q1063" s="52">
        <v>216.7</v>
      </c>
      <c r="R1063" s="53" t="str">
        <f>INDEX(SKU_Master!$D$5:$D$34,MATCH($I1063,SKU_Master!$A$5:$A$34,0))</f>
        <v>Accessory</v>
      </c>
      <c r="S1063" s="54">
        <f t="shared" si="224"/>
        <v>3.9402985074626917E-3</v>
      </c>
      <c r="T1063" s="55">
        <f t="shared" si="225"/>
        <v>2010</v>
      </c>
      <c r="U1063" s="55">
        <f t="shared" si="226"/>
        <v>2002.08</v>
      </c>
      <c r="V1063" s="55">
        <f t="shared" si="227"/>
        <v>-7.9200000000000728</v>
      </c>
      <c r="W1063" s="55">
        <f t="shared" si="228"/>
        <v>2002.08</v>
      </c>
      <c r="X1063" s="55">
        <f t="shared" si="229"/>
        <v>0</v>
      </c>
      <c r="Y1063" s="55">
        <f t="shared" si="230"/>
        <v>1300.1999999999998</v>
      </c>
      <c r="Z1063" s="55">
        <f t="shared" si="231"/>
        <v>1300.1999999999998</v>
      </c>
      <c r="AA1063" s="55">
        <f t="shared" si="232"/>
        <v>0</v>
      </c>
      <c r="AB1063" s="55">
        <f t="shared" si="233"/>
        <v>701.88000000000011</v>
      </c>
      <c r="AC1063" s="54">
        <f t="shared" si="234"/>
        <v>0.3505754015823544</v>
      </c>
      <c r="AD1063" s="56">
        <f>INDEX(Assumptions!$B$14:$B$16,MATCH($R1063,Assumptions!$A$14:$A$16,0))</f>
        <v>0.32</v>
      </c>
      <c r="AE1063" s="56">
        <f>INDEX(Assumptions!$C$14:$C$16,MATCH($R1063,Assumptions!$A$14:$A$16,0))</f>
        <v>0.22</v>
      </c>
      <c r="AF1063" s="49">
        <f t="shared" si="235"/>
        <v>0</v>
      </c>
      <c r="AG1063" s="49">
        <f t="shared" si="236"/>
        <v>0</v>
      </c>
      <c r="AH1063" s="55">
        <f t="shared" si="237"/>
        <v>0</v>
      </c>
    </row>
    <row r="1064" spans="1:34" x14ac:dyDescent="0.2">
      <c r="A1064" s="48" t="s">
        <v>983</v>
      </c>
      <c r="B1064" s="48">
        <v>1</v>
      </c>
      <c r="C1064" s="48" t="s">
        <v>962</v>
      </c>
      <c r="D1064" s="48" t="s">
        <v>958</v>
      </c>
      <c r="E1064" s="48" t="s">
        <v>368</v>
      </c>
      <c r="F1064" s="48" t="s">
        <v>274</v>
      </c>
      <c r="G1064" s="48" t="s">
        <v>288</v>
      </c>
      <c r="H1064" s="48" t="s">
        <v>68</v>
      </c>
      <c r="I1064" s="48" t="s">
        <v>103</v>
      </c>
      <c r="J1064" s="49">
        <v>5</v>
      </c>
      <c r="K1064" s="50">
        <v>1605</v>
      </c>
      <c r="L1064" s="50">
        <v>1575.48</v>
      </c>
      <c r="M1064" s="48" t="s">
        <v>276</v>
      </c>
      <c r="N1064" s="51">
        <v>1.37</v>
      </c>
      <c r="O1064" s="51">
        <v>1.3652</v>
      </c>
      <c r="P1064" s="52">
        <v>980.6</v>
      </c>
      <c r="Q1064" s="52">
        <v>980.6</v>
      </c>
      <c r="R1064" s="53" t="str">
        <f>INDEX(SKU_Master!$D$5:$D$34,MATCH($I1064,SKU_Master!$A$5:$A$34,0))</f>
        <v>Laptop</v>
      </c>
      <c r="S1064" s="54">
        <f t="shared" si="224"/>
        <v>1.8392523364485935E-2</v>
      </c>
      <c r="T1064" s="55">
        <f t="shared" si="225"/>
        <v>5857.6642335766419</v>
      </c>
      <c r="U1064" s="55">
        <f t="shared" si="226"/>
        <v>5749.9270072992695</v>
      </c>
      <c r="V1064" s="55">
        <f t="shared" si="227"/>
        <v>-107.73722627737243</v>
      </c>
      <c r="W1064" s="55">
        <f t="shared" si="228"/>
        <v>5770.1435687078811</v>
      </c>
      <c r="X1064" s="55">
        <f t="shared" si="229"/>
        <v>20.216561408611597</v>
      </c>
      <c r="Y1064" s="55">
        <f t="shared" si="230"/>
        <v>4903</v>
      </c>
      <c r="Z1064" s="55">
        <f t="shared" si="231"/>
        <v>4903</v>
      </c>
      <c r="AA1064" s="55">
        <f t="shared" si="232"/>
        <v>0</v>
      </c>
      <c r="AB1064" s="55">
        <f t="shared" si="233"/>
        <v>867.14356870788106</v>
      </c>
      <c r="AC1064" s="54">
        <f t="shared" si="234"/>
        <v>0.15028110797979019</v>
      </c>
      <c r="AD1064" s="56">
        <f>INDEX(Assumptions!$B$14:$B$16,MATCH($R1064,Assumptions!$A$14:$A$16,0))</f>
        <v>0.12</v>
      </c>
      <c r="AE1064" s="56">
        <f>INDEX(Assumptions!$C$14:$C$16,MATCH($R1064,Assumptions!$A$14:$A$16,0))</f>
        <v>0.08</v>
      </c>
      <c r="AF1064" s="49">
        <f t="shared" si="235"/>
        <v>0</v>
      </c>
      <c r="AG1064" s="49">
        <f t="shared" si="236"/>
        <v>0</v>
      </c>
      <c r="AH1064" s="55">
        <f t="shared" si="237"/>
        <v>0</v>
      </c>
    </row>
    <row r="1065" spans="1:34" x14ac:dyDescent="0.2">
      <c r="A1065" s="48" t="s">
        <v>983</v>
      </c>
      <c r="B1065" s="48">
        <v>2</v>
      </c>
      <c r="C1065" s="48" t="s">
        <v>962</v>
      </c>
      <c r="D1065" s="48" t="s">
        <v>958</v>
      </c>
      <c r="E1065" s="48" t="s">
        <v>368</v>
      </c>
      <c r="F1065" s="48" t="s">
        <v>274</v>
      </c>
      <c r="G1065" s="48" t="s">
        <v>288</v>
      </c>
      <c r="H1065" s="48" t="s">
        <v>68</v>
      </c>
      <c r="I1065" s="48" t="s">
        <v>146</v>
      </c>
      <c r="J1065" s="49">
        <v>5</v>
      </c>
      <c r="K1065" s="50">
        <v>350</v>
      </c>
      <c r="L1065" s="50">
        <v>345.59</v>
      </c>
      <c r="M1065" s="48" t="s">
        <v>276</v>
      </c>
      <c r="N1065" s="51">
        <v>1.37</v>
      </c>
      <c r="O1065" s="51">
        <v>1.3652</v>
      </c>
      <c r="P1065" s="52">
        <v>196.8</v>
      </c>
      <c r="Q1065" s="52">
        <v>196.8</v>
      </c>
      <c r="R1065" s="53" t="str">
        <f>INDEX(SKU_Master!$D$5:$D$34,MATCH($I1065,SKU_Master!$A$5:$A$34,0))</f>
        <v>Monitor</v>
      </c>
      <c r="S1065" s="54">
        <f t="shared" si="224"/>
        <v>1.2600000000000056E-2</v>
      </c>
      <c r="T1065" s="55">
        <f t="shared" si="225"/>
        <v>1277.3722627737225</v>
      </c>
      <c r="U1065" s="55">
        <f t="shared" si="226"/>
        <v>1261.2773722627735</v>
      </c>
      <c r="V1065" s="55">
        <f t="shared" si="227"/>
        <v>-16.094890510948971</v>
      </c>
      <c r="W1065" s="55">
        <f t="shared" si="228"/>
        <v>1265.7119835921476</v>
      </c>
      <c r="X1065" s="55">
        <f t="shared" si="229"/>
        <v>4.4346113293740927</v>
      </c>
      <c r="Y1065" s="55">
        <f t="shared" si="230"/>
        <v>984</v>
      </c>
      <c r="Z1065" s="55">
        <f t="shared" si="231"/>
        <v>984</v>
      </c>
      <c r="AA1065" s="55">
        <f t="shared" si="232"/>
        <v>0</v>
      </c>
      <c r="AB1065" s="55">
        <f t="shared" si="233"/>
        <v>281.71198359214759</v>
      </c>
      <c r="AC1065" s="54">
        <f t="shared" si="234"/>
        <v>0.22257194941983269</v>
      </c>
      <c r="AD1065" s="56">
        <f>INDEX(Assumptions!$B$14:$B$16,MATCH($R1065,Assumptions!$A$14:$A$16,0))</f>
        <v>0.18</v>
      </c>
      <c r="AE1065" s="56">
        <f>INDEX(Assumptions!$C$14:$C$16,MATCH($R1065,Assumptions!$A$14:$A$16,0))</f>
        <v>0.12</v>
      </c>
      <c r="AF1065" s="49">
        <f t="shared" si="235"/>
        <v>0</v>
      </c>
      <c r="AG1065" s="49">
        <f t="shared" si="236"/>
        <v>0</v>
      </c>
      <c r="AH1065" s="55">
        <f t="shared" si="237"/>
        <v>0</v>
      </c>
    </row>
    <row r="1066" spans="1:34" x14ac:dyDescent="0.2">
      <c r="A1066" s="48" t="s">
        <v>983</v>
      </c>
      <c r="B1066" s="48">
        <v>3</v>
      </c>
      <c r="C1066" s="48" t="s">
        <v>962</v>
      </c>
      <c r="D1066" s="48" t="s">
        <v>958</v>
      </c>
      <c r="E1066" s="48" t="s">
        <v>368</v>
      </c>
      <c r="F1066" s="48" t="s">
        <v>274</v>
      </c>
      <c r="G1066" s="48" t="s">
        <v>288</v>
      </c>
      <c r="H1066" s="48" t="s">
        <v>68</v>
      </c>
      <c r="I1066" s="48" t="s">
        <v>164</v>
      </c>
      <c r="J1066" s="49">
        <v>4</v>
      </c>
      <c r="K1066" s="50">
        <v>270</v>
      </c>
      <c r="L1066" s="50">
        <v>267.64999999999998</v>
      </c>
      <c r="M1066" s="48" t="s">
        <v>276</v>
      </c>
      <c r="N1066" s="51">
        <v>1.37</v>
      </c>
      <c r="O1066" s="51">
        <v>1.3652</v>
      </c>
      <c r="P1066" s="52">
        <v>124</v>
      </c>
      <c r="Q1066" s="52">
        <v>124</v>
      </c>
      <c r="R1066" s="53" t="str">
        <f>INDEX(SKU_Master!$D$5:$D$34,MATCH($I1066,SKU_Master!$A$5:$A$34,0))</f>
        <v>Accessory</v>
      </c>
      <c r="S1066" s="54">
        <f t="shared" si="224"/>
        <v>8.703703703703769E-3</v>
      </c>
      <c r="T1066" s="55">
        <f t="shared" si="225"/>
        <v>788.32116788321161</v>
      </c>
      <c r="U1066" s="55">
        <f t="shared" si="226"/>
        <v>781.45985401459836</v>
      </c>
      <c r="V1066" s="55">
        <f t="shared" si="227"/>
        <v>-6.8613138686132515</v>
      </c>
      <c r="W1066" s="55">
        <f t="shared" si="228"/>
        <v>784.20744213302078</v>
      </c>
      <c r="X1066" s="55">
        <f t="shared" si="229"/>
        <v>2.7475881184224136</v>
      </c>
      <c r="Y1066" s="55">
        <f t="shared" si="230"/>
        <v>496</v>
      </c>
      <c r="Z1066" s="55">
        <f t="shared" si="231"/>
        <v>496</v>
      </c>
      <c r="AA1066" s="55">
        <f t="shared" si="232"/>
        <v>0</v>
      </c>
      <c r="AB1066" s="55">
        <f t="shared" si="233"/>
        <v>288.20744213302078</v>
      </c>
      <c r="AC1066" s="54">
        <f t="shared" si="234"/>
        <v>0.36751429105174666</v>
      </c>
      <c r="AD1066" s="56">
        <f>INDEX(Assumptions!$B$14:$B$16,MATCH($R1066,Assumptions!$A$14:$A$16,0))</f>
        <v>0.32</v>
      </c>
      <c r="AE1066" s="56">
        <f>INDEX(Assumptions!$C$14:$C$16,MATCH($R1066,Assumptions!$A$14:$A$16,0))</f>
        <v>0.22</v>
      </c>
      <c r="AF1066" s="49">
        <f t="shared" si="235"/>
        <v>0</v>
      </c>
      <c r="AG1066" s="49">
        <f t="shared" si="236"/>
        <v>0</v>
      </c>
      <c r="AH1066" s="55">
        <f t="shared" si="237"/>
        <v>0</v>
      </c>
    </row>
    <row r="1067" spans="1:34" x14ac:dyDescent="0.2">
      <c r="A1067" s="48" t="s">
        <v>984</v>
      </c>
      <c r="B1067" s="48">
        <v>1</v>
      </c>
      <c r="C1067" s="48" t="s">
        <v>985</v>
      </c>
      <c r="D1067" s="48" t="s">
        <v>958</v>
      </c>
      <c r="E1067" s="48" t="s">
        <v>273</v>
      </c>
      <c r="F1067" s="48" t="s">
        <v>274</v>
      </c>
      <c r="G1067" s="48" t="s">
        <v>275</v>
      </c>
      <c r="H1067" s="48" t="s">
        <v>66</v>
      </c>
      <c r="I1067" s="48" t="s">
        <v>93</v>
      </c>
      <c r="J1067" s="49">
        <v>4</v>
      </c>
      <c r="K1067" s="50">
        <v>1325</v>
      </c>
      <c r="L1067" s="50">
        <v>1302.43</v>
      </c>
      <c r="M1067" s="48" t="s">
        <v>276</v>
      </c>
      <c r="N1067" s="51">
        <v>0.92</v>
      </c>
      <c r="O1067" s="51">
        <v>0.92220000000000002</v>
      </c>
      <c r="P1067" s="52">
        <v>1206.2</v>
      </c>
      <c r="Q1067" s="52">
        <v>1206.2</v>
      </c>
      <c r="R1067" s="53" t="str">
        <f>INDEX(SKU_Master!$D$5:$D$34,MATCH($I1067,SKU_Master!$A$5:$A$34,0))</f>
        <v>Laptop</v>
      </c>
      <c r="S1067" s="54">
        <f t="shared" si="224"/>
        <v>1.7033962264150881E-2</v>
      </c>
      <c r="T1067" s="55">
        <f t="shared" si="225"/>
        <v>5760.869565217391</v>
      </c>
      <c r="U1067" s="55">
        <f t="shared" si="226"/>
        <v>5662.739130434783</v>
      </c>
      <c r="V1067" s="55">
        <f t="shared" si="227"/>
        <v>-98.130434782608063</v>
      </c>
      <c r="W1067" s="55">
        <f t="shared" si="228"/>
        <v>5649.2301019301667</v>
      </c>
      <c r="X1067" s="55">
        <f t="shared" si="229"/>
        <v>-13.509028504616253</v>
      </c>
      <c r="Y1067" s="55">
        <f t="shared" si="230"/>
        <v>4824.8</v>
      </c>
      <c r="Z1067" s="55">
        <f t="shared" si="231"/>
        <v>4824.8</v>
      </c>
      <c r="AA1067" s="55">
        <f t="shared" si="232"/>
        <v>0</v>
      </c>
      <c r="AB1067" s="55">
        <f t="shared" si="233"/>
        <v>824.43010193016653</v>
      </c>
      <c r="AC1067" s="54">
        <f t="shared" si="234"/>
        <v>0.14593671828812291</v>
      </c>
      <c r="AD1067" s="56">
        <f>INDEX(Assumptions!$B$14:$B$16,MATCH($R1067,Assumptions!$A$14:$A$16,0))</f>
        <v>0.12</v>
      </c>
      <c r="AE1067" s="56">
        <f>INDEX(Assumptions!$C$14:$C$16,MATCH($R1067,Assumptions!$A$14:$A$16,0))</f>
        <v>0.08</v>
      </c>
      <c r="AF1067" s="49">
        <f t="shared" si="235"/>
        <v>0</v>
      </c>
      <c r="AG1067" s="49">
        <f t="shared" si="236"/>
        <v>0</v>
      </c>
      <c r="AH1067" s="55">
        <f t="shared" si="237"/>
        <v>0</v>
      </c>
    </row>
    <row r="1068" spans="1:34" x14ac:dyDescent="0.2">
      <c r="A1068" s="48" t="s">
        <v>984</v>
      </c>
      <c r="B1068" s="48">
        <v>2</v>
      </c>
      <c r="C1068" s="48" t="s">
        <v>985</v>
      </c>
      <c r="D1068" s="48" t="s">
        <v>958</v>
      </c>
      <c r="E1068" s="48" t="s">
        <v>273</v>
      </c>
      <c r="F1068" s="48" t="s">
        <v>274</v>
      </c>
      <c r="G1068" s="48" t="s">
        <v>275</v>
      </c>
      <c r="H1068" s="48" t="s">
        <v>66</v>
      </c>
      <c r="I1068" s="48" t="s">
        <v>151</v>
      </c>
      <c r="J1068" s="49">
        <v>3</v>
      </c>
      <c r="K1068" s="50">
        <v>325</v>
      </c>
      <c r="L1068" s="50">
        <v>321</v>
      </c>
      <c r="M1068" s="48" t="s">
        <v>276</v>
      </c>
      <c r="N1068" s="51">
        <v>0.92</v>
      </c>
      <c r="O1068" s="51">
        <v>0.92220000000000002</v>
      </c>
      <c r="P1068" s="52">
        <v>221.7</v>
      </c>
      <c r="Q1068" s="52">
        <v>221.7</v>
      </c>
      <c r="R1068" s="53" t="str">
        <f>INDEX(SKU_Master!$D$5:$D$34,MATCH($I1068,SKU_Master!$A$5:$A$34,0))</f>
        <v>Accessory</v>
      </c>
      <c r="S1068" s="54">
        <f t="shared" si="224"/>
        <v>1.2307692307692353E-2</v>
      </c>
      <c r="T1068" s="55">
        <f t="shared" si="225"/>
        <v>1059.782608695652</v>
      </c>
      <c r="U1068" s="55">
        <f t="shared" si="226"/>
        <v>1046.7391304347825</v>
      </c>
      <c r="V1068" s="55">
        <f t="shared" si="227"/>
        <v>-13.043478260869506</v>
      </c>
      <c r="W1068" s="55">
        <f t="shared" si="228"/>
        <v>1044.242029928432</v>
      </c>
      <c r="X1068" s="55">
        <f t="shared" si="229"/>
        <v>-2.4971005063505345</v>
      </c>
      <c r="Y1068" s="55">
        <f t="shared" si="230"/>
        <v>665.09999999999991</v>
      </c>
      <c r="Z1068" s="55">
        <f t="shared" si="231"/>
        <v>665.09999999999991</v>
      </c>
      <c r="AA1068" s="55">
        <f t="shared" si="232"/>
        <v>0</v>
      </c>
      <c r="AB1068" s="55">
        <f t="shared" si="233"/>
        <v>379.14202992843207</v>
      </c>
      <c r="AC1068" s="54">
        <f t="shared" si="234"/>
        <v>0.36307869158878509</v>
      </c>
      <c r="AD1068" s="56">
        <f>INDEX(Assumptions!$B$14:$B$16,MATCH($R1068,Assumptions!$A$14:$A$16,0))</f>
        <v>0.32</v>
      </c>
      <c r="AE1068" s="56">
        <f>INDEX(Assumptions!$C$14:$C$16,MATCH($R1068,Assumptions!$A$14:$A$16,0))</f>
        <v>0.22</v>
      </c>
      <c r="AF1068" s="49">
        <f t="shared" si="235"/>
        <v>0</v>
      </c>
      <c r="AG1068" s="49">
        <f t="shared" si="236"/>
        <v>0</v>
      </c>
      <c r="AH1068" s="55">
        <f t="shared" si="237"/>
        <v>0</v>
      </c>
    </row>
    <row r="1069" spans="1:34" x14ac:dyDescent="0.2">
      <c r="A1069" s="48" t="s">
        <v>986</v>
      </c>
      <c r="B1069" s="48">
        <v>1</v>
      </c>
      <c r="C1069" s="48" t="s">
        <v>987</v>
      </c>
      <c r="D1069" s="48" t="s">
        <v>958</v>
      </c>
      <c r="E1069" s="48" t="s">
        <v>301</v>
      </c>
      <c r="F1069" s="48" t="s">
        <v>274</v>
      </c>
      <c r="G1069" s="48" t="s">
        <v>302</v>
      </c>
      <c r="H1069" s="48" t="s">
        <v>62</v>
      </c>
      <c r="I1069" s="48" t="s">
        <v>113</v>
      </c>
      <c r="J1069" s="49">
        <v>6</v>
      </c>
      <c r="K1069" s="50">
        <v>1740</v>
      </c>
      <c r="L1069" s="50">
        <v>1680.31</v>
      </c>
      <c r="M1069" s="48" t="s">
        <v>276</v>
      </c>
      <c r="N1069" s="51">
        <v>1</v>
      </c>
      <c r="O1069" s="51">
        <v>1</v>
      </c>
      <c r="P1069" s="52">
        <v>1484.8</v>
      </c>
      <c r="Q1069" s="52">
        <v>1484.8</v>
      </c>
      <c r="R1069" s="53" t="str">
        <f>INDEX(SKU_Master!$D$5:$D$34,MATCH($I1069,SKU_Master!$A$5:$A$34,0))</f>
        <v>Laptop</v>
      </c>
      <c r="S1069" s="54">
        <f t="shared" si="224"/>
        <v>3.4304597701149464E-2</v>
      </c>
      <c r="T1069" s="55">
        <f t="shared" si="225"/>
        <v>10440</v>
      </c>
      <c r="U1069" s="55">
        <f t="shared" si="226"/>
        <v>10081.86</v>
      </c>
      <c r="V1069" s="55">
        <f t="shared" si="227"/>
        <v>-358.13999999999942</v>
      </c>
      <c r="W1069" s="55">
        <f t="shared" si="228"/>
        <v>10081.86</v>
      </c>
      <c r="X1069" s="55">
        <f t="shared" si="229"/>
        <v>0</v>
      </c>
      <c r="Y1069" s="55">
        <f t="shared" si="230"/>
        <v>8908.7999999999993</v>
      </c>
      <c r="Z1069" s="55">
        <f t="shared" si="231"/>
        <v>8908.7999999999993</v>
      </c>
      <c r="AA1069" s="55">
        <f t="shared" si="232"/>
        <v>0</v>
      </c>
      <c r="AB1069" s="55">
        <f t="shared" si="233"/>
        <v>1173.0600000000013</v>
      </c>
      <c r="AC1069" s="54">
        <f t="shared" si="234"/>
        <v>0.11635353000339235</v>
      </c>
      <c r="AD1069" s="56">
        <f>INDEX(Assumptions!$B$14:$B$16,MATCH($R1069,Assumptions!$A$14:$A$16,0))</f>
        <v>0.12</v>
      </c>
      <c r="AE1069" s="56">
        <f>INDEX(Assumptions!$C$14:$C$16,MATCH($R1069,Assumptions!$A$14:$A$16,0))</f>
        <v>0.08</v>
      </c>
      <c r="AF1069" s="49">
        <f t="shared" si="235"/>
        <v>0</v>
      </c>
      <c r="AG1069" s="49">
        <f t="shared" si="236"/>
        <v>0</v>
      </c>
      <c r="AH1069" s="55">
        <f t="shared" si="237"/>
        <v>36.763199999998733</v>
      </c>
    </row>
    <row r="1070" spans="1:34" x14ac:dyDescent="0.2">
      <c r="A1070" s="48" t="s">
        <v>986</v>
      </c>
      <c r="B1070" s="48">
        <v>2</v>
      </c>
      <c r="C1070" s="48" t="s">
        <v>987</v>
      </c>
      <c r="D1070" s="48" t="s">
        <v>958</v>
      </c>
      <c r="E1070" s="48" t="s">
        <v>301</v>
      </c>
      <c r="F1070" s="48" t="s">
        <v>274</v>
      </c>
      <c r="G1070" s="48" t="s">
        <v>302</v>
      </c>
      <c r="H1070" s="48" t="s">
        <v>62</v>
      </c>
      <c r="I1070" s="48" t="s">
        <v>161</v>
      </c>
      <c r="J1070" s="49">
        <v>3</v>
      </c>
      <c r="K1070" s="50">
        <v>120</v>
      </c>
      <c r="L1070" s="50">
        <v>112.21</v>
      </c>
      <c r="M1070" s="48" t="s">
        <v>276</v>
      </c>
      <c r="N1070" s="51">
        <v>1</v>
      </c>
      <c r="O1070" s="51">
        <v>1</v>
      </c>
      <c r="P1070" s="52">
        <v>76</v>
      </c>
      <c r="Q1070" s="52">
        <v>76</v>
      </c>
      <c r="R1070" s="53" t="str">
        <f>INDEX(SKU_Master!$D$5:$D$34,MATCH($I1070,SKU_Master!$A$5:$A$34,0))</f>
        <v>Accessory</v>
      </c>
      <c r="S1070" s="54">
        <f t="shared" si="224"/>
        <v>6.4916666666666734E-2</v>
      </c>
      <c r="T1070" s="55">
        <f t="shared" si="225"/>
        <v>360</v>
      </c>
      <c r="U1070" s="55">
        <f t="shared" si="226"/>
        <v>336.63</v>
      </c>
      <c r="V1070" s="55">
        <f t="shared" si="227"/>
        <v>-23.370000000000005</v>
      </c>
      <c r="W1070" s="55">
        <f t="shared" si="228"/>
        <v>336.63</v>
      </c>
      <c r="X1070" s="55">
        <f t="shared" si="229"/>
        <v>0</v>
      </c>
      <c r="Y1070" s="55">
        <f t="shared" si="230"/>
        <v>228</v>
      </c>
      <c r="Z1070" s="55">
        <f t="shared" si="231"/>
        <v>228</v>
      </c>
      <c r="AA1070" s="55">
        <f t="shared" si="232"/>
        <v>0</v>
      </c>
      <c r="AB1070" s="55">
        <f t="shared" si="233"/>
        <v>108.63</v>
      </c>
      <c r="AC1070" s="54">
        <f t="shared" si="234"/>
        <v>0.32269851171909814</v>
      </c>
      <c r="AD1070" s="56">
        <f>INDEX(Assumptions!$B$14:$B$16,MATCH($R1070,Assumptions!$A$14:$A$16,0))</f>
        <v>0.32</v>
      </c>
      <c r="AE1070" s="56">
        <f>INDEX(Assumptions!$C$14:$C$16,MATCH($R1070,Assumptions!$A$14:$A$16,0))</f>
        <v>0.22</v>
      </c>
      <c r="AF1070" s="49">
        <f t="shared" si="235"/>
        <v>0</v>
      </c>
      <c r="AG1070" s="49">
        <f t="shared" si="236"/>
        <v>0</v>
      </c>
      <c r="AH1070" s="55">
        <f t="shared" si="237"/>
        <v>0</v>
      </c>
    </row>
    <row r="1071" spans="1:34" x14ac:dyDescent="0.2">
      <c r="A1071" s="48" t="s">
        <v>988</v>
      </c>
      <c r="B1071" s="48">
        <v>1</v>
      </c>
      <c r="C1071" s="48" t="s">
        <v>989</v>
      </c>
      <c r="D1071" s="48" t="s">
        <v>958</v>
      </c>
      <c r="E1071" s="48" t="s">
        <v>325</v>
      </c>
      <c r="F1071" s="48" t="s">
        <v>274</v>
      </c>
      <c r="G1071" s="48" t="s">
        <v>298</v>
      </c>
      <c r="H1071" s="48" t="s">
        <v>62</v>
      </c>
      <c r="I1071" s="48" t="s">
        <v>103</v>
      </c>
      <c r="J1071" s="49">
        <v>3</v>
      </c>
      <c r="K1071" s="50">
        <v>1135</v>
      </c>
      <c r="L1071" s="50">
        <v>1122.32</v>
      </c>
      <c r="M1071" s="48" t="s">
        <v>276</v>
      </c>
      <c r="N1071" s="51">
        <v>1</v>
      </c>
      <c r="O1071" s="51">
        <v>1</v>
      </c>
      <c r="P1071" s="52">
        <v>968.6</v>
      </c>
      <c r="Q1071" s="52">
        <v>968.6</v>
      </c>
      <c r="R1071" s="53" t="str">
        <f>INDEX(SKU_Master!$D$5:$D$34,MATCH($I1071,SKU_Master!$A$5:$A$34,0))</f>
        <v>Laptop</v>
      </c>
      <c r="S1071" s="54">
        <f t="shared" si="224"/>
        <v>1.1171806167400988E-2</v>
      </c>
      <c r="T1071" s="55">
        <f t="shared" si="225"/>
        <v>3405</v>
      </c>
      <c r="U1071" s="55">
        <f t="shared" si="226"/>
        <v>3366.96</v>
      </c>
      <c r="V1071" s="55">
        <f t="shared" si="227"/>
        <v>-38.039999999999964</v>
      </c>
      <c r="W1071" s="55">
        <f t="shared" si="228"/>
        <v>3366.96</v>
      </c>
      <c r="X1071" s="55">
        <f t="shared" si="229"/>
        <v>0</v>
      </c>
      <c r="Y1071" s="55">
        <f t="shared" si="230"/>
        <v>2905.8</v>
      </c>
      <c r="Z1071" s="55">
        <f t="shared" si="231"/>
        <v>2905.8</v>
      </c>
      <c r="AA1071" s="55">
        <f t="shared" si="232"/>
        <v>0</v>
      </c>
      <c r="AB1071" s="55">
        <f t="shared" si="233"/>
        <v>461.15999999999985</v>
      </c>
      <c r="AC1071" s="54">
        <f t="shared" si="234"/>
        <v>0.1369662841257395</v>
      </c>
      <c r="AD1071" s="56">
        <f>INDEX(Assumptions!$B$14:$B$16,MATCH($R1071,Assumptions!$A$14:$A$16,0))</f>
        <v>0.12</v>
      </c>
      <c r="AE1071" s="56">
        <f>INDEX(Assumptions!$C$14:$C$16,MATCH($R1071,Assumptions!$A$14:$A$16,0))</f>
        <v>0.08</v>
      </c>
      <c r="AF1071" s="49">
        <f t="shared" si="235"/>
        <v>0</v>
      </c>
      <c r="AG1071" s="49">
        <f t="shared" si="236"/>
        <v>0</v>
      </c>
      <c r="AH1071" s="55">
        <f t="shared" si="237"/>
        <v>0</v>
      </c>
    </row>
    <row r="1072" spans="1:34" x14ac:dyDescent="0.2">
      <c r="A1072" s="48" t="s">
        <v>988</v>
      </c>
      <c r="B1072" s="48">
        <v>2</v>
      </c>
      <c r="C1072" s="48" t="s">
        <v>989</v>
      </c>
      <c r="D1072" s="48" t="s">
        <v>958</v>
      </c>
      <c r="E1072" s="48" t="s">
        <v>325</v>
      </c>
      <c r="F1072" s="48" t="s">
        <v>274</v>
      </c>
      <c r="G1072" s="48" t="s">
        <v>298</v>
      </c>
      <c r="H1072" s="48" t="s">
        <v>62</v>
      </c>
      <c r="I1072" s="48" t="s">
        <v>151</v>
      </c>
      <c r="J1072" s="49">
        <v>3</v>
      </c>
      <c r="K1072" s="50">
        <v>335</v>
      </c>
      <c r="L1072" s="50">
        <v>333.16</v>
      </c>
      <c r="M1072" s="48" t="s">
        <v>276</v>
      </c>
      <c r="N1072" s="51">
        <v>1</v>
      </c>
      <c r="O1072" s="51">
        <v>1</v>
      </c>
      <c r="P1072" s="52">
        <v>216.7</v>
      </c>
      <c r="Q1072" s="52">
        <v>216.7</v>
      </c>
      <c r="R1072" s="53" t="str">
        <f>INDEX(SKU_Master!$D$5:$D$34,MATCH($I1072,SKU_Master!$A$5:$A$34,0))</f>
        <v>Accessory</v>
      </c>
      <c r="S1072" s="54">
        <f t="shared" si="224"/>
        <v>5.4925373134327993E-3</v>
      </c>
      <c r="T1072" s="55">
        <f t="shared" si="225"/>
        <v>1005</v>
      </c>
      <c r="U1072" s="55">
        <f t="shared" si="226"/>
        <v>999.48</v>
      </c>
      <c r="V1072" s="55">
        <f t="shared" si="227"/>
        <v>-5.5199999999999818</v>
      </c>
      <c r="W1072" s="55">
        <f t="shared" si="228"/>
        <v>999.48</v>
      </c>
      <c r="X1072" s="55">
        <f t="shared" si="229"/>
        <v>0</v>
      </c>
      <c r="Y1072" s="55">
        <f t="shared" si="230"/>
        <v>650.09999999999991</v>
      </c>
      <c r="Z1072" s="55">
        <f t="shared" si="231"/>
        <v>650.09999999999991</v>
      </c>
      <c r="AA1072" s="55">
        <f t="shared" si="232"/>
        <v>0</v>
      </c>
      <c r="AB1072" s="55">
        <f t="shared" si="233"/>
        <v>349.38000000000011</v>
      </c>
      <c r="AC1072" s="54">
        <f t="shared" si="234"/>
        <v>0.3495617721215033</v>
      </c>
      <c r="AD1072" s="56">
        <f>INDEX(Assumptions!$B$14:$B$16,MATCH($R1072,Assumptions!$A$14:$A$16,0))</f>
        <v>0.32</v>
      </c>
      <c r="AE1072" s="56">
        <f>INDEX(Assumptions!$C$14:$C$16,MATCH($R1072,Assumptions!$A$14:$A$16,0))</f>
        <v>0.22</v>
      </c>
      <c r="AF1072" s="49">
        <f t="shared" si="235"/>
        <v>0</v>
      </c>
      <c r="AG1072" s="49">
        <f t="shared" si="236"/>
        <v>0</v>
      </c>
      <c r="AH1072" s="55">
        <f t="shared" si="237"/>
        <v>0</v>
      </c>
    </row>
    <row r="1073" spans="1:34" x14ac:dyDescent="0.2">
      <c r="A1073" s="48" t="s">
        <v>990</v>
      </c>
      <c r="B1073" s="48">
        <v>1</v>
      </c>
      <c r="C1073" s="48" t="s">
        <v>991</v>
      </c>
      <c r="D1073" s="48" t="s">
        <v>958</v>
      </c>
      <c r="E1073" s="48" t="s">
        <v>368</v>
      </c>
      <c r="F1073" s="48" t="s">
        <v>274</v>
      </c>
      <c r="G1073" s="48" t="s">
        <v>288</v>
      </c>
      <c r="H1073" s="48" t="s">
        <v>68</v>
      </c>
      <c r="I1073" s="48" t="s">
        <v>93</v>
      </c>
      <c r="J1073" s="49">
        <v>6</v>
      </c>
      <c r="K1073" s="50">
        <v>1960</v>
      </c>
      <c r="L1073" s="50">
        <v>1953.68</v>
      </c>
      <c r="M1073" s="48" t="s">
        <v>276</v>
      </c>
      <c r="N1073" s="51">
        <v>1.37</v>
      </c>
      <c r="O1073" s="51">
        <v>1.3652</v>
      </c>
      <c r="P1073" s="52">
        <v>1198.2</v>
      </c>
      <c r="Q1073" s="52">
        <v>1198.2</v>
      </c>
      <c r="R1073" s="53" t="str">
        <f>INDEX(SKU_Master!$D$5:$D$34,MATCH($I1073,SKU_Master!$A$5:$A$34,0))</f>
        <v>Laptop</v>
      </c>
      <c r="S1073" s="54">
        <f t="shared" si="224"/>
        <v>3.2244897959183838E-3</v>
      </c>
      <c r="T1073" s="55">
        <f t="shared" si="225"/>
        <v>8583.9416058394163</v>
      </c>
      <c r="U1073" s="55">
        <f t="shared" si="226"/>
        <v>8556.2627737226267</v>
      </c>
      <c r="V1073" s="55">
        <f t="shared" si="227"/>
        <v>-27.678832116789636</v>
      </c>
      <c r="W1073" s="55">
        <f t="shared" si="228"/>
        <v>8586.3463228830933</v>
      </c>
      <c r="X1073" s="55">
        <f t="shared" si="229"/>
        <v>30.083549160466646</v>
      </c>
      <c r="Y1073" s="55">
        <f t="shared" si="230"/>
        <v>7189.2000000000007</v>
      </c>
      <c r="Z1073" s="55">
        <f t="shared" si="231"/>
        <v>7189.2000000000007</v>
      </c>
      <c r="AA1073" s="55">
        <f t="shared" si="232"/>
        <v>0</v>
      </c>
      <c r="AB1073" s="55">
        <f t="shared" si="233"/>
        <v>1397.1463228830926</v>
      </c>
      <c r="AC1073" s="54">
        <f t="shared" si="234"/>
        <v>0.16271721059743646</v>
      </c>
      <c r="AD1073" s="56">
        <f>INDEX(Assumptions!$B$14:$B$16,MATCH($R1073,Assumptions!$A$14:$A$16,0))</f>
        <v>0.12</v>
      </c>
      <c r="AE1073" s="56">
        <f>INDEX(Assumptions!$C$14:$C$16,MATCH($R1073,Assumptions!$A$14:$A$16,0))</f>
        <v>0.08</v>
      </c>
      <c r="AF1073" s="49">
        <f t="shared" si="235"/>
        <v>0</v>
      </c>
      <c r="AG1073" s="49">
        <f t="shared" si="236"/>
        <v>0</v>
      </c>
      <c r="AH1073" s="55">
        <f t="shared" si="237"/>
        <v>0</v>
      </c>
    </row>
    <row r="1074" spans="1:34" x14ac:dyDescent="0.2">
      <c r="A1074" s="48" t="s">
        <v>990</v>
      </c>
      <c r="B1074" s="48">
        <v>2</v>
      </c>
      <c r="C1074" s="48" t="s">
        <v>991</v>
      </c>
      <c r="D1074" s="48" t="s">
        <v>958</v>
      </c>
      <c r="E1074" s="48" t="s">
        <v>368</v>
      </c>
      <c r="F1074" s="48" t="s">
        <v>274</v>
      </c>
      <c r="G1074" s="48" t="s">
        <v>288</v>
      </c>
      <c r="H1074" s="48" t="s">
        <v>68</v>
      </c>
      <c r="I1074" s="48" t="s">
        <v>135</v>
      </c>
      <c r="J1074" s="49">
        <v>3</v>
      </c>
      <c r="K1074" s="50">
        <v>360</v>
      </c>
      <c r="L1074" s="50">
        <v>353.36</v>
      </c>
      <c r="M1074" s="48" t="s">
        <v>276</v>
      </c>
      <c r="N1074" s="51">
        <v>1.37</v>
      </c>
      <c r="O1074" s="51">
        <v>1.3652</v>
      </c>
      <c r="P1074" s="52">
        <v>201.7</v>
      </c>
      <c r="Q1074" s="52">
        <v>201.7</v>
      </c>
      <c r="R1074" s="53" t="str">
        <f>INDEX(SKU_Master!$D$5:$D$34,MATCH($I1074,SKU_Master!$A$5:$A$34,0))</f>
        <v>Monitor</v>
      </c>
      <c r="S1074" s="54">
        <f t="shared" si="224"/>
        <v>1.8444444444444374E-2</v>
      </c>
      <c r="T1074" s="55">
        <f t="shared" si="225"/>
        <v>788.32116788321161</v>
      </c>
      <c r="U1074" s="55">
        <f t="shared" si="226"/>
        <v>773.78102189781009</v>
      </c>
      <c r="V1074" s="55">
        <f t="shared" si="227"/>
        <v>-14.540145985401523</v>
      </c>
      <c r="W1074" s="55">
        <f t="shared" si="228"/>
        <v>776.5016114854966</v>
      </c>
      <c r="X1074" s="55">
        <f t="shared" si="229"/>
        <v>2.7205895876865043</v>
      </c>
      <c r="Y1074" s="55">
        <f t="shared" si="230"/>
        <v>605.09999999999991</v>
      </c>
      <c r="Z1074" s="55">
        <f t="shared" si="231"/>
        <v>605.09999999999991</v>
      </c>
      <c r="AA1074" s="55">
        <f t="shared" si="232"/>
        <v>0</v>
      </c>
      <c r="AB1074" s="55">
        <f t="shared" si="233"/>
        <v>171.40161148549669</v>
      </c>
      <c r="AC1074" s="54">
        <f t="shared" si="234"/>
        <v>0.22073568032601321</v>
      </c>
      <c r="AD1074" s="56">
        <f>INDEX(Assumptions!$B$14:$B$16,MATCH($R1074,Assumptions!$A$14:$A$16,0))</f>
        <v>0.18</v>
      </c>
      <c r="AE1074" s="56">
        <f>INDEX(Assumptions!$C$14:$C$16,MATCH($R1074,Assumptions!$A$14:$A$16,0))</f>
        <v>0.12</v>
      </c>
      <c r="AF1074" s="49">
        <f t="shared" si="235"/>
        <v>0</v>
      </c>
      <c r="AG1074" s="49">
        <f t="shared" si="236"/>
        <v>0</v>
      </c>
      <c r="AH1074" s="55">
        <f t="shared" si="237"/>
        <v>0</v>
      </c>
    </row>
    <row r="1075" spans="1:34" x14ac:dyDescent="0.2">
      <c r="A1075" s="48" t="s">
        <v>990</v>
      </c>
      <c r="B1075" s="48">
        <v>3</v>
      </c>
      <c r="C1075" s="48" t="s">
        <v>991</v>
      </c>
      <c r="D1075" s="48" t="s">
        <v>958</v>
      </c>
      <c r="E1075" s="48" t="s">
        <v>368</v>
      </c>
      <c r="F1075" s="48" t="s">
        <v>274</v>
      </c>
      <c r="G1075" s="48" t="s">
        <v>288</v>
      </c>
      <c r="H1075" s="48" t="s">
        <v>68</v>
      </c>
      <c r="I1075" s="48" t="s">
        <v>161</v>
      </c>
      <c r="J1075" s="49">
        <v>5</v>
      </c>
      <c r="K1075" s="50">
        <v>175</v>
      </c>
      <c r="L1075" s="50">
        <v>173.75</v>
      </c>
      <c r="M1075" s="48" t="s">
        <v>276</v>
      </c>
      <c r="N1075" s="51">
        <v>1.37</v>
      </c>
      <c r="O1075" s="51">
        <v>1.3652</v>
      </c>
      <c r="P1075" s="52">
        <v>79</v>
      </c>
      <c r="Q1075" s="52">
        <v>79</v>
      </c>
      <c r="R1075" s="53" t="str">
        <f>INDEX(SKU_Master!$D$5:$D$34,MATCH($I1075,SKU_Master!$A$5:$A$34,0))</f>
        <v>Accessory</v>
      </c>
      <c r="S1075" s="54">
        <f t="shared" si="224"/>
        <v>7.1428571428571175E-3</v>
      </c>
      <c r="T1075" s="55">
        <f t="shared" si="225"/>
        <v>638.68613138686123</v>
      </c>
      <c r="U1075" s="55">
        <f t="shared" si="226"/>
        <v>634.12408759124082</v>
      </c>
      <c r="V1075" s="55">
        <f t="shared" si="227"/>
        <v>-4.5620437956204114</v>
      </c>
      <c r="W1075" s="55">
        <f t="shared" si="228"/>
        <v>636.35364781716964</v>
      </c>
      <c r="X1075" s="55">
        <f t="shared" si="229"/>
        <v>2.2295602259288216</v>
      </c>
      <c r="Y1075" s="55">
        <f t="shared" si="230"/>
        <v>395</v>
      </c>
      <c r="Z1075" s="55">
        <f t="shared" si="231"/>
        <v>395</v>
      </c>
      <c r="AA1075" s="55">
        <f t="shared" si="232"/>
        <v>0</v>
      </c>
      <c r="AB1075" s="55">
        <f t="shared" si="233"/>
        <v>241.35364781716964</v>
      </c>
      <c r="AC1075" s="54">
        <f t="shared" si="234"/>
        <v>0.37927597122302159</v>
      </c>
      <c r="AD1075" s="56">
        <f>INDEX(Assumptions!$B$14:$B$16,MATCH($R1075,Assumptions!$A$14:$A$16,0))</f>
        <v>0.32</v>
      </c>
      <c r="AE1075" s="56">
        <f>INDEX(Assumptions!$C$14:$C$16,MATCH($R1075,Assumptions!$A$14:$A$16,0))</f>
        <v>0.22</v>
      </c>
      <c r="AF1075" s="49">
        <f t="shared" si="235"/>
        <v>0</v>
      </c>
      <c r="AG1075" s="49">
        <f t="shared" si="236"/>
        <v>0</v>
      </c>
      <c r="AH1075" s="55">
        <f t="shared" si="237"/>
        <v>0</v>
      </c>
    </row>
    <row r="1076" spans="1:34" x14ac:dyDescent="0.2">
      <c r="A1076" s="48" t="s">
        <v>992</v>
      </c>
      <c r="B1076" s="48">
        <v>1</v>
      </c>
      <c r="C1076" s="48" t="s">
        <v>993</v>
      </c>
      <c r="D1076" s="48" t="s">
        <v>958</v>
      </c>
      <c r="E1076" s="48" t="s">
        <v>368</v>
      </c>
      <c r="F1076" s="48" t="s">
        <v>274</v>
      </c>
      <c r="G1076" s="48" t="s">
        <v>288</v>
      </c>
      <c r="H1076" s="48" t="s">
        <v>68</v>
      </c>
      <c r="I1076" s="48" t="s">
        <v>103</v>
      </c>
      <c r="J1076" s="49">
        <v>4</v>
      </c>
      <c r="K1076" s="50">
        <v>1605</v>
      </c>
      <c r="L1076" s="50">
        <v>1590.47</v>
      </c>
      <c r="M1076" s="48" t="s">
        <v>276</v>
      </c>
      <c r="N1076" s="51">
        <v>1.37</v>
      </c>
      <c r="O1076" s="51">
        <v>1.3652</v>
      </c>
      <c r="P1076" s="52">
        <v>980.6</v>
      </c>
      <c r="Q1076" s="52">
        <v>980.6</v>
      </c>
      <c r="R1076" s="53" t="str">
        <f>INDEX(SKU_Master!$D$5:$D$34,MATCH($I1076,SKU_Master!$A$5:$A$34,0))</f>
        <v>Laptop</v>
      </c>
      <c r="S1076" s="54">
        <f t="shared" si="224"/>
        <v>9.0529595015576003E-3</v>
      </c>
      <c r="T1076" s="55">
        <f t="shared" si="225"/>
        <v>4686.1313868613133</v>
      </c>
      <c r="U1076" s="55">
        <f t="shared" si="226"/>
        <v>4643.7080291970797</v>
      </c>
      <c r="V1076" s="55">
        <f t="shared" si="227"/>
        <v>-42.423357664233663</v>
      </c>
      <c r="W1076" s="55">
        <f t="shared" si="228"/>
        <v>4660.0351596835626</v>
      </c>
      <c r="X1076" s="55">
        <f t="shared" si="229"/>
        <v>16.327130486482929</v>
      </c>
      <c r="Y1076" s="55">
        <f t="shared" si="230"/>
        <v>3922.4</v>
      </c>
      <c r="Z1076" s="55">
        <f t="shared" si="231"/>
        <v>3922.4</v>
      </c>
      <c r="AA1076" s="55">
        <f t="shared" si="232"/>
        <v>0</v>
      </c>
      <c r="AB1076" s="55">
        <f t="shared" si="233"/>
        <v>737.63515968356251</v>
      </c>
      <c r="AC1076" s="54">
        <f t="shared" si="234"/>
        <v>0.15828961250447973</v>
      </c>
      <c r="AD1076" s="56">
        <f>INDEX(Assumptions!$B$14:$B$16,MATCH($R1076,Assumptions!$A$14:$A$16,0))</f>
        <v>0.12</v>
      </c>
      <c r="AE1076" s="56">
        <f>INDEX(Assumptions!$C$14:$C$16,MATCH($R1076,Assumptions!$A$14:$A$16,0))</f>
        <v>0.08</v>
      </c>
      <c r="AF1076" s="49">
        <f t="shared" si="235"/>
        <v>0</v>
      </c>
      <c r="AG1076" s="49">
        <f t="shared" si="236"/>
        <v>0</v>
      </c>
      <c r="AH1076" s="55">
        <f t="shared" si="237"/>
        <v>0</v>
      </c>
    </row>
    <row r="1077" spans="1:34" x14ac:dyDescent="0.2">
      <c r="A1077" s="48" t="s">
        <v>992</v>
      </c>
      <c r="B1077" s="48">
        <v>2</v>
      </c>
      <c r="C1077" s="48" t="s">
        <v>993</v>
      </c>
      <c r="D1077" s="48" t="s">
        <v>958</v>
      </c>
      <c r="E1077" s="48" t="s">
        <v>368</v>
      </c>
      <c r="F1077" s="48" t="s">
        <v>274</v>
      </c>
      <c r="G1077" s="48" t="s">
        <v>288</v>
      </c>
      <c r="H1077" s="48" t="s">
        <v>68</v>
      </c>
      <c r="I1077" s="48" t="s">
        <v>138</v>
      </c>
      <c r="J1077" s="49">
        <v>4</v>
      </c>
      <c r="K1077" s="50">
        <v>665</v>
      </c>
      <c r="L1077" s="50">
        <v>662.03</v>
      </c>
      <c r="M1077" s="48" t="s">
        <v>276</v>
      </c>
      <c r="N1077" s="51">
        <v>1.37</v>
      </c>
      <c r="O1077" s="51">
        <v>1.3652</v>
      </c>
      <c r="P1077" s="52">
        <v>373.2</v>
      </c>
      <c r="Q1077" s="52">
        <v>373.2</v>
      </c>
      <c r="R1077" s="53" t="str">
        <f>INDEX(SKU_Master!$D$5:$D$34,MATCH($I1077,SKU_Master!$A$5:$A$34,0))</f>
        <v>Monitor</v>
      </c>
      <c r="S1077" s="54">
        <f t="shared" si="224"/>
        <v>4.4661654135338402E-3</v>
      </c>
      <c r="T1077" s="55">
        <f t="shared" si="225"/>
        <v>1941.6058394160582</v>
      </c>
      <c r="U1077" s="55">
        <f t="shared" si="226"/>
        <v>1932.9343065693429</v>
      </c>
      <c r="V1077" s="55">
        <f t="shared" si="227"/>
        <v>-8.6715328467153086</v>
      </c>
      <c r="W1077" s="55">
        <f t="shared" si="228"/>
        <v>1939.730442426018</v>
      </c>
      <c r="X1077" s="55">
        <f t="shared" si="229"/>
        <v>6.7961358566751642</v>
      </c>
      <c r="Y1077" s="55">
        <f t="shared" si="230"/>
        <v>1492.8</v>
      </c>
      <c r="Z1077" s="55">
        <f t="shared" si="231"/>
        <v>1492.8</v>
      </c>
      <c r="AA1077" s="55">
        <f t="shared" si="232"/>
        <v>0</v>
      </c>
      <c r="AB1077" s="55">
        <f t="shared" si="233"/>
        <v>446.93044242601809</v>
      </c>
      <c r="AC1077" s="54">
        <f t="shared" si="234"/>
        <v>0.23040853133543795</v>
      </c>
      <c r="AD1077" s="56">
        <f>INDEX(Assumptions!$B$14:$B$16,MATCH($R1077,Assumptions!$A$14:$A$16,0))</f>
        <v>0.18</v>
      </c>
      <c r="AE1077" s="56">
        <f>INDEX(Assumptions!$C$14:$C$16,MATCH($R1077,Assumptions!$A$14:$A$16,0))</f>
        <v>0.12</v>
      </c>
      <c r="AF1077" s="49">
        <f t="shared" si="235"/>
        <v>0</v>
      </c>
      <c r="AG1077" s="49">
        <f t="shared" si="236"/>
        <v>0</v>
      </c>
      <c r="AH1077" s="55">
        <f t="shared" si="237"/>
        <v>0</v>
      </c>
    </row>
    <row r="1078" spans="1:34" x14ac:dyDescent="0.2">
      <c r="A1078" s="48" t="s">
        <v>992</v>
      </c>
      <c r="B1078" s="48">
        <v>3</v>
      </c>
      <c r="C1078" s="48" t="s">
        <v>993</v>
      </c>
      <c r="D1078" s="48" t="s">
        <v>958</v>
      </c>
      <c r="E1078" s="48" t="s">
        <v>368</v>
      </c>
      <c r="F1078" s="48" t="s">
        <v>274</v>
      </c>
      <c r="G1078" s="48" t="s">
        <v>288</v>
      </c>
      <c r="H1078" s="48" t="s">
        <v>68</v>
      </c>
      <c r="I1078" s="48" t="s">
        <v>161</v>
      </c>
      <c r="J1078" s="49">
        <v>2</v>
      </c>
      <c r="K1078" s="50">
        <v>175</v>
      </c>
      <c r="L1078" s="50">
        <v>173.78</v>
      </c>
      <c r="M1078" s="48" t="s">
        <v>276</v>
      </c>
      <c r="N1078" s="51">
        <v>1.37</v>
      </c>
      <c r="O1078" s="51">
        <v>1.3652</v>
      </c>
      <c r="P1078" s="52">
        <v>79</v>
      </c>
      <c r="Q1078" s="52">
        <v>79</v>
      </c>
      <c r="R1078" s="53" t="str">
        <f>INDEX(SKU_Master!$D$5:$D$34,MATCH($I1078,SKU_Master!$A$5:$A$34,0))</f>
        <v>Accessory</v>
      </c>
      <c r="S1078" s="54">
        <f t="shared" si="224"/>
        <v>6.9714285714285174E-3</v>
      </c>
      <c r="T1078" s="55">
        <f t="shared" si="225"/>
        <v>255.47445255474452</v>
      </c>
      <c r="U1078" s="55">
        <f t="shared" si="226"/>
        <v>253.69343065693428</v>
      </c>
      <c r="V1078" s="55">
        <f t="shared" si="227"/>
        <v>-1.7810218978102341</v>
      </c>
      <c r="W1078" s="55">
        <f t="shared" si="228"/>
        <v>254.58540873132142</v>
      </c>
      <c r="X1078" s="55">
        <f t="shared" si="229"/>
        <v>0.89197807438713994</v>
      </c>
      <c r="Y1078" s="55">
        <f t="shared" si="230"/>
        <v>158</v>
      </c>
      <c r="Z1078" s="55">
        <f t="shared" si="231"/>
        <v>158</v>
      </c>
      <c r="AA1078" s="55">
        <f t="shared" si="232"/>
        <v>0</v>
      </c>
      <c r="AB1078" s="55">
        <f t="shared" si="233"/>
        <v>96.585408731321422</v>
      </c>
      <c r="AC1078" s="54">
        <f t="shared" si="234"/>
        <v>0.37938312809299113</v>
      </c>
      <c r="AD1078" s="56">
        <f>INDEX(Assumptions!$B$14:$B$16,MATCH($R1078,Assumptions!$A$14:$A$16,0))</f>
        <v>0.32</v>
      </c>
      <c r="AE1078" s="56">
        <f>INDEX(Assumptions!$C$14:$C$16,MATCH($R1078,Assumptions!$A$14:$A$16,0))</f>
        <v>0.22</v>
      </c>
      <c r="AF1078" s="49">
        <f t="shared" si="235"/>
        <v>0</v>
      </c>
      <c r="AG1078" s="49">
        <f t="shared" si="236"/>
        <v>0</v>
      </c>
      <c r="AH1078" s="55">
        <f t="shared" si="237"/>
        <v>0</v>
      </c>
    </row>
    <row r="1079" spans="1:34" x14ac:dyDescent="0.2">
      <c r="A1079" s="48" t="s">
        <v>994</v>
      </c>
      <c r="B1079" s="48">
        <v>1</v>
      </c>
      <c r="C1079" s="48" t="s">
        <v>976</v>
      </c>
      <c r="D1079" s="48" t="s">
        <v>958</v>
      </c>
      <c r="E1079" s="48" t="s">
        <v>362</v>
      </c>
      <c r="F1079" s="48" t="s">
        <v>280</v>
      </c>
      <c r="G1079" s="48" t="s">
        <v>275</v>
      </c>
      <c r="H1079" s="48" t="s">
        <v>62</v>
      </c>
      <c r="I1079" s="48" t="s">
        <v>93</v>
      </c>
      <c r="J1079" s="49">
        <v>15</v>
      </c>
      <c r="K1079" s="50">
        <v>1390</v>
      </c>
      <c r="L1079" s="50">
        <v>1330.71</v>
      </c>
      <c r="M1079" s="48" t="s">
        <v>276</v>
      </c>
      <c r="N1079" s="51">
        <v>1</v>
      </c>
      <c r="O1079" s="51">
        <v>1</v>
      </c>
      <c r="P1079" s="52">
        <v>1186.2</v>
      </c>
      <c r="Q1079" s="52">
        <v>1186.2</v>
      </c>
      <c r="R1079" s="53" t="str">
        <f>INDEX(SKU_Master!$D$5:$D$34,MATCH($I1079,SKU_Master!$A$5:$A$34,0))</f>
        <v>Laptop</v>
      </c>
      <c r="S1079" s="54">
        <f t="shared" si="224"/>
        <v>4.2654676258992774E-2</v>
      </c>
      <c r="T1079" s="55">
        <f t="shared" si="225"/>
        <v>20850</v>
      </c>
      <c r="U1079" s="55">
        <f t="shared" si="226"/>
        <v>19960.650000000001</v>
      </c>
      <c r="V1079" s="55">
        <f t="shared" si="227"/>
        <v>-889.34999999999854</v>
      </c>
      <c r="W1079" s="55">
        <f t="shared" si="228"/>
        <v>19960.650000000001</v>
      </c>
      <c r="X1079" s="55">
        <f t="shared" si="229"/>
        <v>0</v>
      </c>
      <c r="Y1079" s="55">
        <f t="shared" si="230"/>
        <v>17793</v>
      </c>
      <c r="Z1079" s="55">
        <f t="shared" si="231"/>
        <v>17793</v>
      </c>
      <c r="AA1079" s="55">
        <f t="shared" si="232"/>
        <v>0</v>
      </c>
      <c r="AB1079" s="55">
        <f t="shared" si="233"/>
        <v>2167.6500000000015</v>
      </c>
      <c r="AC1079" s="54">
        <f t="shared" si="234"/>
        <v>0.10859616295060538</v>
      </c>
      <c r="AD1079" s="56">
        <f>INDEX(Assumptions!$B$14:$B$16,MATCH($R1079,Assumptions!$A$14:$A$16,0))</f>
        <v>0.12</v>
      </c>
      <c r="AE1079" s="56">
        <f>INDEX(Assumptions!$C$14:$C$16,MATCH($R1079,Assumptions!$A$14:$A$16,0))</f>
        <v>0.08</v>
      </c>
      <c r="AF1079" s="49">
        <f t="shared" si="235"/>
        <v>0</v>
      </c>
      <c r="AG1079" s="49">
        <f t="shared" si="236"/>
        <v>0</v>
      </c>
      <c r="AH1079" s="55">
        <f t="shared" si="237"/>
        <v>227.62799999999879</v>
      </c>
    </row>
    <row r="1080" spans="1:34" x14ac:dyDescent="0.2">
      <c r="A1080" s="48" t="s">
        <v>994</v>
      </c>
      <c r="B1080" s="48">
        <v>2</v>
      </c>
      <c r="C1080" s="48" t="s">
        <v>976</v>
      </c>
      <c r="D1080" s="48" t="s">
        <v>958</v>
      </c>
      <c r="E1080" s="48" t="s">
        <v>362</v>
      </c>
      <c r="F1080" s="48" t="s">
        <v>280</v>
      </c>
      <c r="G1080" s="48" t="s">
        <v>275</v>
      </c>
      <c r="H1080" s="48" t="s">
        <v>62</v>
      </c>
      <c r="I1080" s="48" t="s">
        <v>138</v>
      </c>
      <c r="J1080" s="49">
        <v>15</v>
      </c>
      <c r="K1080" s="50">
        <v>455</v>
      </c>
      <c r="L1080" s="50">
        <v>443.82</v>
      </c>
      <c r="M1080" s="48" t="s">
        <v>276</v>
      </c>
      <c r="N1080" s="51">
        <v>1</v>
      </c>
      <c r="O1080" s="51">
        <v>1</v>
      </c>
      <c r="P1080" s="52">
        <v>358.2</v>
      </c>
      <c r="Q1080" s="52">
        <v>358.2</v>
      </c>
      <c r="R1080" s="53" t="str">
        <f>INDEX(SKU_Master!$D$5:$D$34,MATCH($I1080,SKU_Master!$A$5:$A$34,0))</f>
        <v>Monitor</v>
      </c>
      <c r="S1080" s="54">
        <f t="shared" si="224"/>
        <v>2.4571428571428577E-2</v>
      </c>
      <c r="T1080" s="55">
        <f t="shared" si="225"/>
        <v>6825</v>
      </c>
      <c r="U1080" s="55">
        <f t="shared" si="226"/>
        <v>6657.3</v>
      </c>
      <c r="V1080" s="55">
        <f t="shared" si="227"/>
        <v>-167.69999999999982</v>
      </c>
      <c r="W1080" s="55">
        <f t="shared" si="228"/>
        <v>6657.3</v>
      </c>
      <c r="X1080" s="55">
        <f t="shared" si="229"/>
        <v>0</v>
      </c>
      <c r="Y1080" s="55">
        <f t="shared" si="230"/>
        <v>5373</v>
      </c>
      <c r="Z1080" s="55">
        <f t="shared" si="231"/>
        <v>5373</v>
      </c>
      <c r="AA1080" s="55">
        <f t="shared" si="232"/>
        <v>0</v>
      </c>
      <c r="AB1080" s="55">
        <f t="shared" si="233"/>
        <v>1284.3000000000002</v>
      </c>
      <c r="AC1080" s="54">
        <f t="shared" si="234"/>
        <v>0.1929160470460998</v>
      </c>
      <c r="AD1080" s="56">
        <f>INDEX(Assumptions!$B$14:$B$16,MATCH($R1080,Assumptions!$A$14:$A$16,0))</f>
        <v>0.18</v>
      </c>
      <c r="AE1080" s="56">
        <f>INDEX(Assumptions!$C$14:$C$16,MATCH($R1080,Assumptions!$A$14:$A$16,0))</f>
        <v>0.12</v>
      </c>
      <c r="AF1080" s="49">
        <f t="shared" si="235"/>
        <v>0</v>
      </c>
      <c r="AG1080" s="49">
        <f t="shared" si="236"/>
        <v>0</v>
      </c>
      <c r="AH1080" s="55">
        <f t="shared" si="237"/>
        <v>0</v>
      </c>
    </row>
    <row r="1081" spans="1:34" x14ac:dyDescent="0.2">
      <c r="A1081" s="48" t="s">
        <v>994</v>
      </c>
      <c r="B1081" s="48">
        <v>3</v>
      </c>
      <c r="C1081" s="48" t="s">
        <v>976</v>
      </c>
      <c r="D1081" s="48" t="s">
        <v>958</v>
      </c>
      <c r="E1081" s="48" t="s">
        <v>362</v>
      </c>
      <c r="F1081" s="48" t="s">
        <v>280</v>
      </c>
      <c r="G1081" s="48" t="s">
        <v>275</v>
      </c>
      <c r="H1081" s="48" t="s">
        <v>62</v>
      </c>
      <c r="I1081" s="48" t="s">
        <v>177</v>
      </c>
      <c r="J1081" s="49">
        <v>9</v>
      </c>
      <c r="K1081" s="50">
        <v>70</v>
      </c>
      <c r="L1081" s="50">
        <v>68.290000000000006</v>
      </c>
      <c r="M1081" s="48" t="s">
        <v>276</v>
      </c>
      <c r="N1081" s="51">
        <v>1</v>
      </c>
      <c r="O1081" s="51">
        <v>1</v>
      </c>
      <c r="P1081" s="52">
        <v>44</v>
      </c>
      <c r="Q1081" s="52">
        <v>44</v>
      </c>
      <c r="R1081" s="53" t="str">
        <f>INDEX(SKU_Master!$D$5:$D$34,MATCH($I1081,SKU_Master!$A$5:$A$34,0))</f>
        <v>Accessory</v>
      </c>
      <c r="S1081" s="54">
        <f t="shared" si="224"/>
        <v>2.4428571428571355E-2</v>
      </c>
      <c r="T1081" s="55">
        <f t="shared" si="225"/>
        <v>630</v>
      </c>
      <c r="U1081" s="55">
        <f t="shared" si="226"/>
        <v>614.61</v>
      </c>
      <c r="V1081" s="55">
        <f t="shared" si="227"/>
        <v>-15.389999999999986</v>
      </c>
      <c r="W1081" s="55">
        <f t="shared" si="228"/>
        <v>614.61</v>
      </c>
      <c r="X1081" s="55">
        <f t="shared" si="229"/>
        <v>0</v>
      </c>
      <c r="Y1081" s="55">
        <f t="shared" si="230"/>
        <v>396</v>
      </c>
      <c r="Z1081" s="55">
        <f t="shared" si="231"/>
        <v>396</v>
      </c>
      <c r="AA1081" s="55">
        <f t="shared" si="232"/>
        <v>0</v>
      </c>
      <c r="AB1081" s="55">
        <f t="shared" si="233"/>
        <v>218.61</v>
      </c>
      <c r="AC1081" s="54">
        <f t="shared" si="234"/>
        <v>0.35568897349538731</v>
      </c>
      <c r="AD1081" s="56">
        <f>INDEX(Assumptions!$B$14:$B$16,MATCH($R1081,Assumptions!$A$14:$A$16,0))</f>
        <v>0.32</v>
      </c>
      <c r="AE1081" s="56">
        <f>INDEX(Assumptions!$C$14:$C$16,MATCH($R1081,Assumptions!$A$14:$A$16,0))</f>
        <v>0.22</v>
      </c>
      <c r="AF1081" s="49">
        <f t="shared" si="235"/>
        <v>0</v>
      </c>
      <c r="AG1081" s="49">
        <f t="shared" si="236"/>
        <v>0</v>
      </c>
      <c r="AH1081" s="55">
        <f t="shared" si="237"/>
        <v>0</v>
      </c>
    </row>
    <row r="1082" spans="1:34" x14ac:dyDescent="0.2">
      <c r="A1082" s="48" t="s">
        <v>995</v>
      </c>
      <c r="B1082" s="48">
        <v>1</v>
      </c>
      <c r="C1082" s="48" t="s">
        <v>996</v>
      </c>
      <c r="D1082" s="48" t="s">
        <v>958</v>
      </c>
      <c r="E1082" s="48" t="s">
        <v>410</v>
      </c>
      <c r="F1082" s="48" t="s">
        <v>297</v>
      </c>
      <c r="G1082" s="48" t="s">
        <v>302</v>
      </c>
      <c r="H1082" s="48" t="s">
        <v>64</v>
      </c>
      <c r="I1082" s="48" t="s">
        <v>126</v>
      </c>
      <c r="J1082" s="49">
        <v>64</v>
      </c>
      <c r="K1082" s="50">
        <v>880</v>
      </c>
      <c r="L1082" s="50">
        <v>850.18</v>
      </c>
      <c r="M1082" s="48" t="s">
        <v>276</v>
      </c>
      <c r="N1082" s="51">
        <v>0.79</v>
      </c>
      <c r="O1082" s="51">
        <v>0.80300000000000005</v>
      </c>
      <c r="P1082" s="52">
        <v>932</v>
      </c>
      <c r="Q1082" s="52">
        <v>932</v>
      </c>
      <c r="R1082" s="53" t="str">
        <f>INDEX(SKU_Master!$D$5:$D$34,MATCH($I1082,SKU_Master!$A$5:$A$34,0))</f>
        <v>Laptop</v>
      </c>
      <c r="S1082" s="54">
        <f t="shared" si="224"/>
        <v>3.3886363636363659E-2</v>
      </c>
      <c r="T1082" s="55">
        <f t="shared" si="225"/>
        <v>71291.139240506323</v>
      </c>
      <c r="U1082" s="55">
        <f t="shared" si="226"/>
        <v>68875.341772151893</v>
      </c>
      <c r="V1082" s="55">
        <f t="shared" si="227"/>
        <v>-2415.7974683544307</v>
      </c>
      <c r="W1082" s="55">
        <f t="shared" si="228"/>
        <v>67760.298879202979</v>
      </c>
      <c r="X1082" s="55">
        <f t="shared" si="229"/>
        <v>-1115.0428929489135</v>
      </c>
      <c r="Y1082" s="55">
        <f t="shared" si="230"/>
        <v>59648</v>
      </c>
      <c r="Z1082" s="55">
        <f t="shared" si="231"/>
        <v>59648</v>
      </c>
      <c r="AA1082" s="55">
        <f t="shared" si="232"/>
        <v>0</v>
      </c>
      <c r="AB1082" s="55">
        <f t="shared" si="233"/>
        <v>8112.2988792029792</v>
      </c>
      <c r="AC1082" s="54">
        <f t="shared" si="234"/>
        <v>0.11972052977016619</v>
      </c>
      <c r="AD1082" s="56">
        <f>INDEX(Assumptions!$B$14:$B$16,MATCH($R1082,Assumptions!$A$14:$A$16,0))</f>
        <v>0.12</v>
      </c>
      <c r="AE1082" s="56">
        <f>INDEX(Assumptions!$C$14:$C$16,MATCH($R1082,Assumptions!$A$14:$A$16,0))</f>
        <v>0.08</v>
      </c>
      <c r="AF1082" s="49">
        <f t="shared" si="235"/>
        <v>0</v>
      </c>
      <c r="AG1082" s="49">
        <f t="shared" si="236"/>
        <v>0</v>
      </c>
      <c r="AH1082" s="55">
        <f t="shared" si="237"/>
        <v>18.936986301378056</v>
      </c>
    </row>
    <row r="1083" spans="1:34" x14ac:dyDescent="0.2">
      <c r="A1083" s="48" t="s">
        <v>995</v>
      </c>
      <c r="B1083" s="48">
        <v>2</v>
      </c>
      <c r="C1083" s="48" t="s">
        <v>996</v>
      </c>
      <c r="D1083" s="48" t="s">
        <v>958</v>
      </c>
      <c r="E1083" s="48" t="s">
        <v>410</v>
      </c>
      <c r="F1083" s="48" t="s">
        <v>297</v>
      </c>
      <c r="G1083" s="48" t="s">
        <v>302</v>
      </c>
      <c r="H1083" s="48" t="s">
        <v>64</v>
      </c>
      <c r="I1083" s="48" t="s">
        <v>141</v>
      </c>
      <c r="J1083" s="49">
        <v>67</v>
      </c>
      <c r="K1083" s="50">
        <v>395</v>
      </c>
      <c r="L1083" s="50">
        <v>367.2</v>
      </c>
      <c r="M1083" s="48" t="s">
        <v>276</v>
      </c>
      <c r="N1083" s="51">
        <v>0.79</v>
      </c>
      <c r="O1083" s="51">
        <v>0.80300000000000005</v>
      </c>
      <c r="P1083" s="52">
        <v>381.7</v>
      </c>
      <c r="Q1083" s="52">
        <v>381.7</v>
      </c>
      <c r="R1083" s="53" t="str">
        <f>INDEX(SKU_Master!$D$5:$D$34,MATCH($I1083,SKU_Master!$A$5:$A$34,0))</f>
        <v>Monitor</v>
      </c>
      <c r="S1083" s="54">
        <f t="shared" si="224"/>
        <v>7.0379746835443013E-2</v>
      </c>
      <c r="T1083" s="55">
        <f t="shared" si="225"/>
        <v>33500</v>
      </c>
      <c r="U1083" s="55">
        <f t="shared" si="226"/>
        <v>31142.278481012654</v>
      </c>
      <c r="V1083" s="55">
        <f t="shared" si="227"/>
        <v>-2357.7215189873459</v>
      </c>
      <c r="W1083" s="55">
        <f t="shared" si="228"/>
        <v>30638.107098381068</v>
      </c>
      <c r="X1083" s="55">
        <f t="shared" si="229"/>
        <v>-504.17138263158631</v>
      </c>
      <c r="Y1083" s="55">
        <f t="shared" si="230"/>
        <v>25573.899999999998</v>
      </c>
      <c r="Z1083" s="55">
        <f t="shared" si="231"/>
        <v>25573.899999999998</v>
      </c>
      <c r="AA1083" s="55">
        <f t="shared" si="232"/>
        <v>0</v>
      </c>
      <c r="AB1083" s="55">
        <f t="shared" si="233"/>
        <v>5064.20709838107</v>
      </c>
      <c r="AC1083" s="54">
        <f t="shared" si="234"/>
        <v>0.16529112200435728</v>
      </c>
      <c r="AD1083" s="56">
        <f>INDEX(Assumptions!$B$14:$B$16,MATCH($R1083,Assumptions!$A$14:$A$16,0))</f>
        <v>0.18</v>
      </c>
      <c r="AE1083" s="56">
        <f>INDEX(Assumptions!$C$14:$C$16,MATCH($R1083,Assumptions!$A$14:$A$16,0))</f>
        <v>0.12</v>
      </c>
      <c r="AF1083" s="49">
        <f t="shared" si="235"/>
        <v>0</v>
      </c>
      <c r="AG1083" s="49">
        <f t="shared" si="236"/>
        <v>0</v>
      </c>
      <c r="AH1083" s="55">
        <f t="shared" si="237"/>
        <v>450.65217932752239</v>
      </c>
    </row>
    <row r="1084" spans="1:34" x14ac:dyDescent="0.2">
      <c r="A1084" s="48" t="s">
        <v>995</v>
      </c>
      <c r="B1084" s="48">
        <v>3</v>
      </c>
      <c r="C1084" s="48" t="s">
        <v>996</v>
      </c>
      <c r="D1084" s="48" t="s">
        <v>958</v>
      </c>
      <c r="E1084" s="48" t="s">
        <v>410</v>
      </c>
      <c r="F1084" s="48" t="s">
        <v>297</v>
      </c>
      <c r="G1084" s="48" t="s">
        <v>302</v>
      </c>
      <c r="H1084" s="48" t="s">
        <v>64</v>
      </c>
      <c r="I1084" s="48" t="s">
        <v>151</v>
      </c>
      <c r="J1084" s="49">
        <v>57</v>
      </c>
      <c r="K1084" s="50">
        <v>280</v>
      </c>
      <c r="L1084" s="50">
        <v>261.64</v>
      </c>
      <c r="M1084" s="48" t="s">
        <v>276</v>
      </c>
      <c r="N1084" s="51">
        <v>0.79</v>
      </c>
      <c r="O1084" s="51">
        <v>0.80300000000000005</v>
      </c>
      <c r="P1084" s="52">
        <v>222.7</v>
      </c>
      <c r="Q1084" s="52">
        <v>222.7</v>
      </c>
      <c r="R1084" s="53" t="str">
        <f>INDEX(SKU_Master!$D$5:$D$34,MATCH($I1084,SKU_Master!$A$5:$A$34,0))</f>
        <v>Accessory</v>
      </c>
      <c r="S1084" s="54">
        <f t="shared" si="224"/>
        <v>6.5571428571428614E-2</v>
      </c>
      <c r="T1084" s="55">
        <f t="shared" si="225"/>
        <v>20202.531645569619</v>
      </c>
      <c r="U1084" s="55">
        <f t="shared" si="226"/>
        <v>18877.822784810127</v>
      </c>
      <c r="V1084" s="55">
        <f t="shared" si="227"/>
        <v>-1324.7088607594924</v>
      </c>
      <c r="W1084" s="55">
        <f t="shared" si="228"/>
        <v>18572.20423412204</v>
      </c>
      <c r="X1084" s="55">
        <f t="shared" si="229"/>
        <v>-305.61855068808654</v>
      </c>
      <c r="Y1084" s="55">
        <f t="shared" si="230"/>
        <v>12693.9</v>
      </c>
      <c r="Z1084" s="55">
        <f t="shared" si="231"/>
        <v>12693.9</v>
      </c>
      <c r="AA1084" s="55">
        <f t="shared" si="232"/>
        <v>0</v>
      </c>
      <c r="AB1084" s="55">
        <f t="shared" si="233"/>
        <v>5878.3042341220407</v>
      </c>
      <c r="AC1084" s="54">
        <f t="shared" si="234"/>
        <v>0.31651085460938688</v>
      </c>
      <c r="AD1084" s="56">
        <f>INDEX(Assumptions!$B$14:$B$16,MATCH($R1084,Assumptions!$A$14:$A$16,0))</f>
        <v>0.32</v>
      </c>
      <c r="AE1084" s="56">
        <f>INDEX(Assumptions!$C$14:$C$16,MATCH($R1084,Assumptions!$A$14:$A$16,0))</f>
        <v>0.22</v>
      </c>
      <c r="AF1084" s="49">
        <f t="shared" si="235"/>
        <v>0</v>
      </c>
      <c r="AG1084" s="49">
        <f t="shared" si="236"/>
        <v>0</v>
      </c>
      <c r="AH1084" s="55">
        <f t="shared" si="237"/>
        <v>64.801120797012118</v>
      </c>
    </row>
    <row r="1085" spans="1:34" x14ac:dyDescent="0.2">
      <c r="A1085" s="48" t="s">
        <v>997</v>
      </c>
      <c r="B1085" s="48">
        <v>1</v>
      </c>
      <c r="C1085" s="48" t="s">
        <v>962</v>
      </c>
      <c r="D1085" s="48" t="s">
        <v>958</v>
      </c>
      <c r="E1085" s="48" t="s">
        <v>322</v>
      </c>
      <c r="F1085" s="48" t="s">
        <v>274</v>
      </c>
      <c r="G1085" s="48" t="s">
        <v>288</v>
      </c>
      <c r="H1085" s="48" t="s">
        <v>62</v>
      </c>
      <c r="I1085" s="48" t="s">
        <v>110</v>
      </c>
      <c r="J1085" s="49">
        <v>4</v>
      </c>
      <c r="K1085" s="50">
        <v>1165</v>
      </c>
      <c r="L1085" s="50">
        <v>1147.45</v>
      </c>
      <c r="M1085" s="48" t="s">
        <v>276</v>
      </c>
      <c r="N1085" s="51">
        <v>1</v>
      </c>
      <c r="O1085" s="51">
        <v>1</v>
      </c>
      <c r="P1085" s="52">
        <v>992.65</v>
      </c>
      <c r="Q1085" s="52">
        <v>992.65</v>
      </c>
      <c r="R1085" s="53" t="str">
        <f>INDEX(SKU_Master!$D$5:$D$34,MATCH($I1085,SKU_Master!$A$5:$A$34,0))</f>
        <v>Laptop</v>
      </c>
      <c r="S1085" s="54">
        <f t="shared" si="224"/>
        <v>1.5064377682403429E-2</v>
      </c>
      <c r="T1085" s="55">
        <f t="shared" si="225"/>
        <v>4660</v>
      </c>
      <c r="U1085" s="55">
        <f t="shared" si="226"/>
        <v>4589.8</v>
      </c>
      <c r="V1085" s="55">
        <f t="shared" si="227"/>
        <v>-70.199999999999818</v>
      </c>
      <c r="W1085" s="55">
        <f t="shared" si="228"/>
        <v>4589.8</v>
      </c>
      <c r="X1085" s="55">
        <f t="shared" si="229"/>
        <v>0</v>
      </c>
      <c r="Y1085" s="55">
        <f t="shared" si="230"/>
        <v>3970.6</v>
      </c>
      <c r="Z1085" s="55">
        <f t="shared" si="231"/>
        <v>3970.6</v>
      </c>
      <c r="AA1085" s="55">
        <f t="shared" si="232"/>
        <v>0</v>
      </c>
      <c r="AB1085" s="55">
        <f t="shared" si="233"/>
        <v>619.20000000000027</v>
      </c>
      <c r="AC1085" s="54">
        <f t="shared" si="234"/>
        <v>0.1349078391215304</v>
      </c>
      <c r="AD1085" s="56">
        <f>INDEX(Assumptions!$B$14:$B$16,MATCH($R1085,Assumptions!$A$14:$A$16,0))</f>
        <v>0.12</v>
      </c>
      <c r="AE1085" s="56">
        <f>INDEX(Assumptions!$C$14:$C$16,MATCH($R1085,Assumptions!$A$14:$A$16,0))</f>
        <v>0.08</v>
      </c>
      <c r="AF1085" s="49">
        <f t="shared" si="235"/>
        <v>0</v>
      </c>
      <c r="AG1085" s="49">
        <f t="shared" si="236"/>
        <v>0</v>
      </c>
      <c r="AH1085" s="55">
        <f t="shared" si="237"/>
        <v>0</v>
      </c>
    </row>
    <row r="1086" spans="1:34" x14ac:dyDescent="0.2">
      <c r="A1086" s="48" t="s">
        <v>997</v>
      </c>
      <c r="B1086" s="48">
        <v>2</v>
      </c>
      <c r="C1086" s="48" t="s">
        <v>962</v>
      </c>
      <c r="D1086" s="48" t="s">
        <v>958</v>
      </c>
      <c r="E1086" s="48" t="s">
        <v>322</v>
      </c>
      <c r="F1086" s="48" t="s">
        <v>274</v>
      </c>
      <c r="G1086" s="48" t="s">
        <v>288</v>
      </c>
      <c r="H1086" s="48" t="s">
        <v>62</v>
      </c>
      <c r="I1086" s="48" t="s">
        <v>146</v>
      </c>
      <c r="J1086" s="49">
        <v>1</v>
      </c>
      <c r="K1086" s="50">
        <v>235</v>
      </c>
      <c r="L1086" s="50">
        <v>230.65</v>
      </c>
      <c r="M1086" s="48" t="s">
        <v>276</v>
      </c>
      <c r="N1086" s="51">
        <v>1</v>
      </c>
      <c r="O1086" s="51">
        <v>1</v>
      </c>
      <c r="P1086" s="52">
        <v>181.8</v>
      </c>
      <c r="Q1086" s="52">
        <v>181.8</v>
      </c>
      <c r="R1086" s="53" t="str">
        <f>INDEX(SKU_Master!$D$5:$D$34,MATCH($I1086,SKU_Master!$A$5:$A$34,0))</f>
        <v>Monitor</v>
      </c>
      <c r="S1086" s="54">
        <f t="shared" si="224"/>
        <v>1.8510638297872362E-2</v>
      </c>
      <c r="T1086" s="55">
        <f t="shared" si="225"/>
        <v>235</v>
      </c>
      <c r="U1086" s="55">
        <f t="shared" si="226"/>
        <v>230.65</v>
      </c>
      <c r="V1086" s="55">
        <f t="shared" si="227"/>
        <v>-4.3499999999999943</v>
      </c>
      <c r="W1086" s="55">
        <f t="shared" si="228"/>
        <v>230.65</v>
      </c>
      <c r="X1086" s="55">
        <f t="shared" si="229"/>
        <v>0</v>
      </c>
      <c r="Y1086" s="55">
        <f t="shared" si="230"/>
        <v>181.8</v>
      </c>
      <c r="Z1086" s="55">
        <f t="shared" si="231"/>
        <v>181.8</v>
      </c>
      <c r="AA1086" s="55">
        <f t="shared" si="232"/>
        <v>0</v>
      </c>
      <c r="AB1086" s="55">
        <f t="shared" si="233"/>
        <v>48.849999999999994</v>
      </c>
      <c r="AC1086" s="54">
        <f t="shared" si="234"/>
        <v>0.21179275959245608</v>
      </c>
      <c r="AD1086" s="56">
        <f>INDEX(Assumptions!$B$14:$B$16,MATCH($R1086,Assumptions!$A$14:$A$16,0))</f>
        <v>0.18</v>
      </c>
      <c r="AE1086" s="56">
        <f>INDEX(Assumptions!$C$14:$C$16,MATCH($R1086,Assumptions!$A$14:$A$16,0))</f>
        <v>0.12</v>
      </c>
      <c r="AF1086" s="49">
        <f t="shared" si="235"/>
        <v>0</v>
      </c>
      <c r="AG1086" s="49">
        <f t="shared" si="236"/>
        <v>0</v>
      </c>
      <c r="AH1086" s="55">
        <f t="shared" si="237"/>
        <v>0</v>
      </c>
    </row>
    <row r="1087" spans="1:34" x14ac:dyDescent="0.2">
      <c r="A1087" s="48" t="s">
        <v>998</v>
      </c>
      <c r="B1087" s="48">
        <v>1</v>
      </c>
      <c r="C1087" s="48" t="s">
        <v>987</v>
      </c>
      <c r="D1087" s="48" t="s">
        <v>958</v>
      </c>
      <c r="E1087" s="48" t="s">
        <v>293</v>
      </c>
      <c r="F1087" s="48" t="s">
        <v>274</v>
      </c>
      <c r="G1087" s="48" t="s">
        <v>275</v>
      </c>
      <c r="H1087" s="48" t="s">
        <v>66</v>
      </c>
      <c r="I1087" s="48" t="s">
        <v>108</v>
      </c>
      <c r="J1087" s="49">
        <v>6</v>
      </c>
      <c r="K1087" s="50">
        <v>1280</v>
      </c>
      <c r="L1087" s="50">
        <v>1264.06</v>
      </c>
      <c r="M1087" s="48" t="s">
        <v>276</v>
      </c>
      <c r="N1087" s="51">
        <v>0.92</v>
      </c>
      <c r="O1087" s="51">
        <v>0.92220000000000002</v>
      </c>
      <c r="P1087" s="52">
        <v>1165</v>
      </c>
      <c r="Q1087" s="52">
        <v>1232.6199999999999</v>
      </c>
      <c r="R1087" s="53" t="str">
        <f>INDEX(SKU_Master!$D$5:$D$34,MATCH($I1087,SKU_Master!$A$5:$A$34,0))</f>
        <v>Laptop</v>
      </c>
      <c r="S1087" s="54">
        <f t="shared" si="224"/>
        <v>1.2453125000000065E-2</v>
      </c>
      <c r="T1087" s="55">
        <f t="shared" si="225"/>
        <v>8347.826086956522</v>
      </c>
      <c r="U1087" s="55">
        <f t="shared" si="226"/>
        <v>8243.8695652173901</v>
      </c>
      <c r="V1087" s="55">
        <f t="shared" si="227"/>
        <v>-103.95652173913186</v>
      </c>
      <c r="W1087" s="55">
        <f t="shared" si="228"/>
        <v>8224.2029928432003</v>
      </c>
      <c r="X1087" s="55">
        <f t="shared" si="229"/>
        <v>-19.666572374189855</v>
      </c>
      <c r="Y1087" s="55">
        <f t="shared" si="230"/>
        <v>6990</v>
      </c>
      <c r="Z1087" s="55">
        <f t="shared" si="231"/>
        <v>7395.7199999999993</v>
      </c>
      <c r="AA1087" s="55">
        <f t="shared" si="232"/>
        <v>-405.71999999999935</v>
      </c>
      <c r="AB1087" s="55">
        <f t="shared" si="233"/>
        <v>828.48299284320092</v>
      </c>
      <c r="AC1087" s="54">
        <f t="shared" si="234"/>
        <v>0.10073717703273578</v>
      </c>
      <c r="AD1087" s="56">
        <f>INDEX(Assumptions!$B$14:$B$16,MATCH($R1087,Assumptions!$A$14:$A$16,0))</f>
        <v>0.12</v>
      </c>
      <c r="AE1087" s="56">
        <f>INDEX(Assumptions!$C$14:$C$16,MATCH($R1087,Assumptions!$A$14:$A$16,0))</f>
        <v>0.08</v>
      </c>
      <c r="AF1087" s="49">
        <f t="shared" si="235"/>
        <v>0</v>
      </c>
      <c r="AG1087" s="49">
        <f t="shared" si="236"/>
        <v>0</v>
      </c>
      <c r="AH1087" s="55">
        <f t="shared" si="237"/>
        <v>158.42136629798313</v>
      </c>
    </row>
    <row r="1088" spans="1:34" x14ac:dyDescent="0.2">
      <c r="A1088" s="48" t="s">
        <v>998</v>
      </c>
      <c r="B1088" s="48">
        <v>2</v>
      </c>
      <c r="C1088" s="48" t="s">
        <v>987</v>
      </c>
      <c r="D1088" s="48" t="s">
        <v>958</v>
      </c>
      <c r="E1088" s="48" t="s">
        <v>293</v>
      </c>
      <c r="F1088" s="48" t="s">
        <v>274</v>
      </c>
      <c r="G1088" s="48" t="s">
        <v>275</v>
      </c>
      <c r="H1088" s="48" t="s">
        <v>66</v>
      </c>
      <c r="I1088" s="48" t="s">
        <v>157</v>
      </c>
      <c r="J1088" s="49">
        <v>4</v>
      </c>
      <c r="K1088" s="50">
        <v>135</v>
      </c>
      <c r="L1088" s="50">
        <v>133.5</v>
      </c>
      <c r="M1088" s="48" t="s">
        <v>276</v>
      </c>
      <c r="N1088" s="51">
        <v>0.92</v>
      </c>
      <c r="O1088" s="51">
        <v>0.92220000000000002</v>
      </c>
      <c r="P1088" s="52">
        <v>91</v>
      </c>
      <c r="Q1088" s="52">
        <v>91</v>
      </c>
      <c r="R1088" s="53" t="str">
        <f>INDEX(SKU_Master!$D$5:$D$34,MATCH($I1088,SKU_Master!$A$5:$A$34,0))</f>
        <v>Accessory</v>
      </c>
      <c r="S1088" s="54">
        <f t="shared" si="224"/>
        <v>1.1111111111111072E-2</v>
      </c>
      <c r="T1088" s="55">
        <f t="shared" si="225"/>
        <v>586.95652173913038</v>
      </c>
      <c r="U1088" s="55">
        <f t="shared" si="226"/>
        <v>580.43478260869563</v>
      </c>
      <c r="V1088" s="55">
        <f t="shared" si="227"/>
        <v>-6.521739130434753</v>
      </c>
      <c r="W1088" s="55">
        <f t="shared" si="228"/>
        <v>579.05009759271309</v>
      </c>
      <c r="X1088" s="55">
        <f t="shared" si="229"/>
        <v>-1.3846850159825408</v>
      </c>
      <c r="Y1088" s="55">
        <f t="shared" si="230"/>
        <v>364</v>
      </c>
      <c r="Z1088" s="55">
        <f t="shared" si="231"/>
        <v>364</v>
      </c>
      <c r="AA1088" s="55">
        <f t="shared" si="232"/>
        <v>0</v>
      </c>
      <c r="AB1088" s="55">
        <f t="shared" si="233"/>
        <v>215.05009759271309</v>
      </c>
      <c r="AC1088" s="54">
        <f t="shared" si="234"/>
        <v>0.37138426966292137</v>
      </c>
      <c r="AD1088" s="56">
        <f>INDEX(Assumptions!$B$14:$B$16,MATCH($R1088,Assumptions!$A$14:$A$16,0))</f>
        <v>0.32</v>
      </c>
      <c r="AE1088" s="56">
        <f>INDEX(Assumptions!$C$14:$C$16,MATCH($R1088,Assumptions!$A$14:$A$16,0))</f>
        <v>0.22</v>
      </c>
      <c r="AF1088" s="49">
        <f t="shared" si="235"/>
        <v>0</v>
      </c>
      <c r="AG1088" s="49">
        <f t="shared" si="236"/>
        <v>0</v>
      </c>
      <c r="AH1088" s="55">
        <f t="shared" si="237"/>
        <v>0</v>
      </c>
    </row>
    <row r="1089" spans="1:34" x14ac:dyDescent="0.2">
      <c r="A1089" s="48" t="s">
        <v>999</v>
      </c>
      <c r="B1089" s="48">
        <v>1</v>
      </c>
      <c r="C1089" s="48" t="s">
        <v>991</v>
      </c>
      <c r="D1089" s="48" t="s">
        <v>958</v>
      </c>
      <c r="E1089" s="48" t="s">
        <v>384</v>
      </c>
      <c r="F1089" s="48" t="s">
        <v>297</v>
      </c>
      <c r="G1089" s="48" t="s">
        <v>281</v>
      </c>
      <c r="H1089" s="48" t="s">
        <v>70</v>
      </c>
      <c r="I1089" s="48" t="s">
        <v>118</v>
      </c>
      <c r="J1089" s="49">
        <v>23</v>
      </c>
      <c r="K1089" s="50">
        <v>132140</v>
      </c>
      <c r="L1089" s="50">
        <v>126271.07</v>
      </c>
      <c r="M1089" s="48" t="s">
        <v>276</v>
      </c>
      <c r="N1089" s="51">
        <v>83.5</v>
      </c>
      <c r="O1089" s="51">
        <v>84.566999999999993</v>
      </c>
      <c r="P1089" s="52">
        <v>1325.51</v>
      </c>
      <c r="Q1089" s="52">
        <v>1421.74</v>
      </c>
      <c r="R1089" s="53" t="str">
        <f>INDEX(SKU_Master!$D$5:$D$34,MATCH($I1089,SKU_Master!$A$5:$A$34,0))</f>
        <v>Laptop</v>
      </c>
      <c r="S1089" s="54">
        <f t="shared" si="224"/>
        <v>4.4414484637505636E-2</v>
      </c>
      <c r="T1089" s="55">
        <f t="shared" si="225"/>
        <v>36397.844311377245</v>
      </c>
      <c r="U1089" s="55">
        <f t="shared" si="226"/>
        <v>34781.252814371263</v>
      </c>
      <c r="V1089" s="55">
        <f t="shared" si="227"/>
        <v>-1616.5914970059821</v>
      </c>
      <c r="W1089" s="55">
        <f t="shared" si="228"/>
        <v>34342.410278240932</v>
      </c>
      <c r="X1089" s="55">
        <f t="shared" si="229"/>
        <v>-438.8425361303307</v>
      </c>
      <c r="Y1089" s="55">
        <f t="shared" si="230"/>
        <v>30486.73</v>
      </c>
      <c r="Z1089" s="55">
        <f t="shared" si="231"/>
        <v>32700.02</v>
      </c>
      <c r="AA1089" s="55">
        <f t="shared" si="232"/>
        <v>-2213.2900000000009</v>
      </c>
      <c r="AB1089" s="55">
        <f t="shared" si="233"/>
        <v>1642.3902782409314</v>
      </c>
      <c r="AC1089" s="54">
        <f t="shared" si="234"/>
        <v>4.7823966487335813E-2</v>
      </c>
      <c r="AD1089" s="56">
        <f>INDEX(Assumptions!$B$14:$B$16,MATCH($R1089,Assumptions!$A$14:$A$16,0))</f>
        <v>0.12</v>
      </c>
      <c r="AE1089" s="56">
        <f>INDEX(Assumptions!$C$14:$C$16,MATCH($R1089,Assumptions!$A$14:$A$16,0))</f>
        <v>0.08</v>
      </c>
      <c r="AF1089" s="49">
        <f t="shared" si="235"/>
        <v>1</v>
      </c>
      <c r="AG1089" s="49">
        <f t="shared" si="236"/>
        <v>1</v>
      </c>
      <c r="AH1089" s="55">
        <f t="shared" si="237"/>
        <v>2478.6989551479801</v>
      </c>
    </row>
    <row r="1090" spans="1:34" x14ac:dyDescent="0.2">
      <c r="A1090" s="48" t="s">
        <v>999</v>
      </c>
      <c r="B1090" s="48">
        <v>2</v>
      </c>
      <c r="C1090" s="48" t="s">
        <v>991</v>
      </c>
      <c r="D1090" s="48" t="s">
        <v>958</v>
      </c>
      <c r="E1090" s="48" t="s">
        <v>384</v>
      </c>
      <c r="F1090" s="48" t="s">
        <v>297</v>
      </c>
      <c r="G1090" s="48" t="s">
        <v>281</v>
      </c>
      <c r="H1090" s="48" t="s">
        <v>70</v>
      </c>
      <c r="I1090" s="48" t="s">
        <v>135</v>
      </c>
      <c r="J1090" s="49">
        <v>12</v>
      </c>
      <c r="K1090" s="50">
        <v>26950</v>
      </c>
      <c r="L1090" s="50">
        <v>26263.11</v>
      </c>
      <c r="M1090" s="48" t="s">
        <v>276</v>
      </c>
      <c r="N1090" s="51">
        <v>83.5</v>
      </c>
      <c r="O1090" s="51">
        <v>84.566999999999993</v>
      </c>
      <c r="P1090" s="52">
        <v>249.49</v>
      </c>
      <c r="Q1090" s="52">
        <v>269.49</v>
      </c>
      <c r="R1090" s="53" t="str">
        <f>INDEX(SKU_Master!$D$5:$D$34,MATCH($I1090,SKU_Master!$A$5:$A$34,0))</f>
        <v>Monitor</v>
      </c>
      <c r="S1090" s="54">
        <f t="shared" si="224"/>
        <v>2.5487569573283797E-2</v>
      </c>
      <c r="T1090" s="55">
        <f t="shared" si="225"/>
        <v>3873.0538922155688</v>
      </c>
      <c r="U1090" s="55">
        <f t="shared" si="226"/>
        <v>3774.3391616766467</v>
      </c>
      <c r="V1090" s="55">
        <f t="shared" si="227"/>
        <v>-98.71473053892214</v>
      </c>
      <c r="W1090" s="55">
        <f t="shared" si="228"/>
        <v>3726.7175139238716</v>
      </c>
      <c r="X1090" s="55">
        <f t="shared" si="229"/>
        <v>-47.621647752775061</v>
      </c>
      <c r="Y1090" s="55">
        <f t="shared" si="230"/>
        <v>2993.88</v>
      </c>
      <c r="Z1090" s="55">
        <f t="shared" si="231"/>
        <v>3233.88</v>
      </c>
      <c r="AA1090" s="55">
        <f t="shared" si="232"/>
        <v>-240</v>
      </c>
      <c r="AB1090" s="55">
        <f t="shared" si="233"/>
        <v>492.83751392387148</v>
      </c>
      <c r="AC1090" s="54">
        <f t="shared" si="234"/>
        <v>0.13224439794068574</v>
      </c>
      <c r="AD1090" s="56">
        <f>INDEX(Assumptions!$B$14:$B$16,MATCH($R1090,Assumptions!$A$14:$A$16,0))</f>
        <v>0.18</v>
      </c>
      <c r="AE1090" s="56">
        <f>INDEX(Assumptions!$C$14:$C$16,MATCH($R1090,Assumptions!$A$14:$A$16,0))</f>
        <v>0.12</v>
      </c>
      <c r="AF1090" s="49">
        <f t="shared" si="235"/>
        <v>0</v>
      </c>
      <c r="AG1090" s="49">
        <f t="shared" si="236"/>
        <v>0</v>
      </c>
      <c r="AH1090" s="55">
        <f t="shared" si="237"/>
        <v>177.97163858242538</v>
      </c>
    </row>
    <row r="1091" spans="1:34" x14ac:dyDescent="0.2">
      <c r="A1091" s="48" t="s">
        <v>999</v>
      </c>
      <c r="B1091" s="48">
        <v>3</v>
      </c>
      <c r="C1091" s="48" t="s">
        <v>991</v>
      </c>
      <c r="D1091" s="48" t="s">
        <v>958</v>
      </c>
      <c r="E1091" s="48" t="s">
        <v>384</v>
      </c>
      <c r="F1091" s="48" t="s">
        <v>297</v>
      </c>
      <c r="G1091" s="48" t="s">
        <v>281</v>
      </c>
      <c r="H1091" s="48" t="s">
        <v>70</v>
      </c>
      <c r="I1091" s="48" t="s">
        <v>161</v>
      </c>
      <c r="J1091" s="49">
        <v>25</v>
      </c>
      <c r="K1091" s="50">
        <v>12195</v>
      </c>
      <c r="L1091" s="50">
        <v>11798.65</v>
      </c>
      <c r="M1091" s="48" t="s">
        <v>276</v>
      </c>
      <c r="N1091" s="51">
        <v>83.5</v>
      </c>
      <c r="O1091" s="51">
        <v>84.566999999999993</v>
      </c>
      <c r="P1091" s="52">
        <v>92.7</v>
      </c>
      <c r="Q1091" s="52">
        <v>97.7</v>
      </c>
      <c r="R1091" s="53" t="str">
        <f>INDEX(SKU_Master!$D$5:$D$34,MATCH($I1091,SKU_Master!$A$5:$A$34,0))</f>
        <v>Accessory</v>
      </c>
      <c r="S1091" s="54">
        <f t="shared" si="224"/>
        <v>3.2501025010250095E-2</v>
      </c>
      <c r="T1091" s="55">
        <f t="shared" si="225"/>
        <v>3651.1976047904191</v>
      </c>
      <c r="U1091" s="55">
        <f t="shared" si="226"/>
        <v>3532.5299401197603</v>
      </c>
      <c r="V1091" s="55">
        <f t="shared" si="227"/>
        <v>-118.66766467065872</v>
      </c>
      <c r="W1091" s="55">
        <f t="shared" si="228"/>
        <v>3487.9592512445756</v>
      </c>
      <c r="X1091" s="55">
        <f t="shared" si="229"/>
        <v>-44.570688875184715</v>
      </c>
      <c r="Y1091" s="55">
        <f t="shared" si="230"/>
        <v>2317.5</v>
      </c>
      <c r="Z1091" s="55">
        <f t="shared" si="231"/>
        <v>2442.5</v>
      </c>
      <c r="AA1091" s="55">
        <f t="shared" si="232"/>
        <v>-125</v>
      </c>
      <c r="AB1091" s="55">
        <f t="shared" si="233"/>
        <v>1045.4592512445756</v>
      </c>
      <c r="AC1091" s="54">
        <f t="shared" si="234"/>
        <v>0.29973379157785007</v>
      </c>
      <c r="AD1091" s="56">
        <f>INDEX(Assumptions!$B$14:$B$16,MATCH($R1091,Assumptions!$A$14:$A$16,0))</f>
        <v>0.32</v>
      </c>
      <c r="AE1091" s="56">
        <f>INDEX(Assumptions!$C$14:$C$16,MATCH($R1091,Assumptions!$A$14:$A$16,0))</f>
        <v>0.22</v>
      </c>
      <c r="AF1091" s="49">
        <f t="shared" si="235"/>
        <v>0</v>
      </c>
      <c r="AG1091" s="49">
        <f t="shared" si="236"/>
        <v>0</v>
      </c>
      <c r="AH1091" s="55">
        <f t="shared" si="237"/>
        <v>70.687709153688502</v>
      </c>
    </row>
    <row r="1092" spans="1:34" x14ac:dyDescent="0.2">
      <c r="A1092" s="48" t="s">
        <v>1000</v>
      </c>
      <c r="B1092" s="48">
        <v>1</v>
      </c>
      <c r="C1092" s="48" t="s">
        <v>1001</v>
      </c>
      <c r="D1092" s="48" t="s">
        <v>958</v>
      </c>
      <c r="E1092" s="48" t="s">
        <v>558</v>
      </c>
      <c r="F1092" s="48" t="s">
        <v>280</v>
      </c>
      <c r="G1092" s="48" t="s">
        <v>288</v>
      </c>
      <c r="H1092" s="48" t="s">
        <v>62</v>
      </c>
      <c r="I1092" s="48" t="s">
        <v>115</v>
      </c>
      <c r="J1092" s="49">
        <v>6</v>
      </c>
      <c r="K1092" s="50">
        <v>850</v>
      </c>
      <c r="L1092" s="50">
        <v>823.01</v>
      </c>
      <c r="M1092" s="48" t="s">
        <v>276</v>
      </c>
      <c r="N1092" s="51">
        <v>1</v>
      </c>
      <c r="O1092" s="51">
        <v>1</v>
      </c>
      <c r="P1092" s="52">
        <v>723.6</v>
      </c>
      <c r="Q1092" s="52">
        <v>723.6</v>
      </c>
      <c r="R1092" s="53" t="str">
        <f>INDEX(SKU_Master!$D$5:$D$34,MATCH($I1092,SKU_Master!$A$5:$A$34,0))</f>
        <v>Laptop</v>
      </c>
      <c r="S1092" s="54">
        <f t="shared" si="224"/>
        <v>3.175294117647065E-2</v>
      </c>
      <c r="T1092" s="55">
        <f t="shared" si="225"/>
        <v>5100</v>
      </c>
      <c r="U1092" s="55">
        <f t="shared" si="226"/>
        <v>4938.0599999999995</v>
      </c>
      <c r="V1092" s="55">
        <f t="shared" si="227"/>
        <v>-161.94000000000051</v>
      </c>
      <c r="W1092" s="55">
        <f t="shared" si="228"/>
        <v>4938.0599999999995</v>
      </c>
      <c r="X1092" s="55">
        <f t="shared" si="229"/>
        <v>0</v>
      </c>
      <c r="Y1092" s="55">
        <f t="shared" si="230"/>
        <v>4341.6000000000004</v>
      </c>
      <c r="Z1092" s="55">
        <f t="shared" si="231"/>
        <v>4341.6000000000004</v>
      </c>
      <c r="AA1092" s="55">
        <f t="shared" si="232"/>
        <v>0</v>
      </c>
      <c r="AB1092" s="55">
        <f t="shared" si="233"/>
        <v>596.45999999999913</v>
      </c>
      <c r="AC1092" s="54">
        <f t="shared" si="234"/>
        <v>0.1207883257797595</v>
      </c>
      <c r="AD1092" s="56">
        <f>INDEX(Assumptions!$B$14:$B$16,MATCH($R1092,Assumptions!$A$14:$A$16,0))</f>
        <v>0.12</v>
      </c>
      <c r="AE1092" s="56">
        <f>INDEX(Assumptions!$C$14:$C$16,MATCH($R1092,Assumptions!$A$14:$A$16,0))</f>
        <v>0.08</v>
      </c>
      <c r="AF1092" s="49">
        <f t="shared" si="235"/>
        <v>0</v>
      </c>
      <c r="AG1092" s="49">
        <f t="shared" si="236"/>
        <v>0</v>
      </c>
      <c r="AH1092" s="55">
        <f t="shared" si="237"/>
        <v>0</v>
      </c>
    </row>
    <row r="1093" spans="1:34" x14ac:dyDescent="0.2">
      <c r="A1093" s="48" t="s">
        <v>1000</v>
      </c>
      <c r="B1093" s="48">
        <v>2</v>
      </c>
      <c r="C1093" s="48" t="s">
        <v>1001</v>
      </c>
      <c r="D1093" s="48" t="s">
        <v>958</v>
      </c>
      <c r="E1093" s="48" t="s">
        <v>558</v>
      </c>
      <c r="F1093" s="48" t="s">
        <v>280</v>
      </c>
      <c r="G1093" s="48" t="s">
        <v>288</v>
      </c>
      <c r="H1093" s="48" t="s">
        <v>62</v>
      </c>
      <c r="I1093" s="48" t="s">
        <v>138</v>
      </c>
      <c r="J1093" s="49">
        <v>3</v>
      </c>
      <c r="K1093" s="50">
        <v>455</v>
      </c>
      <c r="L1093" s="50">
        <v>435.65</v>
      </c>
      <c r="M1093" s="48" t="s">
        <v>276</v>
      </c>
      <c r="N1093" s="51">
        <v>1</v>
      </c>
      <c r="O1093" s="51">
        <v>1</v>
      </c>
      <c r="P1093" s="52">
        <v>358.2</v>
      </c>
      <c r="Q1093" s="52">
        <v>358.2</v>
      </c>
      <c r="R1093" s="53" t="str">
        <f>INDEX(SKU_Master!$D$5:$D$34,MATCH($I1093,SKU_Master!$A$5:$A$34,0))</f>
        <v>Monitor</v>
      </c>
      <c r="S1093" s="54">
        <f t="shared" ref="S1093:S1156" si="238">IF(K1093=0,0,1-L1093/K1093)</f>
        <v>4.2527472527472576E-2</v>
      </c>
      <c r="T1093" s="55">
        <f t="shared" ref="T1093:T1156" si="239">J1093*K1093/N1093</f>
        <v>1365</v>
      </c>
      <c r="U1093" s="55">
        <f t="shared" ref="U1093:U1156" si="240">J1093*L1093/N1093</f>
        <v>1306.9499999999998</v>
      </c>
      <c r="V1093" s="55">
        <f t="shared" ref="V1093:V1156" si="241">U1093-T1093</f>
        <v>-58.050000000000182</v>
      </c>
      <c r="W1093" s="55">
        <f t="shared" ref="W1093:W1156" si="242">J1093*L1093/O1093</f>
        <v>1306.9499999999998</v>
      </c>
      <c r="X1093" s="55">
        <f t="shared" ref="X1093:X1156" si="243">W1093-U1093</f>
        <v>0</v>
      </c>
      <c r="Y1093" s="55">
        <f t="shared" ref="Y1093:Y1156" si="244">J1093*P1093</f>
        <v>1074.5999999999999</v>
      </c>
      <c r="Z1093" s="55">
        <f t="shared" ref="Z1093:Z1156" si="245">J1093*Q1093</f>
        <v>1074.5999999999999</v>
      </c>
      <c r="AA1093" s="55">
        <f t="shared" ref="AA1093:AA1156" si="246">Y1093-Z1093</f>
        <v>0</v>
      </c>
      <c r="AB1093" s="55">
        <f t="shared" ref="AB1093:AB1156" si="247">W1093-Z1093</f>
        <v>232.34999999999991</v>
      </c>
      <c r="AC1093" s="54">
        <f t="shared" ref="AC1093:AC1156" si="248">IF(W1093=0,0,AB1093/W1093)</f>
        <v>0.17778032824515089</v>
      </c>
      <c r="AD1093" s="56">
        <f>INDEX(Assumptions!$B$14:$B$16,MATCH($R1093,Assumptions!$A$14:$A$16,0))</f>
        <v>0.18</v>
      </c>
      <c r="AE1093" s="56">
        <f>INDEX(Assumptions!$C$14:$C$16,MATCH($R1093,Assumptions!$A$14:$A$16,0))</f>
        <v>0.12</v>
      </c>
      <c r="AF1093" s="49">
        <f t="shared" ref="AF1093:AF1156" si="249">IF(AC1093&lt;AE1093,1,0)</f>
        <v>0</v>
      </c>
      <c r="AG1093" s="49">
        <f t="shared" ref="AG1093:AG1156" si="250">IF(AND(AF1093=1,M1093="N"),1,0)</f>
        <v>0</v>
      </c>
      <c r="AH1093" s="55">
        <f t="shared" ref="AH1093:AH1156" si="251">MAX(0,W1093*AD1093-AB1093)</f>
        <v>2.9010000000000389</v>
      </c>
    </row>
    <row r="1094" spans="1:34" x14ac:dyDescent="0.2">
      <c r="A1094" s="48" t="s">
        <v>1000</v>
      </c>
      <c r="B1094" s="48">
        <v>3</v>
      </c>
      <c r="C1094" s="48" t="s">
        <v>1001</v>
      </c>
      <c r="D1094" s="48" t="s">
        <v>958</v>
      </c>
      <c r="E1094" s="48" t="s">
        <v>558</v>
      </c>
      <c r="F1094" s="48" t="s">
        <v>280</v>
      </c>
      <c r="G1094" s="48" t="s">
        <v>288</v>
      </c>
      <c r="H1094" s="48" t="s">
        <v>62</v>
      </c>
      <c r="I1094" s="48" t="s">
        <v>157</v>
      </c>
      <c r="J1094" s="49">
        <v>6</v>
      </c>
      <c r="K1094" s="50">
        <v>135</v>
      </c>
      <c r="L1094" s="50">
        <v>129.41999999999999</v>
      </c>
      <c r="M1094" s="48" t="s">
        <v>276</v>
      </c>
      <c r="N1094" s="51">
        <v>1</v>
      </c>
      <c r="O1094" s="51">
        <v>1</v>
      </c>
      <c r="P1094" s="52">
        <v>86</v>
      </c>
      <c r="Q1094" s="52">
        <v>86</v>
      </c>
      <c r="R1094" s="53" t="str">
        <f>INDEX(SKU_Master!$D$5:$D$34,MATCH($I1094,SKU_Master!$A$5:$A$34,0))</f>
        <v>Accessory</v>
      </c>
      <c r="S1094" s="54">
        <f t="shared" si="238"/>
        <v>4.1333333333333444E-2</v>
      </c>
      <c r="T1094" s="55">
        <f t="shared" si="239"/>
        <v>810</v>
      </c>
      <c r="U1094" s="55">
        <f t="shared" si="240"/>
        <v>776.52</v>
      </c>
      <c r="V1094" s="55">
        <f t="shared" si="241"/>
        <v>-33.480000000000018</v>
      </c>
      <c r="W1094" s="55">
        <f t="shared" si="242"/>
        <v>776.52</v>
      </c>
      <c r="X1094" s="55">
        <f t="shared" si="243"/>
        <v>0</v>
      </c>
      <c r="Y1094" s="55">
        <f t="shared" si="244"/>
        <v>516</v>
      </c>
      <c r="Z1094" s="55">
        <f t="shared" si="245"/>
        <v>516</v>
      </c>
      <c r="AA1094" s="55">
        <f t="shared" si="246"/>
        <v>0</v>
      </c>
      <c r="AB1094" s="55">
        <f t="shared" si="247"/>
        <v>260.52</v>
      </c>
      <c r="AC1094" s="54">
        <f t="shared" si="248"/>
        <v>0.33549683201978053</v>
      </c>
      <c r="AD1094" s="56">
        <f>INDEX(Assumptions!$B$14:$B$16,MATCH($R1094,Assumptions!$A$14:$A$16,0))</f>
        <v>0.32</v>
      </c>
      <c r="AE1094" s="56">
        <f>INDEX(Assumptions!$C$14:$C$16,MATCH($R1094,Assumptions!$A$14:$A$16,0))</f>
        <v>0.22</v>
      </c>
      <c r="AF1094" s="49">
        <f t="shared" si="249"/>
        <v>0</v>
      </c>
      <c r="AG1094" s="49">
        <f t="shared" si="250"/>
        <v>0</v>
      </c>
      <c r="AH1094" s="55">
        <f t="shared" si="251"/>
        <v>0</v>
      </c>
    </row>
    <row r="1095" spans="1:34" x14ac:dyDescent="0.2">
      <c r="A1095" s="48" t="s">
        <v>1002</v>
      </c>
      <c r="B1095" s="48">
        <v>1</v>
      </c>
      <c r="C1095" s="48" t="s">
        <v>1003</v>
      </c>
      <c r="D1095" s="48" t="s">
        <v>958</v>
      </c>
      <c r="E1095" s="48" t="s">
        <v>384</v>
      </c>
      <c r="F1095" s="48" t="s">
        <v>297</v>
      </c>
      <c r="G1095" s="48" t="s">
        <v>281</v>
      </c>
      <c r="H1095" s="48" t="s">
        <v>70</v>
      </c>
      <c r="I1095" s="48" t="s">
        <v>93</v>
      </c>
      <c r="J1095" s="49">
        <v>18</v>
      </c>
      <c r="K1095" s="50">
        <v>134750</v>
      </c>
      <c r="L1095" s="50">
        <v>130458.43</v>
      </c>
      <c r="M1095" s="48" t="s">
        <v>276</v>
      </c>
      <c r="N1095" s="51">
        <v>83.5</v>
      </c>
      <c r="O1095" s="51">
        <v>84.566999999999993</v>
      </c>
      <c r="P1095" s="52">
        <v>1351.7</v>
      </c>
      <c r="Q1095" s="52">
        <v>1371.7</v>
      </c>
      <c r="R1095" s="53" t="str">
        <f>INDEX(SKU_Master!$D$5:$D$34,MATCH($I1095,SKU_Master!$A$5:$A$34,0))</f>
        <v>Laptop</v>
      </c>
      <c r="S1095" s="54">
        <f t="shared" si="238"/>
        <v>3.1848385899814535E-2</v>
      </c>
      <c r="T1095" s="55">
        <f t="shared" si="239"/>
        <v>29047.904191616766</v>
      </c>
      <c r="U1095" s="55">
        <f t="shared" si="240"/>
        <v>28122.775329341315</v>
      </c>
      <c r="V1095" s="55">
        <f t="shared" si="241"/>
        <v>-925.12886227545096</v>
      </c>
      <c r="W1095" s="55">
        <f t="shared" si="242"/>
        <v>27767.944233566282</v>
      </c>
      <c r="X1095" s="55">
        <f t="shared" si="243"/>
        <v>-354.83109577503274</v>
      </c>
      <c r="Y1095" s="55">
        <f t="shared" si="244"/>
        <v>24330.600000000002</v>
      </c>
      <c r="Z1095" s="55">
        <f t="shared" si="245"/>
        <v>24690.600000000002</v>
      </c>
      <c r="AA1095" s="55">
        <f t="shared" si="246"/>
        <v>-360</v>
      </c>
      <c r="AB1095" s="55">
        <f t="shared" si="247"/>
        <v>3077.3442335662803</v>
      </c>
      <c r="AC1095" s="54">
        <f t="shared" si="248"/>
        <v>0.11082362481290002</v>
      </c>
      <c r="AD1095" s="56">
        <f>INDEX(Assumptions!$B$14:$B$16,MATCH($R1095,Assumptions!$A$14:$A$16,0))</f>
        <v>0.12</v>
      </c>
      <c r="AE1095" s="56">
        <f>INDEX(Assumptions!$C$14:$C$16,MATCH($R1095,Assumptions!$A$14:$A$16,0))</f>
        <v>0.08</v>
      </c>
      <c r="AF1095" s="49">
        <f t="shared" si="249"/>
        <v>0</v>
      </c>
      <c r="AG1095" s="49">
        <f t="shared" si="250"/>
        <v>0</v>
      </c>
      <c r="AH1095" s="55">
        <f t="shared" si="251"/>
        <v>254.80907446167339</v>
      </c>
    </row>
    <row r="1096" spans="1:34" x14ac:dyDescent="0.2">
      <c r="A1096" s="48" t="s">
        <v>1002</v>
      </c>
      <c r="B1096" s="48">
        <v>2</v>
      </c>
      <c r="C1096" s="48" t="s">
        <v>1003</v>
      </c>
      <c r="D1096" s="48" t="s">
        <v>958</v>
      </c>
      <c r="E1096" s="48" t="s">
        <v>384</v>
      </c>
      <c r="F1096" s="48" t="s">
        <v>297</v>
      </c>
      <c r="G1096" s="48" t="s">
        <v>281</v>
      </c>
      <c r="H1096" s="48" t="s">
        <v>70</v>
      </c>
      <c r="I1096" s="48" t="s">
        <v>154</v>
      </c>
      <c r="J1096" s="49">
        <v>8</v>
      </c>
      <c r="K1096" s="50">
        <v>45770</v>
      </c>
      <c r="L1096" s="50">
        <v>44850.34</v>
      </c>
      <c r="M1096" s="48" t="s">
        <v>276</v>
      </c>
      <c r="N1096" s="51">
        <v>83.5</v>
      </c>
      <c r="O1096" s="51">
        <v>84.566999999999993</v>
      </c>
      <c r="P1096" s="52">
        <v>348</v>
      </c>
      <c r="Q1096" s="52">
        <v>353</v>
      </c>
      <c r="R1096" s="53" t="str">
        <f>INDEX(SKU_Master!$D$5:$D$34,MATCH($I1096,SKU_Master!$A$5:$A$34,0))</f>
        <v>Accessory</v>
      </c>
      <c r="S1096" s="54">
        <f t="shared" si="238"/>
        <v>2.0093074065982153E-2</v>
      </c>
      <c r="T1096" s="55">
        <f t="shared" si="239"/>
        <v>4385.1497005988022</v>
      </c>
      <c r="U1096" s="55">
        <f t="shared" si="240"/>
        <v>4297.0385628742515</v>
      </c>
      <c r="V1096" s="55">
        <f t="shared" si="241"/>
        <v>-88.111137724550645</v>
      </c>
      <c r="W1096" s="55">
        <f t="shared" si="242"/>
        <v>4242.8219045254064</v>
      </c>
      <c r="X1096" s="55">
        <f t="shared" si="243"/>
        <v>-54.216658348845158</v>
      </c>
      <c r="Y1096" s="55">
        <f t="shared" si="244"/>
        <v>2784</v>
      </c>
      <c r="Z1096" s="55">
        <f t="shared" si="245"/>
        <v>2824</v>
      </c>
      <c r="AA1096" s="55">
        <f t="shared" si="246"/>
        <v>-40</v>
      </c>
      <c r="AB1096" s="55">
        <f t="shared" si="247"/>
        <v>1418.8219045254064</v>
      </c>
      <c r="AC1096" s="54">
        <f t="shared" si="248"/>
        <v>0.3344052464262256</v>
      </c>
      <c r="AD1096" s="56">
        <f>INDEX(Assumptions!$B$14:$B$16,MATCH($R1096,Assumptions!$A$14:$A$16,0))</f>
        <v>0.32</v>
      </c>
      <c r="AE1096" s="56">
        <f>INDEX(Assumptions!$C$14:$C$16,MATCH($R1096,Assumptions!$A$14:$A$16,0))</f>
        <v>0.22</v>
      </c>
      <c r="AF1096" s="49">
        <f t="shared" si="249"/>
        <v>0</v>
      </c>
      <c r="AG1096" s="49">
        <f t="shared" si="250"/>
        <v>0</v>
      </c>
      <c r="AH1096" s="55">
        <f t="shared" si="251"/>
        <v>0</v>
      </c>
    </row>
    <row r="1097" spans="1:34" x14ac:dyDescent="0.2">
      <c r="A1097" s="48" t="s">
        <v>1004</v>
      </c>
      <c r="B1097" s="48">
        <v>1</v>
      </c>
      <c r="C1097" s="48" t="s">
        <v>985</v>
      </c>
      <c r="D1097" s="48" t="s">
        <v>958</v>
      </c>
      <c r="E1097" s="48" t="s">
        <v>287</v>
      </c>
      <c r="F1097" s="48" t="s">
        <v>274</v>
      </c>
      <c r="G1097" s="48" t="s">
        <v>288</v>
      </c>
      <c r="H1097" s="48" t="s">
        <v>62</v>
      </c>
      <c r="I1097" s="48" t="s">
        <v>98</v>
      </c>
      <c r="J1097" s="49">
        <v>4</v>
      </c>
      <c r="K1097" s="50">
        <v>2085</v>
      </c>
      <c r="L1097" s="50">
        <v>2043.67</v>
      </c>
      <c r="M1097" s="48" t="s">
        <v>276</v>
      </c>
      <c r="N1097" s="51">
        <v>1</v>
      </c>
      <c r="O1097" s="51">
        <v>1</v>
      </c>
      <c r="P1097" s="52">
        <v>1780.2</v>
      </c>
      <c r="Q1097" s="52">
        <v>1780.2</v>
      </c>
      <c r="R1097" s="53" t="str">
        <f>INDEX(SKU_Master!$D$5:$D$34,MATCH($I1097,SKU_Master!$A$5:$A$34,0))</f>
        <v>Laptop</v>
      </c>
      <c r="S1097" s="54">
        <f t="shared" si="238"/>
        <v>1.9822541966426854E-2</v>
      </c>
      <c r="T1097" s="55">
        <f t="shared" si="239"/>
        <v>8340</v>
      </c>
      <c r="U1097" s="55">
        <f t="shared" si="240"/>
        <v>8174.68</v>
      </c>
      <c r="V1097" s="55">
        <f t="shared" si="241"/>
        <v>-165.31999999999971</v>
      </c>
      <c r="W1097" s="55">
        <f t="shared" si="242"/>
        <v>8174.68</v>
      </c>
      <c r="X1097" s="55">
        <f t="shared" si="243"/>
        <v>0</v>
      </c>
      <c r="Y1097" s="55">
        <f t="shared" si="244"/>
        <v>7120.8</v>
      </c>
      <c r="Z1097" s="55">
        <f t="shared" si="245"/>
        <v>7120.8</v>
      </c>
      <c r="AA1097" s="55">
        <f t="shared" si="246"/>
        <v>0</v>
      </c>
      <c r="AB1097" s="55">
        <f t="shared" si="247"/>
        <v>1053.8800000000001</v>
      </c>
      <c r="AC1097" s="54">
        <f t="shared" si="248"/>
        <v>0.12892003112048422</v>
      </c>
      <c r="AD1097" s="56">
        <f>INDEX(Assumptions!$B$14:$B$16,MATCH($R1097,Assumptions!$A$14:$A$16,0))</f>
        <v>0.12</v>
      </c>
      <c r="AE1097" s="56">
        <f>INDEX(Assumptions!$C$14:$C$16,MATCH($R1097,Assumptions!$A$14:$A$16,0))</f>
        <v>0.08</v>
      </c>
      <c r="AF1097" s="49">
        <f t="shared" si="249"/>
        <v>0</v>
      </c>
      <c r="AG1097" s="49">
        <f t="shared" si="250"/>
        <v>0</v>
      </c>
      <c r="AH1097" s="55">
        <f t="shared" si="251"/>
        <v>0</v>
      </c>
    </row>
    <row r="1098" spans="1:34" x14ac:dyDescent="0.2">
      <c r="A1098" s="48" t="s">
        <v>1004</v>
      </c>
      <c r="B1098" s="48">
        <v>2</v>
      </c>
      <c r="C1098" s="48" t="s">
        <v>985</v>
      </c>
      <c r="D1098" s="48" t="s">
        <v>958</v>
      </c>
      <c r="E1098" s="48" t="s">
        <v>287</v>
      </c>
      <c r="F1098" s="48" t="s">
        <v>274</v>
      </c>
      <c r="G1098" s="48" t="s">
        <v>288</v>
      </c>
      <c r="H1098" s="48" t="s">
        <v>62</v>
      </c>
      <c r="I1098" s="48" t="s">
        <v>177</v>
      </c>
      <c r="J1098" s="49">
        <v>2</v>
      </c>
      <c r="K1098" s="50">
        <v>70</v>
      </c>
      <c r="L1098" s="50">
        <v>69.42</v>
      </c>
      <c r="M1098" s="48" t="s">
        <v>276</v>
      </c>
      <c r="N1098" s="51">
        <v>1</v>
      </c>
      <c r="O1098" s="51">
        <v>1</v>
      </c>
      <c r="P1098" s="52">
        <v>44</v>
      </c>
      <c r="Q1098" s="52">
        <v>44</v>
      </c>
      <c r="R1098" s="53" t="str">
        <f>INDEX(SKU_Master!$D$5:$D$34,MATCH($I1098,SKU_Master!$A$5:$A$34,0))</f>
        <v>Accessory</v>
      </c>
      <c r="S1098" s="54">
        <f t="shared" si="238"/>
        <v>8.2857142857142296E-3</v>
      </c>
      <c r="T1098" s="55">
        <f t="shared" si="239"/>
        <v>140</v>
      </c>
      <c r="U1098" s="55">
        <f t="shared" si="240"/>
        <v>138.84</v>
      </c>
      <c r="V1098" s="55">
        <f t="shared" si="241"/>
        <v>-1.1599999999999966</v>
      </c>
      <c r="W1098" s="55">
        <f t="shared" si="242"/>
        <v>138.84</v>
      </c>
      <c r="X1098" s="55">
        <f t="shared" si="243"/>
        <v>0</v>
      </c>
      <c r="Y1098" s="55">
        <f t="shared" si="244"/>
        <v>88</v>
      </c>
      <c r="Z1098" s="55">
        <f t="shared" si="245"/>
        <v>88</v>
      </c>
      <c r="AA1098" s="55">
        <f t="shared" si="246"/>
        <v>0</v>
      </c>
      <c r="AB1098" s="55">
        <f t="shared" si="247"/>
        <v>50.84</v>
      </c>
      <c r="AC1098" s="54">
        <f t="shared" si="248"/>
        <v>0.3661768942667819</v>
      </c>
      <c r="AD1098" s="56">
        <f>INDEX(Assumptions!$B$14:$B$16,MATCH($R1098,Assumptions!$A$14:$A$16,0))</f>
        <v>0.32</v>
      </c>
      <c r="AE1098" s="56">
        <f>INDEX(Assumptions!$C$14:$C$16,MATCH($R1098,Assumptions!$A$14:$A$16,0))</f>
        <v>0.22</v>
      </c>
      <c r="AF1098" s="49">
        <f t="shared" si="249"/>
        <v>0</v>
      </c>
      <c r="AG1098" s="49">
        <f t="shared" si="250"/>
        <v>0</v>
      </c>
      <c r="AH1098" s="55">
        <f t="shared" si="251"/>
        <v>0</v>
      </c>
    </row>
    <row r="1099" spans="1:34" x14ac:dyDescent="0.2">
      <c r="A1099" s="48" t="s">
        <v>1005</v>
      </c>
      <c r="B1099" s="48">
        <v>1</v>
      </c>
      <c r="C1099" s="48" t="s">
        <v>968</v>
      </c>
      <c r="D1099" s="48" t="s">
        <v>958</v>
      </c>
      <c r="E1099" s="48" t="s">
        <v>273</v>
      </c>
      <c r="F1099" s="48" t="s">
        <v>274</v>
      </c>
      <c r="G1099" s="48" t="s">
        <v>275</v>
      </c>
      <c r="H1099" s="48" t="s">
        <v>66</v>
      </c>
      <c r="I1099" s="48" t="s">
        <v>93</v>
      </c>
      <c r="J1099" s="49">
        <v>4</v>
      </c>
      <c r="K1099" s="50">
        <v>1325</v>
      </c>
      <c r="L1099" s="50">
        <v>1316.21</v>
      </c>
      <c r="M1099" s="48" t="s">
        <v>276</v>
      </c>
      <c r="N1099" s="51">
        <v>0.92</v>
      </c>
      <c r="O1099" s="51">
        <v>0.92220000000000002</v>
      </c>
      <c r="P1099" s="52">
        <v>1206.2</v>
      </c>
      <c r="Q1099" s="52">
        <v>1206.2</v>
      </c>
      <c r="R1099" s="53" t="str">
        <f>INDEX(SKU_Master!$D$5:$D$34,MATCH($I1099,SKU_Master!$A$5:$A$34,0))</f>
        <v>Laptop</v>
      </c>
      <c r="S1099" s="54">
        <f t="shared" si="238"/>
        <v>6.6339622641509166E-3</v>
      </c>
      <c r="T1099" s="55">
        <f t="shared" si="239"/>
        <v>5760.869565217391</v>
      </c>
      <c r="U1099" s="55">
        <f t="shared" si="240"/>
        <v>5722.652173913043</v>
      </c>
      <c r="V1099" s="55">
        <f t="shared" si="241"/>
        <v>-38.217391304347984</v>
      </c>
      <c r="W1099" s="55">
        <f t="shared" si="242"/>
        <v>5709.000216872696</v>
      </c>
      <c r="X1099" s="55">
        <f t="shared" si="243"/>
        <v>-13.651957040347042</v>
      </c>
      <c r="Y1099" s="55">
        <f t="shared" si="244"/>
        <v>4824.8</v>
      </c>
      <c r="Z1099" s="55">
        <f t="shared" si="245"/>
        <v>4824.8</v>
      </c>
      <c r="AA1099" s="55">
        <f t="shared" si="246"/>
        <v>0</v>
      </c>
      <c r="AB1099" s="55">
        <f t="shared" si="247"/>
        <v>884.20021687269582</v>
      </c>
      <c r="AC1099" s="54">
        <f t="shared" si="248"/>
        <v>0.15487829449707874</v>
      </c>
      <c r="AD1099" s="56">
        <f>INDEX(Assumptions!$B$14:$B$16,MATCH($R1099,Assumptions!$A$14:$A$16,0))</f>
        <v>0.12</v>
      </c>
      <c r="AE1099" s="56">
        <f>INDEX(Assumptions!$C$14:$C$16,MATCH($R1099,Assumptions!$A$14:$A$16,0))</f>
        <v>0.08</v>
      </c>
      <c r="AF1099" s="49">
        <f t="shared" si="249"/>
        <v>0</v>
      </c>
      <c r="AG1099" s="49">
        <f t="shared" si="250"/>
        <v>0</v>
      </c>
      <c r="AH1099" s="55">
        <f t="shared" si="251"/>
        <v>0</v>
      </c>
    </row>
    <row r="1100" spans="1:34" x14ac:dyDescent="0.2">
      <c r="A1100" s="48" t="s">
        <v>1005</v>
      </c>
      <c r="B1100" s="48">
        <v>2</v>
      </c>
      <c r="C1100" s="48" t="s">
        <v>968</v>
      </c>
      <c r="D1100" s="48" t="s">
        <v>958</v>
      </c>
      <c r="E1100" s="48" t="s">
        <v>273</v>
      </c>
      <c r="F1100" s="48" t="s">
        <v>274</v>
      </c>
      <c r="G1100" s="48" t="s">
        <v>275</v>
      </c>
      <c r="H1100" s="48" t="s">
        <v>66</v>
      </c>
      <c r="I1100" s="48" t="s">
        <v>166</v>
      </c>
      <c r="J1100" s="49">
        <v>3</v>
      </c>
      <c r="K1100" s="50">
        <v>255</v>
      </c>
      <c r="L1100" s="50">
        <v>250.73</v>
      </c>
      <c r="M1100" s="48" t="s">
        <v>276</v>
      </c>
      <c r="N1100" s="51">
        <v>0.92</v>
      </c>
      <c r="O1100" s="51">
        <v>0.92220000000000002</v>
      </c>
      <c r="P1100" s="52">
        <v>174.35</v>
      </c>
      <c r="Q1100" s="52">
        <v>174.35</v>
      </c>
      <c r="R1100" s="53" t="str">
        <f>INDEX(SKU_Master!$D$5:$D$34,MATCH($I1100,SKU_Master!$A$5:$A$34,0))</f>
        <v>Accessory</v>
      </c>
      <c r="S1100" s="54">
        <f t="shared" si="238"/>
        <v>1.6745098039215756E-2</v>
      </c>
      <c r="T1100" s="55">
        <f t="shared" si="239"/>
        <v>831.52173913043475</v>
      </c>
      <c r="U1100" s="55">
        <f t="shared" si="240"/>
        <v>817.59782608695639</v>
      </c>
      <c r="V1100" s="55">
        <f t="shared" si="241"/>
        <v>-13.923913043478365</v>
      </c>
      <c r="W1100" s="55">
        <f t="shared" si="242"/>
        <v>815.64736499674677</v>
      </c>
      <c r="X1100" s="55">
        <f t="shared" si="243"/>
        <v>-1.9504610902096147</v>
      </c>
      <c r="Y1100" s="55">
        <f t="shared" si="244"/>
        <v>523.04999999999995</v>
      </c>
      <c r="Z1100" s="55">
        <f t="shared" si="245"/>
        <v>523.04999999999995</v>
      </c>
      <c r="AA1100" s="55">
        <f t="shared" si="246"/>
        <v>0</v>
      </c>
      <c r="AB1100" s="55">
        <f t="shared" si="247"/>
        <v>292.59736499674682</v>
      </c>
      <c r="AC1100" s="54">
        <f t="shared" si="248"/>
        <v>0.35873022773501373</v>
      </c>
      <c r="AD1100" s="56">
        <f>INDEX(Assumptions!$B$14:$B$16,MATCH($R1100,Assumptions!$A$14:$A$16,0))</f>
        <v>0.32</v>
      </c>
      <c r="AE1100" s="56">
        <f>INDEX(Assumptions!$C$14:$C$16,MATCH($R1100,Assumptions!$A$14:$A$16,0))</f>
        <v>0.22</v>
      </c>
      <c r="AF1100" s="49">
        <f t="shared" si="249"/>
        <v>0</v>
      </c>
      <c r="AG1100" s="49">
        <f t="shared" si="250"/>
        <v>0</v>
      </c>
      <c r="AH1100" s="55">
        <f t="shared" si="251"/>
        <v>0</v>
      </c>
    </row>
    <row r="1101" spans="1:34" x14ac:dyDescent="0.2">
      <c r="A1101" s="48" t="s">
        <v>1006</v>
      </c>
      <c r="B1101" s="48">
        <v>1</v>
      </c>
      <c r="C1101" s="48" t="s">
        <v>972</v>
      </c>
      <c r="D1101" s="48" t="s">
        <v>958</v>
      </c>
      <c r="E1101" s="48" t="s">
        <v>296</v>
      </c>
      <c r="F1101" s="48" t="s">
        <v>297</v>
      </c>
      <c r="G1101" s="48" t="s">
        <v>298</v>
      </c>
      <c r="H1101" s="48" t="s">
        <v>66</v>
      </c>
      <c r="I1101" s="48" t="s">
        <v>98</v>
      </c>
      <c r="J1101" s="49">
        <v>18</v>
      </c>
      <c r="K1101" s="50">
        <v>1980</v>
      </c>
      <c r="L1101" s="50">
        <v>1940.19</v>
      </c>
      <c r="M1101" s="48" t="s">
        <v>276</v>
      </c>
      <c r="N1101" s="51">
        <v>0.92</v>
      </c>
      <c r="O1101" s="51">
        <v>0.92220000000000002</v>
      </c>
      <c r="P1101" s="52">
        <v>1800.2</v>
      </c>
      <c r="Q1101" s="52">
        <v>1800.2</v>
      </c>
      <c r="R1101" s="53" t="str">
        <f>INDEX(SKU_Master!$D$5:$D$34,MATCH($I1101,SKU_Master!$A$5:$A$34,0))</f>
        <v>Laptop</v>
      </c>
      <c r="S1101" s="54">
        <f t="shared" si="238"/>
        <v>2.0106060606060572E-2</v>
      </c>
      <c r="T1101" s="55">
        <f t="shared" si="239"/>
        <v>38739.130434782608</v>
      </c>
      <c r="U1101" s="55">
        <f t="shared" si="240"/>
        <v>37960.239130434777</v>
      </c>
      <c r="V1101" s="55">
        <f t="shared" si="241"/>
        <v>-778.89130434783146</v>
      </c>
      <c r="W1101" s="55">
        <f t="shared" si="242"/>
        <v>37869.681197137281</v>
      </c>
      <c r="X1101" s="55">
        <f t="shared" si="243"/>
        <v>-90.557933297495765</v>
      </c>
      <c r="Y1101" s="55">
        <f t="shared" si="244"/>
        <v>32403.600000000002</v>
      </c>
      <c r="Z1101" s="55">
        <f t="shared" si="245"/>
        <v>32403.600000000002</v>
      </c>
      <c r="AA1101" s="55">
        <f t="shared" si="246"/>
        <v>0</v>
      </c>
      <c r="AB1101" s="55">
        <f t="shared" si="247"/>
        <v>5466.0811971372787</v>
      </c>
      <c r="AC1101" s="54">
        <f t="shared" si="248"/>
        <v>0.14433924512547736</v>
      </c>
      <c r="AD1101" s="56">
        <f>INDEX(Assumptions!$B$14:$B$16,MATCH($R1101,Assumptions!$A$14:$A$16,0))</f>
        <v>0.12</v>
      </c>
      <c r="AE1101" s="56">
        <f>INDEX(Assumptions!$C$14:$C$16,MATCH($R1101,Assumptions!$A$14:$A$16,0))</f>
        <v>0.08</v>
      </c>
      <c r="AF1101" s="49">
        <f t="shared" si="249"/>
        <v>0</v>
      </c>
      <c r="AG1101" s="49">
        <f t="shared" si="250"/>
        <v>0</v>
      </c>
      <c r="AH1101" s="55">
        <f t="shared" si="251"/>
        <v>0</v>
      </c>
    </row>
    <row r="1102" spans="1:34" x14ac:dyDescent="0.2">
      <c r="A1102" s="48" t="s">
        <v>1006</v>
      </c>
      <c r="B1102" s="48">
        <v>2</v>
      </c>
      <c r="C1102" s="48" t="s">
        <v>972</v>
      </c>
      <c r="D1102" s="48" t="s">
        <v>958</v>
      </c>
      <c r="E1102" s="48" t="s">
        <v>296</v>
      </c>
      <c r="F1102" s="48" t="s">
        <v>297</v>
      </c>
      <c r="G1102" s="48" t="s">
        <v>298</v>
      </c>
      <c r="H1102" s="48" t="s">
        <v>66</v>
      </c>
      <c r="I1102" s="48" t="s">
        <v>138</v>
      </c>
      <c r="J1102" s="49">
        <v>14</v>
      </c>
      <c r="K1102" s="50">
        <v>460</v>
      </c>
      <c r="L1102" s="50">
        <v>443.23</v>
      </c>
      <c r="M1102" s="48" t="s">
        <v>276</v>
      </c>
      <c r="N1102" s="51">
        <v>0.92</v>
      </c>
      <c r="O1102" s="51">
        <v>0.92220000000000002</v>
      </c>
      <c r="P1102" s="52">
        <v>383.2</v>
      </c>
      <c r="Q1102" s="52">
        <v>383.2</v>
      </c>
      <c r="R1102" s="53" t="str">
        <f>INDEX(SKU_Master!$D$5:$D$34,MATCH($I1102,SKU_Master!$A$5:$A$34,0))</f>
        <v>Monitor</v>
      </c>
      <c r="S1102" s="54">
        <f t="shared" si="238"/>
        <v>3.6456521739130388E-2</v>
      </c>
      <c r="T1102" s="55">
        <f t="shared" si="239"/>
        <v>7000</v>
      </c>
      <c r="U1102" s="55">
        <f t="shared" si="240"/>
        <v>6744.804347826087</v>
      </c>
      <c r="V1102" s="55">
        <f t="shared" si="241"/>
        <v>-255.195652173913</v>
      </c>
      <c r="W1102" s="55">
        <f t="shared" si="242"/>
        <v>6728.7139449143351</v>
      </c>
      <c r="X1102" s="55">
        <f t="shared" si="243"/>
        <v>-16.09040291175188</v>
      </c>
      <c r="Y1102" s="55">
        <f t="shared" si="244"/>
        <v>5364.8</v>
      </c>
      <c r="Z1102" s="55">
        <f t="shared" si="245"/>
        <v>5364.8</v>
      </c>
      <c r="AA1102" s="55">
        <f t="shared" si="246"/>
        <v>0</v>
      </c>
      <c r="AB1102" s="55">
        <f t="shared" si="247"/>
        <v>1363.9139449143349</v>
      </c>
      <c r="AC1102" s="54">
        <f t="shared" si="248"/>
        <v>0.20270053922342798</v>
      </c>
      <c r="AD1102" s="56">
        <f>INDEX(Assumptions!$B$14:$B$16,MATCH($R1102,Assumptions!$A$14:$A$16,0))</f>
        <v>0.18</v>
      </c>
      <c r="AE1102" s="56">
        <f>INDEX(Assumptions!$C$14:$C$16,MATCH($R1102,Assumptions!$A$14:$A$16,0))</f>
        <v>0.12</v>
      </c>
      <c r="AF1102" s="49">
        <f t="shared" si="249"/>
        <v>0</v>
      </c>
      <c r="AG1102" s="49">
        <f t="shared" si="250"/>
        <v>0</v>
      </c>
      <c r="AH1102" s="55">
        <f t="shared" si="251"/>
        <v>0</v>
      </c>
    </row>
    <row r="1103" spans="1:34" x14ac:dyDescent="0.2">
      <c r="A1103" s="48" t="s">
        <v>1006</v>
      </c>
      <c r="B1103" s="48">
        <v>3</v>
      </c>
      <c r="C1103" s="48" t="s">
        <v>972</v>
      </c>
      <c r="D1103" s="48" t="s">
        <v>958</v>
      </c>
      <c r="E1103" s="48" t="s">
        <v>296</v>
      </c>
      <c r="F1103" s="48" t="s">
        <v>297</v>
      </c>
      <c r="G1103" s="48" t="s">
        <v>298</v>
      </c>
      <c r="H1103" s="48" t="s">
        <v>66</v>
      </c>
      <c r="I1103" s="48" t="s">
        <v>161</v>
      </c>
      <c r="J1103" s="49">
        <v>7</v>
      </c>
      <c r="K1103" s="50">
        <v>120</v>
      </c>
      <c r="L1103" s="50">
        <v>115.58</v>
      </c>
      <c r="M1103" s="48" t="s">
        <v>276</v>
      </c>
      <c r="N1103" s="51">
        <v>0.92</v>
      </c>
      <c r="O1103" s="51">
        <v>0.92220000000000002</v>
      </c>
      <c r="P1103" s="52">
        <v>81</v>
      </c>
      <c r="Q1103" s="52">
        <v>81</v>
      </c>
      <c r="R1103" s="53" t="str">
        <f>INDEX(SKU_Master!$D$5:$D$34,MATCH($I1103,SKU_Master!$A$5:$A$34,0))</f>
        <v>Accessory</v>
      </c>
      <c r="S1103" s="54">
        <f t="shared" si="238"/>
        <v>3.6833333333333385E-2</v>
      </c>
      <c r="T1103" s="55">
        <f t="shared" si="239"/>
        <v>913.04347826086951</v>
      </c>
      <c r="U1103" s="55">
        <f t="shared" si="240"/>
        <v>879.41304347826076</v>
      </c>
      <c r="V1103" s="55">
        <f t="shared" si="241"/>
        <v>-33.630434782608745</v>
      </c>
      <c r="W1103" s="55">
        <f t="shared" si="242"/>
        <v>877.31511602689216</v>
      </c>
      <c r="X1103" s="55">
        <f t="shared" si="243"/>
        <v>-2.097927451368605</v>
      </c>
      <c r="Y1103" s="55">
        <f t="shared" si="244"/>
        <v>567</v>
      </c>
      <c r="Z1103" s="55">
        <f t="shared" si="245"/>
        <v>567</v>
      </c>
      <c r="AA1103" s="55">
        <f t="shared" si="246"/>
        <v>0</v>
      </c>
      <c r="AB1103" s="55">
        <f t="shared" si="247"/>
        <v>310.31511602689216</v>
      </c>
      <c r="AC1103" s="54">
        <f t="shared" si="248"/>
        <v>0.3537099844263713</v>
      </c>
      <c r="AD1103" s="56">
        <f>INDEX(Assumptions!$B$14:$B$16,MATCH($R1103,Assumptions!$A$14:$A$16,0))</f>
        <v>0.32</v>
      </c>
      <c r="AE1103" s="56">
        <f>INDEX(Assumptions!$C$14:$C$16,MATCH($R1103,Assumptions!$A$14:$A$16,0))</f>
        <v>0.22</v>
      </c>
      <c r="AF1103" s="49">
        <f t="shared" si="249"/>
        <v>0</v>
      </c>
      <c r="AG1103" s="49">
        <f t="shared" si="250"/>
        <v>0</v>
      </c>
      <c r="AH1103" s="55">
        <f t="shared" si="251"/>
        <v>0</v>
      </c>
    </row>
    <row r="1104" spans="1:34" x14ac:dyDescent="0.2">
      <c r="A1104" s="48" t="s">
        <v>1007</v>
      </c>
      <c r="B1104" s="48">
        <v>1</v>
      </c>
      <c r="C1104" s="48" t="s">
        <v>1008</v>
      </c>
      <c r="D1104" s="48" t="s">
        <v>958</v>
      </c>
      <c r="E1104" s="48" t="s">
        <v>422</v>
      </c>
      <c r="F1104" s="48" t="s">
        <v>280</v>
      </c>
      <c r="G1104" s="48" t="s">
        <v>281</v>
      </c>
      <c r="H1104" s="48" t="s">
        <v>68</v>
      </c>
      <c r="I1104" s="48" t="s">
        <v>118</v>
      </c>
      <c r="J1104" s="49">
        <v>23</v>
      </c>
      <c r="K1104" s="50">
        <v>1925</v>
      </c>
      <c r="L1104" s="50">
        <v>1867.18</v>
      </c>
      <c r="M1104" s="48" t="s">
        <v>276</v>
      </c>
      <c r="N1104" s="51">
        <v>1.37</v>
      </c>
      <c r="O1104" s="51">
        <v>1.3652</v>
      </c>
      <c r="P1104" s="52">
        <v>1174.5999999999999</v>
      </c>
      <c r="Q1104" s="52">
        <v>1243.28</v>
      </c>
      <c r="R1104" s="53" t="str">
        <f>INDEX(SKU_Master!$D$5:$D$34,MATCH($I1104,SKU_Master!$A$5:$A$34,0))</f>
        <v>Laptop</v>
      </c>
      <c r="S1104" s="54">
        <f t="shared" si="238"/>
        <v>3.0036363636363639E-2</v>
      </c>
      <c r="T1104" s="55">
        <f t="shared" si="239"/>
        <v>32317.51824817518</v>
      </c>
      <c r="U1104" s="55">
        <f t="shared" si="240"/>
        <v>31346.817518248172</v>
      </c>
      <c r="V1104" s="55">
        <f t="shared" si="241"/>
        <v>-970.70072992700807</v>
      </c>
      <c r="W1104" s="55">
        <f t="shared" si="242"/>
        <v>31457.03193671257</v>
      </c>
      <c r="X1104" s="55">
        <f t="shared" si="243"/>
        <v>110.21441846439848</v>
      </c>
      <c r="Y1104" s="55">
        <f t="shared" si="244"/>
        <v>27015.8</v>
      </c>
      <c r="Z1104" s="55">
        <f t="shared" si="245"/>
        <v>28595.439999999999</v>
      </c>
      <c r="AA1104" s="55">
        <f t="shared" si="246"/>
        <v>-1579.6399999999994</v>
      </c>
      <c r="AB1104" s="55">
        <f t="shared" si="247"/>
        <v>2861.5919367125716</v>
      </c>
      <c r="AC1104" s="54">
        <f t="shared" si="248"/>
        <v>9.096827515290444E-2</v>
      </c>
      <c r="AD1104" s="56">
        <f>INDEX(Assumptions!$B$14:$B$16,MATCH($R1104,Assumptions!$A$14:$A$16,0))</f>
        <v>0.12</v>
      </c>
      <c r="AE1104" s="56">
        <f>INDEX(Assumptions!$C$14:$C$16,MATCH($R1104,Assumptions!$A$14:$A$16,0))</f>
        <v>0.08</v>
      </c>
      <c r="AF1104" s="49">
        <f t="shared" si="249"/>
        <v>0</v>
      </c>
      <c r="AG1104" s="49">
        <f t="shared" si="250"/>
        <v>0</v>
      </c>
      <c r="AH1104" s="55">
        <f t="shared" si="251"/>
        <v>913.25189569293661</v>
      </c>
    </row>
    <row r="1105" spans="1:34" x14ac:dyDescent="0.2">
      <c r="A1105" s="48" t="s">
        <v>1007</v>
      </c>
      <c r="B1105" s="48">
        <v>2</v>
      </c>
      <c r="C1105" s="48" t="s">
        <v>1008</v>
      </c>
      <c r="D1105" s="48" t="s">
        <v>958</v>
      </c>
      <c r="E1105" s="48" t="s">
        <v>422</v>
      </c>
      <c r="F1105" s="48" t="s">
        <v>280</v>
      </c>
      <c r="G1105" s="48" t="s">
        <v>281</v>
      </c>
      <c r="H1105" s="48" t="s">
        <v>68</v>
      </c>
      <c r="I1105" s="48" t="s">
        <v>164</v>
      </c>
      <c r="J1105" s="49">
        <v>21</v>
      </c>
      <c r="K1105" s="50">
        <v>270</v>
      </c>
      <c r="L1105" s="50">
        <v>266.14</v>
      </c>
      <c r="M1105" s="48" t="s">
        <v>276</v>
      </c>
      <c r="N1105" s="51">
        <v>1.37</v>
      </c>
      <c r="O1105" s="51">
        <v>1.3652</v>
      </c>
      <c r="P1105" s="52">
        <v>124</v>
      </c>
      <c r="Q1105" s="52">
        <v>124</v>
      </c>
      <c r="R1105" s="53" t="str">
        <f>INDEX(SKU_Master!$D$5:$D$34,MATCH($I1105,SKU_Master!$A$5:$A$34,0))</f>
        <v>Accessory</v>
      </c>
      <c r="S1105" s="54">
        <f t="shared" si="238"/>
        <v>1.4296296296296362E-2</v>
      </c>
      <c r="T1105" s="55">
        <f t="shared" si="239"/>
        <v>4138.6861313868612</v>
      </c>
      <c r="U1105" s="55">
        <f t="shared" si="240"/>
        <v>4079.5182481751817</v>
      </c>
      <c r="V1105" s="55">
        <f t="shared" si="241"/>
        <v>-59.167883211679509</v>
      </c>
      <c r="W1105" s="55">
        <f t="shared" si="242"/>
        <v>4093.8617052446525</v>
      </c>
      <c r="X1105" s="55">
        <f t="shared" si="243"/>
        <v>14.343457069470787</v>
      </c>
      <c r="Y1105" s="55">
        <f t="shared" si="244"/>
        <v>2604</v>
      </c>
      <c r="Z1105" s="55">
        <f t="shared" si="245"/>
        <v>2604</v>
      </c>
      <c r="AA1105" s="55">
        <f t="shared" si="246"/>
        <v>0</v>
      </c>
      <c r="AB1105" s="55">
        <f t="shared" si="247"/>
        <v>1489.8617052446525</v>
      </c>
      <c r="AC1105" s="54">
        <f t="shared" si="248"/>
        <v>0.36392575336289168</v>
      </c>
      <c r="AD1105" s="56">
        <f>INDEX(Assumptions!$B$14:$B$16,MATCH($R1105,Assumptions!$A$14:$A$16,0))</f>
        <v>0.32</v>
      </c>
      <c r="AE1105" s="56">
        <f>INDEX(Assumptions!$C$14:$C$16,MATCH($R1105,Assumptions!$A$14:$A$16,0))</f>
        <v>0.22</v>
      </c>
      <c r="AF1105" s="49">
        <f t="shared" si="249"/>
        <v>0</v>
      </c>
      <c r="AG1105" s="49">
        <f t="shared" si="250"/>
        <v>0</v>
      </c>
      <c r="AH1105" s="55">
        <f t="shared" si="251"/>
        <v>0</v>
      </c>
    </row>
    <row r="1106" spans="1:34" x14ac:dyDescent="0.2">
      <c r="A1106" s="48" t="s">
        <v>1009</v>
      </c>
      <c r="B1106" s="48">
        <v>1</v>
      </c>
      <c r="C1106" s="48" t="s">
        <v>964</v>
      </c>
      <c r="D1106" s="48" t="s">
        <v>958</v>
      </c>
      <c r="E1106" s="48" t="s">
        <v>355</v>
      </c>
      <c r="F1106" s="48" t="s">
        <v>280</v>
      </c>
      <c r="G1106" s="48" t="s">
        <v>302</v>
      </c>
      <c r="H1106" s="48" t="s">
        <v>62</v>
      </c>
      <c r="I1106" s="48" t="s">
        <v>106</v>
      </c>
      <c r="J1106" s="49">
        <v>21</v>
      </c>
      <c r="K1106" s="50">
        <v>1520</v>
      </c>
      <c r="L1106" s="50">
        <v>1486.47</v>
      </c>
      <c r="M1106" s="48" t="s">
        <v>276</v>
      </c>
      <c r="N1106" s="51">
        <v>1</v>
      </c>
      <c r="O1106" s="51">
        <v>1</v>
      </c>
      <c r="P1106" s="52">
        <v>1298.4000000000001</v>
      </c>
      <c r="Q1106" s="52">
        <v>1298.4000000000001</v>
      </c>
      <c r="R1106" s="53" t="str">
        <f>INDEX(SKU_Master!$D$5:$D$34,MATCH($I1106,SKU_Master!$A$5:$A$34,0))</f>
        <v>Laptop</v>
      </c>
      <c r="S1106" s="54">
        <f t="shared" si="238"/>
        <v>2.2059210526315765E-2</v>
      </c>
      <c r="T1106" s="55">
        <f t="shared" si="239"/>
        <v>31920</v>
      </c>
      <c r="U1106" s="55">
        <f t="shared" si="240"/>
        <v>31215.87</v>
      </c>
      <c r="V1106" s="55">
        <f t="shared" si="241"/>
        <v>-704.13000000000102</v>
      </c>
      <c r="W1106" s="55">
        <f t="shared" si="242"/>
        <v>31215.87</v>
      </c>
      <c r="X1106" s="55">
        <f t="shared" si="243"/>
        <v>0</v>
      </c>
      <c r="Y1106" s="55">
        <f t="shared" si="244"/>
        <v>27266.400000000001</v>
      </c>
      <c r="Z1106" s="55">
        <f t="shared" si="245"/>
        <v>27266.400000000001</v>
      </c>
      <c r="AA1106" s="55">
        <f t="shared" si="246"/>
        <v>0</v>
      </c>
      <c r="AB1106" s="55">
        <f t="shared" si="247"/>
        <v>3949.4699999999975</v>
      </c>
      <c r="AC1106" s="54">
        <f t="shared" si="248"/>
        <v>0.12652122141718292</v>
      </c>
      <c r="AD1106" s="56">
        <f>INDEX(Assumptions!$B$14:$B$16,MATCH($R1106,Assumptions!$A$14:$A$16,0))</f>
        <v>0.12</v>
      </c>
      <c r="AE1106" s="56">
        <f>INDEX(Assumptions!$C$14:$C$16,MATCH($R1106,Assumptions!$A$14:$A$16,0))</f>
        <v>0.08</v>
      </c>
      <c r="AF1106" s="49">
        <f t="shared" si="249"/>
        <v>0</v>
      </c>
      <c r="AG1106" s="49">
        <f t="shared" si="250"/>
        <v>0</v>
      </c>
      <c r="AH1106" s="55">
        <f t="shared" si="251"/>
        <v>0</v>
      </c>
    </row>
    <row r="1107" spans="1:34" x14ac:dyDescent="0.2">
      <c r="A1107" s="48" t="s">
        <v>1010</v>
      </c>
      <c r="B1107" s="48">
        <v>1</v>
      </c>
      <c r="C1107" s="48" t="s">
        <v>991</v>
      </c>
      <c r="D1107" s="48" t="s">
        <v>958</v>
      </c>
      <c r="E1107" s="48" t="s">
        <v>558</v>
      </c>
      <c r="F1107" s="48" t="s">
        <v>280</v>
      </c>
      <c r="G1107" s="48" t="s">
        <v>288</v>
      </c>
      <c r="H1107" s="48" t="s">
        <v>62</v>
      </c>
      <c r="I1107" s="48" t="s">
        <v>106</v>
      </c>
      <c r="J1107" s="49">
        <v>25</v>
      </c>
      <c r="K1107" s="50">
        <v>1520</v>
      </c>
      <c r="L1107" s="50">
        <v>1495.75</v>
      </c>
      <c r="M1107" s="48" t="s">
        <v>276</v>
      </c>
      <c r="N1107" s="51">
        <v>1</v>
      </c>
      <c r="O1107" s="51">
        <v>1</v>
      </c>
      <c r="P1107" s="52">
        <v>1298.4000000000001</v>
      </c>
      <c r="Q1107" s="52">
        <v>1298.4000000000001</v>
      </c>
      <c r="R1107" s="53" t="str">
        <f>INDEX(SKU_Master!$D$5:$D$34,MATCH($I1107,SKU_Master!$A$5:$A$34,0))</f>
        <v>Laptop</v>
      </c>
      <c r="S1107" s="54">
        <f t="shared" si="238"/>
        <v>1.595394736842104E-2</v>
      </c>
      <c r="T1107" s="55">
        <f t="shared" si="239"/>
        <v>38000</v>
      </c>
      <c r="U1107" s="55">
        <f t="shared" si="240"/>
        <v>37393.75</v>
      </c>
      <c r="V1107" s="55">
        <f t="shared" si="241"/>
        <v>-606.25</v>
      </c>
      <c r="W1107" s="55">
        <f t="shared" si="242"/>
        <v>37393.75</v>
      </c>
      <c r="X1107" s="55">
        <f t="shared" si="243"/>
        <v>0</v>
      </c>
      <c r="Y1107" s="55">
        <f t="shared" si="244"/>
        <v>32460.000000000004</v>
      </c>
      <c r="Z1107" s="55">
        <f t="shared" si="245"/>
        <v>32460.000000000004</v>
      </c>
      <c r="AA1107" s="55">
        <f t="shared" si="246"/>
        <v>0</v>
      </c>
      <c r="AB1107" s="55">
        <f t="shared" si="247"/>
        <v>4933.7499999999964</v>
      </c>
      <c r="AC1107" s="54">
        <f t="shared" si="248"/>
        <v>0.13194049807788724</v>
      </c>
      <c r="AD1107" s="56">
        <f>INDEX(Assumptions!$B$14:$B$16,MATCH($R1107,Assumptions!$A$14:$A$16,0))</f>
        <v>0.12</v>
      </c>
      <c r="AE1107" s="56">
        <f>INDEX(Assumptions!$C$14:$C$16,MATCH($R1107,Assumptions!$A$14:$A$16,0))</f>
        <v>0.08</v>
      </c>
      <c r="AF1107" s="49">
        <f t="shared" si="249"/>
        <v>0</v>
      </c>
      <c r="AG1107" s="49">
        <f t="shared" si="250"/>
        <v>0</v>
      </c>
      <c r="AH1107" s="55">
        <f t="shared" si="251"/>
        <v>0</v>
      </c>
    </row>
    <row r="1108" spans="1:34" x14ac:dyDescent="0.2">
      <c r="A1108" s="48" t="s">
        <v>1010</v>
      </c>
      <c r="B1108" s="48">
        <v>2</v>
      </c>
      <c r="C1108" s="48" t="s">
        <v>991</v>
      </c>
      <c r="D1108" s="48" t="s">
        <v>958</v>
      </c>
      <c r="E1108" s="48" t="s">
        <v>558</v>
      </c>
      <c r="F1108" s="48" t="s">
        <v>280</v>
      </c>
      <c r="G1108" s="48" t="s">
        <v>288</v>
      </c>
      <c r="H1108" s="48" t="s">
        <v>62</v>
      </c>
      <c r="I1108" s="48" t="s">
        <v>135</v>
      </c>
      <c r="J1108" s="49">
        <v>11</v>
      </c>
      <c r="K1108" s="50">
        <v>240</v>
      </c>
      <c r="L1108" s="50">
        <v>229.79</v>
      </c>
      <c r="M1108" s="48" t="s">
        <v>276</v>
      </c>
      <c r="N1108" s="51">
        <v>1</v>
      </c>
      <c r="O1108" s="51">
        <v>1</v>
      </c>
      <c r="P1108" s="52">
        <v>186.7</v>
      </c>
      <c r="Q1108" s="52">
        <v>186.7</v>
      </c>
      <c r="R1108" s="53" t="str">
        <f>INDEX(SKU_Master!$D$5:$D$34,MATCH($I1108,SKU_Master!$A$5:$A$34,0))</f>
        <v>Monitor</v>
      </c>
      <c r="S1108" s="54">
        <f t="shared" si="238"/>
        <v>4.25416666666667E-2</v>
      </c>
      <c r="T1108" s="55">
        <f t="shared" si="239"/>
        <v>2640</v>
      </c>
      <c r="U1108" s="55">
        <f t="shared" si="240"/>
        <v>2527.69</v>
      </c>
      <c r="V1108" s="55">
        <f t="shared" si="241"/>
        <v>-112.30999999999995</v>
      </c>
      <c r="W1108" s="55">
        <f t="shared" si="242"/>
        <v>2527.69</v>
      </c>
      <c r="X1108" s="55">
        <f t="shared" si="243"/>
        <v>0</v>
      </c>
      <c r="Y1108" s="55">
        <f t="shared" si="244"/>
        <v>2053.6999999999998</v>
      </c>
      <c r="Z1108" s="55">
        <f t="shared" si="245"/>
        <v>2053.6999999999998</v>
      </c>
      <c r="AA1108" s="55">
        <f t="shared" si="246"/>
        <v>0</v>
      </c>
      <c r="AB1108" s="55">
        <f t="shared" si="247"/>
        <v>473.99000000000024</v>
      </c>
      <c r="AC1108" s="54">
        <f t="shared" si="248"/>
        <v>0.18751903912267731</v>
      </c>
      <c r="AD1108" s="56">
        <f>INDEX(Assumptions!$B$14:$B$16,MATCH($R1108,Assumptions!$A$14:$A$16,0))</f>
        <v>0.18</v>
      </c>
      <c r="AE1108" s="56">
        <f>INDEX(Assumptions!$C$14:$C$16,MATCH($R1108,Assumptions!$A$14:$A$16,0))</f>
        <v>0.12</v>
      </c>
      <c r="AF1108" s="49">
        <f t="shared" si="249"/>
        <v>0</v>
      </c>
      <c r="AG1108" s="49">
        <f t="shared" si="250"/>
        <v>0</v>
      </c>
      <c r="AH1108" s="55">
        <f t="shared" si="251"/>
        <v>0</v>
      </c>
    </row>
    <row r="1109" spans="1:34" x14ac:dyDescent="0.2">
      <c r="A1109" s="48" t="s">
        <v>1010</v>
      </c>
      <c r="B1109" s="48">
        <v>3</v>
      </c>
      <c r="C1109" s="48" t="s">
        <v>991</v>
      </c>
      <c r="D1109" s="48" t="s">
        <v>958</v>
      </c>
      <c r="E1109" s="48" t="s">
        <v>558</v>
      </c>
      <c r="F1109" s="48" t="s">
        <v>280</v>
      </c>
      <c r="G1109" s="48" t="s">
        <v>288</v>
      </c>
      <c r="H1109" s="48" t="s">
        <v>62</v>
      </c>
      <c r="I1109" s="48" t="s">
        <v>151</v>
      </c>
      <c r="J1109" s="49">
        <v>11</v>
      </c>
      <c r="K1109" s="50">
        <v>335</v>
      </c>
      <c r="L1109" s="50">
        <v>326.36</v>
      </c>
      <c r="M1109" s="48" t="s">
        <v>276</v>
      </c>
      <c r="N1109" s="51">
        <v>1</v>
      </c>
      <c r="O1109" s="51">
        <v>1</v>
      </c>
      <c r="P1109" s="52">
        <v>216.7</v>
      </c>
      <c r="Q1109" s="52">
        <v>216.7</v>
      </c>
      <c r="R1109" s="53" t="str">
        <f>INDEX(SKU_Master!$D$5:$D$34,MATCH($I1109,SKU_Master!$A$5:$A$34,0))</f>
        <v>Accessory</v>
      </c>
      <c r="S1109" s="54">
        <f t="shared" si="238"/>
        <v>2.5791044776119376E-2</v>
      </c>
      <c r="T1109" s="55">
        <f t="shared" si="239"/>
        <v>3685</v>
      </c>
      <c r="U1109" s="55">
        <f t="shared" si="240"/>
        <v>3589.96</v>
      </c>
      <c r="V1109" s="55">
        <f t="shared" si="241"/>
        <v>-95.039999999999964</v>
      </c>
      <c r="W1109" s="55">
        <f t="shared" si="242"/>
        <v>3589.96</v>
      </c>
      <c r="X1109" s="55">
        <f t="shared" si="243"/>
        <v>0</v>
      </c>
      <c r="Y1109" s="55">
        <f t="shared" si="244"/>
        <v>2383.6999999999998</v>
      </c>
      <c r="Z1109" s="55">
        <f t="shared" si="245"/>
        <v>2383.6999999999998</v>
      </c>
      <c r="AA1109" s="55">
        <f t="shared" si="246"/>
        <v>0</v>
      </c>
      <c r="AB1109" s="55">
        <f t="shared" si="247"/>
        <v>1206.2600000000002</v>
      </c>
      <c r="AC1109" s="54">
        <f t="shared" si="248"/>
        <v>0.33600931486701807</v>
      </c>
      <c r="AD1109" s="56">
        <f>INDEX(Assumptions!$B$14:$B$16,MATCH($R1109,Assumptions!$A$14:$A$16,0))</f>
        <v>0.32</v>
      </c>
      <c r="AE1109" s="56">
        <f>INDEX(Assumptions!$C$14:$C$16,MATCH($R1109,Assumptions!$A$14:$A$16,0))</f>
        <v>0.22</v>
      </c>
      <c r="AF1109" s="49">
        <f t="shared" si="249"/>
        <v>0</v>
      </c>
      <c r="AG1109" s="49">
        <f t="shared" si="250"/>
        <v>0</v>
      </c>
      <c r="AH1109" s="55">
        <f t="shared" si="251"/>
        <v>0</v>
      </c>
    </row>
    <row r="1110" spans="1:34" x14ac:dyDescent="0.2">
      <c r="A1110" s="48" t="s">
        <v>1011</v>
      </c>
      <c r="B1110" s="48">
        <v>1</v>
      </c>
      <c r="C1110" s="48" t="s">
        <v>1012</v>
      </c>
      <c r="D1110" s="48" t="s">
        <v>958</v>
      </c>
      <c r="E1110" s="48" t="s">
        <v>293</v>
      </c>
      <c r="F1110" s="48" t="s">
        <v>274</v>
      </c>
      <c r="G1110" s="48" t="s">
        <v>275</v>
      </c>
      <c r="H1110" s="48" t="s">
        <v>66</v>
      </c>
      <c r="I1110" s="48" t="s">
        <v>103</v>
      </c>
      <c r="J1110" s="49">
        <v>3</v>
      </c>
      <c r="K1110" s="50">
        <v>1090</v>
      </c>
      <c r="L1110" s="50">
        <v>1080.22</v>
      </c>
      <c r="M1110" s="48" t="s">
        <v>276</v>
      </c>
      <c r="N1110" s="51">
        <v>0.92</v>
      </c>
      <c r="O1110" s="51">
        <v>0.92220000000000002</v>
      </c>
      <c r="P1110" s="52">
        <v>988.6</v>
      </c>
      <c r="Q1110" s="52">
        <v>988.6</v>
      </c>
      <c r="R1110" s="53" t="str">
        <f>INDEX(SKU_Master!$D$5:$D$34,MATCH($I1110,SKU_Master!$A$5:$A$34,0))</f>
        <v>Laptop</v>
      </c>
      <c r="S1110" s="54">
        <f t="shared" si="238"/>
        <v>8.9724770642201079E-3</v>
      </c>
      <c r="T1110" s="55">
        <f t="shared" si="239"/>
        <v>3554.3478260869565</v>
      </c>
      <c r="U1110" s="55">
        <f t="shared" si="240"/>
        <v>3522.45652173913</v>
      </c>
      <c r="V1110" s="55">
        <f t="shared" si="241"/>
        <v>-31.891304347826463</v>
      </c>
      <c r="W1110" s="55">
        <f t="shared" si="242"/>
        <v>3514.0533506831489</v>
      </c>
      <c r="X1110" s="55">
        <f t="shared" si="243"/>
        <v>-8.4031710559811472</v>
      </c>
      <c r="Y1110" s="55">
        <f t="shared" si="244"/>
        <v>2965.8</v>
      </c>
      <c r="Z1110" s="55">
        <f t="shared" si="245"/>
        <v>2965.8</v>
      </c>
      <c r="AA1110" s="55">
        <f t="shared" si="246"/>
        <v>0</v>
      </c>
      <c r="AB1110" s="55">
        <f t="shared" si="247"/>
        <v>548.25335068314871</v>
      </c>
      <c r="AC1110" s="54">
        <f t="shared" si="248"/>
        <v>0.15601736683268216</v>
      </c>
      <c r="AD1110" s="56">
        <f>INDEX(Assumptions!$B$14:$B$16,MATCH($R1110,Assumptions!$A$14:$A$16,0))</f>
        <v>0.12</v>
      </c>
      <c r="AE1110" s="56">
        <f>INDEX(Assumptions!$C$14:$C$16,MATCH($R1110,Assumptions!$A$14:$A$16,0))</f>
        <v>0.08</v>
      </c>
      <c r="AF1110" s="49">
        <f t="shared" si="249"/>
        <v>0</v>
      </c>
      <c r="AG1110" s="49">
        <f t="shared" si="250"/>
        <v>0</v>
      </c>
      <c r="AH1110" s="55">
        <f t="shared" si="251"/>
        <v>0</v>
      </c>
    </row>
    <row r="1111" spans="1:34" x14ac:dyDescent="0.2">
      <c r="A1111" s="48" t="s">
        <v>1013</v>
      </c>
      <c r="B1111" s="48">
        <v>1</v>
      </c>
      <c r="C1111" s="48" t="s">
        <v>993</v>
      </c>
      <c r="D1111" s="48" t="s">
        <v>958</v>
      </c>
      <c r="E1111" s="48" t="s">
        <v>301</v>
      </c>
      <c r="F1111" s="48" t="s">
        <v>274</v>
      </c>
      <c r="G1111" s="48" t="s">
        <v>302</v>
      </c>
      <c r="H1111" s="48" t="s">
        <v>62</v>
      </c>
      <c r="I1111" s="48" t="s">
        <v>93</v>
      </c>
      <c r="J1111" s="49">
        <v>2</v>
      </c>
      <c r="K1111" s="50">
        <v>1390</v>
      </c>
      <c r="L1111" s="50">
        <v>1342.32</v>
      </c>
      <c r="M1111" s="48" t="s">
        <v>276</v>
      </c>
      <c r="N1111" s="51">
        <v>1</v>
      </c>
      <c r="O1111" s="51">
        <v>1</v>
      </c>
      <c r="P1111" s="52">
        <v>1186.2</v>
      </c>
      <c r="Q1111" s="52">
        <v>1186.2</v>
      </c>
      <c r="R1111" s="53" t="str">
        <f>INDEX(SKU_Master!$D$5:$D$34,MATCH($I1111,SKU_Master!$A$5:$A$34,0))</f>
        <v>Laptop</v>
      </c>
      <c r="S1111" s="54">
        <f t="shared" si="238"/>
        <v>3.4302158273381345E-2</v>
      </c>
      <c r="T1111" s="55">
        <f t="shared" si="239"/>
        <v>2780</v>
      </c>
      <c r="U1111" s="55">
        <f t="shared" si="240"/>
        <v>2684.64</v>
      </c>
      <c r="V1111" s="55">
        <f t="shared" si="241"/>
        <v>-95.360000000000127</v>
      </c>
      <c r="W1111" s="55">
        <f t="shared" si="242"/>
        <v>2684.64</v>
      </c>
      <c r="X1111" s="55">
        <f t="shared" si="243"/>
        <v>0</v>
      </c>
      <c r="Y1111" s="55">
        <f t="shared" si="244"/>
        <v>2372.4</v>
      </c>
      <c r="Z1111" s="55">
        <f t="shared" si="245"/>
        <v>2372.4</v>
      </c>
      <c r="AA1111" s="55">
        <f t="shared" si="246"/>
        <v>0</v>
      </c>
      <c r="AB1111" s="55">
        <f t="shared" si="247"/>
        <v>312.23999999999978</v>
      </c>
      <c r="AC1111" s="54">
        <f t="shared" si="248"/>
        <v>0.11630609690684778</v>
      </c>
      <c r="AD1111" s="56">
        <f>INDEX(Assumptions!$B$14:$B$16,MATCH($R1111,Assumptions!$A$14:$A$16,0))</f>
        <v>0.12</v>
      </c>
      <c r="AE1111" s="56">
        <f>INDEX(Assumptions!$C$14:$C$16,MATCH($R1111,Assumptions!$A$14:$A$16,0))</f>
        <v>0.08</v>
      </c>
      <c r="AF1111" s="49">
        <f t="shared" si="249"/>
        <v>0</v>
      </c>
      <c r="AG1111" s="49">
        <f t="shared" si="250"/>
        <v>0</v>
      </c>
      <c r="AH1111" s="55">
        <f t="shared" si="251"/>
        <v>9.9168000000001939</v>
      </c>
    </row>
    <row r="1112" spans="1:34" x14ac:dyDescent="0.2">
      <c r="A1112" s="48" t="s">
        <v>1013</v>
      </c>
      <c r="B1112" s="48">
        <v>2</v>
      </c>
      <c r="C1112" s="48" t="s">
        <v>993</v>
      </c>
      <c r="D1112" s="48" t="s">
        <v>958</v>
      </c>
      <c r="E1112" s="48" t="s">
        <v>301</v>
      </c>
      <c r="F1112" s="48" t="s">
        <v>274</v>
      </c>
      <c r="G1112" s="48" t="s">
        <v>302</v>
      </c>
      <c r="H1112" s="48" t="s">
        <v>62</v>
      </c>
      <c r="I1112" s="48" t="s">
        <v>138</v>
      </c>
      <c r="J1112" s="49">
        <v>1</v>
      </c>
      <c r="K1112" s="50">
        <v>455</v>
      </c>
      <c r="L1112" s="50">
        <v>442.01</v>
      </c>
      <c r="M1112" s="48" t="s">
        <v>276</v>
      </c>
      <c r="N1112" s="51">
        <v>1</v>
      </c>
      <c r="O1112" s="51">
        <v>1</v>
      </c>
      <c r="P1112" s="52">
        <v>358.2</v>
      </c>
      <c r="Q1112" s="52">
        <v>358.2</v>
      </c>
      <c r="R1112" s="53" t="str">
        <f>INDEX(SKU_Master!$D$5:$D$34,MATCH($I1112,SKU_Master!$A$5:$A$34,0))</f>
        <v>Monitor</v>
      </c>
      <c r="S1112" s="54">
        <f t="shared" si="238"/>
        <v>2.8549450549450572E-2</v>
      </c>
      <c r="T1112" s="55">
        <f t="shared" si="239"/>
        <v>455</v>
      </c>
      <c r="U1112" s="55">
        <f t="shared" si="240"/>
        <v>442.01</v>
      </c>
      <c r="V1112" s="55">
        <f t="shared" si="241"/>
        <v>-12.990000000000009</v>
      </c>
      <c r="W1112" s="55">
        <f t="shared" si="242"/>
        <v>442.01</v>
      </c>
      <c r="X1112" s="55">
        <f t="shared" si="243"/>
        <v>0</v>
      </c>
      <c r="Y1112" s="55">
        <f t="shared" si="244"/>
        <v>358.2</v>
      </c>
      <c r="Z1112" s="55">
        <f t="shared" si="245"/>
        <v>358.2</v>
      </c>
      <c r="AA1112" s="55">
        <f t="shared" si="246"/>
        <v>0</v>
      </c>
      <c r="AB1112" s="55">
        <f t="shared" si="247"/>
        <v>83.81</v>
      </c>
      <c r="AC1112" s="54">
        <f t="shared" si="248"/>
        <v>0.1896110947716115</v>
      </c>
      <c r="AD1112" s="56">
        <f>INDEX(Assumptions!$B$14:$B$16,MATCH($R1112,Assumptions!$A$14:$A$16,0))</f>
        <v>0.18</v>
      </c>
      <c r="AE1112" s="56">
        <f>INDEX(Assumptions!$C$14:$C$16,MATCH($R1112,Assumptions!$A$14:$A$16,0))</f>
        <v>0.12</v>
      </c>
      <c r="AF1112" s="49">
        <f t="shared" si="249"/>
        <v>0</v>
      </c>
      <c r="AG1112" s="49">
        <f t="shared" si="250"/>
        <v>0</v>
      </c>
      <c r="AH1112" s="55">
        <f t="shared" si="251"/>
        <v>0</v>
      </c>
    </row>
    <row r="1113" spans="1:34" x14ac:dyDescent="0.2">
      <c r="A1113" s="48" t="s">
        <v>1013</v>
      </c>
      <c r="B1113" s="48">
        <v>3</v>
      </c>
      <c r="C1113" s="48" t="s">
        <v>993</v>
      </c>
      <c r="D1113" s="48" t="s">
        <v>958</v>
      </c>
      <c r="E1113" s="48" t="s">
        <v>301</v>
      </c>
      <c r="F1113" s="48" t="s">
        <v>274</v>
      </c>
      <c r="G1113" s="48" t="s">
        <v>302</v>
      </c>
      <c r="H1113" s="48" t="s">
        <v>62</v>
      </c>
      <c r="I1113" s="48" t="s">
        <v>157</v>
      </c>
      <c r="J1113" s="49">
        <v>2</v>
      </c>
      <c r="K1113" s="50">
        <v>135</v>
      </c>
      <c r="L1113" s="50">
        <v>128.19</v>
      </c>
      <c r="M1113" s="48" t="s">
        <v>276</v>
      </c>
      <c r="N1113" s="51">
        <v>1</v>
      </c>
      <c r="O1113" s="51">
        <v>1</v>
      </c>
      <c r="P1113" s="52">
        <v>86</v>
      </c>
      <c r="Q1113" s="52">
        <v>86</v>
      </c>
      <c r="R1113" s="53" t="str">
        <f>INDEX(SKU_Master!$D$5:$D$34,MATCH($I1113,SKU_Master!$A$5:$A$34,0))</f>
        <v>Accessory</v>
      </c>
      <c r="S1113" s="54">
        <f t="shared" si="238"/>
        <v>5.0444444444444514E-2</v>
      </c>
      <c r="T1113" s="55">
        <f t="shared" si="239"/>
        <v>270</v>
      </c>
      <c r="U1113" s="55">
        <f t="shared" si="240"/>
        <v>256.38</v>
      </c>
      <c r="V1113" s="55">
        <f t="shared" si="241"/>
        <v>-13.620000000000005</v>
      </c>
      <c r="W1113" s="55">
        <f t="shared" si="242"/>
        <v>256.38</v>
      </c>
      <c r="X1113" s="55">
        <f t="shared" si="243"/>
        <v>0</v>
      </c>
      <c r="Y1113" s="55">
        <f t="shared" si="244"/>
        <v>172</v>
      </c>
      <c r="Z1113" s="55">
        <f t="shared" si="245"/>
        <v>172</v>
      </c>
      <c r="AA1113" s="55">
        <f t="shared" si="246"/>
        <v>0</v>
      </c>
      <c r="AB1113" s="55">
        <f t="shared" si="247"/>
        <v>84.38</v>
      </c>
      <c r="AC1113" s="54">
        <f t="shared" si="248"/>
        <v>0.3291208362586785</v>
      </c>
      <c r="AD1113" s="56">
        <f>INDEX(Assumptions!$B$14:$B$16,MATCH($R1113,Assumptions!$A$14:$A$16,0))</f>
        <v>0.32</v>
      </c>
      <c r="AE1113" s="56">
        <f>INDEX(Assumptions!$C$14:$C$16,MATCH($R1113,Assumptions!$A$14:$A$16,0))</f>
        <v>0.22</v>
      </c>
      <c r="AF1113" s="49">
        <f t="shared" si="249"/>
        <v>0</v>
      </c>
      <c r="AG1113" s="49">
        <f t="shared" si="250"/>
        <v>0</v>
      </c>
      <c r="AH1113" s="55">
        <f t="shared" si="251"/>
        <v>0</v>
      </c>
    </row>
    <row r="1114" spans="1:34" x14ac:dyDescent="0.2">
      <c r="A1114" s="48" t="s">
        <v>1014</v>
      </c>
      <c r="B1114" s="48">
        <v>1</v>
      </c>
      <c r="C1114" s="48" t="s">
        <v>1015</v>
      </c>
      <c r="D1114" s="48" t="s">
        <v>958</v>
      </c>
      <c r="E1114" s="48" t="s">
        <v>346</v>
      </c>
      <c r="F1114" s="48" t="s">
        <v>297</v>
      </c>
      <c r="G1114" s="48" t="s">
        <v>302</v>
      </c>
      <c r="H1114" s="48" t="s">
        <v>62</v>
      </c>
      <c r="I1114" s="48" t="s">
        <v>93</v>
      </c>
      <c r="J1114" s="49">
        <v>61</v>
      </c>
      <c r="K1114" s="50">
        <v>1390</v>
      </c>
      <c r="L1114" s="50">
        <v>1313.41</v>
      </c>
      <c r="M1114" s="48" t="s">
        <v>276</v>
      </c>
      <c r="N1114" s="51">
        <v>1</v>
      </c>
      <c r="O1114" s="51">
        <v>1</v>
      </c>
      <c r="P1114" s="52">
        <v>1186.2</v>
      </c>
      <c r="Q1114" s="52">
        <v>1186.2</v>
      </c>
      <c r="R1114" s="53" t="str">
        <f>INDEX(SKU_Master!$D$5:$D$34,MATCH($I1114,SKU_Master!$A$5:$A$34,0))</f>
        <v>Laptop</v>
      </c>
      <c r="S1114" s="54">
        <f t="shared" si="238"/>
        <v>5.5100719424460376E-2</v>
      </c>
      <c r="T1114" s="55">
        <f t="shared" si="239"/>
        <v>84790</v>
      </c>
      <c r="U1114" s="55">
        <f t="shared" si="240"/>
        <v>80118.010000000009</v>
      </c>
      <c r="V1114" s="55">
        <f t="shared" si="241"/>
        <v>-4671.9899999999907</v>
      </c>
      <c r="W1114" s="55">
        <f t="shared" si="242"/>
        <v>80118.010000000009</v>
      </c>
      <c r="X1114" s="55">
        <f t="shared" si="243"/>
        <v>0</v>
      </c>
      <c r="Y1114" s="55">
        <f t="shared" si="244"/>
        <v>72358.2</v>
      </c>
      <c r="Z1114" s="55">
        <f t="shared" si="245"/>
        <v>72358.2</v>
      </c>
      <c r="AA1114" s="55">
        <f t="shared" si="246"/>
        <v>0</v>
      </c>
      <c r="AB1114" s="55">
        <f t="shared" si="247"/>
        <v>7759.8100000000122</v>
      </c>
      <c r="AC1114" s="54">
        <f t="shared" si="248"/>
        <v>9.6854752133758826E-2</v>
      </c>
      <c r="AD1114" s="56">
        <f>INDEX(Assumptions!$B$14:$B$16,MATCH($R1114,Assumptions!$A$14:$A$16,0))</f>
        <v>0.12</v>
      </c>
      <c r="AE1114" s="56">
        <f>INDEX(Assumptions!$C$14:$C$16,MATCH($R1114,Assumptions!$A$14:$A$16,0))</f>
        <v>0.08</v>
      </c>
      <c r="AF1114" s="49">
        <f t="shared" si="249"/>
        <v>0</v>
      </c>
      <c r="AG1114" s="49">
        <f t="shared" si="250"/>
        <v>0</v>
      </c>
      <c r="AH1114" s="55">
        <f t="shared" si="251"/>
        <v>1854.3511999999882</v>
      </c>
    </row>
    <row r="1115" spans="1:34" x14ac:dyDescent="0.2">
      <c r="A1115" s="48" t="s">
        <v>1014</v>
      </c>
      <c r="B1115" s="48">
        <v>2</v>
      </c>
      <c r="C1115" s="48" t="s">
        <v>1015</v>
      </c>
      <c r="D1115" s="48" t="s">
        <v>958</v>
      </c>
      <c r="E1115" s="48" t="s">
        <v>346</v>
      </c>
      <c r="F1115" s="48" t="s">
        <v>297</v>
      </c>
      <c r="G1115" s="48" t="s">
        <v>302</v>
      </c>
      <c r="H1115" s="48" t="s">
        <v>62</v>
      </c>
      <c r="I1115" s="48" t="s">
        <v>157</v>
      </c>
      <c r="J1115" s="49">
        <v>39</v>
      </c>
      <c r="K1115" s="50">
        <v>135</v>
      </c>
      <c r="L1115" s="50">
        <v>126.07</v>
      </c>
      <c r="M1115" s="48" t="s">
        <v>276</v>
      </c>
      <c r="N1115" s="51">
        <v>1</v>
      </c>
      <c r="O1115" s="51">
        <v>1</v>
      </c>
      <c r="P1115" s="52">
        <v>86</v>
      </c>
      <c r="Q1115" s="52">
        <v>86</v>
      </c>
      <c r="R1115" s="53" t="str">
        <f>INDEX(SKU_Master!$D$5:$D$34,MATCH($I1115,SKU_Master!$A$5:$A$34,0))</f>
        <v>Accessory</v>
      </c>
      <c r="S1115" s="54">
        <f t="shared" si="238"/>
        <v>6.6148148148148178E-2</v>
      </c>
      <c r="T1115" s="55">
        <f t="shared" si="239"/>
        <v>5265</v>
      </c>
      <c r="U1115" s="55">
        <f t="shared" si="240"/>
        <v>4916.7299999999996</v>
      </c>
      <c r="V1115" s="55">
        <f t="shared" si="241"/>
        <v>-348.27000000000044</v>
      </c>
      <c r="W1115" s="55">
        <f t="shared" si="242"/>
        <v>4916.7299999999996</v>
      </c>
      <c r="X1115" s="55">
        <f t="shared" si="243"/>
        <v>0</v>
      </c>
      <c r="Y1115" s="55">
        <f t="shared" si="244"/>
        <v>3354</v>
      </c>
      <c r="Z1115" s="55">
        <f t="shared" si="245"/>
        <v>3354</v>
      </c>
      <c r="AA1115" s="55">
        <f t="shared" si="246"/>
        <v>0</v>
      </c>
      <c r="AB1115" s="55">
        <f t="shared" si="247"/>
        <v>1562.7299999999996</v>
      </c>
      <c r="AC1115" s="54">
        <f t="shared" si="248"/>
        <v>0.31783929562941216</v>
      </c>
      <c r="AD1115" s="56">
        <f>INDEX(Assumptions!$B$14:$B$16,MATCH($R1115,Assumptions!$A$14:$A$16,0))</f>
        <v>0.32</v>
      </c>
      <c r="AE1115" s="56">
        <f>INDEX(Assumptions!$C$14:$C$16,MATCH($R1115,Assumptions!$A$14:$A$16,0))</f>
        <v>0.22</v>
      </c>
      <c r="AF1115" s="49">
        <f t="shared" si="249"/>
        <v>0</v>
      </c>
      <c r="AG1115" s="49">
        <f t="shared" si="250"/>
        <v>0</v>
      </c>
      <c r="AH1115" s="55">
        <f t="shared" si="251"/>
        <v>10.623600000000351</v>
      </c>
    </row>
    <row r="1116" spans="1:34" x14ac:dyDescent="0.2">
      <c r="A1116" s="48" t="s">
        <v>1016</v>
      </c>
      <c r="B1116" s="48">
        <v>1</v>
      </c>
      <c r="C1116" s="48" t="s">
        <v>1001</v>
      </c>
      <c r="D1116" s="48" t="s">
        <v>958</v>
      </c>
      <c r="E1116" s="48" t="s">
        <v>588</v>
      </c>
      <c r="F1116" s="48" t="s">
        <v>274</v>
      </c>
      <c r="G1116" s="48" t="s">
        <v>281</v>
      </c>
      <c r="H1116" s="48" t="s">
        <v>62</v>
      </c>
      <c r="I1116" s="48" t="s">
        <v>106</v>
      </c>
      <c r="J1116" s="49">
        <v>7</v>
      </c>
      <c r="K1116" s="50">
        <v>1520</v>
      </c>
      <c r="L1116" s="50">
        <v>1518.11</v>
      </c>
      <c r="M1116" s="48" t="s">
        <v>276</v>
      </c>
      <c r="N1116" s="51">
        <v>1</v>
      </c>
      <c r="O1116" s="51">
        <v>1</v>
      </c>
      <c r="P1116" s="52">
        <v>1298.4000000000001</v>
      </c>
      <c r="Q1116" s="52">
        <v>1298.4000000000001</v>
      </c>
      <c r="R1116" s="53" t="str">
        <f>INDEX(SKU_Master!$D$5:$D$34,MATCH($I1116,SKU_Master!$A$5:$A$34,0))</f>
        <v>Laptop</v>
      </c>
      <c r="S1116" s="54">
        <f t="shared" si="238"/>
        <v>1.2434210526316436E-3</v>
      </c>
      <c r="T1116" s="55">
        <f t="shared" si="239"/>
        <v>10640</v>
      </c>
      <c r="U1116" s="55">
        <f t="shared" si="240"/>
        <v>10626.769999999999</v>
      </c>
      <c r="V1116" s="55">
        <f t="shared" si="241"/>
        <v>-13.230000000001382</v>
      </c>
      <c r="W1116" s="55">
        <f t="shared" si="242"/>
        <v>10626.769999999999</v>
      </c>
      <c r="X1116" s="55">
        <f t="shared" si="243"/>
        <v>0</v>
      </c>
      <c r="Y1116" s="55">
        <f t="shared" si="244"/>
        <v>9088.8000000000011</v>
      </c>
      <c r="Z1116" s="55">
        <f t="shared" si="245"/>
        <v>9088.8000000000011</v>
      </c>
      <c r="AA1116" s="55">
        <f t="shared" si="246"/>
        <v>0</v>
      </c>
      <c r="AB1116" s="55">
        <f t="shared" si="247"/>
        <v>1537.9699999999975</v>
      </c>
      <c r="AC1116" s="54">
        <f t="shared" si="248"/>
        <v>0.14472600799678526</v>
      </c>
      <c r="AD1116" s="56">
        <f>INDEX(Assumptions!$B$14:$B$16,MATCH($R1116,Assumptions!$A$14:$A$16,0))</f>
        <v>0.12</v>
      </c>
      <c r="AE1116" s="56">
        <f>INDEX(Assumptions!$C$14:$C$16,MATCH($R1116,Assumptions!$A$14:$A$16,0))</f>
        <v>0.08</v>
      </c>
      <c r="AF1116" s="49">
        <f t="shared" si="249"/>
        <v>0</v>
      </c>
      <c r="AG1116" s="49">
        <f t="shared" si="250"/>
        <v>0</v>
      </c>
      <c r="AH1116" s="55">
        <f t="shared" si="251"/>
        <v>0</v>
      </c>
    </row>
    <row r="1117" spans="1:34" x14ac:dyDescent="0.2">
      <c r="A1117" s="48" t="s">
        <v>1016</v>
      </c>
      <c r="B1117" s="48">
        <v>2</v>
      </c>
      <c r="C1117" s="48" t="s">
        <v>1001</v>
      </c>
      <c r="D1117" s="48" t="s">
        <v>958</v>
      </c>
      <c r="E1117" s="48" t="s">
        <v>588</v>
      </c>
      <c r="F1117" s="48" t="s">
        <v>274</v>
      </c>
      <c r="G1117" s="48" t="s">
        <v>281</v>
      </c>
      <c r="H1117" s="48" t="s">
        <v>62</v>
      </c>
      <c r="I1117" s="48" t="s">
        <v>135</v>
      </c>
      <c r="J1117" s="49">
        <v>7</v>
      </c>
      <c r="K1117" s="50">
        <v>240</v>
      </c>
      <c r="L1117" s="50">
        <v>236.39</v>
      </c>
      <c r="M1117" s="48" t="s">
        <v>276</v>
      </c>
      <c r="N1117" s="51">
        <v>1</v>
      </c>
      <c r="O1117" s="51">
        <v>1</v>
      </c>
      <c r="P1117" s="52">
        <v>186.7</v>
      </c>
      <c r="Q1117" s="52">
        <v>186.7</v>
      </c>
      <c r="R1117" s="53" t="str">
        <f>INDEX(SKU_Master!$D$5:$D$34,MATCH($I1117,SKU_Master!$A$5:$A$34,0))</f>
        <v>Monitor</v>
      </c>
      <c r="S1117" s="54">
        <f t="shared" si="238"/>
        <v>1.5041666666666731E-2</v>
      </c>
      <c r="T1117" s="55">
        <f t="shared" si="239"/>
        <v>1680</v>
      </c>
      <c r="U1117" s="55">
        <f t="shared" si="240"/>
        <v>1654.73</v>
      </c>
      <c r="V1117" s="55">
        <f t="shared" si="241"/>
        <v>-25.269999999999982</v>
      </c>
      <c r="W1117" s="55">
        <f t="shared" si="242"/>
        <v>1654.73</v>
      </c>
      <c r="X1117" s="55">
        <f t="shared" si="243"/>
        <v>0</v>
      </c>
      <c r="Y1117" s="55">
        <f t="shared" si="244"/>
        <v>1306.8999999999999</v>
      </c>
      <c r="Z1117" s="55">
        <f t="shared" si="245"/>
        <v>1306.8999999999999</v>
      </c>
      <c r="AA1117" s="55">
        <f t="shared" si="246"/>
        <v>0</v>
      </c>
      <c r="AB1117" s="55">
        <f t="shared" si="247"/>
        <v>347.83000000000015</v>
      </c>
      <c r="AC1117" s="54">
        <f t="shared" si="248"/>
        <v>0.2102034773044546</v>
      </c>
      <c r="AD1117" s="56">
        <f>INDEX(Assumptions!$B$14:$B$16,MATCH($R1117,Assumptions!$A$14:$A$16,0))</f>
        <v>0.18</v>
      </c>
      <c r="AE1117" s="56">
        <f>INDEX(Assumptions!$C$14:$C$16,MATCH($R1117,Assumptions!$A$14:$A$16,0))</f>
        <v>0.12</v>
      </c>
      <c r="AF1117" s="49">
        <f t="shared" si="249"/>
        <v>0</v>
      </c>
      <c r="AG1117" s="49">
        <f t="shared" si="250"/>
        <v>0</v>
      </c>
      <c r="AH1117" s="55">
        <f t="shared" si="251"/>
        <v>0</v>
      </c>
    </row>
    <row r="1118" spans="1:34" x14ac:dyDescent="0.2">
      <c r="A1118" s="48" t="s">
        <v>1016</v>
      </c>
      <c r="B1118" s="48">
        <v>3</v>
      </c>
      <c r="C1118" s="48" t="s">
        <v>1001</v>
      </c>
      <c r="D1118" s="48" t="s">
        <v>958</v>
      </c>
      <c r="E1118" s="48" t="s">
        <v>588</v>
      </c>
      <c r="F1118" s="48" t="s">
        <v>274</v>
      </c>
      <c r="G1118" s="48" t="s">
        <v>281</v>
      </c>
      <c r="H1118" s="48" t="s">
        <v>62</v>
      </c>
      <c r="I1118" s="48" t="s">
        <v>173</v>
      </c>
      <c r="J1118" s="49">
        <v>6</v>
      </c>
      <c r="K1118" s="50">
        <v>55</v>
      </c>
      <c r="L1118" s="50">
        <v>54.53</v>
      </c>
      <c r="M1118" s="48" t="s">
        <v>276</v>
      </c>
      <c r="N1118" s="51">
        <v>1</v>
      </c>
      <c r="O1118" s="51">
        <v>1</v>
      </c>
      <c r="P1118" s="52">
        <v>34</v>
      </c>
      <c r="Q1118" s="52">
        <v>34</v>
      </c>
      <c r="R1118" s="53" t="str">
        <f>INDEX(SKU_Master!$D$5:$D$34,MATCH($I1118,SKU_Master!$A$5:$A$34,0))</f>
        <v>Accessory</v>
      </c>
      <c r="S1118" s="54">
        <f t="shared" si="238"/>
        <v>8.5454545454545228E-3</v>
      </c>
      <c r="T1118" s="55">
        <f t="shared" si="239"/>
        <v>330</v>
      </c>
      <c r="U1118" s="55">
        <f t="shared" si="240"/>
        <v>327.18</v>
      </c>
      <c r="V1118" s="55">
        <f t="shared" si="241"/>
        <v>-2.8199999999999932</v>
      </c>
      <c r="W1118" s="55">
        <f t="shared" si="242"/>
        <v>327.18</v>
      </c>
      <c r="X1118" s="55">
        <f t="shared" si="243"/>
        <v>0</v>
      </c>
      <c r="Y1118" s="55">
        <f t="shared" si="244"/>
        <v>204</v>
      </c>
      <c r="Z1118" s="55">
        <f t="shared" si="245"/>
        <v>204</v>
      </c>
      <c r="AA1118" s="55">
        <f t="shared" si="246"/>
        <v>0</v>
      </c>
      <c r="AB1118" s="55">
        <f t="shared" si="247"/>
        <v>123.18</v>
      </c>
      <c r="AC1118" s="54">
        <f t="shared" si="248"/>
        <v>0.37649000550155881</v>
      </c>
      <c r="AD1118" s="56">
        <f>INDEX(Assumptions!$B$14:$B$16,MATCH($R1118,Assumptions!$A$14:$A$16,0))</f>
        <v>0.32</v>
      </c>
      <c r="AE1118" s="56">
        <f>INDEX(Assumptions!$C$14:$C$16,MATCH($R1118,Assumptions!$A$14:$A$16,0))</f>
        <v>0.22</v>
      </c>
      <c r="AF1118" s="49">
        <f t="shared" si="249"/>
        <v>0</v>
      </c>
      <c r="AG1118" s="49">
        <f t="shared" si="250"/>
        <v>0</v>
      </c>
      <c r="AH1118" s="55">
        <f t="shared" si="251"/>
        <v>0</v>
      </c>
    </row>
    <row r="1119" spans="1:34" x14ac:dyDescent="0.2">
      <c r="A1119" s="48" t="s">
        <v>1017</v>
      </c>
      <c r="B1119" s="48">
        <v>1</v>
      </c>
      <c r="C1119" s="48" t="s">
        <v>978</v>
      </c>
      <c r="D1119" s="48" t="s">
        <v>958</v>
      </c>
      <c r="E1119" s="48" t="s">
        <v>322</v>
      </c>
      <c r="F1119" s="48" t="s">
        <v>274</v>
      </c>
      <c r="G1119" s="48" t="s">
        <v>288</v>
      </c>
      <c r="H1119" s="48" t="s">
        <v>62</v>
      </c>
      <c r="I1119" s="48" t="s">
        <v>108</v>
      </c>
      <c r="J1119" s="49">
        <v>5</v>
      </c>
      <c r="K1119" s="50">
        <v>1345</v>
      </c>
      <c r="L1119" s="50">
        <v>1340.83</v>
      </c>
      <c r="M1119" s="48" t="s">
        <v>276</v>
      </c>
      <c r="N1119" s="51">
        <v>1</v>
      </c>
      <c r="O1119" s="51">
        <v>1</v>
      </c>
      <c r="P1119" s="52">
        <v>1145</v>
      </c>
      <c r="Q1119" s="52">
        <v>1212.6199999999999</v>
      </c>
      <c r="R1119" s="53" t="str">
        <f>INDEX(SKU_Master!$D$5:$D$34,MATCH($I1119,SKU_Master!$A$5:$A$34,0))</f>
        <v>Laptop</v>
      </c>
      <c r="S1119" s="54">
        <f t="shared" si="238"/>
        <v>3.1003717472120051E-3</v>
      </c>
      <c r="T1119" s="55">
        <f t="shared" si="239"/>
        <v>6725</v>
      </c>
      <c r="U1119" s="55">
        <f t="shared" si="240"/>
        <v>6704.15</v>
      </c>
      <c r="V1119" s="55">
        <f t="shared" si="241"/>
        <v>-20.850000000000364</v>
      </c>
      <c r="W1119" s="55">
        <f t="shared" si="242"/>
        <v>6704.15</v>
      </c>
      <c r="X1119" s="55">
        <f t="shared" si="243"/>
        <v>0</v>
      </c>
      <c r="Y1119" s="55">
        <f t="shared" si="244"/>
        <v>5725</v>
      </c>
      <c r="Z1119" s="55">
        <f t="shared" si="245"/>
        <v>6063.0999999999995</v>
      </c>
      <c r="AA1119" s="55">
        <f t="shared" si="246"/>
        <v>-338.09999999999945</v>
      </c>
      <c r="AB1119" s="55">
        <f t="shared" si="247"/>
        <v>641.05000000000018</v>
      </c>
      <c r="AC1119" s="54">
        <f t="shared" si="248"/>
        <v>9.5619877240216908E-2</v>
      </c>
      <c r="AD1119" s="56">
        <f>INDEX(Assumptions!$B$14:$B$16,MATCH($R1119,Assumptions!$A$14:$A$16,0))</f>
        <v>0.12</v>
      </c>
      <c r="AE1119" s="56">
        <f>INDEX(Assumptions!$C$14:$C$16,MATCH($R1119,Assumptions!$A$14:$A$16,0))</f>
        <v>0.08</v>
      </c>
      <c r="AF1119" s="49">
        <f t="shared" si="249"/>
        <v>0</v>
      </c>
      <c r="AG1119" s="49">
        <f t="shared" si="250"/>
        <v>0</v>
      </c>
      <c r="AH1119" s="55">
        <f t="shared" si="251"/>
        <v>163.44799999999975</v>
      </c>
    </row>
    <row r="1120" spans="1:34" x14ac:dyDescent="0.2">
      <c r="A1120" s="48" t="s">
        <v>1017</v>
      </c>
      <c r="B1120" s="48">
        <v>2</v>
      </c>
      <c r="C1120" s="48" t="s">
        <v>978</v>
      </c>
      <c r="D1120" s="48" t="s">
        <v>958</v>
      </c>
      <c r="E1120" s="48" t="s">
        <v>322</v>
      </c>
      <c r="F1120" s="48" t="s">
        <v>274</v>
      </c>
      <c r="G1120" s="48" t="s">
        <v>288</v>
      </c>
      <c r="H1120" s="48" t="s">
        <v>62</v>
      </c>
      <c r="I1120" s="48" t="s">
        <v>146</v>
      </c>
      <c r="J1120" s="49">
        <v>3</v>
      </c>
      <c r="K1120" s="50">
        <v>235</v>
      </c>
      <c r="L1120" s="50">
        <v>234.77</v>
      </c>
      <c r="M1120" s="48" t="s">
        <v>276</v>
      </c>
      <c r="N1120" s="51">
        <v>1</v>
      </c>
      <c r="O1120" s="51">
        <v>1</v>
      </c>
      <c r="P1120" s="52">
        <v>181.8</v>
      </c>
      <c r="Q1120" s="52">
        <v>181.8</v>
      </c>
      <c r="R1120" s="53" t="str">
        <f>INDEX(SKU_Master!$D$5:$D$34,MATCH($I1120,SKU_Master!$A$5:$A$34,0))</f>
        <v>Monitor</v>
      </c>
      <c r="S1120" s="54">
        <f t="shared" si="238"/>
        <v>9.7872340425531057E-4</v>
      </c>
      <c r="T1120" s="55">
        <f t="shared" si="239"/>
        <v>705</v>
      </c>
      <c r="U1120" s="55">
        <f t="shared" si="240"/>
        <v>704.31000000000006</v>
      </c>
      <c r="V1120" s="55">
        <f t="shared" si="241"/>
        <v>-0.68999999999994088</v>
      </c>
      <c r="W1120" s="55">
        <f t="shared" si="242"/>
        <v>704.31000000000006</v>
      </c>
      <c r="X1120" s="55">
        <f t="shared" si="243"/>
        <v>0</v>
      </c>
      <c r="Y1120" s="55">
        <f t="shared" si="244"/>
        <v>545.40000000000009</v>
      </c>
      <c r="Z1120" s="55">
        <f t="shared" si="245"/>
        <v>545.40000000000009</v>
      </c>
      <c r="AA1120" s="55">
        <f t="shared" si="246"/>
        <v>0</v>
      </c>
      <c r="AB1120" s="55">
        <f t="shared" si="247"/>
        <v>158.90999999999997</v>
      </c>
      <c r="AC1120" s="54">
        <f t="shared" si="248"/>
        <v>0.22562507986540012</v>
      </c>
      <c r="AD1120" s="56">
        <f>INDEX(Assumptions!$B$14:$B$16,MATCH($R1120,Assumptions!$A$14:$A$16,0))</f>
        <v>0.18</v>
      </c>
      <c r="AE1120" s="56">
        <f>INDEX(Assumptions!$C$14:$C$16,MATCH($R1120,Assumptions!$A$14:$A$16,0))</f>
        <v>0.12</v>
      </c>
      <c r="AF1120" s="49">
        <f t="shared" si="249"/>
        <v>0</v>
      </c>
      <c r="AG1120" s="49">
        <f t="shared" si="250"/>
        <v>0</v>
      </c>
      <c r="AH1120" s="55">
        <f t="shared" si="251"/>
        <v>0</v>
      </c>
    </row>
    <row r="1121" spans="1:34" x14ac:dyDescent="0.2">
      <c r="A1121" s="48" t="s">
        <v>1017</v>
      </c>
      <c r="B1121" s="48">
        <v>3</v>
      </c>
      <c r="C1121" s="48" t="s">
        <v>978</v>
      </c>
      <c r="D1121" s="48" t="s">
        <v>958</v>
      </c>
      <c r="E1121" s="48" t="s">
        <v>322</v>
      </c>
      <c r="F1121" s="48" t="s">
        <v>274</v>
      </c>
      <c r="G1121" s="48" t="s">
        <v>288</v>
      </c>
      <c r="H1121" s="48" t="s">
        <v>62</v>
      </c>
      <c r="I1121" s="48" t="s">
        <v>157</v>
      </c>
      <c r="J1121" s="49">
        <v>5</v>
      </c>
      <c r="K1121" s="50">
        <v>135</v>
      </c>
      <c r="L1121" s="50">
        <v>132.52000000000001</v>
      </c>
      <c r="M1121" s="48" t="s">
        <v>276</v>
      </c>
      <c r="N1121" s="51">
        <v>1</v>
      </c>
      <c r="O1121" s="51">
        <v>1</v>
      </c>
      <c r="P1121" s="52">
        <v>86</v>
      </c>
      <c r="Q1121" s="52">
        <v>86</v>
      </c>
      <c r="R1121" s="53" t="str">
        <f>INDEX(SKU_Master!$D$5:$D$34,MATCH($I1121,SKU_Master!$A$5:$A$34,0))</f>
        <v>Accessory</v>
      </c>
      <c r="S1121" s="54">
        <f t="shared" si="238"/>
        <v>1.8370370370370259E-2</v>
      </c>
      <c r="T1121" s="55">
        <f t="shared" si="239"/>
        <v>675</v>
      </c>
      <c r="U1121" s="55">
        <f t="shared" si="240"/>
        <v>662.6</v>
      </c>
      <c r="V1121" s="55">
        <f t="shared" si="241"/>
        <v>-12.399999999999977</v>
      </c>
      <c r="W1121" s="55">
        <f t="shared" si="242"/>
        <v>662.6</v>
      </c>
      <c r="X1121" s="55">
        <f t="shared" si="243"/>
        <v>0</v>
      </c>
      <c r="Y1121" s="55">
        <f t="shared" si="244"/>
        <v>430</v>
      </c>
      <c r="Z1121" s="55">
        <f t="shared" si="245"/>
        <v>430</v>
      </c>
      <c r="AA1121" s="55">
        <f t="shared" si="246"/>
        <v>0</v>
      </c>
      <c r="AB1121" s="55">
        <f t="shared" si="247"/>
        <v>232.60000000000002</v>
      </c>
      <c r="AC1121" s="54">
        <f t="shared" si="248"/>
        <v>0.35104135224871719</v>
      </c>
      <c r="AD1121" s="56">
        <f>INDEX(Assumptions!$B$14:$B$16,MATCH($R1121,Assumptions!$A$14:$A$16,0))</f>
        <v>0.32</v>
      </c>
      <c r="AE1121" s="56">
        <f>INDEX(Assumptions!$C$14:$C$16,MATCH($R1121,Assumptions!$A$14:$A$16,0))</f>
        <v>0.22</v>
      </c>
      <c r="AF1121" s="49">
        <f t="shared" si="249"/>
        <v>0</v>
      </c>
      <c r="AG1121" s="49">
        <f t="shared" si="250"/>
        <v>0</v>
      </c>
      <c r="AH1121" s="55">
        <f t="shared" si="251"/>
        <v>0</v>
      </c>
    </row>
    <row r="1122" spans="1:34" x14ac:dyDescent="0.2">
      <c r="A1122" s="48" t="s">
        <v>1018</v>
      </c>
      <c r="B1122" s="48">
        <v>1</v>
      </c>
      <c r="C1122" s="48" t="s">
        <v>1003</v>
      </c>
      <c r="D1122" s="48" t="s">
        <v>958</v>
      </c>
      <c r="E1122" s="48" t="s">
        <v>309</v>
      </c>
      <c r="F1122" s="48" t="s">
        <v>280</v>
      </c>
      <c r="G1122" s="48" t="s">
        <v>298</v>
      </c>
      <c r="H1122" s="48" t="s">
        <v>70</v>
      </c>
      <c r="I1122" s="48" t="s">
        <v>115</v>
      </c>
      <c r="J1122" s="49">
        <v>19</v>
      </c>
      <c r="K1122" s="50">
        <v>83560</v>
      </c>
      <c r="L1122" s="50">
        <v>81607.570000000007</v>
      </c>
      <c r="M1122" s="48" t="s">
        <v>276</v>
      </c>
      <c r="N1122" s="51">
        <v>83.5</v>
      </c>
      <c r="O1122" s="51">
        <v>84.566999999999993</v>
      </c>
      <c r="P1122" s="52">
        <v>838.22</v>
      </c>
      <c r="Q1122" s="52">
        <v>858.22</v>
      </c>
      <c r="R1122" s="53" t="str">
        <f>INDEX(SKU_Master!$D$5:$D$34,MATCH($I1122,SKU_Master!$A$5:$A$34,0))</f>
        <v>Laptop</v>
      </c>
      <c r="S1122" s="54">
        <f t="shared" si="238"/>
        <v>2.3365605552896018E-2</v>
      </c>
      <c r="T1122" s="55">
        <f t="shared" si="239"/>
        <v>19013.652694610777</v>
      </c>
      <c r="U1122" s="55">
        <f t="shared" si="240"/>
        <v>18569.387185628744</v>
      </c>
      <c r="V1122" s="55">
        <f t="shared" si="241"/>
        <v>-444.26550898203277</v>
      </c>
      <c r="W1122" s="55">
        <f t="shared" si="242"/>
        <v>18335.093239679783</v>
      </c>
      <c r="X1122" s="55">
        <f t="shared" si="243"/>
        <v>-234.29394594896075</v>
      </c>
      <c r="Y1122" s="55">
        <f t="shared" si="244"/>
        <v>15926.18</v>
      </c>
      <c r="Z1122" s="55">
        <f t="shared" si="245"/>
        <v>16306.18</v>
      </c>
      <c r="AA1122" s="55">
        <f t="shared" si="246"/>
        <v>-380</v>
      </c>
      <c r="AB1122" s="55">
        <f t="shared" si="247"/>
        <v>2028.9132396797831</v>
      </c>
      <c r="AC1122" s="54">
        <f t="shared" si="248"/>
        <v>0.11065737234915841</v>
      </c>
      <c r="AD1122" s="56">
        <f>INDEX(Assumptions!$B$14:$B$16,MATCH($R1122,Assumptions!$A$14:$A$16,0))</f>
        <v>0.12</v>
      </c>
      <c r="AE1122" s="56">
        <f>INDEX(Assumptions!$C$14:$C$16,MATCH($R1122,Assumptions!$A$14:$A$16,0))</f>
        <v>0.08</v>
      </c>
      <c r="AF1122" s="49">
        <f t="shared" si="249"/>
        <v>0</v>
      </c>
      <c r="AG1122" s="49">
        <f t="shared" si="250"/>
        <v>0</v>
      </c>
      <c r="AH1122" s="55">
        <f t="shared" si="251"/>
        <v>171.29794908179065</v>
      </c>
    </row>
    <row r="1123" spans="1:34" x14ac:dyDescent="0.2">
      <c r="A1123" s="48" t="s">
        <v>1019</v>
      </c>
      <c r="B1123" s="48">
        <v>1</v>
      </c>
      <c r="C1123" s="48" t="s">
        <v>989</v>
      </c>
      <c r="D1123" s="48" t="s">
        <v>958</v>
      </c>
      <c r="E1123" s="48" t="s">
        <v>437</v>
      </c>
      <c r="F1123" s="48" t="s">
        <v>274</v>
      </c>
      <c r="G1123" s="48" t="s">
        <v>302</v>
      </c>
      <c r="H1123" s="48" t="s">
        <v>62</v>
      </c>
      <c r="I1123" s="48" t="s">
        <v>93</v>
      </c>
      <c r="J1123" s="49">
        <v>8</v>
      </c>
      <c r="K1123" s="50">
        <v>1390</v>
      </c>
      <c r="L1123" s="50">
        <v>1369.67</v>
      </c>
      <c r="M1123" s="48" t="s">
        <v>276</v>
      </c>
      <c r="N1123" s="51">
        <v>1</v>
      </c>
      <c r="O1123" s="51">
        <v>1</v>
      </c>
      <c r="P1123" s="52">
        <v>1186.2</v>
      </c>
      <c r="Q1123" s="52">
        <v>1186.2</v>
      </c>
      <c r="R1123" s="53" t="str">
        <f>INDEX(SKU_Master!$D$5:$D$34,MATCH($I1123,SKU_Master!$A$5:$A$34,0))</f>
        <v>Laptop</v>
      </c>
      <c r="S1123" s="54">
        <f t="shared" si="238"/>
        <v>1.462589928057545E-2</v>
      </c>
      <c r="T1123" s="55">
        <f t="shared" si="239"/>
        <v>11120</v>
      </c>
      <c r="U1123" s="55">
        <f t="shared" si="240"/>
        <v>10957.36</v>
      </c>
      <c r="V1123" s="55">
        <f t="shared" si="241"/>
        <v>-162.63999999999942</v>
      </c>
      <c r="W1123" s="55">
        <f t="shared" si="242"/>
        <v>10957.36</v>
      </c>
      <c r="X1123" s="55">
        <f t="shared" si="243"/>
        <v>0</v>
      </c>
      <c r="Y1123" s="55">
        <f t="shared" si="244"/>
        <v>9489.6</v>
      </c>
      <c r="Z1123" s="55">
        <f t="shared" si="245"/>
        <v>9489.6</v>
      </c>
      <c r="AA1123" s="55">
        <f t="shared" si="246"/>
        <v>0</v>
      </c>
      <c r="AB1123" s="55">
        <f t="shared" si="247"/>
        <v>1467.7600000000002</v>
      </c>
      <c r="AC1123" s="54">
        <f t="shared" si="248"/>
        <v>0.13395197383311311</v>
      </c>
      <c r="AD1123" s="56">
        <f>INDEX(Assumptions!$B$14:$B$16,MATCH($R1123,Assumptions!$A$14:$A$16,0))</f>
        <v>0.12</v>
      </c>
      <c r="AE1123" s="56">
        <f>INDEX(Assumptions!$C$14:$C$16,MATCH($R1123,Assumptions!$A$14:$A$16,0))</f>
        <v>0.08</v>
      </c>
      <c r="AF1123" s="49">
        <f t="shared" si="249"/>
        <v>0</v>
      </c>
      <c r="AG1123" s="49">
        <f t="shared" si="250"/>
        <v>0</v>
      </c>
      <c r="AH1123" s="55">
        <f t="shared" si="251"/>
        <v>0</v>
      </c>
    </row>
    <row r="1124" spans="1:34" x14ac:dyDescent="0.2">
      <c r="A1124" s="48" t="s">
        <v>1020</v>
      </c>
      <c r="B1124" s="48">
        <v>1</v>
      </c>
      <c r="C1124" s="48" t="s">
        <v>1021</v>
      </c>
      <c r="D1124" s="48" t="s">
        <v>958</v>
      </c>
      <c r="E1124" s="48" t="s">
        <v>422</v>
      </c>
      <c r="F1124" s="48" t="s">
        <v>280</v>
      </c>
      <c r="G1124" s="48" t="s">
        <v>281</v>
      </c>
      <c r="H1124" s="48" t="s">
        <v>68</v>
      </c>
      <c r="I1124" s="48" t="s">
        <v>93</v>
      </c>
      <c r="J1124" s="49">
        <v>28</v>
      </c>
      <c r="K1124" s="50">
        <v>1960</v>
      </c>
      <c r="L1124" s="50">
        <v>1886.55</v>
      </c>
      <c r="M1124" s="48" t="s">
        <v>276</v>
      </c>
      <c r="N1124" s="51">
        <v>1.37</v>
      </c>
      <c r="O1124" s="51">
        <v>1.3652</v>
      </c>
      <c r="P1124" s="52">
        <v>1198.2</v>
      </c>
      <c r="Q1124" s="52">
        <v>1198.2</v>
      </c>
      <c r="R1124" s="53" t="str">
        <f>INDEX(SKU_Master!$D$5:$D$34,MATCH($I1124,SKU_Master!$A$5:$A$34,0))</f>
        <v>Laptop</v>
      </c>
      <c r="S1124" s="54">
        <f t="shared" si="238"/>
        <v>3.7474489795918386E-2</v>
      </c>
      <c r="T1124" s="55">
        <f t="shared" si="239"/>
        <v>40058.394160583935</v>
      </c>
      <c r="U1124" s="55">
        <f t="shared" si="240"/>
        <v>38557.226277372261</v>
      </c>
      <c r="V1124" s="55">
        <f t="shared" si="241"/>
        <v>-1501.1678832116741</v>
      </c>
      <c r="W1124" s="55">
        <f t="shared" si="242"/>
        <v>38692.792264869619</v>
      </c>
      <c r="X1124" s="55">
        <f t="shared" si="243"/>
        <v>135.56598749735713</v>
      </c>
      <c r="Y1124" s="55">
        <f t="shared" si="244"/>
        <v>33549.599999999999</v>
      </c>
      <c r="Z1124" s="55">
        <f t="shared" si="245"/>
        <v>33549.599999999999</v>
      </c>
      <c r="AA1124" s="55">
        <f t="shared" si="246"/>
        <v>0</v>
      </c>
      <c r="AB1124" s="55">
        <f t="shared" si="247"/>
        <v>5143.19226486962</v>
      </c>
      <c r="AC1124" s="54">
        <f t="shared" si="248"/>
        <v>0.1329237815059236</v>
      </c>
      <c r="AD1124" s="56">
        <f>INDEX(Assumptions!$B$14:$B$16,MATCH($R1124,Assumptions!$A$14:$A$16,0))</f>
        <v>0.12</v>
      </c>
      <c r="AE1124" s="56">
        <f>INDEX(Assumptions!$C$14:$C$16,MATCH($R1124,Assumptions!$A$14:$A$16,0))</f>
        <v>0.08</v>
      </c>
      <c r="AF1124" s="49">
        <f t="shared" si="249"/>
        <v>0</v>
      </c>
      <c r="AG1124" s="49">
        <f t="shared" si="250"/>
        <v>0</v>
      </c>
      <c r="AH1124" s="55">
        <f t="shared" si="251"/>
        <v>0</v>
      </c>
    </row>
    <row r="1125" spans="1:34" x14ac:dyDescent="0.2">
      <c r="A1125" s="48" t="s">
        <v>1020</v>
      </c>
      <c r="B1125" s="48">
        <v>2</v>
      </c>
      <c r="C1125" s="48" t="s">
        <v>1021</v>
      </c>
      <c r="D1125" s="48" t="s">
        <v>958</v>
      </c>
      <c r="E1125" s="48" t="s">
        <v>422</v>
      </c>
      <c r="F1125" s="48" t="s">
        <v>280</v>
      </c>
      <c r="G1125" s="48" t="s">
        <v>281</v>
      </c>
      <c r="H1125" s="48" t="s">
        <v>68</v>
      </c>
      <c r="I1125" s="48" t="s">
        <v>161</v>
      </c>
      <c r="J1125" s="49">
        <v>18</v>
      </c>
      <c r="K1125" s="50">
        <v>175</v>
      </c>
      <c r="L1125" s="50">
        <v>169.52</v>
      </c>
      <c r="M1125" s="48" t="s">
        <v>276</v>
      </c>
      <c r="N1125" s="51">
        <v>1.37</v>
      </c>
      <c r="O1125" s="51">
        <v>1.3652</v>
      </c>
      <c r="P1125" s="52">
        <v>79</v>
      </c>
      <c r="Q1125" s="52">
        <v>79</v>
      </c>
      <c r="R1125" s="53" t="str">
        <f>INDEX(SKU_Master!$D$5:$D$34,MATCH($I1125,SKU_Master!$A$5:$A$34,0))</f>
        <v>Accessory</v>
      </c>
      <c r="S1125" s="54">
        <f t="shared" si="238"/>
        <v>3.1314285714285628E-2</v>
      </c>
      <c r="T1125" s="55">
        <f t="shared" si="239"/>
        <v>2299.2700729927005</v>
      </c>
      <c r="U1125" s="55">
        <f t="shared" si="240"/>
        <v>2227.2700729927005</v>
      </c>
      <c r="V1125" s="55">
        <f t="shared" si="241"/>
        <v>-72</v>
      </c>
      <c r="W1125" s="55">
        <f t="shared" si="242"/>
        <v>2235.1010840902431</v>
      </c>
      <c r="X1125" s="55">
        <f t="shared" si="243"/>
        <v>7.8310110975426142</v>
      </c>
      <c r="Y1125" s="55">
        <f t="shared" si="244"/>
        <v>1422</v>
      </c>
      <c r="Z1125" s="55">
        <f t="shared" si="245"/>
        <v>1422</v>
      </c>
      <c r="AA1125" s="55">
        <f t="shared" si="246"/>
        <v>0</v>
      </c>
      <c r="AB1125" s="55">
        <f t="shared" si="247"/>
        <v>813.10108409024315</v>
      </c>
      <c r="AC1125" s="54">
        <f t="shared" si="248"/>
        <v>0.3637871637564889</v>
      </c>
      <c r="AD1125" s="56">
        <f>INDEX(Assumptions!$B$14:$B$16,MATCH($R1125,Assumptions!$A$14:$A$16,0))</f>
        <v>0.32</v>
      </c>
      <c r="AE1125" s="56">
        <f>INDEX(Assumptions!$C$14:$C$16,MATCH($R1125,Assumptions!$A$14:$A$16,0))</f>
        <v>0.22</v>
      </c>
      <c r="AF1125" s="49">
        <f t="shared" si="249"/>
        <v>0</v>
      </c>
      <c r="AG1125" s="49">
        <f t="shared" si="250"/>
        <v>0</v>
      </c>
      <c r="AH1125" s="55">
        <f t="shared" si="251"/>
        <v>0</v>
      </c>
    </row>
    <row r="1126" spans="1:34" x14ac:dyDescent="0.2">
      <c r="A1126" s="48" t="s">
        <v>1022</v>
      </c>
      <c r="B1126" s="48">
        <v>1</v>
      </c>
      <c r="C1126" s="48" t="s">
        <v>1015</v>
      </c>
      <c r="D1126" s="48" t="s">
        <v>958</v>
      </c>
      <c r="E1126" s="48" t="s">
        <v>395</v>
      </c>
      <c r="F1126" s="48" t="s">
        <v>280</v>
      </c>
      <c r="G1126" s="48" t="s">
        <v>281</v>
      </c>
      <c r="H1126" s="48" t="s">
        <v>66</v>
      </c>
      <c r="I1126" s="48" t="s">
        <v>110</v>
      </c>
      <c r="J1126" s="49">
        <v>13</v>
      </c>
      <c r="K1126" s="50">
        <v>1115</v>
      </c>
      <c r="L1126" s="50">
        <v>1074.0999999999999</v>
      </c>
      <c r="M1126" s="48" t="s">
        <v>276</v>
      </c>
      <c r="N1126" s="51">
        <v>0.92</v>
      </c>
      <c r="O1126" s="51">
        <v>0.92220000000000002</v>
      </c>
      <c r="P1126" s="52">
        <v>1012.65</v>
      </c>
      <c r="Q1126" s="52">
        <v>1012.65</v>
      </c>
      <c r="R1126" s="53" t="str">
        <f>INDEX(SKU_Master!$D$5:$D$34,MATCH($I1126,SKU_Master!$A$5:$A$34,0))</f>
        <v>Laptop</v>
      </c>
      <c r="S1126" s="54">
        <f t="shared" si="238"/>
        <v>3.6681614349775904E-2</v>
      </c>
      <c r="T1126" s="55">
        <f t="shared" si="239"/>
        <v>15755.434782608694</v>
      </c>
      <c r="U1126" s="55">
        <f t="shared" si="240"/>
        <v>15177.499999999998</v>
      </c>
      <c r="V1126" s="55">
        <f t="shared" si="241"/>
        <v>-577.93478260869597</v>
      </c>
      <c r="W1126" s="55">
        <f t="shared" si="242"/>
        <v>15141.292561266535</v>
      </c>
      <c r="X1126" s="55">
        <f t="shared" si="243"/>
        <v>-36.207438733463277</v>
      </c>
      <c r="Y1126" s="55">
        <f t="shared" si="244"/>
        <v>13164.449999999999</v>
      </c>
      <c r="Z1126" s="55">
        <f t="shared" si="245"/>
        <v>13164.449999999999</v>
      </c>
      <c r="AA1126" s="55">
        <f t="shared" si="246"/>
        <v>0</v>
      </c>
      <c r="AB1126" s="55">
        <f t="shared" si="247"/>
        <v>1976.842561266536</v>
      </c>
      <c r="AC1126" s="54">
        <f t="shared" si="248"/>
        <v>0.1305596964900847</v>
      </c>
      <c r="AD1126" s="56">
        <f>INDEX(Assumptions!$B$14:$B$16,MATCH($R1126,Assumptions!$A$14:$A$16,0))</f>
        <v>0.12</v>
      </c>
      <c r="AE1126" s="56">
        <f>INDEX(Assumptions!$C$14:$C$16,MATCH($R1126,Assumptions!$A$14:$A$16,0))</f>
        <v>0.08</v>
      </c>
      <c r="AF1126" s="49">
        <f t="shared" si="249"/>
        <v>0</v>
      </c>
      <c r="AG1126" s="49">
        <f t="shared" si="250"/>
        <v>0</v>
      </c>
      <c r="AH1126" s="55">
        <f t="shared" si="251"/>
        <v>0</v>
      </c>
    </row>
    <row r="1127" spans="1:34" x14ac:dyDescent="0.2">
      <c r="A1127" s="48" t="s">
        <v>1022</v>
      </c>
      <c r="B1127" s="48">
        <v>2</v>
      </c>
      <c r="C1127" s="48" t="s">
        <v>1015</v>
      </c>
      <c r="D1127" s="48" t="s">
        <v>958</v>
      </c>
      <c r="E1127" s="48" t="s">
        <v>395</v>
      </c>
      <c r="F1127" s="48" t="s">
        <v>280</v>
      </c>
      <c r="G1127" s="48" t="s">
        <v>281</v>
      </c>
      <c r="H1127" s="48" t="s">
        <v>66</v>
      </c>
      <c r="I1127" s="48" t="s">
        <v>141</v>
      </c>
      <c r="J1127" s="49">
        <v>15</v>
      </c>
      <c r="K1127" s="50">
        <v>450</v>
      </c>
      <c r="L1127" s="50">
        <v>441.7</v>
      </c>
      <c r="M1127" s="48" t="s">
        <v>276</v>
      </c>
      <c r="N1127" s="51">
        <v>0.92</v>
      </c>
      <c r="O1127" s="51">
        <v>0.92220000000000002</v>
      </c>
      <c r="P1127" s="52">
        <v>376.7</v>
      </c>
      <c r="Q1127" s="52">
        <v>376.7</v>
      </c>
      <c r="R1127" s="53" t="str">
        <f>INDEX(SKU_Master!$D$5:$D$34,MATCH($I1127,SKU_Master!$A$5:$A$34,0))</f>
        <v>Monitor</v>
      </c>
      <c r="S1127" s="54">
        <f t="shared" si="238"/>
        <v>1.8444444444444485E-2</v>
      </c>
      <c r="T1127" s="55">
        <f t="shared" si="239"/>
        <v>7336.95652173913</v>
      </c>
      <c r="U1127" s="55">
        <f t="shared" si="240"/>
        <v>7201.6304347826081</v>
      </c>
      <c r="V1127" s="55">
        <f t="shared" si="241"/>
        <v>-135.32608695652198</v>
      </c>
      <c r="W1127" s="55">
        <f t="shared" si="242"/>
        <v>7184.4502277163301</v>
      </c>
      <c r="X1127" s="55">
        <f t="shared" si="243"/>
        <v>-17.180207066277944</v>
      </c>
      <c r="Y1127" s="55">
        <f t="shared" si="244"/>
        <v>5650.5</v>
      </c>
      <c r="Z1127" s="55">
        <f t="shared" si="245"/>
        <v>5650.5</v>
      </c>
      <c r="AA1127" s="55">
        <f t="shared" si="246"/>
        <v>0</v>
      </c>
      <c r="AB1127" s="55">
        <f t="shared" si="247"/>
        <v>1533.9502277163301</v>
      </c>
      <c r="AC1127" s="54">
        <f t="shared" si="248"/>
        <v>0.21350975775413172</v>
      </c>
      <c r="AD1127" s="56">
        <f>INDEX(Assumptions!$B$14:$B$16,MATCH($R1127,Assumptions!$A$14:$A$16,0))</f>
        <v>0.18</v>
      </c>
      <c r="AE1127" s="56">
        <f>INDEX(Assumptions!$C$14:$C$16,MATCH($R1127,Assumptions!$A$14:$A$16,0))</f>
        <v>0.12</v>
      </c>
      <c r="AF1127" s="49">
        <f t="shared" si="249"/>
        <v>0</v>
      </c>
      <c r="AG1127" s="49">
        <f t="shared" si="250"/>
        <v>0</v>
      </c>
      <c r="AH1127" s="55">
        <f t="shared" si="251"/>
        <v>0</v>
      </c>
    </row>
    <row r="1128" spans="1:34" x14ac:dyDescent="0.2">
      <c r="A1128" s="48" t="s">
        <v>1023</v>
      </c>
      <c r="B1128" s="48">
        <v>1</v>
      </c>
      <c r="C1128" s="48" t="s">
        <v>974</v>
      </c>
      <c r="D1128" s="48" t="s">
        <v>958</v>
      </c>
      <c r="E1128" s="48" t="s">
        <v>284</v>
      </c>
      <c r="F1128" s="48" t="s">
        <v>274</v>
      </c>
      <c r="G1128" s="48" t="s">
        <v>275</v>
      </c>
      <c r="H1128" s="48" t="s">
        <v>64</v>
      </c>
      <c r="I1128" s="48" t="s">
        <v>113</v>
      </c>
      <c r="J1128" s="49">
        <v>2</v>
      </c>
      <c r="K1128" s="50">
        <v>1425</v>
      </c>
      <c r="L1128" s="50">
        <v>1415.44</v>
      </c>
      <c r="M1128" s="48" t="s">
        <v>276</v>
      </c>
      <c r="N1128" s="51">
        <v>0.79</v>
      </c>
      <c r="O1128" s="51">
        <v>0.80300000000000005</v>
      </c>
      <c r="P1128" s="52">
        <v>1508.8</v>
      </c>
      <c r="Q1128" s="52">
        <v>1508.8</v>
      </c>
      <c r="R1128" s="53" t="str">
        <f>INDEX(SKU_Master!$D$5:$D$34,MATCH($I1128,SKU_Master!$A$5:$A$34,0))</f>
        <v>Laptop</v>
      </c>
      <c r="S1128" s="54">
        <f t="shared" si="238"/>
        <v>6.7087719298245529E-3</v>
      </c>
      <c r="T1128" s="55">
        <f t="shared" si="239"/>
        <v>3607.5949367088606</v>
      </c>
      <c r="U1128" s="55">
        <f t="shared" si="240"/>
        <v>3583.3924050632913</v>
      </c>
      <c r="V1128" s="55">
        <f t="shared" si="241"/>
        <v>-24.202531645569252</v>
      </c>
      <c r="W1128" s="55">
        <f t="shared" si="242"/>
        <v>3525.379825653798</v>
      </c>
      <c r="X1128" s="55">
        <f t="shared" si="243"/>
        <v>-58.012579409493355</v>
      </c>
      <c r="Y1128" s="55">
        <f t="shared" si="244"/>
        <v>3017.6</v>
      </c>
      <c r="Z1128" s="55">
        <f t="shared" si="245"/>
        <v>3017.6</v>
      </c>
      <c r="AA1128" s="55">
        <f t="shared" si="246"/>
        <v>0</v>
      </c>
      <c r="AB1128" s="55">
        <f t="shared" si="247"/>
        <v>507.77982565379807</v>
      </c>
      <c r="AC1128" s="54">
        <f t="shared" si="248"/>
        <v>0.14403549426326792</v>
      </c>
      <c r="AD1128" s="56">
        <f>INDEX(Assumptions!$B$14:$B$16,MATCH($R1128,Assumptions!$A$14:$A$16,0))</f>
        <v>0.12</v>
      </c>
      <c r="AE1128" s="56">
        <f>INDEX(Assumptions!$C$14:$C$16,MATCH($R1128,Assumptions!$A$14:$A$16,0))</f>
        <v>0.08</v>
      </c>
      <c r="AF1128" s="49">
        <f t="shared" si="249"/>
        <v>0</v>
      </c>
      <c r="AG1128" s="49">
        <f t="shared" si="250"/>
        <v>0</v>
      </c>
      <c r="AH1128" s="55">
        <f t="shared" si="251"/>
        <v>0</v>
      </c>
    </row>
    <row r="1129" spans="1:34" x14ac:dyDescent="0.2">
      <c r="A1129" s="48" t="s">
        <v>1023</v>
      </c>
      <c r="B1129" s="48">
        <v>2</v>
      </c>
      <c r="C1129" s="48" t="s">
        <v>974</v>
      </c>
      <c r="D1129" s="48" t="s">
        <v>958</v>
      </c>
      <c r="E1129" s="48" t="s">
        <v>284</v>
      </c>
      <c r="F1129" s="48" t="s">
        <v>274</v>
      </c>
      <c r="G1129" s="48" t="s">
        <v>275</v>
      </c>
      <c r="H1129" s="48" t="s">
        <v>64</v>
      </c>
      <c r="I1129" s="48" t="s">
        <v>135</v>
      </c>
      <c r="J1129" s="49">
        <v>1</v>
      </c>
      <c r="K1129" s="50">
        <v>225</v>
      </c>
      <c r="L1129" s="50">
        <v>220.51</v>
      </c>
      <c r="M1129" s="48" t="s">
        <v>276</v>
      </c>
      <c r="N1129" s="51">
        <v>0.79</v>
      </c>
      <c r="O1129" s="51">
        <v>0.80300000000000005</v>
      </c>
      <c r="P1129" s="52">
        <v>216.7</v>
      </c>
      <c r="Q1129" s="52">
        <v>216.7</v>
      </c>
      <c r="R1129" s="53" t="str">
        <f>INDEX(SKU_Master!$D$5:$D$34,MATCH($I1129,SKU_Master!$A$5:$A$34,0))</f>
        <v>Monitor</v>
      </c>
      <c r="S1129" s="54">
        <f t="shared" si="238"/>
        <v>1.9955555555555615E-2</v>
      </c>
      <c r="T1129" s="55">
        <f t="shared" si="239"/>
        <v>284.81012658227849</v>
      </c>
      <c r="U1129" s="55">
        <f t="shared" si="240"/>
        <v>279.12658227848101</v>
      </c>
      <c r="V1129" s="55">
        <f t="shared" si="241"/>
        <v>-5.6835443037974755</v>
      </c>
      <c r="W1129" s="55">
        <f t="shared" si="242"/>
        <v>274.60772104607719</v>
      </c>
      <c r="X1129" s="55">
        <f t="shared" si="243"/>
        <v>-4.5188612324038218</v>
      </c>
      <c r="Y1129" s="55">
        <f t="shared" si="244"/>
        <v>216.7</v>
      </c>
      <c r="Z1129" s="55">
        <f t="shared" si="245"/>
        <v>216.7</v>
      </c>
      <c r="AA1129" s="55">
        <f t="shared" si="246"/>
        <v>0</v>
      </c>
      <c r="AB1129" s="55">
        <f t="shared" si="247"/>
        <v>57.907721046077199</v>
      </c>
      <c r="AC1129" s="54">
        <f t="shared" si="248"/>
        <v>0.21087433676477255</v>
      </c>
      <c r="AD1129" s="56">
        <f>INDEX(Assumptions!$B$14:$B$16,MATCH($R1129,Assumptions!$A$14:$A$16,0))</f>
        <v>0.18</v>
      </c>
      <c r="AE1129" s="56">
        <f>INDEX(Assumptions!$C$14:$C$16,MATCH($R1129,Assumptions!$A$14:$A$16,0))</f>
        <v>0.12</v>
      </c>
      <c r="AF1129" s="49">
        <f t="shared" si="249"/>
        <v>0</v>
      </c>
      <c r="AG1129" s="49">
        <f t="shared" si="250"/>
        <v>0</v>
      </c>
      <c r="AH1129" s="55">
        <f t="shared" si="251"/>
        <v>0</v>
      </c>
    </row>
    <row r="1130" spans="1:34" x14ac:dyDescent="0.2">
      <c r="A1130" s="48" t="s">
        <v>1023</v>
      </c>
      <c r="B1130" s="48">
        <v>3</v>
      </c>
      <c r="C1130" s="48" t="s">
        <v>974</v>
      </c>
      <c r="D1130" s="48" t="s">
        <v>958</v>
      </c>
      <c r="E1130" s="48" t="s">
        <v>284</v>
      </c>
      <c r="F1130" s="48" t="s">
        <v>274</v>
      </c>
      <c r="G1130" s="48" t="s">
        <v>275</v>
      </c>
      <c r="H1130" s="48" t="s">
        <v>64</v>
      </c>
      <c r="I1130" s="48" t="s">
        <v>157</v>
      </c>
      <c r="J1130" s="49">
        <v>1</v>
      </c>
      <c r="K1130" s="50">
        <v>115</v>
      </c>
      <c r="L1130" s="50">
        <v>114.35</v>
      </c>
      <c r="M1130" s="48" t="s">
        <v>276</v>
      </c>
      <c r="N1130" s="51">
        <v>0.79</v>
      </c>
      <c r="O1130" s="51">
        <v>0.80300000000000005</v>
      </c>
      <c r="P1130" s="52">
        <v>92</v>
      </c>
      <c r="Q1130" s="52">
        <v>92</v>
      </c>
      <c r="R1130" s="53" t="str">
        <f>INDEX(SKU_Master!$D$5:$D$34,MATCH($I1130,SKU_Master!$A$5:$A$34,0))</f>
        <v>Accessory</v>
      </c>
      <c r="S1130" s="54">
        <f t="shared" si="238"/>
        <v>5.6521739130435122E-3</v>
      </c>
      <c r="T1130" s="55">
        <f t="shared" si="239"/>
        <v>145.56962025316454</v>
      </c>
      <c r="U1130" s="55">
        <f t="shared" si="240"/>
        <v>144.74683544303795</v>
      </c>
      <c r="V1130" s="55">
        <f t="shared" si="241"/>
        <v>-0.82278481012659199</v>
      </c>
      <c r="W1130" s="55">
        <f t="shared" si="242"/>
        <v>142.40348692403487</v>
      </c>
      <c r="X1130" s="55">
        <f t="shared" si="243"/>
        <v>-2.3433485190030865</v>
      </c>
      <c r="Y1130" s="55">
        <f t="shared" si="244"/>
        <v>92</v>
      </c>
      <c r="Z1130" s="55">
        <f t="shared" si="245"/>
        <v>92</v>
      </c>
      <c r="AA1130" s="55">
        <f t="shared" si="246"/>
        <v>0</v>
      </c>
      <c r="AB1130" s="55">
        <f t="shared" si="247"/>
        <v>50.403486924034866</v>
      </c>
      <c r="AC1130" s="54">
        <f t="shared" si="248"/>
        <v>0.3539484040227372</v>
      </c>
      <c r="AD1130" s="56">
        <f>INDEX(Assumptions!$B$14:$B$16,MATCH($R1130,Assumptions!$A$14:$A$16,0))</f>
        <v>0.32</v>
      </c>
      <c r="AE1130" s="56">
        <f>INDEX(Assumptions!$C$14:$C$16,MATCH($R1130,Assumptions!$A$14:$A$16,0))</f>
        <v>0.22</v>
      </c>
      <c r="AF1130" s="49">
        <f t="shared" si="249"/>
        <v>0</v>
      </c>
      <c r="AG1130" s="49">
        <f t="shared" si="250"/>
        <v>0</v>
      </c>
      <c r="AH1130" s="55">
        <f t="shared" si="251"/>
        <v>0</v>
      </c>
    </row>
    <row r="1131" spans="1:34" x14ac:dyDescent="0.2">
      <c r="A1131" s="48" t="s">
        <v>1024</v>
      </c>
      <c r="B1131" s="48">
        <v>1</v>
      </c>
      <c r="C1131" s="48" t="s">
        <v>993</v>
      </c>
      <c r="D1131" s="48" t="s">
        <v>958</v>
      </c>
      <c r="E1131" s="48" t="s">
        <v>273</v>
      </c>
      <c r="F1131" s="48" t="s">
        <v>274</v>
      </c>
      <c r="G1131" s="48" t="s">
        <v>275</v>
      </c>
      <c r="H1131" s="48" t="s">
        <v>66</v>
      </c>
      <c r="I1131" s="48" t="s">
        <v>110</v>
      </c>
      <c r="J1131" s="49">
        <v>5</v>
      </c>
      <c r="K1131" s="50">
        <v>1115</v>
      </c>
      <c r="L1131" s="50">
        <v>1107.31</v>
      </c>
      <c r="M1131" s="48" t="s">
        <v>276</v>
      </c>
      <c r="N1131" s="51">
        <v>0.92</v>
      </c>
      <c r="O1131" s="51">
        <v>0.92220000000000002</v>
      </c>
      <c r="P1131" s="52">
        <v>1012.65</v>
      </c>
      <c r="Q1131" s="52">
        <v>1012.65</v>
      </c>
      <c r="R1131" s="53" t="str">
        <f>INDEX(SKU_Master!$D$5:$D$34,MATCH($I1131,SKU_Master!$A$5:$A$34,0))</f>
        <v>Laptop</v>
      </c>
      <c r="S1131" s="54">
        <f t="shared" si="238"/>
        <v>6.8968609865471819E-3</v>
      </c>
      <c r="T1131" s="55">
        <f t="shared" si="239"/>
        <v>6059.782608695652</v>
      </c>
      <c r="U1131" s="55">
        <f t="shared" si="240"/>
        <v>6017.9891304347811</v>
      </c>
      <c r="V1131" s="55">
        <f t="shared" si="241"/>
        <v>-41.79347826087087</v>
      </c>
      <c r="W1131" s="55">
        <f t="shared" si="242"/>
        <v>6003.6326176534367</v>
      </c>
      <c r="X1131" s="55">
        <f t="shared" si="243"/>
        <v>-14.356512781344463</v>
      </c>
      <c r="Y1131" s="55">
        <f t="shared" si="244"/>
        <v>5063.25</v>
      </c>
      <c r="Z1131" s="55">
        <f t="shared" si="245"/>
        <v>5063.25</v>
      </c>
      <c r="AA1131" s="55">
        <f t="shared" si="246"/>
        <v>0</v>
      </c>
      <c r="AB1131" s="55">
        <f t="shared" si="247"/>
        <v>940.38261765343668</v>
      </c>
      <c r="AC1131" s="54">
        <f t="shared" si="248"/>
        <v>0.15663560339922866</v>
      </c>
      <c r="AD1131" s="56">
        <f>INDEX(Assumptions!$B$14:$B$16,MATCH($R1131,Assumptions!$A$14:$A$16,0))</f>
        <v>0.12</v>
      </c>
      <c r="AE1131" s="56">
        <f>INDEX(Assumptions!$C$14:$C$16,MATCH($R1131,Assumptions!$A$14:$A$16,0))</f>
        <v>0.08</v>
      </c>
      <c r="AF1131" s="49">
        <f t="shared" si="249"/>
        <v>0</v>
      </c>
      <c r="AG1131" s="49">
        <f t="shared" si="250"/>
        <v>0</v>
      </c>
      <c r="AH1131" s="55">
        <f t="shared" si="251"/>
        <v>0</v>
      </c>
    </row>
    <row r="1132" spans="1:34" x14ac:dyDescent="0.2">
      <c r="A1132" s="48" t="s">
        <v>1024</v>
      </c>
      <c r="B1132" s="48">
        <v>2</v>
      </c>
      <c r="C1132" s="48" t="s">
        <v>993</v>
      </c>
      <c r="D1132" s="48" t="s">
        <v>958</v>
      </c>
      <c r="E1132" s="48" t="s">
        <v>273</v>
      </c>
      <c r="F1132" s="48" t="s">
        <v>274</v>
      </c>
      <c r="G1132" s="48" t="s">
        <v>275</v>
      </c>
      <c r="H1132" s="48" t="s">
        <v>66</v>
      </c>
      <c r="I1132" s="48" t="s">
        <v>138</v>
      </c>
      <c r="J1132" s="49">
        <v>2</v>
      </c>
      <c r="K1132" s="50">
        <v>460</v>
      </c>
      <c r="L1132" s="50">
        <v>451.55</v>
      </c>
      <c r="M1132" s="48" t="s">
        <v>276</v>
      </c>
      <c r="N1132" s="51">
        <v>0.92</v>
      </c>
      <c r="O1132" s="51">
        <v>0.92220000000000002</v>
      </c>
      <c r="P1132" s="52">
        <v>383.2</v>
      </c>
      <c r="Q1132" s="52">
        <v>383.2</v>
      </c>
      <c r="R1132" s="53" t="str">
        <f>INDEX(SKU_Master!$D$5:$D$34,MATCH($I1132,SKU_Master!$A$5:$A$34,0))</f>
        <v>Monitor</v>
      </c>
      <c r="S1132" s="54">
        <f t="shared" si="238"/>
        <v>1.8369565217391304E-2</v>
      </c>
      <c r="T1132" s="55">
        <f t="shared" si="239"/>
        <v>1000</v>
      </c>
      <c r="U1132" s="55">
        <f t="shared" si="240"/>
        <v>981.63043478260863</v>
      </c>
      <c r="V1132" s="55">
        <f t="shared" si="241"/>
        <v>-18.369565217391369</v>
      </c>
      <c r="W1132" s="55">
        <f t="shared" si="242"/>
        <v>979.28865755801348</v>
      </c>
      <c r="X1132" s="55">
        <f t="shared" si="243"/>
        <v>-2.3417772245951483</v>
      </c>
      <c r="Y1132" s="55">
        <f t="shared" si="244"/>
        <v>766.4</v>
      </c>
      <c r="Z1132" s="55">
        <f t="shared" si="245"/>
        <v>766.4</v>
      </c>
      <c r="AA1132" s="55">
        <f t="shared" si="246"/>
        <v>0</v>
      </c>
      <c r="AB1132" s="55">
        <f t="shared" si="247"/>
        <v>212.88865755801351</v>
      </c>
      <c r="AC1132" s="54">
        <f t="shared" si="248"/>
        <v>0.21739111947735582</v>
      </c>
      <c r="AD1132" s="56">
        <f>INDEX(Assumptions!$B$14:$B$16,MATCH($R1132,Assumptions!$A$14:$A$16,0))</f>
        <v>0.18</v>
      </c>
      <c r="AE1132" s="56">
        <f>INDEX(Assumptions!$C$14:$C$16,MATCH($R1132,Assumptions!$A$14:$A$16,0))</f>
        <v>0.12</v>
      </c>
      <c r="AF1132" s="49">
        <f t="shared" si="249"/>
        <v>0</v>
      </c>
      <c r="AG1132" s="49">
        <f t="shared" si="250"/>
        <v>0</v>
      </c>
      <c r="AH1132" s="55">
        <f t="shared" si="251"/>
        <v>0</v>
      </c>
    </row>
    <row r="1133" spans="1:34" x14ac:dyDescent="0.2">
      <c r="A1133" s="48" t="s">
        <v>1024</v>
      </c>
      <c r="B1133" s="48">
        <v>3</v>
      </c>
      <c r="C1133" s="48" t="s">
        <v>993</v>
      </c>
      <c r="D1133" s="48" t="s">
        <v>958</v>
      </c>
      <c r="E1133" s="48" t="s">
        <v>273</v>
      </c>
      <c r="F1133" s="48" t="s">
        <v>274</v>
      </c>
      <c r="G1133" s="48" t="s">
        <v>275</v>
      </c>
      <c r="H1133" s="48" t="s">
        <v>66</v>
      </c>
      <c r="I1133" s="48" t="s">
        <v>161</v>
      </c>
      <c r="J1133" s="49">
        <v>3</v>
      </c>
      <c r="K1133" s="50">
        <v>120</v>
      </c>
      <c r="L1133" s="50">
        <v>119.79</v>
      </c>
      <c r="M1133" s="48" t="s">
        <v>276</v>
      </c>
      <c r="N1133" s="51">
        <v>0.92</v>
      </c>
      <c r="O1133" s="51">
        <v>0.92220000000000002</v>
      </c>
      <c r="P1133" s="52">
        <v>81</v>
      </c>
      <c r="Q1133" s="52">
        <v>81</v>
      </c>
      <c r="R1133" s="53" t="str">
        <f>INDEX(SKU_Master!$D$5:$D$34,MATCH($I1133,SKU_Master!$A$5:$A$34,0))</f>
        <v>Accessory</v>
      </c>
      <c r="S1133" s="54">
        <f t="shared" si="238"/>
        <v>1.7499999999999183E-3</v>
      </c>
      <c r="T1133" s="55">
        <f t="shared" si="239"/>
        <v>391.30434782608694</v>
      </c>
      <c r="U1133" s="55">
        <f t="shared" si="240"/>
        <v>390.61956521739131</v>
      </c>
      <c r="V1133" s="55">
        <f t="shared" si="241"/>
        <v>-0.68478260869562746</v>
      </c>
      <c r="W1133" s="55">
        <f t="shared" si="242"/>
        <v>389.68770331815222</v>
      </c>
      <c r="X1133" s="55">
        <f t="shared" si="243"/>
        <v>-0.93186189923909524</v>
      </c>
      <c r="Y1133" s="55">
        <f t="shared" si="244"/>
        <v>243</v>
      </c>
      <c r="Z1133" s="55">
        <f t="shared" si="245"/>
        <v>243</v>
      </c>
      <c r="AA1133" s="55">
        <f t="shared" si="246"/>
        <v>0</v>
      </c>
      <c r="AB1133" s="55">
        <f t="shared" si="247"/>
        <v>146.68770331815222</v>
      </c>
      <c r="AC1133" s="54">
        <f t="shared" si="248"/>
        <v>0.37642374154770847</v>
      </c>
      <c r="AD1133" s="56">
        <f>INDEX(Assumptions!$B$14:$B$16,MATCH($R1133,Assumptions!$A$14:$A$16,0))</f>
        <v>0.32</v>
      </c>
      <c r="AE1133" s="56">
        <f>INDEX(Assumptions!$C$14:$C$16,MATCH($R1133,Assumptions!$A$14:$A$16,0))</f>
        <v>0.22</v>
      </c>
      <c r="AF1133" s="49">
        <f t="shared" si="249"/>
        <v>0</v>
      </c>
      <c r="AG1133" s="49">
        <f t="shared" si="250"/>
        <v>0</v>
      </c>
      <c r="AH1133" s="55">
        <f t="shared" si="251"/>
        <v>0</v>
      </c>
    </row>
    <row r="1134" spans="1:34" x14ac:dyDescent="0.2">
      <c r="A1134" s="48" t="s">
        <v>1025</v>
      </c>
      <c r="B1134" s="48">
        <v>1</v>
      </c>
      <c r="C1134" s="48" t="s">
        <v>968</v>
      </c>
      <c r="D1134" s="48" t="s">
        <v>958</v>
      </c>
      <c r="E1134" s="48" t="s">
        <v>384</v>
      </c>
      <c r="F1134" s="48" t="s">
        <v>297</v>
      </c>
      <c r="G1134" s="48" t="s">
        <v>281</v>
      </c>
      <c r="H1134" s="48" t="s">
        <v>70</v>
      </c>
      <c r="I1134" s="48" t="s">
        <v>93</v>
      </c>
      <c r="J1134" s="49">
        <v>37</v>
      </c>
      <c r="K1134" s="50">
        <v>134750</v>
      </c>
      <c r="L1134" s="50">
        <v>130026.09</v>
      </c>
      <c r="M1134" s="48" t="s">
        <v>276</v>
      </c>
      <c r="N1134" s="51">
        <v>83.5</v>
      </c>
      <c r="O1134" s="51">
        <v>84.566999999999993</v>
      </c>
      <c r="P1134" s="52">
        <v>1351.7</v>
      </c>
      <c r="Q1134" s="52">
        <v>1371.7</v>
      </c>
      <c r="R1134" s="53" t="str">
        <f>INDEX(SKU_Master!$D$5:$D$34,MATCH($I1134,SKU_Master!$A$5:$A$34,0))</f>
        <v>Laptop</v>
      </c>
      <c r="S1134" s="54">
        <f t="shared" si="238"/>
        <v>3.5056846011131793E-2</v>
      </c>
      <c r="T1134" s="55">
        <f t="shared" si="239"/>
        <v>59709.580838323353</v>
      </c>
      <c r="U1134" s="55">
        <f t="shared" si="240"/>
        <v>57616.351257485032</v>
      </c>
      <c r="V1134" s="55">
        <f t="shared" si="241"/>
        <v>-2093.2295808383205</v>
      </c>
      <c r="W1134" s="55">
        <f t="shared" si="242"/>
        <v>56889.393380396614</v>
      </c>
      <c r="X1134" s="55">
        <f t="shared" si="243"/>
        <v>-726.95787708841817</v>
      </c>
      <c r="Y1134" s="55">
        <f t="shared" si="244"/>
        <v>50012.9</v>
      </c>
      <c r="Z1134" s="55">
        <f t="shared" si="245"/>
        <v>50752.9</v>
      </c>
      <c r="AA1134" s="55">
        <f t="shared" si="246"/>
        <v>-740</v>
      </c>
      <c r="AB1134" s="55">
        <f t="shared" si="247"/>
        <v>6136.4933803966123</v>
      </c>
      <c r="AC1134" s="54">
        <f t="shared" si="248"/>
        <v>0.10786709113532528</v>
      </c>
      <c r="AD1134" s="56">
        <f>INDEX(Assumptions!$B$14:$B$16,MATCH($R1134,Assumptions!$A$14:$A$16,0))</f>
        <v>0.12</v>
      </c>
      <c r="AE1134" s="56">
        <f>INDEX(Assumptions!$C$14:$C$16,MATCH($R1134,Assumptions!$A$14:$A$16,0))</f>
        <v>0.08</v>
      </c>
      <c r="AF1134" s="49">
        <f t="shared" si="249"/>
        <v>0</v>
      </c>
      <c r="AG1134" s="49">
        <f t="shared" si="250"/>
        <v>0</v>
      </c>
      <c r="AH1134" s="55">
        <f t="shared" si="251"/>
        <v>690.23382525098077</v>
      </c>
    </row>
    <row r="1135" spans="1:34" x14ac:dyDescent="0.2">
      <c r="A1135" s="48" t="s">
        <v>1025</v>
      </c>
      <c r="B1135" s="48">
        <v>2</v>
      </c>
      <c r="C1135" s="48" t="s">
        <v>968</v>
      </c>
      <c r="D1135" s="48" t="s">
        <v>958</v>
      </c>
      <c r="E1135" s="48" t="s">
        <v>384</v>
      </c>
      <c r="F1135" s="48" t="s">
        <v>297</v>
      </c>
      <c r="G1135" s="48" t="s">
        <v>281</v>
      </c>
      <c r="H1135" s="48" t="s">
        <v>70</v>
      </c>
      <c r="I1135" s="48" t="s">
        <v>177</v>
      </c>
      <c r="J1135" s="49">
        <v>27</v>
      </c>
      <c r="K1135" s="50">
        <v>7520</v>
      </c>
      <c r="L1135" s="50">
        <v>7304.96</v>
      </c>
      <c r="M1135" s="48" t="s">
        <v>276</v>
      </c>
      <c r="N1135" s="51">
        <v>83.5</v>
      </c>
      <c r="O1135" s="51">
        <v>84.566999999999993</v>
      </c>
      <c r="P1135" s="52">
        <v>57.18</v>
      </c>
      <c r="Q1135" s="52">
        <v>62.18</v>
      </c>
      <c r="R1135" s="53" t="str">
        <f>INDEX(SKU_Master!$D$5:$D$34,MATCH($I1135,SKU_Master!$A$5:$A$34,0))</f>
        <v>Accessory</v>
      </c>
      <c r="S1135" s="54">
        <f t="shared" si="238"/>
        <v>2.8595744680851021E-2</v>
      </c>
      <c r="T1135" s="55">
        <f t="shared" si="239"/>
        <v>2431.6167664670656</v>
      </c>
      <c r="U1135" s="55">
        <f t="shared" si="240"/>
        <v>2362.0828742514973</v>
      </c>
      <c r="V1135" s="55">
        <f t="shared" si="241"/>
        <v>-69.533892215568358</v>
      </c>
      <c r="W1135" s="55">
        <f t="shared" si="242"/>
        <v>2332.2799673631562</v>
      </c>
      <c r="X1135" s="55">
        <f t="shared" si="243"/>
        <v>-29.802906888341113</v>
      </c>
      <c r="Y1135" s="55">
        <f t="shared" si="244"/>
        <v>1543.86</v>
      </c>
      <c r="Z1135" s="55">
        <f t="shared" si="245"/>
        <v>1678.86</v>
      </c>
      <c r="AA1135" s="55">
        <f t="shared" si="246"/>
        <v>-135</v>
      </c>
      <c r="AB1135" s="55">
        <f t="shared" si="247"/>
        <v>653.41996736315627</v>
      </c>
      <c r="AC1135" s="54">
        <f t="shared" si="248"/>
        <v>0.28016360664534795</v>
      </c>
      <c r="AD1135" s="56">
        <f>INDEX(Assumptions!$B$14:$B$16,MATCH($R1135,Assumptions!$A$14:$A$16,0))</f>
        <v>0.32</v>
      </c>
      <c r="AE1135" s="56">
        <f>INDEX(Assumptions!$C$14:$C$16,MATCH($R1135,Assumptions!$A$14:$A$16,0))</f>
        <v>0.22</v>
      </c>
      <c r="AF1135" s="49">
        <f t="shared" si="249"/>
        <v>0</v>
      </c>
      <c r="AG1135" s="49">
        <f t="shared" si="250"/>
        <v>0</v>
      </c>
      <c r="AH1135" s="55">
        <f t="shared" si="251"/>
        <v>92.909622193053679</v>
      </c>
    </row>
    <row r="1136" spans="1:34" x14ac:dyDescent="0.2">
      <c r="A1136" s="48" t="s">
        <v>1026</v>
      </c>
      <c r="B1136" s="48">
        <v>1</v>
      </c>
      <c r="C1136" s="48" t="s">
        <v>960</v>
      </c>
      <c r="D1136" s="48" t="s">
        <v>958</v>
      </c>
      <c r="E1136" s="48" t="s">
        <v>309</v>
      </c>
      <c r="F1136" s="48" t="s">
        <v>280</v>
      </c>
      <c r="G1136" s="48" t="s">
        <v>298</v>
      </c>
      <c r="H1136" s="48" t="s">
        <v>70</v>
      </c>
      <c r="I1136" s="48" t="s">
        <v>93</v>
      </c>
      <c r="J1136" s="49">
        <v>24</v>
      </c>
      <c r="K1136" s="50">
        <v>134750</v>
      </c>
      <c r="L1136" s="50">
        <v>131714.98000000001</v>
      </c>
      <c r="M1136" s="48" t="s">
        <v>276</v>
      </c>
      <c r="N1136" s="51">
        <v>83.5</v>
      </c>
      <c r="O1136" s="51">
        <v>84.566999999999993</v>
      </c>
      <c r="P1136" s="52">
        <v>1351.7</v>
      </c>
      <c r="Q1136" s="52">
        <v>1371.7</v>
      </c>
      <c r="R1136" s="53" t="str">
        <f>INDEX(SKU_Master!$D$5:$D$34,MATCH($I1136,SKU_Master!$A$5:$A$34,0))</f>
        <v>Laptop</v>
      </c>
      <c r="S1136" s="54">
        <f t="shared" si="238"/>
        <v>2.2523339517625196E-2</v>
      </c>
      <c r="T1136" s="55">
        <f t="shared" si="239"/>
        <v>38730.538922155691</v>
      </c>
      <c r="U1136" s="55">
        <f t="shared" si="240"/>
        <v>37858.197844311384</v>
      </c>
      <c r="V1136" s="55">
        <f t="shared" si="241"/>
        <v>-872.34107784430671</v>
      </c>
      <c r="W1136" s="55">
        <f t="shared" si="242"/>
        <v>37380.532831955737</v>
      </c>
      <c r="X1136" s="55">
        <f t="shared" si="243"/>
        <v>-477.66501235564647</v>
      </c>
      <c r="Y1136" s="55">
        <f t="shared" si="244"/>
        <v>32440.800000000003</v>
      </c>
      <c r="Z1136" s="55">
        <f t="shared" si="245"/>
        <v>32920.800000000003</v>
      </c>
      <c r="AA1136" s="55">
        <f t="shared" si="246"/>
        <v>-480</v>
      </c>
      <c r="AB1136" s="55">
        <f t="shared" si="247"/>
        <v>4459.7328319557346</v>
      </c>
      <c r="AC1136" s="54">
        <f t="shared" si="248"/>
        <v>0.11930629378678129</v>
      </c>
      <c r="AD1136" s="56">
        <f>INDEX(Assumptions!$B$14:$B$16,MATCH($R1136,Assumptions!$A$14:$A$16,0))</f>
        <v>0.12</v>
      </c>
      <c r="AE1136" s="56">
        <f>INDEX(Assumptions!$C$14:$C$16,MATCH($R1136,Assumptions!$A$14:$A$16,0))</f>
        <v>0.08</v>
      </c>
      <c r="AF1136" s="49">
        <f t="shared" si="249"/>
        <v>0</v>
      </c>
      <c r="AG1136" s="49">
        <f t="shared" si="250"/>
        <v>0</v>
      </c>
      <c r="AH1136" s="55">
        <f t="shared" si="251"/>
        <v>25.931107878953298</v>
      </c>
    </row>
    <row r="1137" spans="1:34" x14ac:dyDescent="0.2">
      <c r="A1137" s="48" t="s">
        <v>1026</v>
      </c>
      <c r="B1137" s="48">
        <v>2</v>
      </c>
      <c r="C1137" s="48" t="s">
        <v>960</v>
      </c>
      <c r="D1137" s="48" t="s">
        <v>958</v>
      </c>
      <c r="E1137" s="48" t="s">
        <v>309</v>
      </c>
      <c r="F1137" s="48" t="s">
        <v>280</v>
      </c>
      <c r="G1137" s="48" t="s">
        <v>298</v>
      </c>
      <c r="H1137" s="48" t="s">
        <v>70</v>
      </c>
      <c r="I1137" s="48" t="s">
        <v>166</v>
      </c>
      <c r="J1137" s="49">
        <v>22</v>
      </c>
      <c r="K1137" s="50">
        <v>25820</v>
      </c>
      <c r="L1137" s="50">
        <v>24960.07</v>
      </c>
      <c r="M1137" s="48" t="s">
        <v>276</v>
      </c>
      <c r="N1137" s="51">
        <v>83.5</v>
      </c>
      <c r="O1137" s="51">
        <v>84.566999999999993</v>
      </c>
      <c r="P1137" s="52">
        <v>196.32</v>
      </c>
      <c r="Q1137" s="52">
        <v>201.32</v>
      </c>
      <c r="R1137" s="53" t="str">
        <f>INDEX(SKU_Master!$D$5:$D$34,MATCH($I1137,SKU_Master!$A$5:$A$34,0))</f>
        <v>Accessory</v>
      </c>
      <c r="S1137" s="54">
        <f t="shared" si="238"/>
        <v>3.3304802478698714E-2</v>
      </c>
      <c r="T1137" s="55">
        <f t="shared" si="239"/>
        <v>6802.8742514970063</v>
      </c>
      <c r="U1137" s="55">
        <f t="shared" si="240"/>
        <v>6576.3058682634737</v>
      </c>
      <c r="V1137" s="55">
        <f t="shared" si="241"/>
        <v>-226.56838323353259</v>
      </c>
      <c r="W1137" s="55">
        <f t="shared" si="242"/>
        <v>6493.3312048434982</v>
      </c>
      <c r="X1137" s="55">
        <f t="shared" si="243"/>
        <v>-82.974663419975514</v>
      </c>
      <c r="Y1137" s="55">
        <f t="shared" si="244"/>
        <v>4319.04</v>
      </c>
      <c r="Z1137" s="55">
        <f t="shared" si="245"/>
        <v>4429.04</v>
      </c>
      <c r="AA1137" s="55">
        <f t="shared" si="246"/>
        <v>-110</v>
      </c>
      <c r="AB1137" s="55">
        <f t="shared" si="247"/>
        <v>2064.2912048434982</v>
      </c>
      <c r="AC1137" s="54">
        <f t="shared" si="248"/>
        <v>0.31790942733734334</v>
      </c>
      <c r="AD1137" s="56">
        <f>INDEX(Assumptions!$B$14:$B$16,MATCH($R1137,Assumptions!$A$14:$A$16,0))</f>
        <v>0.32</v>
      </c>
      <c r="AE1137" s="56">
        <f>INDEX(Assumptions!$C$14:$C$16,MATCH($R1137,Assumptions!$A$14:$A$16,0))</f>
        <v>0.22</v>
      </c>
      <c r="AF1137" s="49">
        <f t="shared" si="249"/>
        <v>0</v>
      </c>
      <c r="AG1137" s="49">
        <f t="shared" si="250"/>
        <v>0</v>
      </c>
      <c r="AH1137" s="55">
        <f t="shared" si="251"/>
        <v>13.574780706421279</v>
      </c>
    </row>
    <row r="1138" spans="1:34" x14ac:dyDescent="0.2">
      <c r="A1138" s="48" t="s">
        <v>1027</v>
      </c>
      <c r="B1138" s="48">
        <v>1</v>
      </c>
      <c r="C1138" s="48" t="s">
        <v>978</v>
      </c>
      <c r="D1138" s="48" t="s">
        <v>958</v>
      </c>
      <c r="E1138" s="48" t="s">
        <v>317</v>
      </c>
      <c r="F1138" s="48" t="s">
        <v>280</v>
      </c>
      <c r="G1138" s="48" t="s">
        <v>306</v>
      </c>
      <c r="H1138" s="48" t="s">
        <v>62</v>
      </c>
      <c r="I1138" s="48" t="s">
        <v>118</v>
      </c>
      <c r="J1138" s="49">
        <v>22</v>
      </c>
      <c r="K1138" s="50">
        <v>1365</v>
      </c>
      <c r="L1138" s="50">
        <v>1323.52</v>
      </c>
      <c r="M1138" s="48" t="s">
        <v>276</v>
      </c>
      <c r="N1138" s="51">
        <v>1</v>
      </c>
      <c r="O1138" s="51">
        <v>1</v>
      </c>
      <c r="P1138" s="52">
        <v>1162.5999999999999</v>
      </c>
      <c r="Q1138" s="52">
        <v>1231.28</v>
      </c>
      <c r="R1138" s="53" t="str">
        <f>INDEX(SKU_Master!$D$5:$D$34,MATCH($I1138,SKU_Master!$A$5:$A$34,0))</f>
        <v>Laptop</v>
      </c>
      <c r="S1138" s="54">
        <f t="shared" si="238"/>
        <v>3.03882783882784E-2</v>
      </c>
      <c r="T1138" s="55">
        <f t="shared" si="239"/>
        <v>30030</v>
      </c>
      <c r="U1138" s="55">
        <f t="shared" si="240"/>
        <v>29117.439999999999</v>
      </c>
      <c r="V1138" s="55">
        <f t="shared" si="241"/>
        <v>-912.56000000000131</v>
      </c>
      <c r="W1138" s="55">
        <f t="shared" si="242"/>
        <v>29117.439999999999</v>
      </c>
      <c r="X1138" s="55">
        <f t="shared" si="243"/>
        <v>0</v>
      </c>
      <c r="Y1138" s="55">
        <f t="shared" si="244"/>
        <v>25577.199999999997</v>
      </c>
      <c r="Z1138" s="55">
        <f t="shared" si="245"/>
        <v>27088.16</v>
      </c>
      <c r="AA1138" s="55">
        <f t="shared" si="246"/>
        <v>-1510.9600000000028</v>
      </c>
      <c r="AB1138" s="55">
        <f t="shared" si="247"/>
        <v>2029.2799999999988</v>
      </c>
      <c r="AC1138" s="54">
        <f t="shared" si="248"/>
        <v>6.9692940038684689E-2</v>
      </c>
      <c r="AD1138" s="56">
        <f>INDEX(Assumptions!$B$14:$B$16,MATCH($R1138,Assumptions!$A$14:$A$16,0))</f>
        <v>0.12</v>
      </c>
      <c r="AE1138" s="56">
        <f>INDEX(Assumptions!$C$14:$C$16,MATCH($R1138,Assumptions!$A$14:$A$16,0))</f>
        <v>0.08</v>
      </c>
      <c r="AF1138" s="49">
        <f t="shared" si="249"/>
        <v>1</v>
      </c>
      <c r="AG1138" s="49">
        <f t="shared" si="250"/>
        <v>1</v>
      </c>
      <c r="AH1138" s="55">
        <f t="shared" si="251"/>
        <v>1464.8128000000011</v>
      </c>
    </row>
    <row r="1139" spans="1:34" x14ac:dyDescent="0.2">
      <c r="A1139" s="48" t="s">
        <v>1027</v>
      </c>
      <c r="B1139" s="48">
        <v>2</v>
      </c>
      <c r="C1139" s="48" t="s">
        <v>978</v>
      </c>
      <c r="D1139" s="48" t="s">
        <v>958</v>
      </c>
      <c r="E1139" s="48" t="s">
        <v>317</v>
      </c>
      <c r="F1139" s="48" t="s">
        <v>280</v>
      </c>
      <c r="G1139" s="48" t="s">
        <v>306</v>
      </c>
      <c r="H1139" s="48" t="s">
        <v>62</v>
      </c>
      <c r="I1139" s="48" t="s">
        <v>135</v>
      </c>
      <c r="J1139" s="49">
        <v>10</v>
      </c>
      <c r="K1139" s="50">
        <v>240</v>
      </c>
      <c r="L1139" s="50">
        <v>231.52</v>
      </c>
      <c r="M1139" s="48" t="s">
        <v>276</v>
      </c>
      <c r="N1139" s="51">
        <v>1</v>
      </c>
      <c r="O1139" s="51">
        <v>1</v>
      </c>
      <c r="P1139" s="52">
        <v>186.7</v>
      </c>
      <c r="Q1139" s="52">
        <v>186.7</v>
      </c>
      <c r="R1139" s="53" t="str">
        <f>INDEX(SKU_Master!$D$5:$D$34,MATCH($I1139,SKU_Master!$A$5:$A$34,0))</f>
        <v>Monitor</v>
      </c>
      <c r="S1139" s="54">
        <f t="shared" si="238"/>
        <v>3.5333333333333328E-2</v>
      </c>
      <c r="T1139" s="55">
        <f t="shared" si="239"/>
        <v>2400</v>
      </c>
      <c r="U1139" s="55">
        <f t="shared" si="240"/>
        <v>2315.2000000000003</v>
      </c>
      <c r="V1139" s="55">
        <f t="shared" si="241"/>
        <v>-84.799999999999727</v>
      </c>
      <c r="W1139" s="55">
        <f t="shared" si="242"/>
        <v>2315.2000000000003</v>
      </c>
      <c r="X1139" s="55">
        <f t="shared" si="243"/>
        <v>0</v>
      </c>
      <c r="Y1139" s="55">
        <f t="shared" si="244"/>
        <v>1867</v>
      </c>
      <c r="Z1139" s="55">
        <f t="shared" si="245"/>
        <v>1867</v>
      </c>
      <c r="AA1139" s="55">
        <f t="shared" si="246"/>
        <v>0</v>
      </c>
      <c r="AB1139" s="55">
        <f t="shared" si="247"/>
        <v>448.20000000000027</v>
      </c>
      <c r="AC1139" s="54">
        <f t="shared" si="248"/>
        <v>0.19359018659295102</v>
      </c>
      <c r="AD1139" s="56">
        <f>INDEX(Assumptions!$B$14:$B$16,MATCH($R1139,Assumptions!$A$14:$A$16,0))</f>
        <v>0.18</v>
      </c>
      <c r="AE1139" s="56">
        <f>INDEX(Assumptions!$C$14:$C$16,MATCH($R1139,Assumptions!$A$14:$A$16,0))</f>
        <v>0.12</v>
      </c>
      <c r="AF1139" s="49">
        <f t="shared" si="249"/>
        <v>0</v>
      </c>
      <c r="AG1139" s="49">
        <f t="shared" si="250"/>
        <v>0</v>
      </c>
      <c r="AH1139" s="55">
        <f t="shared" si="251"/>
        <v>0</v>
      </c>
    </row>
    <row r="1140" spans="1:34" x14ac:dyDescent="0.2">
      <c r="A1140" s="48" t="s">
        <v>1027</v>
      </c>
      <c r="B1140" s="48">
        <v>3</v>
      </c>
      <c r="C1140" s="48" t="s">
        <v>978</v>
      </c>
      <c r="D1140" s="48" t="s">
        <v>958</v>
      </c>
      <c r="E1140" s="48" t="s">
        <v>317</v>
      </c>
      <c r="F1140" s="48" t="s">
        <v>280</v>
      </c>
      <c r="G1140" s="48" t="s">
        <v>306</v>
      </c>
      <c r="H1140" s="48" t="s">
        <v>62</v>
      </c>
      <c r="I1140" s="48" t="s">
        <v>166</v>
      </c>
      <c r="J1140" s="49">
        <v>20</v>
      </c>
      <c r="K1140" s="50">
        <v>265</v>
      </c>
      <c r="L1140" s="50">
        <v>260.45999999999998</v>
      </c>
      <c r="M1140" s="48" t="s">
        <v>276</v>
      </c>
      <c r="N1140" s="51">
        <v>1</v>
      </c>
      <c r="O1140" s="51">
        <v>1</v>
      </c>
      <c r="P1140" s="52">
        <v>169.35</v>
      </c>
      <c r="Q1140" s="52">
        <v>169.35</v>
      </c>
      <c r="R1140" s="53" t="str">
        <f>INDEX(SKU_Master!$D$5:$D$34,MATCH($I1140,SKU_Master!$A$5:$A$34,0))</f>
        <v>Accessory</v>
      </c>
      <c r="S1140" s="54">
        <f t="shared" si="238"/>
        <v>1.7132075471698149E-2</v>
      </c>
      <c r="T1140" s="55">
        <f t="shared" si="239"/>
        <v>5300</v>
      </c>
      <c r="U1140" s="55">
        <f t="shared" si="240"/>
        <v>5209.2</v>
      </c>
      <c r="V1140" s="55">
        <f t="shared" si="241"/>
        <v>-90.800000000000182</v>
      </c>
      <c r="W1140" s="55">
        <f t="shared" si="242"/>
        <v>5209.2</v>
      </c>
      <c r="X1140" s="55">
        <f t="shared" si="243"/>
        <v>0</v>
      </c>
      <c r="Y1140" s="55">
        <f t="shared" si="244"/>
        <v>3387</v>
      </c>
      <c r="Z1140" s="55">
        <f t="shared" si="245"/>
        <v>3387</v>
      </c>
      <c r="AA1140" s="55">
        <f t="shared" si="246"/>
        <v>0</v>
      </c>
      <c r="AB1140" s="55">
        <f t="shared" si="247"/>
        <v>1822.1999999999998</v>
      </c>
      <c r="AC1140" s="54">
        <f t="shared" si="248"/>
        <v>0.34980419258235429</v>
      </c>
      <c r="AD1140" s="56">
        <f>INDEX(Assumptions!$B$14:$B$16,MATCH($R1140,Assumptions!$A$14:$A$16,0))</f>
        <v>0.32</v>
      </c>
      <c r="AE1140" s="56">
        <f>INDEX(Assumptions!$C$14:$C$16,MATCH($R1140,Assumptions!$A$14:$A$16,0))</f>
        <v>0.22</v>
      </c>
      <c r="AF1140" s="49">
        <f t="shared" si="249"/>
        <v>0</v>
      </c>
      <c r="AG1140" s="49">
        <f t="shared" si="250"/>
        <v>0</v>
      </c>
      <c r="AH1140" s="55">
        <f t="shared" si="251"/>
        <v>0</v>
      </c>
    </row>
    <row r="1141" spans="1:34" x14ac:dyDescent="0.2">
      <c r="A1141" s="48" t="s">
        <v>1028</v>
      </c>
      <c r="B1141" s="48">
        <v>1</v>
      </c>
      <c r="C1141" s="48" t="s">
        <v>1003</v>
      </c>
      <c r="D1141" s="48" t="s">
        <v>958</v>
      </c>
      <c r="E1141" s="48" t="s">
        <v>588</v>
      </c>
      <c r="F1141" s="48" t="s">
        <v>274</v>
      </c>
      <c r="G1141" s="48" t="s">
        <v>281</v>
      </c>
      <c r="H1141" s="48" t="s">
        <v>62</v>
      </c>
      <c r="I1141" s="48" t="s">
        <v>110</v>
      </c>
      <c r="J1141" s="49">
        <v>9</v>
      </c>
      <c r="K1141" s="50">
        <v>1165</v>
      </c>
      <c r="L1141" s="50">
        <v>1143.93</v>
      </c>
      <c r="M1141" s="48" t="s">
        <v>276</v>
      </c>
      <c r="N1141" s="51">
        <v>1</v>
      </c>
      <c r="O1141" s="51">
        <v>1</v>
      </c>
      <c r="P1141" s="52">
        <v>992.65</v>
      </c>
      <c r="Q1141" s="52">
        <v>992.65</v>
      </c>
      <c r="R1141" s="53" t="str">
        <f>INDEX(SKU_Master!$D$5:$D$34,MATCH($I1141,SKU_Master!$A$5:$A$34,0))</f>
        <v>Laptop</v>
      </c>
      <c r="S1141" s="54">
        <f t="shared" si="238"/>
        <v>1.80858369098712E-2</v>
      </c>
      <c r="T1141" s="55">
        <f t="shared" si="239"/>
        <v>10485</v>
      </c>
      <c r="U1141" s="55">
        <f t="shared" si="240"/>
        <v>10295.370000000001</v>
      </c>
      <c r="V1141" s="55">
        <f t="shared" si="241"/>
        <v>-189.6299999999992</v>
      </c>
      <c r="W1141" s="55">
        <f t="shared" si="242"/>
        <v>10295.370000000001</v>
      </c>
      <c r="X1141" s="55">
        <f t="shared" si="243"/>
        <v>0</v>
      </c>
      <c r="Y1141" s="55">
        <f t="shared" si="244"/>
        <v>8933.85</v>
      </c>
      <c r="Z1141" s="55">
        <f t="shared" si="245"/>
        <v>8933.85</v>
      </c>
      <c r="AA1141" s="55">
        <f t="shared" si="246"/>
        <v>0</v>
      </c>
      <c r="AB1141" s="55">
        <f t="shared" si="247"/>
        <v>1361.5200000000004</v>
      </c>
      <c r="AC1141" s="54">
        <f t="shared" si="248"/>
        <v>0.13224585420436569</v>
      </c>
      <c r="AD1141" s="56">
        <f>INDEX(Assumptions!$B$14:$B$16,MATCH($R1141,Assumptions!$A$14:$A$16,0))</f>
        <v>0.12</v>
      </c>
      <c r="AE1141" s="56">
        <f>INDEX(Assumptions!$C$14:$C$16,MATCH($R1141,Assumptions!$A$14:$A$16,0))</f>
        <v>0.08</v>
      </c>
      <c r="AF1141" s="49">
        <f t="shared" si="249"/>
        <v>0</v>
      </c>
      <c r="AG1141" s="49">
        <f t="shared" si="250"/>
        <v>0</v>
      </c>
      <c r="AH1141" s="55">
        <f t="shared" si="251"/>
        <v>0</v>
      </c>
    </row>
    <row r="1142" spans="1:34" x14ac:dyDescent="0.2">
      <c r="A1142" s="48" t="s">
        <v>1028</v>
      </c>
      <c r="B1142" s="48">
        <v>2</v>
      </c>
      <c r="C1142" s="48" t="s">
        <v>1003</v>
      </c>
      <c r="D1142" s="48" t="s">
        <v>958</v>
      </c>
      <c r="E1142" s="48" t="s">
        <v>588</v>
      </c>
      <c r="F1142" s="48" t="s">
        <v>274</v>
      </c>
      <c r="G1142" s="48" t="s">
        <v>281</v>
      </c>
      <c r="H1142" s="48" t="s">
        <v>62</v>
      </c>
      <c r="I1142" s="48" t="s">
        <v>177</v>
      </c>
      <c r="J1142" s="49">
        <v>7</v>
      </c>
      <c r="K1142" s="50">
        <v>70</v>
      </c>
      <c r="L1142" s="50">
        <v>69.42</v>
      </c>
      <c r="M1142" s="48" t="s">
        <v>276</v>
      </c>
      <c r="N1142" s="51">
        <v>1</v>
      </c>
      <c r="O1142" s="51">
        <v>1</v>
      </c>
      <c r="P1142" s="52">
        <v>44</v>
      </c>
      <c r="Q1142" s="52">
        <v>44</v>
      </c>
      <c r="R1142" s="53" t="str">
        <f>INDEX(SKU_Master!$D$5:$D$34,MATCH($I1142,SKU_Master!$A$5:$A$34,0))</f>
        <v>Accessory</v>
      </c>
      <c r="S1142" s="54">
        <f t="shared" si="238"/>
        <v>8.2857142857142296E-3</v>
      </c>
      <c r="T1142" s="55">
        <f t="shared" si="239"/>
        <v>490</v>
      </c>
      <c r="U1142" s="55">
        <f t="shared" si="240"/>
        <v>485.94</v>
      </c>
      <c r="V1142" s="55">
        <f t="shared" si="241"/>
        <v>-4.0600000000000023</v>
      </c>
      <c r="W1142" s="55">
        <f t="shared" si="242"/>
        <v>485.94</v>
      </c>
      <c r="X1142" s="55">
        <f t="shared" si="243"/>
        <v>0</v>
      </c>
      <c r="Y1142" s="55">
        <f t="shared" si="244"/>
        <v>308</v>
      </c>
      <c r="Z1142" s="55">
        <f t="shared" si="245"/>
        <v>308</v>
      </c>
      <c r="AA1142" s="55">
        <f t="shared" si="246"/>
        <v>0</v>
      </c>
      <c r="AB1142" s="55">
        <f t="shared" si="247"/>
        <v>177.94</v>
      </c>
      <c r="AC1142" s="54">
        <f t="shared" si="248"/>
        <v>0.3661768942667819</v>
      </c>
      <c r="AD1142" s="56">
        <f>INDEX(Assumptions!$B$14:$B$16,MATCH($R1142,Assumptions!$A$14:$A$16,0))</f>
        <v>0.32</v>
      </c>
      <c r="AE1142" s="56">
        <f>INDEX(Assumptions!$C$14:$C$16,MATCH($R1142,Assumptions!$A$14:$A$16,0))</f>
        <v>0.22</v>
      </c>
      <c r="AF1142" s="49">
        <f t="shared" si="249"/>
        <v>0</v>
      </c>
      <c r="AG1142" s="49">
        <f t="shared" si="250"/>
        <v>0</v>
      </c>
      <c r="AH1142" s="55">
        <f t="shared" si="251"/>
        <v>0</v>
      </c>
    </row>
    <row r="1143" spans="1:34" x14ac:dyDescent="0.2">
      <c r="A1143" s="48" t="s">
        <v>1029</v>
      </c>
      <c r="B1143" s="48">
        <v>1</v>
      </c>
      <c r="C1143" s="48" t="s">
        <v>1030</v>
      </c>
      <c r="D1143" s="48" t="s">
        <v>958</v>
      </c>
      <c r="E1143" s="48" t="s">
        <v>287</v>
      </c>
      <c r="F1143" s="48" t="s">
        <v>274</v>
      </c>
      <c r="G1143" s="48" t="s">
        <v>288</v>
      </c>
      <c r="H1143" s="48" t="s">
        <v>62</v>
      </c>
      <c r="I1143" s="48" t="s">
        <v>93</v>
      </c>
      <c r="J1143" s="49">
        <v>2</v>
      </c>
      <c r="K1143" s="50">
        <v>1390</v>
      </c>
      <c r="L1143" s="50">
        <v>1364.97</v>
      </c>
      <c r="M1143" s="48" t="s">
        <v>276</v>
      </c>
      <c r="N1143" s="51">
        <v>1</v>
      </c>
      <c r="O1143" s="51">
        <v>1</v>
      </c>
      <c r="P1143" s="52">
        <v>1186.2</v>
      </c>
      <c r="Q1143" s="52">
        <v>1186.2</v>
      </c>
      <c r="R1143" s="53" t="str">
        <f>INDEX(SKU_Master!$D$5:$D$34,MATCH($I1143,SKU_Master!$A$5:$A$34,0))</f>
        <v>Laptop</v>
      </c>
      <c r="S1143" s="54">
        <f t="shared" si="238"/>
        <v>1.8007194244604285E-2</v>
      </c>
      <c r="T1143" s="55">
        <f t="shared" si="239"/>
        <v>2780</v>
      </c>
      <c r="U1143" s="55">
        <f t="shared" si="240"/>
        <v>2729.94</v>
      </c>
      <c r="V1143" s="55">
        <f t="shared" si="241"/>
        <v>-50.059999999999945</v>
      </c>
      <c r="W1143" s="55">
        <f t="shared" si="242"/>
        <v>2729.94</v>
      </c>
      <c r="X1143" s="55">
        <f t="shared" si="243"/>
        <v>0</v>
      </c>
      <c r="Y1143" s="55">
        <f t="shared" si="244"/>
        <v>2372.4</v>
      </c>
      <c r="Z1143" s="55">
        <f t="shared" si="245"/>
        <v>2372.4</v>
      </c>
      <c r="AA1143" s="55">
        <f t="shared" si="246"/>
        <v>0</v>
      </c>
      <c r="AB1143" s="55">
        <f t="shared" si="247"/>
        <v>357.53999999999996</v>
      </c>
      <c r="AC1143" s="54">
        <f t="shared" si="248"/>
        <v>0.13096991142662476</v>
      </c>
      <c r="AD1143" s="56">
        <f>INDEX(Assumptions!$B$14:$B$16,MATCH($R1143,Assumptions!$A$14:$A$16,0))</f>
        <v>0.12</v>
      </c>
      <c r="AE1143" s="56">
        <f>INDEX(Assumptions!$C$14:$C$16,MATCH($R1143,Assumptions!$A$14:$A$16,0))</f>
        <v>0.08</v>
      </c>
      <c r="AF1143" s="49">
        <f t="shared" si="249"/>
        <v>0</v>
      </c>
      <c r="AG1143" s="49">
        <f t="shared" si="250"/>
        <v>0</v>
      </c>
      <c r="AH1143" s="55">
        <f t="shared" si="251"/>
        <v>0</v>
      </c>
    </row>
    <row r="1144" spans="1:34" x14ac:dyDescent="0.2">
      <c r="A1144" s="48" t="s">
        <v>1029</v>
      </c>
      <c r="B1144" s="48">
        <v>2</v>
      </c>
      <c r="C1144" s="48" t="s">
        <v>1030</v>
      </c>
      <c r="D1144" s="48" t="s">
        <v>958</v>
      </c>
      <c r="E1144" s="48" t="s">
        <v>287</v>
      </c>
      <c r="F1144" s="48" t="s">
        <v>274</v>
      </c>
      <c r="G1144" s="48" t="s">
        <v>288</v>
      </c>
      <c r="H1144" s="48" t="s">
        <v>62</v>
      </c>
      <c r="I1144" s="48" t="s">
        <v>173</v>
      </c>
      <c r="J1144" s="49">
        <v>2</v>
      </c>
      <c r="K1144" s="50">
        <v>55</v>
      </c>
      <c r="L1144" s="50">
        <v>54.53</v>
      </c>
      <c r="M1144" s="48" t="s">
        <v>276</v>
      </c>
      <c r="N1144" s="51">
        <v>1</v>
      </c>
      <c r="O1144" s="51">
        <v>1</v>
      </c>
      <c r="P1144" s="52">
        <v>34</v>
      </c>
      <c r="Q1144" s="52">
        <v>34</v>
      </c>
      <c r="R1144" s="53" t="str">
        <f>INDEX(SKU_Master!$D$5:$D$34,MATCH($I1144,SKU_Master!$A$5:$A$34,0))</f>
        <v>Accessory</v>
      </c>
      <c r="S1144" s="54">
        <f t="shared" si="238"/>
        <v>8.5454545454545228E-3</v>
      </c>
      <c r="T1144" s="55">
        <f t="shared" si="239"/>
        <v>110</v>
      </c>
      <c r="U1144" s="55">
        <f t="shared" si="240"/>
        <v>109.06</v>
      </c>
      <c r="V1144" s="55">
        <f t="shared" si="241"/>
        <v>-0.93999999999999773</v>
      </c>
      <c r="W1144" s="55">
        <f t="shared" si="242"/>
        <v>109.06</v>
      </c>
      <c r="X1144" s="55">
        <f t="shared" si="243"/>
        <v>0</v>
      </c>
      <c r="Y1144" s="55">
        <f t="shared" si="244"/>
        <v>68</v>
      </c>
      <c r="Z1144" s="55">
        <f t="shared" si="245"/>
        <v>68</v>
      </c>
      <c r="AA1144" s="55">
        <f t="shared" si="246"/>
        <v>0</v>
      </c>
      <c r="AB1144" s="55">
        <f t="shared" si="247"/>
        <v>41.06</v>
      </c>
      <c r="AC1144" s="54">
        <f t="shared" si="248"/>
        <v>0.37649000550155881</v>
      </c>
      <c r="AD1144" s="56">
        <f>INDEX(Assumptions!$B$14:$B$16,MATCH($R1144,Assumptions!$A$14:$A$16,0))</f>
        <v>0.32</v>
      </c>
      <c r="AE1144" s="56">
        <f>INDEX(Assumptions!$C$14:$C$16,MATCH($R1144,Assumptions!$A$14:$A$16,0))</f>
        <v>0.22</v>
      </c>
      <c r="AF1144" s="49">
        <f t="shared" si="249"/>
        <v>0</v>
      </c>
      <c r="AG1144" s="49">
        <f t="shared" si="250"/>
        <v>0</v>
      </c>
      <c r="AH1144" s="55">
        <f t="shared" si="251"/>
        <v>0</v>
      </c>
    </row>
    <row r="1145" spans="1:34" x14ac:dyDescent="0.2">
      <c r="A1145" s="48" t="s">
        <v>1031</v>
      </c>
      <c r="B1145" s="48">
        <v>1</v>
      </c>
      <c r="C1145" s="48" t="s">
        <v>993</v>
      </c>
      <c r="D1145" s="48" t="s">
        <v>958</v>
      </c>
      <c r="E1145" s="48" t="s">
        <v>498</v>
      </c>
      <c r="F1145" s="48" t="s">
        <v>280</v>
      </c>
      <c r="G1145" s="48" t="s">
        <v>302</v>
      </c>
      <c r="H1145" s="48" t="s">
        <v>66</v>
      </c>
      <c r="I1145" s="48" t="s">
        <v>93</v>
      </c>
      <c r="J1145" s="49">
        <v>24</v>
      </c>
      <c r="K1145" s="50">
        <v>1325</v>
      </c>
      <c r="L1145" s="50">
        <v>1215.27</v>
      </c>
      <c r="M1145" s="48" t="s">
        <v>276</v>
      </c>
      <c r="N1145" s="51">
        <v>0.92</v>
      </c>
      <c r="O1145" s="51">
        <v>0.92220000000000002</v>
      </c>
      <c r="P1145" s="52">
        <v>1206.2</v>
      </c>
      <c r="Q1145" s="52">
        <v>1206.2</v>
      </c>
      <c r="R1145" s="53" t="str">
        <f>INDEX(SKU_Master!$D$5:$D$34,MATCH($I1145,SKU_Master!$A$5:$A$34,0))</f>
        <v>Laptop</v>
      </c>
      <c r="S1145" s="54">
        <f t="shared" si="238"/>
        <v>8.2815094339622641E-2</v>
      </c>
      <c r="T1145" s="55">
        <f t="shared" si="239"/>
        <v>34565.217391304344</v>
      </c>
      <c r="U1145" s="55">
        <f t="shared" si="240"/>
        <v>31702.695652173912</v>
      </c>
      <c r="V1145" s="55">
        <f t="shared" si="241"/>
        <v>-2862.5217391304323</v>
      </c>
      <c r="W1145" s="55">
        <f t="shared" si="242"/>
        <v>31627.065712426804</v>
      </c>
      <c r="X1145" s="55">
        <f t="shared" si="243"/>
        <v>-75.629939747108438</v>
      </c>
      <c r="Y1145" s="55">
        <f t="shared" si="244"/>
        <v>28948.800000000003</v>
      </c>
      <c r="Z1145" s="55">
        <f t="shared" si="245"/>
        <v>28948.800000000003</v>
      </c>
      <c r="AA1145" s="55">
        <f t="shared" si="246"/>
        <v>0</v>
      </c>
      <c r="AB1145" s="55">
        <f t="shared" si="247"/>
        <v>2678.2657124268007</v>
      </c>
      <c r="AC1145" s="54">
        <f t="shared" si="248"/>
        <v>8.4682712483645464E-2</v>
      </c>
      <c r="AD1145" s="56">
        <f>INDEX(Assumptions!$B$14:$B$16,MATCH($R1145,Assumptions!$A$14:$A$16,0))</f>
        <v>0.12</v>
      </c>
      <c r="AE1145" s="56">
        <f>INDEX(Assumptions!$C$14:$C$16,MATCH($R1145,Assumptions!$A$14:$A$16,0))</f>
        <v>0.08</v>
      </c>
      <c r="AF1145" s="49">
        <f t="shared" si="249"/>
        <v>0</v>
      </c>
      <c r="AG1145" s="49">
        <f t="shared" si="250"/>
        <v>0</v>
      </c>
      <c r="AH1145" s="55">
        <f t="shared" si="251"/>
        <v>1116.9821730644157</v>
      </c>
    </row>
    <row r="1146" spans="1:34" x14ac:dyDescent="0.2">
      <c r="A1146" s="48" t="s">
        <v>1031</v>
      </c>
      <c r="B1146" s="48">
        <v>2</v>
      </c>
      <c r="C1146" s="48" t="s">
        <v>993</v>
      </c>
      <c r="D1146" s="48" t="s">
        <v>958</v>
      </c>
      <c r="E1146" s="48" t="s">
        <v>498</v>
      </c>
      <c r="F1146" s="48" t="s">
        <v>280</v>
      </c>
      <c r="G1146" s="48" t="s">
        <v>302</v>
      </c>
      <c r="H1146" s="48" t="s">
        <v>66</v>
      </c>
      <c r="I1146" s="48" t="s">
        <v>166</v>
      </c>
      <c r="J1146" s="49">
        <v>14</v>
      </c>
      <c r="K1146" s="50">
        <v>255</v>
      </c>
      <c r="L1146" s="50">
        <v>234.57</v>
      </c>
      <c r="M1146" s="48" t="s">
        <v>276</v>
      </c>
      <c r="N1146" s="51">
        <v>0.92</v>
      </c>
      <c r="O1146" s="51">
        <v>0.92220000000000002</v>
      </c>
      <c r="P1146" s="52">
        <v>174.35</v>
      </c>
      <c r="Q1146" s="52">
        <v>174.35</v>
      </c>
      <c r="R1146" s="53" t="str">
        <f>INDEX(SKU_Master!$D$5:$D$34,MATCH($I1146,SKU_Master!$A$5:$A$34,0))</f>
        <v>Accessory</v>
      </c>
      <c r="S1146" s="54">
        <f t="shared" si="238"/>
        <v>8.0117647058823516E-2</v>
      </c>
      <c r="T1146" s="55">
        <f t="shared" si="239"/>
        <v>3880.4347826086955</v>
      </c>
      <c r="U1146" s="55">
        <f t="shared" si="240"/>
        <v>3569.5434782608695</v>
      </c>
      <c r="V1146" s="55">
        <f t="shared" si="241"/>
        <v>-310.89130434782601</v>
      </c>
      <c r="W1146" s="55">
        <f t="shared" si="242"/>
        <v>3561.0279765777486</v>
      </c>
      <c r="X1146" s="55">
        <f t="shared" si="243"/>
        <v>-8.5155016831208741</v>
      </c>
      <c r="Y1146" s="55">
        <f t="shared" si="244"/>
        <v>2440.9</v>
      </c>
      <c r="Z1146" s="55">
        <f t="shared" si="245"/>
        <v>2440.9</v>
      </c>
      <c r="AA1146" s="55">
        <f t="shared" si="246"/>
        <v>0</v>
      </c>
      <c r="AB1146" s="55">
        <f t="shared" si="247"/>
        <v>1120.1279765777485</v>
      </c>
      <c r="AC1146" s="54">
        <f t="shared" si="248"/>
        <v>0.31455186085177128</v>
      </c>
      <c r="AD1146" s="56">
        <f>INDEX(Assumptions!$B$14:$B$16,MATCH($R1146,Assumptions!$A$14:$A$16,0))</f>
        <v>0.32</v>
      </c>
      <c r="AE1146" s="56">
        <f>INDEX(Assumptions!$C$14:$C$16,MATCH($R1146,Assumptions!$A$14:$A$16,0))</f>
        <v>0.22</v>
      </c>
      <c r="AF1146" s="49">
        <f t="shared" si="249"/>
        <v>0</v>
      </c>
      <c r="AG1146" s="49">
        <f t="shared" si="250"/>
        <v>0</v>
      </c>
      <c r="AH1146" s="55">
        <f t="shared" si="251"/>
        <v>19.400975927130958</v>
      </c>
    </row>
    <row r="1147" spans="1:34" x14ac:dyDescent="0.2">
      <c r="A1147" s="48" t="s">
        <v>1032</v>
      </c>
      <c r="B1147" s="48">
        <v>1</v>
      </c>
      <c r="C1147" s="48" t="s">
        <v>966</v>
      </c>
      <c r="D1147" s="48" t="s">
        <v>958</v>
      </c>
      <c r="E1147" s="48" t="s">
        <v>558</v>
      </c>
      <c r="F1147" s="48" t="s">
        <v>280</v>
      </c>
      <c r="G1147" s="48" t="s">
        <v>288</v>
      </c>
      <c r="H1147" s="48" t="s">
        <v>62</v>
      </c>
      <c r="I1147" s="48" t="s">
        <v>98</v>
      </c>
      <c r="J1147" s="49">
        <v>28</v>
      </c>
      <c r="K1147" s="50">
        <v>2085</v>
      </c>
      <c r="L1147" s="50">
        <v>2007.29</v>
      </c>
      <c r="M1147" s="48" t="s">
        <v>276</v>
      </c>
      <c r="N1147" s="51">
        <v>1</v>
      </c>
      <c r="O1147" s="51">
        <v>1</v>
      </c>
      <c r="P1147" s="52">
        <v>1780.2</v>
      </c>
      <c r="Q1147" s="52">
        <v>1780.2</v>
      </c>
      <c r="R1147" s="53" t="str">
        <f>INDEX(SKU_Master!$D$5:$D$34,MATCH($I1147,SKU_Master!$A$5:$A$34,0))</f>
        <v>Laptop</v>
      </c>
      <c r="S1147" s="54">
        <f t="shared" si="238"/>
        <v>3.7270983213429254E-2</v>
      </c>
      <c r="T1147" s="55">
        <f t="shared" si="239"/>
        <v>58380</v>
      </c>
      <c r="U1147" s="55">
        <f t="shared" si="240"/>
        <v>56204.119999999995</v>
      </c>
      <c r="V1147" s="55">
        <f t="shared" si="241"/>
        <v>-2175.8800000000047</v>
      </c>
      <c r="W1147" s="55">
        <f t="shared" si="242"/>
        <v>56204.119999999995</v>
      </c>
      <c r="X1147" s="55">
        <f t="shared" si="243"/>
        <v>0</v>
      </c>
      <c r="Y1147" s="55">
        <f t="shared" si="244"/>
        <v>49845.599999999999</v>
      </c>
      <c r="Z1147" s="55">
        <f t="shared" si="245"/>
        <v>49845.599999999999</v>
      </c>
      <c r="AA1147" s="55">
        <f t="shared" si="246"/>
        <v>0</v>
      </c>
      <c r="AB1147" s="55">
        <f t="shared" si="247"/>
        <v>6358.5199999999968</v>
      </c>
      <c r="AC1147" s="54">
        <f t="shared" si="248"/>
        <v>0.11313263155797115</v>
      </c>
      <c r="AD1147" s="56">
        <f>INDEX(Assumptions!$B$14:$B$16,MATCH($R1147,Assumptions!$A$14:$A$16,0))</f>
        <v>0.12</v>
      </c>
      <c r="AE1147" s="56">
        <f>INDEX(Assumptions!$C$14:$C$16,MATCH($R1147,Assumptions!$A$14:$A$16,0))</f>
        <v>0.08</v>
      </c>
      <c r="AF1147" s="49">
        <f t="shared" si="249"/>
        <v>0</v>
      </c>
      <c r="AG1147" s="49">
        <f t="shared" si="250"/>
        <v>0</v>
      </c>
      <c r="AH1147" s="55">
        <f t="shared" si="251"/>
        <v>385.97440000000279</v>
      </c>
    </row>
    <row r="1148" spans="1:34" x14ac:dyDescent="0.2">
      <c r="A1148" s="48" t="s">
        <v>1033</v>
      </c>
      <c r="B1148" s="48">
        <v>1</v>
      </c>
      <c r="C1148" s="48" t="s">
        <v>968</v>
      </c>
      <c r="D1148" s="48" t="s">
        <v>958</v>
      </c>
      <c r="E1148" s="48" t="s">
        <v>395</v>
      </c>
      <c r="F1148" s="48" t="s">
        <v>280</v>
      </c>
      <c r="G1148" s="48" t="s">
        <v>281</v>
      </c>
      <c r="H1148" s="48" t="s">
        <v>66</v>
      </c>
      <c r="I1148" s="48" t="s">
        <v>118</v>
      </c>
      <c r="J1148" s="49">
        <v>7</v>
      </c>
      <c r="K1148" s="50">
        <v>1300</v>
      </c>
      <c r="L1148" s="50">
        <v>1261.43</v>
      </c>
      <c r="M1148" s="48" t="s">
        <v>276</v>
      </c>
      <c r="N1148" s="51">
        <v>0.92</v>
      </c>
      <c r="O1148" s="51">
        <v>0.92220000000000002</v>
      </c>
      <c r="P1148" s="52">
        <v>1182.5999999999999</v>
      </c>
      <c r="Q1148" s="52">
        <v>1251.28</v>
      </c>
      <c r="R1148" s="53" t="str">
        <f>INDEX(SKU_Master!$D$5:$D$34,MATCH($I1148,SKU_Master!$A$5:$A$34,0))</f>
        <v>Laptop</v>
      </c>
      <c r="S1148" s="54">
        <f t="shared" si="238"/>
        <v>2.966923076923067E-2</v>
      </c>
      <c r="T1148" s="55">
        <f t="shared" si="239"/>
        <v>9891.3043478260861</v>
      </c>
      <c r="U1148" s="55">
        <f t="shared" si="240"/>
        <v>9597.8369565217381</v>
      </c>
      <c r="V1148" s="55">
        <f t="shared" si="241"/>
        <v>-293.46739130434798</v>
      </c>
      <c r="W1148" s="55">
        <f t="shared" si="242"/>
        <v>9574.9403600086753</v>
      </c>
      <c r="X1148" s="55">
        <f t="shared" si="243"/>
        <v>-22.896596513062832</v>
      </c>
      <c r="Y1148" s="55">
        <f t="shared" si="244"/>
        <v>8278.1999999999989</v>
      </c>
      <c r="Z1148" s="55">
        <f t="shared" si="245"/>
        <v>8758.9599999999991</v>
      </c>
      <c r="AA1148" s="55">
        <f t="shared" si="246"/>
        <v>-480.76000000000022</v>
      </c>
      <c r="AB1148" s="55">
        <f t="shared" si="247"/>
        <v>815.98036000867614</v>
      </c>
      <c r="AC1148" s="54">
        <f t="shared" si="248"/>
        <v>8.5220411754913197E-2</v>
      </c>
      <c r="AD1148" s="56">
        <f>INDEX(Assumptions!$B$14:$B$16,MATCH($R1148,Assumptions!$A$14:$A$16,0))</f>
        <v>0.12</v>
      </c>
      <c r="AE1148" s="56">
        <f>INDEX(Assumptions!$C$14:$C$16,MATCH($R1148,Assumptions!$A$14:$A$16,0))</f>
        <v>0.08</v>
      </c>
      <c r="AF1148" s="49">
        <f t="shared" si="249"/>
        <v>0</v>
      </c>
      <c r="AG1148" s="49">
        <f t="shared" si="250"/>
        <v>0</v>
      </c>
      <c r="AH1148" s="55">
        <f t="shared" si="251"/>
        <v>333.01248319236493</v>
      </c>
    </row>
    <row r="1149" spans="1:34" x14ac:dyDescent="0.2">
      <c r="A1149" s="48" t="s">
        <v>1033</v>
      </c>
      <c r="B1149" s="48">
        <v>2</v>
      </c>
      <c r="C1149" s="48" t="s">
        <v>968</v>
      </c>
      <c r="D1149" s="48" t="s">
        <v>958</v>
      </c>
      <c r="E1149" s="48" t="s">
        <v>395</v>
      </c>
      <c r="F1149" s="48" t="s">
        <v>280</v>
      </c>
      <c r="G1149" s="48" t="s">
        <v>281</v>
      </c>
      <c r="H1149" s="48" t="s">
        <v>66</v>
      </c>
      <c r="I1149" s="48" t="s">
        <v>138</v>
      </c>
      <c r="J1149" s="49">
        <v>8</v>
      </c>
      <c r="K1149" s="50">
        <v>460</v>
      </c>
      <c r="L1149" s="50">
        <v>447.93</v>
      </c>
      <c r="M1149" s="48" t="s">
        <v>276</v>
      </c>
      <c r="N1149" s="51">
        <v>0.92</v>
      </c>
      <c r="O1149" s="51">
        <v>0.92220000000000002</v>
      </c>
      <c r="P1149" s="52">
        <v>383.2</v>
      </c>
      <c r="Q1149" s="52">
        <v>383.2</v>
      </c>
      <c r="R1149" s="53" t="str">
        <f>INDEX(SKU_Master!$D$5:$D$34,MATCH($I1149,SKU_Master!$A$5:$A$34,0))</f>
        <v>Monitor</v>
      </c>
      <c r="S1149" s="54">
        <f t="shared" si="238"/>
        <v>2.6239130434782543E-2</v>
      </c>
      <c r="T1149" s="55">
        <f t="shared" si="239"/>
        <v>4000</v>
      </c>
      <c r="U1149" s="55">
        <f t="shared" si="240"/>
        <v>3895.0434782608695</v>
      </c>
      <c r="V1149" s="55">
        <f t="shared" si="241"/>
        <v>-104.95652173913049</v>
      </c>
      <c r="W1149" s="55">
        <f t="shared" si="242"/>
        <v>3885.751463890696</v>
      </c>
      <c r="X1149" s="55">
        <f t="shared" si="243"/>
        <v>-9.2920143701735469</v>
      </c>
      <c r="Y1149" s="55">
        <f t="shared" si="244"/>
        <v>3065.6</v>
      </c>
      <c r="Z1149" s="55">
        <f t="shared" si="245"/>
        <v>3065.6</v>
      </c>
      <c r="AA1149" s="55">
        <f t="shared" si="246"/>
        <v>0</v>
      </c>
      <c r="AB1149" s="55">
        <f t="shared" si="247"/>
        <v>820.15146389069605</v>
      </c>
      <c r="AC1149" s="54">
        <f t="shared" si="248"/>
        <v>0.21106637197776437</v>
      </c>
      <c r="AD1149" s="56">
        <f>INDEX(Assumptions!$B$14:$B$16,MATCH($R1149,Assumptions!$A$14:$A$16,0))</f>
        <v>0.18</v>
      </c>
      <c r="AE1149" s="56">
        <f>INDEX(Assumptions!$C$14:$C$16,MATCH($R1149,Assumptions!$A$14:$A$16,0))</f>
        <v>0.12</v>
      </c>
      <c r="AF1149" s="49">
        <f t="shared" si="249"/>
        <v>0</v>
      </c>
      <c r="AG1149" s="49">
        <f t="shared" si="250"/>
        <v>0</v>
      </c>
      <c r="AH1149" s="55">
        <f t="shared" si="251"/>
        <v>0</v>
      </c>
    </row>
    <row r="1150" spans="1:34" x14ac:dyDescent="0.2">
      <c r="A1150" s="48" t="s">
        <v>1033</v>
      </c>
      <c r="B1150" s="48">
        <v>3</v>
      </c>
      <c r="C1150" s="48" t="s">
        <v>968</v>
      </c>
      <c r="D1150" s="48" t="s">
        <v>958</v>
      </c>
      <c r="E1150" s="48" t="s">
        <v>395</v>
      </c>
      <c r="F1150" s="48" t="s">
        <v>280</v>
      </c>
      <c r="G1150" s="48" t="s">
        <v>281</v>
      </c>
      <c r="H1150" s="48" t="s">
        <v>66</v>
      </c>
      <c r="I1150" s="48" t="s">
        <v>161</v>
      </c>
      <c r="J1150" s="49">
        <v>5</v>
      </c>
      <c r="K1150" s="50">
        <v>120</v>
      </c>
      <c r="L1150" s="50">
        <v>117.49</v>
      </c>
      <c r="M1150" s="48" t="s">
        <v>276</v>
      </c>
      <c r="N1150" s="51">
        <v>0.92</v>
      </c>
      <c r="O1150" s="51">
        <v>0.92220000000000002</v>
      </c>
      <c r="P1150" s="52">
        <v>81</v>
      </c>
      <c r="Q1150" s="52">
        <v>81</v>
      </c>
      <c r="R1150" s="53" t="str">
        <f>INDEX(SKU_Master!$D$5:$D$34,MATCH($I1150,SKU_Master!$A$5:$A$34,0))</f>
        <v>Accessory</v>
      </c>
      <c r="S1150" s="54">
        <f t="shared" si="238"/>
        <v>2.0916666666666694E-2</v>
      </c>
      <c r="T1150" s="55">
        <f t="shared" si="239"/>
        <v>652.17391304347825</v>
      </c>
      <c r="U1150" s="55">
        <f t="shared" si="240"/>
        <v>638.53260869565202</v>
      </c>
      <c r="V1150" s="55">
        <f t="shared" si="241"/>
        <v>-13.641304347826235</v>
      </c>
      <c r="W1150" s="55">
        <f t="shared" si="242"/>
        <v>637.00932552591621</v>
      </c>
      <c r="X1150" s="55">
        <f t="shared" si="243"/>
        <v>-1.5232831697358051</v>
      </c>
      <c r="Y1150" s="55">
        <f t="shared" si="244"/>
        <v>405</v>
      </c>
      <c r="Z1150" s="55">
        <f t="shared" si="245"/>
        <v>405</v>
      </c>
      <c r="AA1150" s="55">
        <f t="shared" si="246"/>
        <v>0</v>
      </c>
      <c r="AB1150" s="55">
        <f t="shared" si="247"/>
        <v>232.00932552591621</v>
      </c>
      <c r="AC1150" s="54">
        <f t="shared" si="248"/>
        <v>0.36421652906630342</v>
      </c>
      <c r="AD1150" s="56">
        <f>INDEX(Assumptions!$B$14:$B$16,MATCH($R1150,Assumptions!$A$14:$A$16,0))</f>
        <v>0.32</v>
      </c>
      <c r="AE1150" s="56">
        <f>INDEX(Assumptions!$C$14:$C$16,MATCH($R1150,Assumptions!$A$14:$A$16,0))</f>
        <v>0.22</v>
      </c>
      <c r="AF1150" s="49">
        <f t="shared" si="249"/>
        <v>0</v>
      </c>
      <c r="AG1150" s="49">
        <f t="shared" si="250"/>
        <v>0</v>
      </c>
      <c r="AH1150" s="55">
        <f t="shared" si="251"/>
        <v>0</v>
      </c>
    </row>
    <row r="1151" spans="1:34" x14ac:dyDescent="0.2">
      <c r="A1151" s="48" t="s">
        <v>1034</v>
      </c>
      <c r="B1151" s="48">
        <v>1</v>
      </c>
      <c r="C1151" s="48" t="s">
        <v>1021</v>
      </c>
      <c r="D1151" s="48" t="s">
        <v>958</v>
      </c>
      <c r="E1151" s="48" t="s">
        <v>333</v>
      </c>
      <c r="F1151" s="48" t="s">
        <v>297</v>
      </c>
      <c r="G1151" s="48" t="s">
        <v>302</v>
      </c>
      <c r="H1151" s="48" t="s">
        <v>70</v>
      </c>
      <c r="I1151" s="48" t="s">
        <v>98</v>
      </c>
      <c r="J1151" s="49">
        <v>48</v>
      </c>
      <c r="K1151" s="50">
        <v>200480</v>
      </c>
      <c r="L1151" s="50">
        <v>187210.68</v>
      </c>
      <c r="M1151" s="48" t="s">
        <v>276</v>
      </c>
      <c r="N1151" s="51">
        <v>83.5</v>
      </c>
      <c r="O1151" s="51">
        <v>84.566999999999993</v>
      </c>
      <c r="P1151" s="52">
        <v>2011.04</v>
      </c>
      <c r="Q1151" s="52">
        <v>2031.04</v>
      </c>
      <c r="R1151" s="53" t="str">
        <f>INDEX(SKU_Master!$D$5:$D$34,MATCH($I1151,SKU_Master!$A$5:$A$34,0))</f>
        <v>Laptop</v>
      </c>
      <c r="S1151" s="54">
        <f t="shared" si="238"/>
        <v>6.6187749401436569E-2</v>
      </c>
      <c r="T1151" s="55">
        <f t="shared" si="239"/>
        <v>115245.9880239521</v>
      </c>
      <c r="U1151" s="55">
        <f t="shared" si="240"/>
        <v>107618.11544910181</v>
      </c>
      <c r="V1151" s="55">
        <f t="shared" si="241"/>
        <v>-7627.8725748502911</v>
      </c>
      <c r="W1151" s="55">
        <f t="shared" si="242"/>
        <v>106260.27457518892</v>
      </c>
      <c r="X1151" s="55">
        <f t="shared" si="243"/>
        <v>-1357.8408739128936</v>
      </c>
      <c r="Y1151" s="55">
        <f t="shared" si="244"/>
        <v>96529.919999999998</v>
      </c>
      <c r="Z1151" s="55">
        <f t="shared" si="245"/>
        <v>97489.919999999998</v>
      </c>
      <c r="AA1151" s="55">
        <f t="shared" si="246"/>
        <v>-960</v>
      </c>
      <c r="AB1151" s="55">
        <f t="shared" si="247"/>
        <v>8770.3545751889178</v>
      </c>
      <c r="AC1151" s="54">
        <f t="shared" si="248"/>
        <v>8.2536532210662469E-2</v>
      </c>
      <c r="AD1151" s="56">
        <f>INDEX(Assumptions!$B$14:$B$16,MATCH($R1151,Assumptions!$A$14:$A$16,0))</f>
        <v>0.12</v>
      </c>
      <c r="AE1151" s="56">
        <f>INDEX(Assumptions!$C$14:$C$16,MATCH($R1151,Assumptions!$A$14:$A$16,0))</f>
        <v>0.08</v>
      </c>
      <c r="AF1151" s="49">
        <f t="shared" si="249"/>
        <v>0</v>
      </c>
      <c r="AG1151" s="49">
        <f t="shared" si="250"/>
        <v>0</v>
      </c>
      <c r="AH1151" s="55">
        <f t="shared" si="251"/>
        <v>3980.8783738337515</v>
      </c>
    </row>
    <row r="1152" spans="1:34" x14ac:dyDescent="0.2">
      <c r="A1152" s="48" t="s">
        <v>1034</v>
      </c>
      <c r="B1152" s="48">
        <v>2</v>
      </c>
      <c r="C1152" s="48" t="s">
        <v>1021</v>
      </c>
      <c r="D1152" s="48" t="s">
        <v>958</v>
      </c>
      <c r="E1152" s="48" t="s">
        <v>333</v>
      </c>
      <c r="F1152" s="48" t="s">
        <v>297</v>
      </c>
      <c r="G1152" s="48" t="s">
        <v>302</v>
      </c>
      <c r="H1152" s="48" t="s">
        <v>70</v>
      </c>
      <c r="I1152" s="48" t="s">
        <v>166</v>
      </c>
      <c r="J1152" s="49">
        <v>32</v>
      </c>
      <c r="K1152" s="50">
        <v>25820</v>
      </c>
      <c r="L1152" s="50">
        <v>24048</v>
      </c>
      <c r="M1152" s="48" t="s">
        <v>276</v>
      </c>
      <c r="N1152" s="51">
        <v>83.5</v>
      </c>
      <c r="O1152" s="51">
        <v>84.566999999999993</v>
      </c>
      <c r="P1152" s="52">
        <v>196.32</v>
      </c>
      <c r="Q1152" s="52">
        <v>201.32</v>
      </c>
      <c r="R1152" s="53" t="str">
        <f>INDEX(SKU_Master!$D$5:$D$34,MATCH($I1152,SKU_Master!$A$5:$A$34,0))</f>
        <v>Accessory</v>
      </c>
      <c r="S1152" s="54">
        <f t="shared" si="238"/>
        <v>6.8628969790859751E-2</v>
      </c>
      <c r="T1152" s="55">
        <f t="shared" si="239"/>
        <v>9895.0898203592806</v>
      </c>
      <c r="U1152" s="55">
        <f t="shared" si="240"/>
        <v>9216</v>
      </c>
      <c r="V1152" s="55">
        <f t="shared" si="241"/>
        <v>-679.08982035928057</v>
      </c>
      <c r="W1152" s="55">
        <f t="shared" si="242"/>
        <v>9099.7197488382008</v>
      </c>
      <c r="X1152" s="55">
        <f t="shared" si="243"/>
        <v>-116.28025116179924</v>
      </c>
      <c r="Y1152" s="55">
        <f t="shared" si="244"/>
        <v>6282.24</v>
      </c>
      <c r="Z1152" s="55">
        <f t="shared" si="245"/>
        <v>6442.24</v>
      </c>
      <c r="AA1152" s="55">
        <f t="shared" si="246"/>
        <v>-160</v>
      </c>
      <c r="AB1152" s="55">
        <f t="shared" si="247"/>
        <v>2657.479748838201</v>
      </c>
      <c r="AC1152" s="54">
        <f t="shared" si="248"/>
        <v>0.29203973552894225</v>
      </c>
      <c r="AD1152" s="56">
        <f>INDEX(Assumptions!$B$14:$B$16,MATCH($R1152,Assumptions!$A$14:$A$16,0))</f>
        <v>0.32</v>
      </c>
      <c r="AE1152" s="56">
        <f>INDEX(Assumptions!$C$14:$C$16,MATCH($R1152,Assumptions!$A$14:$A$16,0))</f>
        <v>0.22</v>
      </c>
      <c r="AF1152" s="49">
        <f t="shared" si="249"/>
        <v>0</v>
      </c>
      <c r="AG1152" s="49">
        <f t="shared" si="250"/>
        <v>0</v>
      </c>
      <c r="AH1152" s="55">
        <f t="shared" si="251"/>
        <v>254.43057079002347</v>
      </c>
    </row>
    <row r="1153" spans="1:34" x14ac:dyDescent="0.2">
      <c r="A1153" s="48" t="s">
        <v>1035</v>
      </c>
      <c r="B1153" s="48">
        <v>1</v>
      </c>
      <c r="C1153" s="48" t="s">
        <v>1012</v>
      </c>
      <c r="D1153" s="48" t="s">
        <v>958</v>
      </c>
      <c r="E1153" s="48" t="s">
        <v>339</v>
      </c>
      <c r="F1153" s="48" t="s">
        <v>280</v>
      </c>
      <c r="G1153" s="48" t="s">
        <v>302</v>
      </c>
      <c r="H1153" s="48" t="s">
        <v>62</v>
      </c>
      <c r="I1153" s="48" t="s">
        <v>98</v>
      </c>
      <c r="J1153" s="49">
        <v>11</v>
      </c>
      <c r="K1153" s="50">
        <v>2085</v>
      </c>
      <c r="L1153" s="50">
        <v>1967.42</v>
      </c>
      <c r="M1153" s="48" t="s">
        <v>276</v>
      </c>
      <c r="N1153" s="51">
        <v>1</v>
      </c>
      <c r="O1153" s="51">
        <v>1</v>
      </c>
      <c r="P1153" s="52">
        <v>1780.2</v>
      </c>
      <c r="Q1153" s="52">
        <v>1780.2</v>
      </c>
      <c r="R1153" s="53" t="str">
        <f>INDEX(SKU_Master!$D$5:$D$34,MATCH($I1153,SKU_Master!$A$5:$A$34,0))</f>
        <v>Laptop</v>
      </c>
      <c r="S1153" s="54">
        <f t="shared" si="238"/>
        <v>5.6393285371702628E-2</v>
      </c>
      <c r="T1153" s="55">
        <f t="shared" si="239"/>
        <v>22935</v>
      </c>
      <c r="U1153" s="55">
        <f t="shared" si="240"/>
        <v>21641.620000000003</v>
      </c>
      <c r="V1153" s="55">
        <f t="shared" si="241"/>
        <v>-1293.3799999999974</v>
      </c>
      <c r="W1153" s="55">
        <f t="shared" si="242"/>
        <v>21641.620000000003</v>
      </c>
      <c r="X1153" s="55">
        <f t="shared" si="243"/>
        <v>0</v>
      </c>
      <c r="Y1153" s="55">
        <f t="shared" si="244"/>
        <v>19582.2</v>
      </c>
      <c r="Z1153" s="55">
        <f t="shared" si="245"/>
        <v>19582.2</v>
      </c>
      <c r="AA1153" s="55">
        <f t="shared" si="246"/>
        <v>0</v>
      </c>
      <c r="AB1153" s="55">
        <f t="shared" si="247"/>
        <v>2059.4200000000019</v>
      </c>
      <c r="AC1153" s="54">
        <f t="shared" si="248"/>
        <v>9.51601589899463E-2</v>
      </c>
      <c r="AD1153" s="56">
        <f>INDEX(Assumptions!$B$14:$B$16,MATCH($R1153,Assumptions!$A$14:$A$16,0))</f>
        <v>0.12</v>
      </c>
      <c r="AE1153" s="56">
        <f>INDEX(Assumptions!$C$14:$C$16,MATCH($R1153,Assumptions!$A$14:$A$16,0))</f>
        <v>0.08</v>
      </c>
      <c r="AF1153" s="49">
        <f t="shared" si="249"/>
        <v>0</v>
      </c>
      <c r="AG1153" s="49">
        <f t="shared" si="250"/>
        <v>0</v>
      </c>
      <c r="AH1153" s="55">
        <f t="shared" si="251"/>
        <v>537.57439999999815</v>
      </c>
    </row>
    <row r="1154" spans="1:34" x14ac:dyDescent="0.2">
      <c r="A1154" s="48" t="s">
        <v>1035</v>
      </c>
      <c r="B1154" s="48">
        <v>2</v>
      </c>
      <c r="C1154" s="48" t="s">
        <v>1012</v>
      </c>
      <c r="D1154" s="48" t="s">
        <v>958</v>
      </c>
      <c r="E1154" s="48" t="s">
        <v>339</v>
      </c>
      <c r="F1154" s="48" t="s">
        <v>280</v>
      </c>
      <c r="G1154" s="48" t="s">
        <v>302</v>
      </c>
      <c r="H1154" s="48" t="s">
        <v>62</v>
      </c>
      <c r="I1154" s="48" t="s">
        <v>177</v>
      </c>
      <c r="J1154" s="49">
        <v>5</v>
      </c>
      <c r="K1154" s="50">
        <v>70</v>
      </c>
      <c r="L1154" s="50">
        <v>66.010000000000005</v>
      </c>
      <c r="M1154" s="48" t="s">
        <v>276</v>
      </c>
      <c r="N1154" s="51">
        <v>1</v>
      </c>
      <c r="O1154" s="51">
        <v>1</v>
      </c>
      <c r="P1154" s="52">
        <v>44</v>
      </c>
      <c r="Q1154" s="52">
        <v>44</v>
      </c>
      <c r="R1154" s="53" t="str">
        <f>INDEX(SKU_Master!$D$5:$D$34,MATCH($I1154,SKU_Master!$A$5:$A$34,0))</f>
        <v>Accessory</v>
      </c>
      <c r="S1154" s="54">
        <f t="shared" si="238"/>
        <v>5.699999999999994E-2</v>
      </c>
      <c r="T1154" s="55">
        <f t="shared" si="239"/>
        <v>350</v>
      </c>
      <c r="U1154" s="55">
        <f t="shared" si="240"/>
        <v>330.05</v>
      </c>
      <c r="V1154" s="55">
        <f t="shared" si="241"/>
        <v>-19.949999999999989</v>
      </c>
      <c r="W1154" s="55">
        <f t="shared" si="242"/>
        <v>330.05</v>
      </c>
      <c r="X1154" s="55">
        <f t="shared" si="243"/>
        <v>0</v>
      </c>
      <c r="Y1154" s="55">
        <f t="shared" si="244"/>
        <v>220</v>
      </c>
      <c r="Z1154" s="55">
        <f t="shared" si="245"/>
        <v>220</v>
      </c>
      <c r="AA1154" s="55">
        <f t="shared" si="246"/>
        <v>0</v>
      </c>
      <c r="AB1154" s="55">
        <f t="shared" si="247"/>
        <v>110.05000000000001</v>
      </c>
      <c r="AC1154" s="54">
        <f t="shared" si="248"/>
        <v>0.33343432813210122</v>
      </c>
      <c r="AD1154" s="56">
        <f>INDEX(Assumptions!$B$14:$B$16,MATCH($R1154,Assumptions!$A$14:$A$16,0))</f>
        <v>0.32</v>
      </c>
      <c r="AE1154" s="56">
        <f>INDEX(Assumptions!$C$14:$C$16,MATCH($R1154,Assumptions!$A$14:$A$16,0))</f>
        <v>0.22</v>
      </c>
      <c r="AF1154" s="49">
        <f t="shared" si="249"/>
        <v>0</v>
      </c>
      <c r="AG1154" s="49">
        <f t="shared" si="250"/>
        <v>0</v>
      </c>
      <c r="AH1154" s="55">
        <f t="shared" si="251"/>
        <v>0</v>
      </c>
    </row>
    <row r="1155" spans="1:34" x14ac:dyDescent="0.2">
      <c r="A1155" s="48" t="s">
        <v>1036</v>
      </c>
      <c r="B1155" s="48">
        <v>1</v>
      </c>
      <c r="C1155" s="48" t="s">
        <v>970</v>
      </c>
      <c r="D1155" s="48" t="s">
        <v>958</v>
      </c>
      <c r="E1155" s="48" t="s">
        <v>393</v>
      </c>
      <c r="F1155" s="48" t="s">
        <v>274</v>
      </c>
      <c r="G1155" s="48" t="s">
        <v>275</v>
      </c>
      <c r="H1155" s="48" t="s">
        <v>66</v>
      </c>
      <c r="I1155" s="48" t="s">
        <v>121</v>
      </c>
      <c r="J1155" s="49">
        <v>3</v>
      </c>
      <c r="K1155" s="50">
        <v>885</v>
      </c>
      <c r="L1155" s="50">
        <v>870.53</v>
      </c>
      <c r="M1155" s="48" t="s">
        <v>276</v>
      </c>
      <c r="N1155" s="51">
        <v>0.92</v>
      </c>
      <c r="O1155" s="51">
        <v>0.92220000000000002</v>
      </c>
      <c r="P1155" s="52">
        <v>802.4</v>
      </c>
      <c r="Q1155" s="52">
        <v>802.4</v>
      </c>
      <c r="R1155" s="53" t="str">
        <f>INDEX(SKU_Master!$D$5:$D$34,MATCH($I1155,SKU_Master!$A$5:$A$34,0))</f>
        <v>Laptop</v>
      </c>
      <c r="S1155" s="54">
        <f t="shared" si="238"/>
        <v>1.6350282485875778E-2</v>
      </c>
      <c r="T1155" s="55">
        <f t="shared" si="239"/>
        <v>2885.869565217391</v>
      </c>
      <c r="U1155" s="55">
        <f t="shared" si="240"/>
        <v>2838.6847826086955</v>
      </c>
      <c r="V1155" s="55">
        <f t="shared" si="241"/>
        <v>-47.184782608695514</v>
      </c>
      <c r="W1155" s="55">
        <f t="shared" si="242"/>
        <v>2831.9128171763177</v>
      </c>
      <c r="X1155" s="55">
        <f t="shared" si="243"/>
        <v>-6.7719654323777831</v>
      </c>
      <c r="Y1155" s="55">
        <f t="shared" si="244"/>
        <v>2407.1999999999998</v>
      </c>
      <c r="Z1155" s="55">
        <f t="shared" si="245"/>
        <v>2407.1999999999998</v>
      </c>
      <c r="AA1155" s="55">
        <f t="shared" si="246"/>
        <v>0</v>
      </c>
      <c r="AB1155" s="55">
        <f t="shared" si="247"/>
        <v>424.71281717631791</v>
      </c>
      <c r="AC1155" s="54">
        <f t="shared" si="248"/>
        <v>0.14997383203335912</v>
      </c>
      <c r="AD1155" s="56">
        <f>INDEX(Assumptions!$B$14:$B$16,MATCH($R1155,Assumptions!$A$14:$A$16,0))</f>
        <v>0.12</v>
      </c>
      <c r="AE1155" s="56">
        <f>INDEX(Assumptions!$C$14:$C$16,MATCH($R1155,Assumptions!$A$14:$A$16,0))</f>
        <v>0.08</v>
      </c>
      <c r="AF1155" s="49">
        <f t="shared" si="249"/>
        <v>0</v>
      </c>
      <c r="AG1155" s="49">
        <f t="shared" si="250"/>
        <v>0</v>
      </c>
      <c r="AH1155" s="55">
        <f t="shared" si="251"/>
        <v>0</v>
      </c>
    </row>
    <row r="1156" spans="1:34" x14ac:dyDescent="0.2">
      <c r="A1156" s="48" t="s">
        <v>1036</v>
      </c>
      <c r="B1156" s="48">
        <v>2</v>
      </c>
      <c r="C1156" s="48" t="s">
        <v>970</v>
      </c>
      <c r="D1156" s="48" t="s">
        <v>958</v>
      </c>
      <c r="E1156" s="48" t="s">
        <v>393</v>
      </c>
      <c r="F1156" s="48" t="s">
        <v>274</v>
      </c>
      <c r="G1156" s="48" t="s">
        <v>275</v>
      </c>
      <c r="H1156" s="48" t="s">
        <v>66</v>
      </c>
      <c r="I1156" s="48" t="s">
        <v>146</v>
      </c>
      <c r="J1156" s="49">
        <v>2</v>
      </c>
      <c r="K1156" s="50">
        <v>250</v>
      </c>
      <c r="L1156" s="50">
        <v>248.21</v>
      </c>
      <c r="M1156" s="48" t="s">
        <v>276</v>
      </c>
      <c r="N1156" s="51">
        <v>0.92</v>
      </c>
      <c r="O1156" s="51">
        <v>0.92220000000000002</v>
      </c>
      <c r="P1156" s="52">
        <v>206.8</v>
      </c>
      <c r="Q1156" s="52">
        <v>206.8</v>
      </c>
      <c r="R1156" s="53" t="str">
        <f>INDEX(SKU_Master!$D$5:$D$34,MATCH($I1156,SKU_Master!$A$5:$A$34,0))</f>
        <v>Monitor</v>
      </c>
      <c r="S1156" s="54">
        <f t="shared" si="238"/>
        <v>7.1599999999999442E-3</v>
      </c>
      <c r="T1156" s="55">
        <f t="shared" si="239"/>
        <v>543.47826086956525</v>
      </c>
      <c r="U1156" s="55">
        <f t="shared" si="240"/>
        <v>539.58695652173913</v>
      </c>
      <c r="V1156" s="55">
        <f t="shared" si="241"/>
        <v>-3.8913043478261216</v>
      </c>
      <c r="W1156" s="55">
        <f t="shared" si="242"/>
        <v>538.29971806549554</v>
      </c>
      <c r="X1156" s="55">
        <f t="shared" si="243"/>
        <v>-1.2872384562435855</v>
      </c>
      <c r="Y1156" s="55">
        <f t="shared" si="244"/>
        <v>413.6</v>
      </c>
      <c r="Z1156" s="55">
        <f t="shared" si="245"/>
        <v>413.6</v>
      </c>
      <c r="AA1156" s="55">
        <f t="shared" si="246"/>
        <v>0</v>
      </c>
      <c r="AB1156" s="55">
        <f t="shared" si="247"/>
        <v>124.69971806549552</v>
      </c>
      <c r="AC1156" s="54">
        <f t="shared" si="248"/>
        <v>0.2316548084283469</v>
      </c>
      <c r="AD1156" s="56">
        <f>INDEX(Assumptions!$B$14:$B$16,MATCH($R1156,Assumptions!$A$14:$A$16,0))</f>
        <v>0.18</v>
      </c>
      <c r="AE1156" s="56">
        <f>INDEX(Assumptions!$C$14:$C$16,MATCH($R1156,Assumptions!$A$14:$A$16,0))</f>
        <v>0.12</v>
      </c>
      <c r="AF1156" s="49">
        <f t="shared" si="249"/>
        <v>0</v>
      </c>
      <c r="AG1156" s="49">
        <f t="shared" si="250"/>
        <v>0</v>
      </c>
      <c r="AH1156" s="55">
        <f t="shared" si="251"/>
        <v>0</v>
      </c>
    </row>
    <row r="1157" spans="1:34" x14ac:dyDescent="0.2">
      <c r="A1157" s="48" t="s">
        <v>1037</v>
      </c>
      <c r="B1157" s="48">
        <v>1</v>
      </c>
      <c r="C1157" s="48" t="s">
        <v>996</v>
      </c>
      <c r="D1157" s="48" t="s">
        <v>958</v>
      </c>
      <c r="E1157" s="48" t="s">
        <v>343</v>
      </c>
      <c r="F1157" s="48" t="s">
        <v>280</v>
      </c>
      <c r="G1157" s="48" t="s">
        <v>281</v>
      </c>
      <c r="H1157" s="48" t="s">
        <v>62</v>
      </c>
      <c r="I1157" s="48" t="s">
        <v>113</v>
      </c>
      <c r="J1157" s="49">
        <v>16</v>
      </c>
      <c r="K1157" s="50">
        <v>1740</v>
      </c>
      <c r="L1157" s="50">
        <v>1717.01</v>
      </c>
      <c r="M1157" s="48" t="s">
        <v>276</v>
      </c>
      <c r="N1157" s="51">
        <v>1</v>
      </c>
      <c r="O1157" s="51">
        <v>1</v>
      </c>
      <c r="P1157" s="52">
        <v>1484.8</v>
      </c>
      <c r="Q1157" s="52">
        <v>1484.8</v>
      </c>
      <c r="R1157" s="53" t="str">
        <f>INDEX(SKU_Master!$D$5:$D$34,MATCH($I1157,SKU_Master!$A$5:$A$34,0))</f>
        <v>Laptop</v>
      </c>
      <c r="S1157" s="54">
        <f t="shared" ref="S1157:S1220" si="252">IF(K1157=0,0,1-L1157/K1157)</f>
        <v>1.3212643678160885E-2</v>
      </c>
      <c r="T1157" s="55">
        <f t="shared" ref="T1157:T1220" si="253">J1157*K1157/N1157</f>
        <v>27840</v>
      </c>
      <c r="U1157" s="55">
        <f t="shared" ref="U1157:U1220" si="254">J1157*L1157/N1157</f>
        <v>27472.16</v>
      </c>
      <c r="V1157" s="55">
        <f t="shared" ref="V1157:V1220" si="255">U1157-T1157</f>
        <v>-367.84000000000015</v>
      </c>
      <c r="W1157" s="55">
        <f t="shared" ref="W1157:W1220" si="256">J1157*L1157/O1157</f>
        <v>27472.16</v>
      </c>
      <c r="X1157" s="55">
        <f t="shared" ref="X1157:X1220" si="257">W1157-U1157</f>
        <v>0</v>
      </c>
      <c r="Y1157" s="55">
        <f t="shared" ref="Y1157:Y1220" si="258">J1157*P1157</f>
        <v>23756.799999999999</v>
      </c>
      <c r="Z1157" s="55">
        <f t="shared" ref="Z1157:Z1220" si="259">J1157*Q1157</f>
        <v>23756.799999999999</v>
      </c>
      <c r="AA1157" s="55">
        <f t="shared" ref="AA1157:AA1220" si="260">Y1157-Z1157</f>
        <v>0</v>
      </c>
      <c r="AB1157" s="55">
        <f t="shared" ref="AB1157:AB1220" si="261">W1157-Z1157</f>
        <v>3715.3600000000006</v>
      </c>
      <c r="AC1157" s="54">
        <f t="shared" ref="AC1157:AC1220" si="262">IF(W1157=0,0,AB1157/W1157)</f>
        <v>0.13524091298245208</v>
      </c>
      <c r="AD1157" s="56">
        <f>INDEX(Assumptions!$B$14:$B$16,MATCH($R1157,Assumptions!$A$14:$A$16,0))</f>
        <v>0.12</v>
      </c>
      <c r="AE1157" s="56">
        <f>INDEX(Assumptions!$C$14:$C$16,MATCH($R1157,Assumptions!$A$14:$A$16,0))</f>
        <v>0.08</v>
      </c>
      <c r="AF1157" s="49">
        <f t="shared" ref="AF1157:AF1220" si="263">IF(AC1157&lt;AE1157,1,0)</f>
        <v>0</v>
      </c>
      <c r="AG1157" s="49">
        <f t="shared" ref="AG1157:AG1220" si="264">IF(AND(AF1157=1,M1157="N"),1,0)</f>
        <v>0</v>
      </c>
      <c r="AH1157" s="55">
        <f t="shared" ref="AH1157:AH1220" si="265">MAX(0,W1157*AD1157-AB1157)</f>
        <v>0</v>
      </c>
    </row>
    <row r="1158" spans="1:34" x14ac:dyDescent="0.2">
      <c r="A1158" s="48" t="s">
        <v>1037</v>
      </c>
      <c r="B1158" s="48">
        <v>2</v>
      </c>
      <c r="C1158" s="48" t="s">
        <v>996</v>
      </c>
      <c r="D1158" s="48" t="s">
        <v>958</v>
      </c>
      <c r="E1158" s="48" t="s">
        <v>343</v>
      </c>
      <c r="F1158" s="48" t="s">
        <v>280</v>
      </c>
      <c r="G1158" s="48" t="s">
        <v>281</v>
      </c>
      <c r="H1158" s="48" t="s">
        <v>62</v>
      </c>
      <c r="I1158" s="48" t="s">
        <v>173</v>
      </c>
      <c r="J1158" s="49">
        <v>9</v>
      </c>
      <c r="K1158" s="50">
        <v>55</v>
      </c>
      <c r="L1158" s="50">
        <v>52.63</v>
      </c>
      <c r="M1158" s="48" t="s">
        <v>276</v>
      </c>
      <c r="N1158" s="51">
        <v>1</v>
      </c>
      <c r="O1158" s="51">
        <v>1</v>
      </c>
      <c r="P1158" s="52">
        <v>34</v>
      </c>
      <c r="Q1158" s="52">
        <v>34</v>
      </c>
      <c r="R1158" s="53" t="str">
        <f>INDEX(SKU_Master!$D$5:$D$34,MATCH($I1158,SKU_Master!$A$5:$A$34,0))</f>
        <v>Accessory</v>
      </c>
      <c r="S1158" s="54">
        <f t="shared" si="252"/>
        <v>4.3090909090909069E-2</v>
      </c>
      <c r="T1158" s="55">
        <f t="shared" si="253"/>
        <v>495</v>
      </c>
      <c r="U1158" s="55">
        <f t="shared" si="254"/>
        <v>473.67</v>
      </c>
      <c r="V1158" s="55">
        <f t="shared" si="255"/>
        <v>-21.329999999999984</v>
      </c>
      <c r="W1158" s="55">
        <f t="shared" si="256"/>
        <v>473.67</v>
      </c>
      <c r="X1158" s="55">
        <f t="shared" si="257"/>
        <v>0</v>
      </c>
      <c r="Y1158" s="55">
        <f t="shared" si="258"/>
        <v>306</v>
      </c>
      <c r="Z1158" s="55">
        <f t="shared" si="259"/>
        <v>306</v>
      </c>
      <c r="AA1158" s="55">
        <f t="shared" si="260"/>
        <v>0</v>
      </c>
      <c r="AB1158" s="55">
        <f t="shared" si="261"/>
        <v>167.67000000000002</v>
      </c>
      <c r="AC1158" s="54">
        <f t="shared" si="262"/>
        <v>0.35398061941858255</v>
      </c>
      <c r="AD1158" s="56">
        <f>INDEX(Assumptions!$B$14:$B$16,MATCH($R1158,Assumptions!$A$14:$A$16,0))</f>
        <v>0.32</v>
      </c>
      <c r="AE1158" s="56">
        <f>INDEX(Assumptions!$C$14:$C$16,MATCH($R1158,Assumptions!$A$14:$A$16,0))</f>
        <v>0.22</v>
      </c>
      <c r="AF1158" s="49">
        <f t="shared" si="263"/>
        <v>0</v>
      </c>
      <c r="AG1158" s="49">
        <f t="shared" si="264"/>
        <v>0</v>
      </c>
      <c r="AH1158" s="55">
        <f t="shared" si="265"/>
        <v>0</v>
      </c>
    </row>
    <row r="1159" spans="1:34" x14ac:dyDescent="0.2">
      <c r="A1159" s="48" t="s">
        <v>1038</v>
      </c>
      <c r="B1159" s="48">
        <v>1</v>
      </c>
      <c r="C1159" s="48" t="s">
        <v>964</v>
      </c>
      <c r="D1159" s="48" t="s">
        <v>958</v>
      </c>
      <c r="E1159" s="48" t="s">
        <v>393</v>
      </c>
      <c r="F1159" s="48" t="s">
        <v>274</v>
      </c>
      <c r="G1159" s="48" t="s">
        <v>275</v>
      </c>
      <c r="H1159" s="48" t="s">
        <v>66</v>
      </c>
      <c r="I1159" s="48" t="s">
        <v>113</v>
      </c>
      <c r="J1159" s="49">
        <v>3</v>
      </c>
      <c r="K1159" s="50">
        <v>1655</v>
      </c>
      <c r="L1159" s="50">
        <v>1623.21</v>
      </c>
      <c r="M1159" s="48" t="s">
        <v>276</v>
      </c>
      <c r="N1159" s="51">
        <v>0.92</v>
      </c>
      <c r="O1159" s="51">
        <v>0.92220000000000002</v>
      </c>
      <c r="P1159" s="52">
        <v>1504.8</v>
      </c>
      <c r="Q1159" s="52">
        <v>1504.8</v>
      </c>
      <c r="R1159" s="53" t="str">
        <f>INDEX(SKU_Master!$D$5:$D$34,MATCH($I1159,SKU_Master!$A$5:$A$34,0))</f>
        <v>Laptop</v>
      </c>
      <c r="S1159" s="54">
        <f t="shared" si="252"/>
        <v>1.9208459214501539E-2</v>
      </c>
      <c r="T1159" s="55">
        <f t="shared" si="253"/>
        <v>5396.7391304347821</v>
      </c>
      <c r="U1159" s="55">
        <f t="shared" si="254"/>
        <v>5293.076086956522</v>
      </c>
      <c r="V1159" s="55">
        <f t="shared" si="255"/>
        <v>-103.66304347826008</v>
      </c>
      <c r="W1159" s="55">
        <f t="shared" si="256"/>
        <v>5280.4489264801559</v>
      </c>
      <c r="X1159" s="55">
        <f t="shared" si="257"/>
        <v>-12.627160476366043</v>
      </c>
      <c r="Y1159" s="55">
        <f t="shared" si="258"/>
        <v>4514.3999999999996</v>
      </c>
      <c r="Z1159" s="55">
        <f t="shared" si="259"/>
        <v>4514.3999999999996</v>
      </c>
      <c r="AA1159" s="55">
        <f t="shared" si="260"/>
        <v>0</v>
      </c>
      <c r="AB1159" s="55">
        <f t="shared" si="261"/>
        <v>766.0489264801563</v>
      </c>
      <c r="AC1159" s="54">
        <f t="shared" si="262"/>
        <v>0.14507268930082987</v>
      </c>
      <c r="AD1159" s="56">
        <f>INDEX(Assumptions!$B$14:$B$16,MATCH($R1159,Assumptions!$A$14:$A$16,0))</f>
        <v>0.12</v>
      </c>
      <c r="AE1159" s="56">
        <f>INDEX(Assumptions!$C$14:$C$16,MATCH($R1159,Assumptions!$A$14:$A$16,0))</f>
        <v>0.08</v>
      </c>
      <c r="AF1159" s="49">
        <f t="shared" si="263"/>
        <v>0</v>
      </c>
      <c r="AG1159" s="49">
        <f t="shared" si="264"/>
        <v>0</v>
      </c>
      <c r="AH1159" s="55">
        <f t="shared" si="265"/>
        <v>0</v>
      </c>
    </row>
    <row r="1160" spans="1:34" x14ac:dyDescent="0.2">
      <c r="A1160" s="48" t="s">
        <v>1038</v>
      </c>
      <c r="B1160" s="48">
        <v>2</v>
      </c>
      <c r="C1160" s="48" t="s">
        <v>964</v>
      </c>
      <c r="D1160" s="48" t="s">
        <v>958</v>
      </c>
      <c r="E1160" s="48" t="s">
        <v>393</v>
      </c>
      <c r="F1160" s="48" t="s">
        <v>274</v>
      </c>
      <c r="G1160" s="48" t="s">
        <v>275</v>
      </c>
      <c r="H1160" s="48" t="s">
        <v>66</v>
      </c>
      <c r="I1160" s="48" t="s">
        <v>135</v>
      </c>
      <c r="J1160" s="49">
        <v>3</v>
      </c>
      <c r="K1160" s="50">
        <v>255</v>
      </c>
      <c r="L1160" s="50">
        <v>253.2</v>
      </c>
      <c r="M1160" s="48" t="s">
        <v>276</v>
      </c>
      <c r="N1160" s="51">
        <v>0.92</v>
      </c>
      <c r="O1160" s="51">
        <v>0.92220000000000002</v>
      </c>
      <c r="P1160" s="52">
        <v>211.7</v>
      </c>
      <c r="Q1160" s="52">
        <v>211.7</v>
      </c>
      <c r="R1160" s="53" t="str">
        <f>INDEX(SKU_Master!$D$5:$D$34,MATCH($I1160,SKU_Master!$A$5:$A$34,0))</f>
        <v>Monitor</v>
      </c>
      <c r="S1160" s="54">
        <f t="shared" si="252"/>
        <v>7.058823529411784E-3</v>
      </c>
      <c r="T1160" s="55">
        <f t="shared" si="253"/>
        <v>831.52173913043475</v>
      </c>
      <c r="U1160" s="55">
        <f t="shared" si="254"/>
        <v>825.65217391304338</v>
      </c>
      <c r="V1160" s="55">
        <f t="shared" si="255"/>
        <v>-5.8695652173913686</v>
      </c>
      <c r="W1160" s="55">
        <f t="shared" si="256"/>
        <v>823.68249837345468</v>
      </c>
      <c r="X1160" s="55">
        <f t="shared" si="257"/>
        <v>-1.9696755395887067</v>
      </c>
      <c r="Y1160" s="55">
        <f t="shared" si="258"/>
        <v>635.09999999999991</v>
      </c>
      <c r="Z1160" s="55">
        <f t="shared" si="259"/>
        <v>635.09999999999991</v>
      </c>
      <c r="AA1160" s="55">
        <f t="shared" si="260"/>
        <v>0</v>
      </c>
      <c r="AB1160" s="55">
        <f t="shared" si="261"/>
        <v>188.58249837345477</v>
      </c>
      <c r="AC1160" s="54">
        <f t="shared" si="262"/>
        <v>0.22895047393364931</v>
      </c>
      <c r="AD1160" s="56">
        <f>INDEX(Assumptions!$B$14:$B$16,MATCH($R1160,Assumptions!$A$14:$A$16,0))</f>
        <v>0.18</v>
      </c>
      <c r="AE1160" s="56">
        <f>INDEX(Assumptions!$C$14:$C$16,MATCH($R1160,Assumptions!$A$14:$A$16,0))</f>
        <v>0.12</v>
      </c>
      <c r="AF1160" s="49">
        <f t="shared" si="263"/>
        <v>0</v>
      </c>
      <c r="AG1160" s="49">
        <f t="shared" si="264"/>
        <v>0</v>
      </c>
      <c r="AH1160" s="55">
        <f t="shared" si="265"/>
        <v>0</v>
      </c>
    </row>
    <row r="1161" spans="1:34" x14ac:dyDescent="0.2">
      <c r="A1161" s="48" t="s">
        <v>1039</v>
      </c>
      <c r="B1161" s="48">
        <v>1</v>
      </c>
      <c r="C1161" s="48" t="s">
        <v>1015</v>
      </c>
      <c r="D1161" s="48" t="s">
        <v>958</v>
      </c>
      <c r="E1161" s="48" t="s">
        <v>322</v>
      </c>
      <c r="F1161" s="48" t="s">
        <v>274</v>
      </c>
      <c r="G1161" s="48" t="s">
        <v>288</v>
      </c>
      <c r="H1161" s="48" t="s">
        <v>62</v>
      </c>
      <c r="I1161" s="48" t="s">
        <v>108</v>
      </c>
      <c r="J1161" s="49">
        <v>6</v>
      </c>
      <c r="K1161" s="50">
        <v>1345</v>
      </c>
      <c r="L1161" s="50">
        <v>1324.89</v>
      </c>
      <c r="M1161" s="48" t="s">
        <v>276</v>
      </c>
      <c r="N1161" s="51">
        <v>1</v>
      </c>
      <c r="O1161" s="51">
        <v>1</v>
      </c>
      <c r="P1161" s="52">
        <v>1145</v>
      </c>
      <c r="Q1161" s="52">
        <v>1212.6199999999999</v>
      </c>
      <c r="R1161" s="53" t="str">
        <f>INDEX(SKU_Master!$D$5:$D$34,MATCH($I1161,SKU_Master!$A$5:$A$34,0))</f>
        <v>Laptop</v>
      </c>
      <c r="S1161" s="54">
        <f t="shared" si="252"/>
        <v>1.4951672862453469E-2</v>
      </c>
      <c r="T1161" s="55">
        <f t="shared" si="253"/>
        <v>8070</v>
      </c>
      <c r="U1161" s="55">
        <f t="shared" si="254"/>
        <v>7949.34</v>
      </c>
      <c r="V1161" s="55">
        <f t="shared" si="255"/>
        <v>-120.65999999999985</v>
      </c>
      <c r="W1161" s="55">
        <f t="shared" si="256"/>
        <v>7949.34</v>
      </c>
      <c r="X1161" s="55">
        <f t="shared" si="257"/>
        <v>0</v>
      </c>
      <c r="Y1161" s="55">
        <f t="shared" si="258"/>
        <v>6870</v>
      </c>
      <c r="Z1161" s="55">
        <f t="shared" si="259"/>
        <v>7275.7199999999993</v>
      </c>
      <c r="AA1161" s="55">
        <f t="shared" si="260"/>
        <v>-405.71999999999935</v>
      </c>
      <c r="AB1161" s="55">
        <f t="shared" si="261"/>
        <v>673.6200000000008</v>
      </c>
      <c r="AC1161" s="54">
        <f t="shared" si="262"/>
        <v>8.4739110416713934E-2</v>
      </c>
      <c r="AD1161" s="56">
        <f>INDEX(Assumptions!$B$14:$B$16,MATCH($R1161,Assumptions!$A$14:$A$16,0))</f>
        <v>0.12</v>
      </c>
      <c r="AE1161" s="56">
        <f>INDEX(Assumptions!$C$14:$C$16,MATCH($R1161,Assumptions!$A$14:$A$16,0))</f>
        <v>0.08</v>
      </c>
      <c r="AF1161" s="49">
        <f t="shared" si="263"/>
        <v>0</v>
      </c>
      <c r="AG1161" s="49">
        <f t="shared" si="264"/>
        <v>0</v>
      </c>
      <c r="AH1161" s="55">
        <f t="shared" si="265"/>
        <v>280.30079999999919</v>
      </c>
    </row>
    <row r="1162" spans="1:34" x14ac:dyDescent="0.2">
      <c r="A1162" s="48" t="s">
        <v>1039</v>
      </c>
      <c r="B1162" s="48">
        <v>2</v>
      </c>
      <c r="C1162" s="48" t="s">
        <v>1015</v>
      </c>
      <c r="D1162" s="48" t="s">
        <v>958</v>
      </c>
      <c r="E1162" s="48" t="s">
        <v>322</v>
      </c>
      <c r="F1162" s="48" t="s">
        <v>274</v>
      </c>
      <c r="G1162" s="48" t="s">
        <v>288</v>
      </c>
      <c r="H1162" s="48" t="s">
        <v>62</v>
      </c>
      <c r="I1162" s="48" t="s">
        <v>135</v>
      </c>
      <c r="J1162" s="49">
        <v>6</v>
      </c>
      <c r="K1162" s="50">
        <v>240</v>
      </c>
      <c r="L1162" s="50">
        <v>237.45</v>
      </c>
      <c r="M1162" s="48" t="s">
        <v>276</v>
      </c>
      <c r="N1162" s="51">
        <v>1</v>
      </c>
      <c r="O1162" s="51">
        <v>1</v>
      </c>
      <c r="P1162" s="52">
        <v>186.7</v>
      </c>
      <c r="Q1162" s="52">
        <v>186.7</v>
      </c>
      <c r="R1162" s="53" t="str">
        <f>INDEX(SKU_Master!$D$5:$D$34,MATCH($I1162,SKU_Master!$A$5:$A$34,0))</f>
        <v>Monitor</v>
      </c>
      <c r="S1162" s="54">
        <f t="shared" si="252"/>
        <v>1.0624999999999996E-2</v>
      </c>
      <c r="T1162" s="55">
        <f t="shared" si="253"/>
        <v>1440</v>
      </c>
      <c r="U1162" s="55">
        <f t="shared" si="254"/>
        <v>1424.6999999999998</v>
      </c>
      <c r="V1162" s="55">
        <f t="shared" si="255"/>
        <v>-15.300000000000182</v>
      </c>
      <c r="W1162" s="55">
        <f t="shared" si="256"/>
        <v>1424.6999999999998</v>
      </c>
      <c r="X1162" s="55">
        <f t="shared" si="257"/>
        <v>0</v>
      </c>
      <c r="Y1162" s="55">
        <f t="shared" si="258"/>
        <v>1120.1999999999998</v>
      </c>
      <c r="Z1162" s="55">
        <f t="shared" si="259"/>
        <v>1120.1999999999998</v>
      </c>
      <c r="AA1162" s="55">
        <f t="shared" si="260"/>
        <v>0</v>
      </c>
      <c r="AB1162" s="55">
        <f t="shared" si="261"/>
        <v>304.5</v>
      </c>
      <c r="AC1162" s="54">
        <f t="shared" si="262"/>
        <v>0.21372920614866289</v>
      </c>
      <c r="AD1162" s="56">
        <f>INDEX(Assumptions!$B$14:$B$16,MATCH($R1162,Assumptions!$A$14:$A$16,0))</f>
        <v>0.18</v>
      </c>
      <c r="AE1162" s="56">
        <f>INDEX(Assumptions!$C$14:$C$16,MATCH($R1162,Assumptions!$A$14:$A$16,0))</f>
        <v>0.12</v>
      </c>
      <c r="AF1162" s="49">
        <f t="shared" si="263"/>
        <v>0</v>
      </c>
      <c r="AG1162" s="49">
        <f t="shared" si="264"/>
        <v>0</v>
      </c>
      <c r="AH1162" s="55">
        <f t="shared" si="265"/>
        <v>0</v>
      </c>
    </row>
    <row r="1163" spans="1:34" x14ac:dyDescent="0.2">
      <c r="A1163" s="48" t="s">
        <v>1039</v>
      </c>
      <c r="B1163" s="48">
        <v>3</v>
      </c>
      <c r="C1163" s="48" t="s">
        <v>1015</v>
      </c>
      <c r="D1163" s="48" t="s">
        <v>958</v>
      </c>
      <c r="E1163" s="48" t="s">
        <v>322</v>
      </c>
      <c r="F1163" s="48" t="s">
        <v>274</v>
      </c>
      <c r="G1163" s="48" t="s">
        <v>288</v>
      </c>
      <c r="H1163" s="48" t="s">
        <v>62</v>
      </c>
      <c r="I1163" s="48" t="s">
        <v>151</v>
      </c>
      <c r="J1163" s="49">
        <v>5</v>
      </c>
      <c r="K1163" s="50">
        <v>335</v>
      </c>
      <c r="L1163" s="50">
        <v>333.71</v>
      </c>
      <c r="M1163" s="48" t="s">
        <v>276</v>
      </c>
      <c r="N1163" s="51">
        <v>1</v>
      </c>
      <c r="O1163" s="51">
        <v>1</v>
      </c>
      <c r="P1163" s="52">
        <v>216.7</v>
      </c>
      <c r="Q1163" s="52">
        <v>216.7</v>
      </c>
      <c r="R1163" s="53" t="str">
        <f>INDEX(SKU_Master!$D$5:$D$34,MATCH($I1163,SKU_Master!$A$5:$A$34,0))</f>
        <v>Accessory</v>
      </c>
      <c r="S1163" s="54">
        <f t="shared" si="252"/>
        <v>3.8507462686567795E-3</v>
      </c>
      <c r="T1163" s="55">
        <f t="shared" si="253"/>
        <v>1675</v>
      </c>
      <c r="U1163" s="55">
        <f t="shared" si="254"/>
        <v>1668.55</v>
      </c>
      <c r="V1163" s="55">
        <f t="shared" si="255"/>
        <v>-6.4500000000000455</v>
      </c>
      <c r="W1163" s="55">
        <f t="shared" si="256"/>
        <v>1668.55</v>
      </c>
      <c r="X1163" s="55">
        <f t="shared" si="257"/>
        <v>0</v>
      </c>
      <c r="Y1163" s="55">
        <f t="shared" si="258"/>
        <v>1083.5</v>
      </c>
      <c r="Z1163" s="55">
        <f t="shared" si="259"/>
        <v>1083.5</v>
      </c>
      <c r="AA1163" s="55">
        <f t="shared" si="260"/>
        <v>0</v>
      </c>
      <c r="AB1163" s="55">
        <f t="shared" si="261"/>
        <v>585.04999999999995</v>
      </c>
      <c r="AC1163" s="54">
        <f t="shared" si="262"/>
        <v>0.35063378382427857</v>
      </c>
      <c r="AD1163" s="56">
        <f>INDEX(Assumptions!$B$14:$B$16,MATCH($R1163,Assumptions!$A$14:$A$16,0))</f>
        <v>0.32</v>
      </c>
      <c r="AE1163" s="56">
        <f>INDEX(Assumptions!$C$14:$C$16,MATCH($R1163,Assumptions!$A$14:$A$16,0))</f>
        <v>0.22</v>
      </c>
      <c r="AF1163" s="49">
        <f t="shared" si="263"/>
        <v>0</v>
      </c>
      <c r="AG1163" s="49">
        <f t="shared" si="264"/>
        <v>0</v>
      </c>
      <c r="AH1163" s="55">
        <f t="shared" si="265"/>
        <v>0</v>
      </c>
    </row>
    <row r="1164" spans="1:34" x14ac:dyDescent="0.2">
      <c r="A1164" s="48" t="s">
        <v>1040</v>
      </c>
      <c r="B1164" s="48">
        <v>1</v>
      </c>
      <c r="C1164" s="48" t="s">
        <v>1008</v>
      </c>
      <c r="D1164" s="48" t="s">
        <v>958</v>
      </c>
      <c r="E1164" s="48" t="s">
        <v>309</v>
      </c>
      <c r="F1164" s="48" t="s">
        <v>280</v>
      </c>
      <c r="G1164" s="48" t="s">
        <v>298</v>
      </c>
      <c r="H1164" s="48" t="s">
        <v>70</v>
      </c>
      <c r="I1164" s="48" t="s">
        <v>113</v>
      </c>
      <c r="J1164" s="49">
        <v>6</v>
      </c>
      <c r="K1164" s="50">
        <v>167790</v>
      </c>
      <c r="L1164" s="50">
        <v>165787.92000000001</v>
      </c>
      <c r="M1164" s="48" t="s">
        <v>276</v>
      </c>
      <c r="N1164" s="51">
        <v>83.5</v>
      </c>
      <c r="O1164" s="51">
        <v>84.566999999999993</v>
      </c>
      <c r="P1164" s="52">
        <v>1683.15</v>
      </c>
      <c r="Q1164" s="52">
        <v>1703.15</v>
      </c>
      <c r="R1164" s="53" t="str">
        <f>INDEX(SKU_Master!$D$5:$D$34,MATCH($I1164,SKU_Master!$A$5:$A$34,0))</f>
        <v>Laptop</v>
      </c>
      <c r="S1164" s="54">
        <f t="shared" si="252"/>
        <v>1.1932057929554762E-2</v>
      </c>
      <c r="T1164" s="55">
        <f t="shared" si="253"/>
        <v>12056.766467065869</v>
      </c>
      <c r="U1164" s="55">
        <f t="shared" si="254"/>
        <v>11912.904431137726</v>
      </c>
      <c r="V1164" s="55">
        <f t="shared" si="255"/>
        <v>-143.86203592814309</v>
      </c>
      <c r="W1164" s="55">
        <f t="shared" si="256"/>
        <v>11762.596757600484</v>
      </c>
      <c r="X1164" s="55">
        <f t="shared" si="257"/>
        <v>-150.3076735372415</v>
      </c>
      <c r="Y1164" s="55">
        <f t="shared" si="258"/>
        <v>10098.900000000001</v>
      </c>
      <c r="Z1164" s="55">
        <f t="shared" si="259"/>
        <v>10218.900000000001</v>
      </c>
      <c r="AA1164" s="55">
        <f t="shared" si="260"/>
        <v>-120</v>
      </c>
      <c r="AB1164" s="55">
        <f t="shared" si="261"/>
        <v>1543.6967576004827</v>
      </c>
      <c r="AC1164" s="54">
        <f t="shared" si="262"/>
        <v>0.13123775212331515</v>
      </c>
      <c r="AD1164" s="56">
        <f>INDEX(Assumptions!$B$14:$B$16,MATCH($R1164,Assumptions!$A$14:$A$16,0))</f>
        <v>0.12</v>
      </c>
      <c r="AE1164" s="56">
        <f>INDEX(Assumptions!$C$14:$C$16,MATCH($R1164,Assumptions!$A$14:$A$16,0))</f>
        <v>0.08</v>
      </c>
      <c r="AF1164" s="49">
        <f t="shared" si="263"/>
        <v>0</v>
      </c>
      <c r="AG1164" s="49">
        <f t="shared" si="264"/>
        <v>0</v>
      </c>
      <c r="AH1164" s="55">
        <f t="shared" si="265"/>
        <v>0</v>
      </c>
    </row>
    <row r="1165" spans="1:34" x14ac:dyDescent="0.2">
      <c r="A1165" s="48" t="s">
        <v>1040</v>
      </c>
      <c r="B1165" s="48">
        <v>2</v>
      </c>
      <c r="C1165" s="48" t="s">
        <v>1008</v>
      </c>
      <c r="D1165" s="48" t="s">
        <v>958</v>
      </c>
      <c r="E1165" s="48" t="s">
        <v>309</v>
      </c>
      <c r="F1165" s="48" t="s">
        <v>280</v>
      </c>
      <c r="G1165" s="48" t="s">
        <v>298</v>
      </c>
      <c r="H1165" s="48" t="s">
        <v>70</v>
      </c>
      <c r="I1165" s="48" t="s">
        <v>170</v>
      </c>
      <c r="J1165" s="49">
        <v>6</v>
      </c>
      <c r="K1165" s="50">
        <v>19495</v>
      </c>
      <c r="L1165" s="50">
        <v>19203.57</v>
      </c>
      <c r="M1165" s="48" t="s">
        <v>276</v>
      </c>
      <c r="N1165" s="51">
        <v>83.5</v>
      </c>
      <c r="O1165" s="51">
        <v>84.566999999999993</v>
      </c>
      <c r="P1165" s="52">
        <v>148.19999999999999</v>
      </c>
      <c r="Q1165" s="52">
        <v>153.19999999999999</v>
      </c>
      <c r="R1165" s="53" t="str">
        <f>INDEX(SKU_Master!$D$5:$D$34,MATCH($I1165,SKU_Master!$A$5:$A$34,0))</f>
        <v>Accessory</v>
      </c>
      <c r="S1165" s="54">
        <f t="shared" si="252"/>
        <v>1.4948961272121086E-2</v>
      </c>
      <c r="T1165" s="55">
        <f t="shared" si="253"/>
        <v>1400.8383233532934</v>
      </c>
      <c r="U1165" s="55">
        <f t="shared" si="254"/>
        <v>1379.897245508982</v>
      </c>
      <c r="V1165" s="55">
        <f t="shared" si="255"/>
        <v>-20.941077844311394</v>
      </c>
      <c r="W1165" s="55">
        <f t="shared" si="256"/>
        <v>1362.4867856255987</v>
      </c>
      <c r="X1165" s="55">
        <f t="shared" si="257"/>
        <v>-17.410459883383282</v>
      </c>
      <c r="Y1165" s="55">
        <f t="shared" si="258"/>
        <v>889.19999999999993</v>
      </c>
      <c r="Z1165" s="55">
        <f t="shared" si="259"/>
        <v>919.19999999999993</v>
      </c>
      <c r="AA1165" s="55">
        <f t="shared" si="260"/>
        <v>-30</v>
      </c>
      <c r="AB1165" s="55">
        <f t="shared" si="261"/>
        <v>443.28678562559878</v>
      </c>
      <c r="AC1165" s="54">
        <f t="shared" si="262"/>
        <v>0.32535125500102335</v>
      </c>
      <c r="AD1165" s="56">
        <f>INDEX(Assumptions!$B$14:$B$16,MATCH($R1165,Assumptions!$A$14:$A$16,0))</f>
        <v>0.32</v>
      </c>
      <c r="AE1165" s="56">
        <f>INDEX(Assumptions!$C$14:$C$16,MATCH($R1165,Assumptions!$A$14:$A$16,0))</f>
        <v>0.22</v>
      </c>
      <c r="AF1165" s="49">
        <f t="shared" si="263"/>
        <v>0</v>
      </c>
      <c r="AG1165" s="49">
        <f t="shared" si="264"/>
        <v>0</v>
      </c>
      <c r="AH1165" s="55">
        <f t="shared" si="265"/>
        <v>0</v>
      </c>
    </row>
    <row r="1166" spans="1:34" x14ac:dyDescent="0.2">
      <c r="A1166" s="48" t="s">
        <v>1041</v>
      </c>
      <c r="B1166" s="48">
        <v>1</v>
      </c>
      <c r="C1166" s="48" t="s">
        <v>972</v>
      </c>
      <c r="D1166" s="48" t="s">
        <v>958</v>
      </c>
      <c r="E1166" s="48" t="s">
        <v>346</v>
      </c>
      <c r="F1166" s="48" t="s">
        <v>297</v>
      </c>
      <c r="G1166" s="48" t="s">
        <v>302</v>
      </c>
      <c r="H1166" s="48" t="s">
        <v>62</v>
      </c>
      <c r="I1166" s="48" t="s">
        <v>93</v>
      </c>
      <c r="J1166" s="49">
        <v>48</v>
      </c>
      <c r="K1166" s="50">
        <v>1390</v>
      </c>
      <c r="L1166" s="50">
        <v>1273.0999999999999</v>
      </c>
      <c r="M1166" s="48" t="s">
        <v>312</v>
      </c>
      <c r="N1166" s="51">
        <v>1</v>
      </c>
      <c r="O1166" s="51">
        <v>1</v>
      </c>
      <c r="P1166" s="52">
        <v>1186.2</v>
      </c>
      <c r="Q1166" s="52">
        <v>1186.2</v>
      </c>
      <c r="R1166" s="53" t="str">
        <f>INDEX(SKU_Master!$D$5:$D$34,MATCH($I1166,SKU_Master!$A$5:$A$34,0))</f>
        <v>Laptop</v>
      </c>
      <c r="S1166" s="54">
        <f t="shared" si="252"/>
        <v>8.4100719424460513E-2</v>
      </c>
      <c r="T1166" s="55">
        <f t="shared" si="253"/>
        <v>66720</v>
      </c>
      <c r="U1166" s="55">
        <f t="shared" si="254"/>
        <v>61108.799999999996</v>
      </c>
      <c r="V1166" s="55">
        <f t="shared" si="255"/>
        <v>-5611.2000000000044</v>
      </c>
      <c r="W1166" s="55">
        <f t="shared" si="256"/>
        <v>61108.799999999996</v>
      </c>
      <c r="X1166" s="55">
        <f t="shared" si="257"/>
        <v>0</v>
      </c>
      <c r="Y1166" s="55">
        <f t="shared" si="258"/>
        <v>56937.600000000006</v>
      </c>
      <c r="Z1166" s="55">
        <f t="shared" si="259"/>
        <v>56937.600000000006</v>
      </c>
      <c r="AA1166" s="55">
        <f t="shared" si="260"/>
        <v>0</v>
      </c>
      <c r="AB1166" s="55">
        <f t="shared" si="261"/>
        <v>4171.1999999999898</v>
      </c>
      <c r="AC1166" s="54">
        <f t="shared" si="262"/>
        <v>6.8258581415442457E-2</v>
      </c>
      <c r="AD1166" s="56">
        <f>INDEX(Assumptions!$B$14:$B$16,MATCH($R1166,Assumptions!$A$14:$A$16,0))</f>
        <v>0.12</v>
      </c>
      <c r="AE1166" s="56">
        <f>INDEX(Assumptions!$C$14:$C$16,MATCH($R1166,Assumptions!$A$14:$A$16,0))</f>
        <v>0.08</v>
      </c>
      <c r="AF1166" s="49">
        <f t="shared" si="263"/>
        <v>1</v>
      </c>
      <c r="AG1166" s="49">
        <f t="shared" si="264"/>
        <v>0</v>
      </c>
      <c r="AH1166" s="55">
        <f t="shared" si="265"/>
        <v>3161.8560000000098</v>
      </c>
    </row>
    <row r="1167" spans="1:34" x14ac:dyDescent="0.2">
      <c r="A1167" s="48" t="s">
        <v>1041</v>
      </c>
      <c r="B1167" s="48">
        <v>2</v>
      </c>
      <c r="C1167" s="48" t="s">
        <v>972</v>
      </c>
      <c r="D1167" s="48" t="s">
        <v>958</v>
      </c>
      <c r="E1167" s="48" t="s">
        <v>346</v>
      </c>
      <c r="F1167" s="48" t="s">
        <v>297</v>
      </c>
      <c r="G1167" s="48" t="s">
        <v>302</v>
      </c>
      <c r="H1167" s="48" t="s">
        <v>62</v>
      </c>
      <c r="I1167" s="48" t="s">
        <v>135</v>
      </c>
      <c r="J1167" s="49">
        <v>36</v>
      </c>
      <c r="K1167" s="50">
        <v>240</v>
      </c>
      <c r="L1167" s="50">
        <v>231.76</v>
      </c>
      <c r="M1167" s="48" t="s">
        <v>276</v>
      </c>
      <c r="N1167" s="51">
        <v>1</v>
      </c>
      <c r="O1167" s="51">
        <v>1</v>
      </c>
      <c r="P1167" s="52">
        <v>186.7</v>
      </c>
      <c r="Q1167" s="52">
        <v>186.7</v>
      </c>
      <c r="R1167" s="53" t="str">
        <f>INDEX(SKU_Master!$D$5:$D$34,MATCH($I1167,SKU_Master!$A$5:$A$34,0))</f>
        <v>Monitor</v>
      </c>
      <c r="S1167" s="54">
        <f t="shared" si="252"/>
        <v>3.4333333333333327E-2</v>
      </c>
      <c r="T1167" s="55">
        <f t="shared" si="253"/>
        <v>8640</v>
      </c>
      <c r="U1167" s="55">
        <f t="shared" si="254"/>
        <v>8343.36</v>
      </c>
      <c r="V1167" s="55">
        <f t="shared" si="255"/>
        <v>-296.63999999999942</v>
      </c>
      <c r="W1167" s="55">
        <f t="shared" si="256"/>
        <v>8343.36</v>
      </c>
      <c r="X1167" s="55">
        <f t="shared" si="257"/>
        <v>0</v>
      </c>
      <c r="Y1167" s="55">
        <f t="shared" si="258"/>
        <v>6721.2</v>
      </c>
      <c r="Z1167" s="55">
        <f t="shared" si="259"/>
        <v>6721.2</v>
      </c>
      <c r="AA1167" s="55">
        <f t="shared" si="260"/>
        <v>0</v>
      </c>
      <c r="AB1167" s="55">
        <f t="shared" si="261"/>
        <v>1622.1600000000008</v>
      </c>
      <c r="AC1167" s="54">
        <f t="shared" si="262"/>
        <v>0.19442526751812228</v>
      </c>
      <c r="AD1167" s="56">
        <f>INDEX(Assumptions!$B$14:$B$16,MATCH($R1167,Assumptions!$A$14:$A$16,0))</f>
        <v>0.18</v>
      </c>
      <c r="AE1167" s="56">
        <f>INDEX(Assumptions!$C$14:$C$16,MATCH($R1167,Assumptions!$A$14:$A$16,0))</f>
        <v>0.12</v>
      </c>
      <c r="AF1167" s="49">
        <f t="shared" si="263"/>
        <v>0</v>
      </c>
      <c r="AG1167" s="49">
        <f t="shared" si="264"/>
        <v>0</v>
      </c>
      <c r="AH1167" s="55">
        <f t="shared" si="265"/>
        <v>0</v>
      </c>
    </row>
    <row r="1168" spans="1:34" x14ac:dyDescent="0.2">
      <c r="A1168" s="48" t="s">
        <v>1041</v>
      </c>
      <c r="B1168" s="48">
        <v>3</v>
      </c>
      <c r="C1168" s="48" t="s">
        <v>972</v>
      </c>
      <c r="D1168" s="48" t="s">
        <v>958</v>
      </c>
      <c r="E1168" s="48" t="s">
        <v>346</v>
      </c>
      <c r="F1168" s="48" t="s">
        <v>297</v>
      </c>
      <c r="G1168" s="48" t="s">
        <v>302</v>
      </c>
      <c r="H1168" s="48" t="s">
        <v>62</v>
      </c>
      <c r="I1168" s="48" t="s">
        <v>151</v>
      </c>
      <c r="J1168" s="49">
        <v>19</v>
      </c>
      <c r="K1168" s="50">
        <v>335</v>
      </c>
      <c r="L1168" s="50">
        <v>309.77999999999997</v>
      </c>
      <c r="M1168" s="48" t="s">
        <v>276</v>
      </c>
      <c r="N1168" s="51">
        <v>1</v>
      </c>
      <c r="O1168" s="51">
        <v>1</v>
      </c>
      <c r="P1168" s="52">
        <v>216.7</v>
      </c>
      <c r="Q1168" s="52">
        <v>216.7</v>
      </c>
      <c r="R1168" s="53" t="str">
        <f>INDEX(SKU_Master!$D$5:$D$34,MATCH($I1168,SKU_Master!$A$5:$A$34,0))</f>
        <v>Accessory</v>
      </c>
      <c r="S1168" s="54">
        <f t="shared" si="252"/>
        <v>7.5283582089552326E-2</v>
      </c>
      <c r="T1168" s="55">
        <f t="shared" si="253"/>
        <v>6365</v>
      </c>
      <c r="U1168" s="55">
        <f t="shared" si="254"/>
        <v>5885.82</v>
      </c>
      <c r="V1168" s="55">
        <f t="shared" si="255"/>
        <v>-479.18000000000029</v>
      </c>
      <c r="W1168" s="55">
        <f t="shared" si="256"/>
        <v>5885.82</v>
      </c>
      <c r="X1168" s="55">
        <f t="shared" si="257"/>
        <v>0</v>
      </c>
      <c r="Y1168" s="55">
        <f t="shared" si="258"/>
        <v>4117.3</v>
      </c>
      <c r="Z1168" s="55">
        <f t="shared" si="259"/>
        <v>4117.3</v>
      </c>
      <c r="AA1168" s="55">
        <f t="shared" si="260"/>
        <v>0</v>
      </c>
      <c r="AB1168" s="55">
        <f t="shared" si="261"/>
        <v>1768.5199999999995</v>
      </c>
      <c r="AC1168" s="54">
        <f t="shared" si="262"/>
        <v>0.30047130221447471</v>
      </c>
      <c r="AD1168" s="56">
        <f>INDEX(Assumptions!$B$14:$B$16,MATCH($R1168,Assumptions!$A$14:$A$16,0))</f>
        <v>0.32</v>
      </c>
      <c r="AE1168" s="56">
        <f>INDEX(Assumptions!$C$14:$C$16,MATCH($R1168,Assumptions!$A$14:$A$16,0))</f>
        <v>0.22</v>
      </c>
      <c r="AF1168" s="49">
        <f t="shared" si="263"/>
        <v>0</v>
      </c>
      <c r="AG1168" s="49">
        <f t="shared" si="264"/>
        <v>0</v>
      </c>
      <c r="AH1168" s="55">
        <f t="shared" si="265"/>
        <v>114.94240000000036</v>
      </c>
    </row>
    <row r="1169" spans="1:34" x14ac:dyDescent="0.2">
      <c r="A1169" s="48" t="s">
        <v>1042</v>
      </c>
      <c r="B1169" s="48">
        <v>1</v>
      </c>
      <c r="C1169" s="48" t="s">
        <v>1043</v>
      </c>
      <c r="D1169" s="48" t="s">
        <v>958</v>
      </c>
      <c r="E1169" s="48" t="s">
        <v>317</v>
      </c>
      <c r="F1169" s="48" t="s">
        <v>280</v>
      </c>
      <c r="G1169" s="48" t="s">
        <v>306</v>
      </c>
      <c r="H1169" s="48" t="s">
        <v>62</v>
      </c>
      <c r="I1169" s="48" t="s">
        <v>113</v>
      </c>
      <c r="J1169" s="49">
        <v>20</v>
      </c>
      <c r="K1169" s="50">
        <v>1740</v>
      </c>
      <c r="L1169" s="50">
        <v>1703.56</v>
      </c>
      <c r="M1169" s="48" t="s">
        <v>276</v>
      </c>
      <c r="N1169" s="51">
        <v>1</v>
      </c>
      <c r="O1169" s="51">
        <v>1</v>
      </c>
      <c r="P1169" s="52">
        <v>1484.8</v>
      </c>
      <c r="Q1169" s="52">
        <v>1484.8</v>
      </c>
      <c r="R1169" s="53" t="str">
        <f>INDEX(SKU_Master!$D$5:$D$34,MATCH($I1169,SKU_Master!$A$5:$A$34,0))</f>
        <v>Laptop</v>
      </c>
      <c r="S1169" s="54">
        <f t="shared" si="252"/>
        <v>2.0942528735632182E-2</v>
      </c>
      <c r="T1169" s="55">
        <f t="shared" si="253"/>
        <v>34800</v>
      </c>
      <c r="U1169" s="55">
        <f t="shared" si="254"/>
        <v>34071.199999999997</v>
      </c>
      <c r="V1169" s="55">
        <f t="shared" si="255"/>
        <v>-728.80000000000291</v>
      </c>
      <c r="W1169" s="55">
        <f t="shared" si="256"/>
        <v>34071.199999999997</v>
      </c>
      <c r="X1169" s="55">
        <f t="shared" si="257"/>
        <v>0</v>
      </c>
      <c r="Y1169" s="55">
        <f t="shared" si="258"/>
        <v>29696</v>
      </c>
      <c r="Z1169" s="55">
        <f t="shared" si="259"/>
        <v>29696</v>
      </c>
      <c r="AA1169" s="55">
        <f t="shared" si="260"/>
        <v>0</v>
      </c>
      <c r="AB1169" s="55">
        <f t="shared" si="261"/>
        <v>4375.1999999999971</v>
      </c>
      <c r="AC1169" s="54">
        <f t="shared" si="262"/>
        <v>0.12841344009016406</v>
      </c>
      <c r="AD1169" s="56">
        <f>INDEX(Assumptions!$B$14:$B$16,MATCH($R1169,Assumptions!$A$14:$A$16,0))</f>
        <v>0.12</v>
      </c>
      <c r="AE1169" s="56">
        <f>INDEX(Assumptions!$C$14:$C$16,MATCH($R1169,Assumptions!$A$14:$A$16,0))</f>
        <v>0.08</v>
      </c>
      <c r="AF1169" s="49">
        <f t="shared" si="263"/>
        <v>0</v>
      </c>
      <c r="AG1169" s="49">
        <f t="shared" si="264"/>
        <v>0</v>
      </c>
      <c r="AH1169" s="55">
        <f t="shared" si="265"/>
        <v>0</v>
      </c>
    </row>
    <row r="1170" spans="1:34" x14ac:dyDescent="0.2">
      <c r="A1170" s="48" t="s">
        <v>1042</v>
      </c>
      <c r="B1170" s="48">
        <v>2</v>
      </c>
      <c r="C1170" s="48" t="s">
        <v>1043</v>
      </c>
      <c r="D1170" s="48" t="s">
        <v>958</v>
      </c>
      <c r="E1170" s="48" t="s">
        <v>317</v>
      </c>
      <c r="F1170" s="48" t="s">
        <v>280</v>
      </c>
      <c r="G1170" s="48" t="s">
        <v>306</v>
      </c>
      <c r="H1170" s="48" t="s">
        <v>62</v>
      </c>
      <c r="I1170" s="48" t="s">
        <v>166</v>
      </c>
      <c r="J1170" s="49">
        <v>11</v>
      </c>
      <c r="K1170" s="50">
        <v>265</v>
      </c>
      <c r="L1170" s="50">
        <v>259.35000000000002</v>
      </c>
      <c r="M1170" s="48" t="s">
        <v>276</v>
      </c>
      <c r="N1170" s="51">
        <v>1</v>
      </c>
      <c r="O1170" s="51">
        <v>1</v>
      </c>
      <c r="P1170" s="52">
        <v>169.35</v>
      </c>
      <c r="Q1170" s="52">
        <v>169.35</v>
      </c>
      <c r="R1170" s="53" t="str">
        <f>INDEX(SKU_Master!$D$5:$D$34,MATCH($I1170,SKU_Master!$A$5:$A$34,0))</f>
        <v>Accessory</v>
      </c>
      <c r="S1170" s="54">
        <f t="shared" si="252"/>
        <v>2.1320754716981027E-2</v>
      </c>
      <c r="T1170" s="55">
        <f t="shared" si="253"/>
        <v>2915</v>
      </c>
      <c r="U1170" s="55">
        <f t="shared" si="254"/>
        <v>2852.8500000000004</v>
      </c>
      <c r="V1170" s="55">
        <f t="shared" si="255"/>
        <v>-62.149999999999636</v>
      </c>
      <c r="W1170" s="55">
        <f t="shared" si="256"/>
        <v>2852.8500000000004</v>
      </c>
      <c r="X1170" s="55">
        <f t="shared" si="257"/>
        <v>0</v>
      </c>
      <c r="Y1170" s="55">
        <f t="shared" si="258"/>
        <v>1862.85</v>
      </c>
      <c r="Z1170" s="55">
        <f t="shared" si="259"/>
        <v>1862.85</v>
      </c>
      <c r="AA1170" s="55">
        <f t="shared" si="260"/>
        <v>0</v>
      </c>
      <c r="AB1170" s="55">
        <f t="shared" si="261"/>
        <v>990.00000000000045</v>
      </c>
      <c r="AC1170" s="54">
        <f t="shared" si="262"/>
        <v>0.34702139965297873</v>
      </c>
      <c r="AD1170" s="56">
        <f>INDEX(Assumptions!$B$14:$B$16,MATCH($R1170,Assumptions!$A$14:$A$16,0))</f>
        <v>0.32</v>
      </c>
      <c r="AE1170" s="56">
        <f>INDEX(Assumptions!$C$14:$C$16,MATCH($R1170,Assumptions!$A$14:$A$16,0))</f>
        <v>0.22</v>
      </c>
      <c r="AF1170" s="49">
        <f t="shared" si="263"/>
        <v>0</v>
      </c>
      <c r="AG1170" s="49">
        <f t="shared" si="264"/>
        <v>0</v>
      </c>
      <c r="AH1170" s="55">
        <f t="shared" si="265"/>
        <v>0</v>
      </c>
    </row>
    <row r="1171" spans="1:34" x14ac:dyDescent="0.2">
      <c r="A1171" s="48" t="s">
        <v>1044</v>
      </c>
      <c r="B1171" s="48">
        <v>1</v>
      </c>
      <c r="C1171" s="48" t="s">
        <v>957</v>
      </c>
      <c r="D1171" s="48" t="s">
        <v>958</v>
      </c>
      <c r="E1171" s="48" t="s">
        <v>410</v>
      </c>
      <c r="F1171" s="48" t="s">
        <v>297</v>
      </c>
      <c r="G1171" s="48" t="s">
        <v>302</v>
      </c>
      <c r="H1171" s="48" t="s">
        <v>64</v>
      </c>
      <c r="I1171" s="48" t="s">
        <v>98</v>
      </c>
      <c r="J1171" s="49">
        <v>70</v>
      </c>
      <c r="K1171" s="50">
        <v>1705</v>
      </c>
      <c r="L1171" s="50">
        <v>1627.04</v>
      </c>
      <c r="M1171" s="48" t="s">
        <v>276</v>
      </c>
      <c r="N1171" s="51">
        <v>0.79</v>
      </c>
      <c r="O1171" s="51">
        <v>0.80300000000000005</v>
      </c>
      <c r="P1171" s="52">
        <v>1804.2</v>
      </c>
      <c r="Q1171" s="52">
        <v>1804.2</v>
      </c>
      <c r="R1171" s="53" t="str">
        <f>INDEX(SKU_Master!$D$5:$D$34,MATCH($I1171,SKU_Master!$A$5:$A$34,0))</f>
        <v>Laptop</v>
      </c>
      <c r="S1171" s="54">
        <f t="shared" si="252"/>
        <v>4.572434017595306E-2</v>
      </c>
      <c r="T1171" s="55">
        <f t="shared" si="253"/>
        <v>151075.94936708861</v>
      </c>
      <c r="U1171" s="55">
        <f t="shared" si="254"/>
        <v>144168.10126582277</v>
      </c>
      <c r="V1171" s="55">
        <f t="shared" si="255"/>
        <v>-6907.8481012658449</v>
      </c>
      <c r="W1171" s="55">
        <f t="shared" si="256"/>
        <v>141834.12204234122</v>
      </c>
      <c r="X1171" s="55">
        <f t="shared" si="257"/>
        <v>-2333.9792234815541</v>
      </c>
      <c r="Y1171" s="55">
        <f t="shared" si="258"/>
        <v>126294</v>
      </c>
      <c r="Z1171" s="55">
        <f t="shared" si="259"/>
        <v>126294</v>
      </c>
      <c r="AA1171" s="55">
        <f t="shared" si="260"/>
        <v>0</v>
      </c>
      <c r="AB1171" s="55">
        <f t="shared" si="261"/>
        <v>15540.122042341216</v>
      </c>
      <c r="AC1171" s="54">
        <f t="shared" si="262"/>
        <v>0.10956546858098139</v>
      </c>
      <c r="AD1171" s="56">
        <f>INDEX(Assumptions!$B$14:$B$16,MATCH($R1171,Assumptions!$A$14:$A$16,0))</f>
        <v>0.12</v>
      </c>
      <c r="AE1171" s="56">
        <f>INDEX(Assumptions!$C$14:$C$16,MATCH($R1171,Assumptions!$A$14:$A$16,0))</f>
        <v>0.08</v>
      </c>
      <c r="AF1171" s="49">
        <f t="shared" si="263"/>
        <v>0</v>
      </c>
      <c r="AG1171" s="49">
        <f t="shared" si="264"/>
        <v>0</v>
      </c>
      <c r="AH1171" s="55">
        <f t="shared" si="265"/>
        <v>1479.9726027397301</v>
      </c>
    </row>
    <row r="1172" spans="1:34" x14ac:dyDescent="0.2">
      <c r="A1172" s="48" t="s">
        <v>1044</v>
      </c>
      <c r="B1172" s="48">
        <v>2</v>
      </c>
      <c r="C1172" s="48" t="s">
        <v>957</v>
      </c>
      <c r="D1172" s="48" t="s">
        <v>958</v>
      </c>
      <c r="E1172" s="48" t="s">
        <v>410</v>
      </c>
      <c r="F1172" s="48" t="s">
        <v>297</v>
      </c>
      <c r="G1172" s="48" t="s">
        <v>302</v>
      </c>
      <c r="H1172" s="48" t="s">
        <v>64</v>
      </c>
      <c r="I1172" s="48" t="s">
        <v>138</v>
      </c>
      <c r="J1172" s="49">
        <v>34</v>
      </c>
      <c r="K1172" s="50">
        <v>400</v>
      </c>
      <c r="L1172" s="50">
        <v>385.74</v>
      </c>
      <c r="M1172" s="48" t="s">
        <v>276</v>
      </c>
      <c r="N1172" s="51">
        <v>0.79</v>
      </c>
      <c r="O1172" s="51">
        <v>0.80300000000000005</v>
      </c>
      <c r="P1172" s="52">
        <v>388.2</v>
      </c>
      <c r="Q1172" s="52">
        <v>388.2</v>
      </c>
      <c r="R1172" s="53" t="str">
        <f>INDEX(SKU_Master!$D$5:$D$34,MATCH($I1172,SKU_Master!$A$5:$A$34,0))</f>
        <v>Monitor</v>
      </c>
      <c r="S1172" s="54">
        <f t="shared" si="252"/>
        <v>3.5649999999999959E-2</v>
      </c>
      <c r="T1172" s="55">
        <f t="shared" si="253"/>
        <v>17215.189873417719</v>
      </c>
      <c r="U1172" s="55">
        <f t="shared" si="254"/>
        <v>16601.468354430377</v>
      </c>
      <c r="V1172" s="55">
        <f t="shared" si="255"/>
        <v>-613.72151898734228</v>
      </c>
      <c r="W1172" s="55">
        <f t="shared" si="256"/>
        <v>16332.702366127023</v>
      </c>
      <c r="X1172" s="55">
        <f t="shared" si="257"/>
        <v>-268.76598830335388</v>
      </c>
      <c r="Y1172" s="55">
        <f t="shared" si="258"/>
        <v>13198.8</v>
      </c>
      <c r="Z1172" s="55">
        <f t="shared" si="259"/>
        <v>13198.8</v>
      </c>
      <c r="AA1172" s="55">
        <f t="shared" si="260"/>
        <v>0</v>
      </c>
      <c r="AB1172" s="55">
        <f t="shared" si="261"/>
        <v>3133.9023661270239</v>
      </c>
      <c r="AC1172" s="54">
        <f t="shared" si="262"/>
        <v>0.19187898584538809</v>
      </c>
      <c r="AD1172" s="56">
        <f>INDEX(Assumptions!$B$14:$B$16,MATCH($R1172,Assumptions!$A$14:$A$16,0))</f>
        <v>0.18</v>
      </c>
      <c r="AE1172" s="56">
        <f>INDEX(Assumptions!$C$14:$C$16,MATCH($R1172,Assumptions!$A$14:$A$16,0))</f>
        <v>0.12</v>
      </c>
      <c r="AF1172" s="49">
        <f t="shared" si="263"/>
        <v>0</v>
      </c>
      <c r="AG1172" s="49">
        <f t="shared" si="264"/>
        <v>0</v>
      </c>
      <c r="AH1172" s="55">
        <f t="shared" si="265"/>
        <v>0</v>
      </c>
    </row>
    <row r="1173" spans="1:34" x14ac:dyDescent="0.2">
      <c r="A1173" s="48" t="s">
        <v>1045</v>
      </c>
      <c r="B1173" s="48">
        <v>1</v>
      </c>
      <c r="C1173" s="48" t="s">
        <v>1030</v>
      </c>
      <c r="D1173" s="48" t="s">
        <v>958</v>
      </c>
      <c r="E1173" s="48" t="s">
        <v>355</v>
      </c>
      <c r="F1173" s="48" t="s">
        <v>280</v>
      </c>
      <c r="G1173" s="48" t="s">
        <v>302</v>
      </c>
      <c r="H1173" s="48" t="s">
        <v>62</v>
      </c>
      <c r="I1173" s="48" t="s">
        <v>108</v>
      </c>
      <c r="J1173" s="49">
        <v>26</v>
      </c>
      <c r="K1173" s="50">
        <v>1345</v>
      </c>
      <c r="L1173" s="50">
        <v>1281</v>
      </c>
      <c r="M1173" s="48" t="s">
        <v>276</v>
      </c>
      <c r="N1173" s="51">
        <v>1</v>
      </c>
      <c r="O1173" s="51">
        <v>1</v>
      </c>
      <c r="P1173" s="52">
        <v>1145</v>
      </c>
      <c r="Q1173" s="52">
        <v>1212.6199999999999</v>
      </c>
      <c r="R1173" s="53" t="str">
        <f>INDEX(SKU_Master!$D$5:$D$34,MATCH($I1173,SKU_Master!$A$5:$A$34,0))</f>
        <v>Laptop</v>
      </c>
      <c r="S1173" s="54">
        <f t="shared" si="252"/>
        <v>4.75836431226766E-2</v>
      </c>
      <c r="T1173" s="55">
        <f t="shared" si="253"/>
        <v>34970</v>
      </c>
      <c r="U1173" s="55">
        <f t="shared" si="254"/>
        <v>33306</v>
      </c>
      <c r="V1173" s="55">
        <f t="shared" si="255"/>
        <v>-1664</v>
      </c>
      <c r="W1173" s="55">
        <f t="shared" si="256"/>
        <v>33306</v>
      </c>
      <c r="X1173" s="55">
        <f t="shared" si="257"/>
        <v>0</v>
      </c>
      <c r="Y1173" s="55">
        <f t="shared" si="258"/>
        <v>29770</v>
      </c>
      <c r="Z1173" s="55">
        <f t="shared" si="259"/>
        <v>31528.119999999995</v>
      </c>
      <c r="AA1173" s="55">
        <f t="shared" si="260"/>
        <v>-1758.1199999999953</v>
      </c>
      <c r="AB1173" s="55">
        <f t="shared" si="261"/>
        <v>1777.8800000000047</v>
      </c>
      <c r="AC1173" s="54">
        <f t="shared" si="262"/>
        <v>5.3380171740827619E-2</v>
      </c>
      <c r="AD1173" s="56">
        <f>INDEX(Assumptions!$B$14:$B$16,MATCH($R1173,Assumptions!$A$14:$A$16,0))</f>
        <v>0.12</v>
      </c>
      <c r="AE1173" s="56">
        <f>INDEX(Assumptions!$C$14:$C$16,MATCH($R1173,Assumptions!$A$14:$A$16,0))</f>
        <v>0.08</v>
      </c>
      <c r="AF1173" s="49">
        <f t="shared" si="263"/>
        <v>1</v>
      </c>
      <c r="AG1173" s="49">
        <f t="shared" si="264"/>
        <v>1</v>
      </c>
      <c r="AH1173" s="55">
        <f t="shared" si="265"/>
        <v>2218.8399999999951</v>
      </c>
    </row>
    <row r="1174" spans="1:34" x14ac:dyDescent="0.2">
      <c r="A1174" s="48" t="s">
        <v>1045</v>
      </c>
      <c r="B1174" s="48">
        <v>2</v>
      </c>
      <c r="C1174" s="48" t="s">
        <v>1030</v>
      </c>
      <c r="D1174" s="48" t="s">
        <v>958</v>
      </c>
      <c r="E1174" s="48" t="s">
        <v>355</v>
      </c>
      <c r="F1174" s="48" t="s">
        <v>280</v>
      </c>
      <c r="G1174" s="48" t="s">
        <v>302</v>
      </c>
      <c r="H1174" s="48" t="s">
        <v>62</v>
      </c>
      <c r="I1174" s="48" t="s">
        <v>138</v>
      </c>
      <c r="J1174" s="49">
        <v>12</v>
      </c>
      <c r="K1174" s="50">
        <v>455</v>
      </c>
      <c r="L1174" s="50">
        <v>423.09</v>
      </c>
      <c r="M1174" s="48" t="s">
        <v>276</v>
      </c>
      <c r="N1174" s="51">
        <v>1</v>
      </c>
      <c r="O1174" s="51">
        <v>1</v>
      </c>
      <c r="P1174" s="52">
        <v>358.2</v>
      </c>
      <c r="Q1174" s="52">
        <v>358.2</v>
      </c>
      <c r="R1174" s="53" t="str">
        <f>INDEX(SKU_Master!$D$5:$D$34,MATCH($I1174,SKU_Master!$A$5:$A$34,0))</f>
        <v>Monitor</v>
      </c>
      <c r="S1174" s="54">
        <f t="shared" si="252"/>
        <v>7.0131868131868225E-2</v>
      </c>
      <c r="T1174" s="55">
        <f t="shared" si="253"/>
        <v>5460</v>
      </c>
      <c r="U1174" s="55">
        <f t="shared" si="254"/>
        <v>5077.08</v>
      </c>
      <c r="V1174" s="55">
        <f t="shared" si="255"/>
        <v>-382.92000000000007</v>
      </c>
      <c r="W1174" s="55">
        <f t="shared" si="256"/>
        <v>5077.08</v>
      </c>
      <c r="X1174" s="55">
        <f t="shared" si="257"/>
        <v>0</v>
      </c>
      <c r="Y1174" s="55">
        <f t="shared" si="258"/>
        <v>4298.3999999999996</v>
      </c>
      <c r="Z1174" s="55">
        <f t="shared" si="259"/>
        <v>4298.3999999999996</v>
      </c>
      <c r="AA1174" s="55">
        <f t="shared" si="260"/>
        <v>0</v>
      </c>
      <c r="AB1174" s="55">
        <f t="shared" si="261"/>
        <v>778.68000000000029</v>
      </c>
      <c r="AC1174" s="54">
        <f t="shared" si="262"/>
        <v>0.15337162305892368</v>
      </c>
      <c r="AD1174" s="56">
        <f>INDEX(Assumptions!$B$14:$B$16,MATCH($R1174,Assumptions!$A$14:$A$16,0))</f>
        <v>0.18</v>
      </c>
      <c r="AE1174" s="56">
        <f>INDEX(Assumptions!$C$14:$C$16,MATCH($R1174,Assumptions!$A$14:$A$16,0))</f>
        <v>0.12</v>
      </c>
      <c r="AF1174" s="49">
        <f t="shared" si="263"/>
        <v>0</v>
      </c>
      <c r="AG1174" s="49">
        <f t="shared" si="264"/>
        <v>0</v>
      </c>
      <c r="AH1174" s="55">
        <f t="shared" si="265"/>
        <v>135.19439999999963</v>
      </c>
    </row>
    <row r="1175" spans="1:34" x14ac:dyDescent="0.2">
      <c r="A1175" s="48" t="s">
        <v>1045</v>
      </c>
      <c r="B1175" s="48">
        <v>3</v>
      </c>
      <c r="C1175" s="48" t="s">
        <v>1030</v>
      </c>
      <c r="D1175" s="48" t="s">
        <v>958</v>
      </c>
      <c r="E1175" s="48" t="s">
        <v>355</v>
      </c>
      <c r="F1175" s="48" t="s">
        <v>280</v>
      </c>
      <c r="G1175" s="48" t="s">
        <v>302</v>
      </c>
      <c r="H1175" s="48" t="s">
        <v>62</v>
      </c>
      <c r="I1175" s="48" t="s">
        <v>151</v>
      </c>
      <c r="J1175" s="49">
        <v>22</v>
      </c>
      <c r="K1175" s="50">
        <v>335</v>
      </c>
      <c r="L1175" s="50">
        <v>315.43</v>
      </c>
      <c r="M1175" s="48" t="s">
        <v>276</v>
      </c>
      <c r="N1175" s="51">
        <v>1</v>
      </c>
      <c r="O1175" s="51">
        <v>1</v>
      </c>
      <c r="P1175" s="52">
        <v>216.7</v>
      </c>
      <c r="Q1175" s="52">
        <v>216.7</v>
      </c>
      <c r="R1175" s="53" t="str">
        <f>INDEX(SKU_Master!$D$5:$D$34,MATCH($I1175,SKU_Master!$A$5:$A$34,0))</f>
        <v>Accessory</v>
      </c>
      <c r="S1175" s="54">
        <f t="shared" si="252"/>
        <v>5.8417910447761123E-2</v>
      </c>
      <c r="T1175" s="55">
        <f t="shared" si="253"/>
        <v>7370</v>
      </c>
      <c r="U1175" s="55">
        <f t="shared" si="254"/>
        <v>6939.46</v>
      </c>
      <c r="V1175" s="55">
        <f t="shared" si="255"/>
        <v>-430.53999999999996</v>
      </c>
      <c r="W1175" s="55">
        <f t="shared" si="256"/>
        <v>6939.46</v>
      </c>
      <c r="X1175" s="55">
        <f t="shared" si="257"/>
        <v>0</v>
      </c>
      <c r="Y1175" s="55">
        <f t="shared" si="258"/>
        <v>4767.3999999999996</v>
      </c>
      <c r="Z1175" s="55">
        <f t="shared" si="259"/>
        <v>4767.3999999999996</v>
      </c>
      <c r="AA1175" s="55">
        <f t="shared" si="260"/>
        <v>0</v>
      </c>
      <c r="AB1175" s="55">
        <f t="shared" si="261"/>
        <v>2172.0600000000004</v>
      </c>
      <c r="AC1175" s="54">
        <f t="shared" si="262"/>
        <v>0.31300129981295383</v>
      </c>
      <c r="AD1175" s="56">
        <f>INDEX(Assumptions!$B$14:$B$16,MATCH($R1175,Assumptions!$A$14:$A$16,0))</f>
        <v>0.32</v>
      </c>
      <c r="AE1175" s="56">
        <f>INDEX(Assumptions!$C$14:$C$16,MATCH($R1175,Assumptions!$A$14:$A$16,0))</f>
        <v>0.22</v>
      </c>
      <c r="AF1175" s="49">
        <f t="shared" si="263"/>
        <v>0</v>
      </c>
      <c r="AG1175" s="49">
        <f t="shared" si="264"/>
        <v>0</v>
      </c>
      <c r="AH1175" s="55">
        <f t="shared" si="265"/>
        <v>48.567199999999502</v>
      </c>
    </row>
    <row r="1176" spans="1:34" x14ac:dyDescent="0.2">
      <c r="A1176" s="48" t="s">
        <v>1046</v>
      </c>
      <c r="B1176" s="48">
        <v>1</v>
      </c>
      <c r="C1176" s="48" t="s">
        <v>957</v>
      </c>
      <c r="D1176" s="48" t="s">
        <v>958</v>
      </c>
      <c r="E1176" s="48" t="s">
        <v>384</v>
      </c>
      <c r="F1176" s="48" t="s">
        <v>297</v>
      </c>
      <c r="G1176" s="48" t="s">
        <v>281</v>
      </c>
      <c r="H1176" s="48" t="s">
        <v>70</v>
      </c>
      <c r="I1176" s="48" t="s">
        <v>98</v>
      </c>
      <c r="J1176" s="49">
        <v>58</v>
      </c>
      <c r="K1176" s="50">
        <v>200480</v>
      </c>
      <c r="L1176" s="50">
        <v>195477.13</v>
      </c>
      <c r="M1176" s="48" t="s">
        <v>276</v>
      </c>
      <c r="N1176" s="51">
        <v>83.5</v>
      </c>
      <c r="O1176" s="51">
        <v>84.566999999999993</v>
      </c>
      <c r="P1176" s="52">
        <v>2011.04</v>
      </c>
      <c r="Q1176" s="52">
        <v>2031.04</v>
      </c>
      <c r="R1176" s="53" t="str">
        <f>INDEX(SKU_Master!$D$5:$D$34,MATCH($I1176,SKU_Master!$A$5:$A$34,0))</f>
        <v>Laptop</v>
      </c>
      <c r="S1176" s="54">
        <f t="shared" si="252"/>
        <v>2.4954459297685583E-2</v>
      </c>
      <c r="T1176" s="55">
        <f t="shared" si="253"/>
        <v>139255.56886227545</v>
      </c>
      <c r="U1176" s="55">
        <f t="shared" si="254"/>
        <v>135780.52143712575</v>
      </c>
      <c r="V1176" s="55">
        <f t="shared" si="255"/>
        <v>-3475.0474251497071</v>
      </c>
      <c r="W1176" s="55">
        <f t="shared" si="256"/>
        <v>134067.34943890644</v>
      </c>
      <c r="X1176" s="55">
        <f t="shared" si="257"/>
        <v>-1713.1719982193026</v>
      </c>
      <c r="Y1176" s="55">
        <f t="shared" si="258"/>
        <v>116640.31999999999</v>
      </c>
      <c r="Z1176" s="55">
        <f t="shared" si="259"/>
        <v>117800.31999999999</v>
      </c>
      <c r="AA1176" s="55">
        <f t="shared" si="260"/>
        <v>-1160</v>
      </c>
      <c r="AB1176" s="55">
        <f t="shared" si="261"/>
        <v>16267.029438906451</v>
      </c>
      <c r="AC1176" s="54">
        <f t="shared" si="262"/>
        <v>0.12133475829116189</v>
      </c>
      <c r="AD1176" s="56">
        <f>INDEX(Assumptions!$B$14:$B$16,MATCH($R1176,Assumptions!$A$14:$A$16,0))</f>
        <v>0.12</v>
      </c>
      <c r="AE1176" s="56">
        <f>INDEX(Assumptions!$C$14:$C$16,MATCH($R1176,Assumptions!$A$14:$A$16,0))</f>
        <v>0.08</v>
      </c>
      <c r="AF1176" s="49">
        <f t="shared" si="263"/>
        <v>0</v>
      </c>
      <c r="AG1176" s="49">
        <f t="shared" si="264"/>
        <v>0</v>
      </c>
      <c r="AH1176" s="55">
        <f t="shared" si="265"/>
        <v>0</v>
      </c>
    </row>
    <row r="1177" spans="1:34" x14ac:dyDescent="0.2">
      <c r="A1177" s="48" t="s">
        <v>1046</v>
      </c>
      <c r="B1177" s="48">
        <v>2</v>
      </c>
      <c r="C1177" s="48" t="s">
        <v>957</v>
      </c>
      <c r="D1177" s="48" t="s">
        <v>958</v>
      </c>
      <c r="E1177" s="48" t="s">
        <v>384</v>
      </c>
      <c r="F1177" s="48" t="s">
        <v>297</v>
      </c>
      <c r="G1177" s="48" t="s">
        <v>281</v>
      </c>
      <c r="H1177" s="48" t="s">
        <v>70</v>
      </c>
      <c r="I1177" s="48" t="s">
        <v>146</v>
      </c>
      <c r="J1177" s="49">
        <v>60</v>
      </c>
      <c r="K1177" s="50">
        <v>26365</v>
      </c>
      <c r="L1177" s="50">
        <v>25611.53</v>
      </c>
      <c r="M1177" s="48" t="s">
        <v>276</v>
      </c>
      <c r="N1177" s="51">
        <v>83.5</v>
      </c>
      <c r="O1177" s="51">
        <v>84.566999999999993</v>
      </c>
      <c r="P1177" s="52">
        <v>244.05</v>
      </c>
      <c r="Q1177" s="52">
        <v>264.05</v>
      </c>
      <c r="R1177" s="53" t="str">
        <f>INDEX(SKU_Master!$D$5:$D$34,MATCH($I1177,SKU_Master!$A$5:$A$34,0))</f>
        <v>Monitor</v>
      </c>
      <c r="S1177" s="54">
        <f t="shared" si="252"/>
        <v>2.8578418357671165E-2</v>
      </c>
      <c r="T1177" s="55">
        <f t="shared" si="253"/>
        <v>18944.910179640719</v>
      </c>
      <c r="U1177" s="55">
        <f t="shared" si="254"/>
        <v>18403.494610778442</v>
      </c>
      <c r="V1177" s="55">
        <f t="shared" si="255"/>
        <v>-541.41556886227772</v>
      </c>
      <c r="W1177" s="55">
        <f t="shared" si="256"/>
        <v>18171.29376707226</v>
      </c>
      <c r="X1177" s="55">
        <f t="shared" si="257"/>
        <v>-232.20084370618133</v>
      </c>
      <c r="Y1177" s="55">
        <f t="shared" si="258"/>
        <v>14643</v>
      </c>
      <c r="Z1177" s="55">
        <f t="shared" si="259"/>
        <v>15843</v>
      </c>
      <c r="AA1177" s="55">
        <f t="shared" si="260"/>
        <v>-1200</v>
      </c>
      <c r="AB1177" s="55">
        <f t="shared" si="261"/>
        <v>2328.2937670722604</v>
      </c>
      <c r="AC1177" s="54">
        <f t="shared" si="262"/>
        <v>0.12813032450618911</v>
      </c>
      <c r="AD1177" s="56">
        <f>INDEX(Assumptions!$B$14:$B$16,MATCH($R1177,Assumptions!$A$14:$A$16,0))</f>
        <v>0.18</v>
      </c>
      <c r="AE1177" s="56">
        <f>INDEX(Assumptions!$C$14:$C$16,MATCH($R1177,Assumptions!$A$14:$A$16,0))</f>
        <v>0.12</v>
      </c>
      <c r="AF1177" s="49">
        <f t="shared" si="263"/>
        <v>0</v>
      </c>
      <c r="AG1177" s="49">
        <f t="shared" si="264"/>
        <v>0</v>
      </c>
      <c r="AH1177" s="55">
        <f t="shared" si="265"/>
        <v>942.53911100074629</v>
      </c>
    </row>
    <row r="1178" spans="1:34" x14ac:dyDescent="0.2">
      <c r="A1178" s="48" t="s">
        <v>1047</v>
      </c>
      <c r="B1178" s="48">
        <v>1</v>
      </c>
      <c r="C1178" s="48" t="s">
        <v>1048</v>
      </c>
      <c r="D1178" s="48" t="s">
        <v>958</v>
      </c>
      <c r="E1178" s="48" t="s">
        <v>279</v>
      </c>
      <c r="F1178" s="48" t="s">
        <v>280</v>
      </c>
      <c r="G1178" s="48" t="s">
        <v>281</v>
      </c>
      <c r="H1178" s="48" t="s">
        <v>64</v>
      </c>
      <c r="I1178" s="48" t="s">
        <v>113</v>
      </c>
      <c r="J1178" s="49">
        <v>15</v>
      </c>
      <c r="K1178" s="50">
        <v>1425</v>
      </c>
      <c r="L1178" s="50">
        <v>1395.89</v>
      </c>
      <c r="M1178" s="48" t="s">
        <v>276</v>
      </c>
      <c r="N1178" s="51">
        <v>0.79</v>
      </c>
      <c r="O1178" s="51">
        <v>0.80300000000000005</v>
      </c>
      <c r="P1178" s="52">
        <v>1508.8</v>
      </c>
      <c r="Q1178" s="52">
        <v>1508.8</v>
      </c>
      <c r="R1178" s="53" t="str">
        <f>INDEX(SKU_Master!$D$5:$D$34,MATCH($I1178,SKU_Master!$A$5:$A$34,0))</f>
        <v>Laptop</v>
      </c>
      <c r="S1178" s="54">
        <f t="shared" si="252"/>
        <v>2.0428070175438573E-2</v>
      </c>
      <c r="T1178" s="55">
        <f t="shared" si="253"/>
        <v>27056.962025316454</v>
      </c>
      <c r="U1178" s="55">
        <f t="shared" si="254"/>
        <v>26504.240506329115</v>
      </c>
      <c r="V1178" s="55">
        <f t="shared" si="255"/>
        <v>-552.72151898733864</v>
      </c>
      <c r="W1178" s="55">
        <f t="shared" si="256"/>
        <v>26075.155666251558</v>
      </c>
      <c r="X1178" s="55">
        <f t="shared" si="257"/>
        <v>-429.0848400775576</v>
      </c>
      <c r="Y1178" s="55">
        <f t="shared" si="258"/>
        <v>22632</v>
      </c>
      <c r="Z1178" s="55">
        <f t="shared" si="259"/>
        <v>22632</v>
      </c>
      <c r="AA1178" s="55">
        <f t="shared" si="260"/>
        <v>0</v>
      </c>
      <c r="AB1178" s="55">
        <f t="shared" si="261"/>
        <v>3443.1556662515577</v>
      </c>
      <c r="AC1178" s="54">
        <f t="shared" si="262"/>
        <v>0.13204736762925448</v>
      </c>
      <c r="AD1178" s="56">
        <f>INDEX(Assumptions!$B$14:$B$16,MATCH($R1178,Assumptions!$A$14:$A$16,0))</f>
        <v>0.12</v>
      </c>
      <c r="AE1178" s="56">
        <f>INDEX(Assumptions!$C$14:$C$16,MATCH($R1178,Assumptions!$A$14:$A$16,0))</f>
        <v>0.08</v>
      </c>
      <c r="AF1178" s="49">
        <f t="shared" si="263"/>
        <v>0</v>
      </c>
      <c r="AG1178" s="49">
        <f t="shared" si="264"/>
        <v>0</v>
      </c>
      <c r="AH1178" s="55">
        <f t="shared" si="265"/>
        <v>0</v>
      </c>
    </row>
    <row r="1179" spans="1:34" x14ac:dyDescent="0.2">
      <c r="A1179" s="48" t="s">
        <v>1047</v>
      </c>
      <c r="B1179" s="48">
        <v>2</v>
      </c>
      <c r="C1179" s="48" t="s">
        <v>1048</v>
      </c>
      <c r="D1179" s="48" t="s">
        <v>958</v>
      </c>
      <c r="E1179" s="48" t="s">
        <v>279</v>
      </c>
      <c r="F1179" s="48" t="s">
        <v>280</v>
      </c>
      <c r="G1179" s="48" t="s">
        <v>281</v>
      </c>
      <c r="H1179" s="48" t="s">
        <v>64</v>
      </c>
      <c r="I1179" s="48" t="s">
        <v>141</v>
      </c>
      <c r="J1179" s="49">
        <v>10</v>
      </c>
      <c r="K1179" s="50">
        <v>395</v>
      </c>
      <c r="L1179" s="50">
        <v>391.04</v>
      </c>
      <c r="M1179" s="48" t="s">
        <v>276</v>
      </c>
      <c r="N1179" s="51">
        <v>0.79</v>
      </c>
      <c r="O1179" s="51">
        <v>0.80300000000000005</v>
      </c>
      <c r="P1179" s="52">
        <v>381.7</v>
      </c>
      <c r="Q1179" s="52">
        <v>381.7</v>
      </c>
      <c r="R1179" s="53" t="str">
        <f>INDEX(SKU_Master!$D$5:$D$34,MATCH($I1179,SKU_Master!$A$5:$A$34,0))</f>
        <v>Monitor</v>
      </c>
      <c r="S1179" s="54">
        <f t="shared" si="252"/>
        <v>1.0025316455696154E-2</v>
      </c>
      <c r="T1179" s="55">
        <f t="shared" si="253"/>
        <v>5000</v>
      </c>
      <c r="U1179" s="55">
        <f t="shared" si="254"/>
        <v>4949.8734177215192</v>
      </c>
      <c r="V1179" s="55">
        <f t="shared" si="255"/>
        <v>-50.126582278480782</v>
      </c>
      <c r="W1179" s="55">
        <f t="shared" si="256"/>
        <v>4869.7384806973851</v>
      </c>
      <c r="X1179" s="55">
        <f t="shared" si="257"/>
        <v>-80.13493702413416</v>
      </c>
      <c r="Y1179" s="55">
        <f t="shared" si="258"/>
        <v>3817</v>
      </c>
      <c r="Z1179" s="55">
        <f t="shared" si="259"/>
        <v>3817</v>
      </c>
      <c r="AA1179" s="55">
        <f t="shared" si="260"/>
        <v>0</v>
      </c>
      <c r="AB1179" s="55">
        <f t="shared" si="261"/>
        <v>1052.7384806973851</v>
      </c>
      <c r="AC1179" s="54">
        <f t="shared" si="262"/>
        <v>0.21617967471358432</v>
      </c>
      <c r="AD1179" s="56">
        <f>INDEX(Assumptions!$B$14:$B$16,MATCH($R1179,Assumptions!$A$14:$A$16,0))</f>
        <v>0.18</v>
      </c>
      <c r="AE1179" s="56">
        <f>INDEX(Assumptions!$C$14:$C$16,MATCH($R1179,Assumptions!$A$14:$A$16,0))</f>
        <v>0.12</v>
      </c>
      <c r="AF1179" s="49">
        <f t="shared" si="263"/>
        <v>0</v>
      </c>
      <c r="AG1179" s="49">
        <f t="shared" si="264"/>
        <v>0</v>
      </c>
      <c r="AH1179" s="55">
        <f t="shared" si="265"/>
        <v>0</v>
      </c>
    </row>
    <row r="1180" spans="1:34" x14ac:dyDescent="0.2">
      <c r="A1180" s="48" t="s">
        <v>1047</v>
      </c>
      <c r="B1180" s="48">
        <v>3</v>
      </c>
      <c r="C1180" s="48" t="s">
        <v>1048</v>
      </c>
      <c r="D1180" s="48" t="s">
        <v>958</v>
      </c>
      <c r="E1180" s="48" t="s">
        <v>279</v>
      </c>
      <c r="F1180" s="48" t="s">
        <v>280</v>
      </c>
      <c r="G1180" s="48" t="s">
        <v>281</v>
      </c>
      <c r="H1180" s="48" t="s">
        <v>64</v>
      </c>
      <c r="I1180" s="48" t="s">
        <v>177</v>
      </c>
      <c r="J1180" s="49">
        <v>12</v>
      </c>
      <c r="K1180" s="50">
        <v>65</v>
      </c>
      <c r="L1180" s="50">
        <v>62.99</v>
      </c>
      <c r="M1180" s="48" t="s">
        <v>276</v>
      </c>
      <c r="N1180" s="51">
        <v>0.79</v>
      </c>
      <c r="O1180" s="51">
        <v>0.80300000000000005</v>
      </c>
      <c r="P1180" s="52">
        <v>50</v>
      </c>
      <c r="Q1180" s="52">
        <v>50</v>
      </c>
      <c r="R1180" s="53" t="str">
        <f>INDEX(SKU_Master!$D$5:$D$34,MATCH($I1180,SKU_Master!$A$5:$A$34,0))</f>
        <v>Accessory</v>
      </c>
      <c r="S1180" s="54">
        <f t="shared" si="252"/>
        <v>3.0923076923076942E-2</v>
      </c>
      <c r="T1180" s="55">
        <f t="shared" si="253"/>
        <v>987.34177215189868</v>
      </c>
      <c r="U1180" s="55">
        <f t="shared" si="254"/>
        <v>956.81012658227849</v>
      </c>
      <c r="V1180" s="55">
        <f t="shared" si="255"/>
        <v>-30.531645569620196</v>
      </c>
      <c r="W1180" s="55">
        <f t="shared" si="256"/>
        <v>941.3200498132004</v>
      </c>
      <c r="X1180" s="55">
        <f t="shared" si="257"/>
        <v>-15.490076769078087</v>
      </c>
      <c r="Y1180" s="55">
        <f t="shared" si="258"/>
        <v>600</v>
      </c>
      <c r="Z1180" s="55">
        <f t="shared" si="259"/>
        <v>600</v>
      </c>
      <c r="AA1180" s="55">
        <f t="shared" si="260"/>
        <v>0</v>
      </c>
      <c r="AB1180" s="55">
        <f t="shared" si="261"/>
        <v>341.3200498132004</v>
      </c>
      <c r="AC1180" s="54">
        <f t="shared" si="262"/>
        <v>0.36259723765677082</v>
      </c>
      <c r="AD1180" s="56">
        <f>INDEX(Assumptions!$B$14:$B$16,MATCH($R1180,Assumptions!$A$14:$A$16,0))</f>
        <v>0.32</v>
      </c>
      <c r="AE1180" s="56">
        <f>INDEX(Assumptions!$C$14:$C$16,MATCH($R1180,Assumptions!$A$14:$A$16,0))</f>
        <v>0.22</v>
      </c>
      <c r="AF1180" s="49">
        <f t="shared" si="263"/>
        <v>0</v>
      </c>
      <c r="AG1180" s="49">
        <f t="shared" si="264"/>
        <v>0</v>
      </c>
      <c r="AH1180" s="55">
        <f t="shared" si="265"/>
        <v>0</v>
      </c>
    </row>
    <row r="1181" spans="1:34" x14ac:dyDescent="0.2">
      <c r="A1181" s="48" t="s">
        <v>1049</v>
      </c>
      <c r="B1181" s="48">
        <v>1</v>
      </c>
      <c r="C1181" s="48" t="s">
        <v>1050</v>
      </c>
      <c r="D1181" s="48" t="s">
        <v>1051</v>
      </c>
      <c r="E1181" s="48" t="s">
        <v>437</v>
      </c>
      <c r="F1181" s="48" t="s">
        <v>274</v>
      </c>
      <c r="G1181" s="48" t="s">
        <v>302</v>
      </c>
      <c r="H1181" s="48" t="s">
        <v>62</v>
      </c>
      <c r="I1181" s="48" t="s">
        <v>110</v>
      </c>
      <c r="J1181" s="49">
        <v>4</v>
      </c>
      <c r="K1181" s="50">
        <v>1165</v>
      </c>
      <c r="L1181" s="50">
        <v>1128.8499999999999</v>
      </c>
      <c r="M1181" s="48" t="s">
        <v>276</v>
      </c>
      <c r="N1181" s="51">
        <v>1</v>
      </c>
      <c r="O1181" s="51">
        <v>1</v>
      </c>
      <c r="P1181" s="52">
        <v>992.65</v>
      </c>
      <c r="Q1181" s="52">
        <v>992.65</v>
      </c>
      <c r="R1181" s="53" t="str">
        <f>INDEX(SKU_Master!$D$5:$D$34,MATCH($I1181,SKU_Master!$A$5:$A$34,0))</f>
        <v>Laptop</v>
      </c>
      <c r="S1181" s="54">
        <f t="shared" si="252"/>
        <v>3.1030042918455014E-2</v>
      </c>
      <c r="T1181" s="55">
        <f t="shared" si="253"/>
        <v>4660</v>
      </c>
      <c r="U1181" s="55">
        <f t="shared" si="254"/>
        <v>4515.3999999999996</v>
      </c>
      <c r="V1181" s="55">
        <f t="shared" si="255"/>
        <v>-144.60000000000036</v>
      </c>
      <c r="W1181" s="55">
        <f t="shared" si="256"/>
        <v>4515.3999999999996</v>
      </c>
      <c r="X1181" s="55">
        <f t="shared" si="257"/>
        <v>0</v>
      </c>
      <c r="Y1181" s="55">
        <f t="shared" si="258"/>
        <v>3970.6</v>
      </c>
      <c r="Z1181" s="55">
        <f t="shared" si="259"/>
        <v>3970.6</v>
      </c>
      <c r="AA1181" s="55">
        <f t="shared" si="260"/>
        <v>0</v>
      </c>
      <c r="AB1181" s="55">
        <f t="shared" si="261"/>
        <v>544.79999999999973</v>
      </c>
      <c r="AC1181" s="54">
        <f t="shared" si="262"/>
        <v>0.12065376267883239</v>
      </c>
      <c r="AD1181" s="56">
        <f>INDEX(Assumptions!$B$14:$B$16,MATCH($R1181,Assumptions!$A$14:$A$16,0))</f>
        <v>0.12</v>
      </c>
      <c r="AE1181" s="56">
        <f>INDEX(Assumptions!$C$14:$C$16,MATCH($R1181,Assumptions!$A$14:$A$16,0))</f>
        <v>0.08</v>
      </c>
      <c r="AF1181" s="49">
        <f t="shared" si="263"/>
        <v>0</v>
      </c>
      <c r="AG1181" s="49">
        <f t="shared" si="264"/>
        <v>0</v>
      </c>
      <c r="AH1181" s="55">
        <f t="shared" si="265"/>
        <v>0</v>
      </c>
    </row>
    <row r="1182" spans="1:34" x14ac:dyDescent="0.2">
      <c r="A1182" s="48" t="s">
        <v>1049</v>
      </c>
      <c r="B1182" s="48">
        <v>2</v>
      </c>
      <c r="C1182" s="48" t="s">
        <v>1050</v>
      </c>
      <c r="D1182" s="48" t="s">
        <v>1051</v>
      </c>
      <c r="E1182" s="48" t="s">
        <v>437</v>
      </c>
      <c r="F1182" s="48" t="s">
        <v>274</v>
      </c>
      <c r="G1182" s="48" t="s">
        <v>302</v>
      </c>
      <c r="H1182" s="48" t="s">
        <v>62</v>
      </c>
      <c r="I1182" s="48" t="s">
        <v>157</v>
      </c>
      <c r="J1182" s="49">
        <v>2</v>
      </c>
      <c r="K1182" s="50">
        <v>135</v>
      </c>
      <c r="L1182" s="50">
        <v>133.21</v>
      </c>
      <c r="M1182" s="48" t="s">
        <v>276</v>
      </c>
      <c r="N1182" s="51">
        <v>1</v>
      </c>
      <c r="O1182" s="51">
        <v>1</v>
      </c>
      <c r="P1182" s="52">
        <v>86</v>
      </c>
      <c r="Q1182" s="52">
        <v>86</v>
      </c>
      <c r="R1182" s="53" t="str">
        <f>INDEX(SKU_Master!$D$5:$D$34,MATCH($I1182,SKU_Master!$A$5:$A$34,0))</f>
        <v>Accessory</v>
      </c>
      <c r="S1182" s="54">
        <f t="shared" si="252"/>
        <v>1.3259259259259193E-2</v>
      </c>
      <c r="T1182" s="55">
        <f t="shared" si="253"/>
        <v>270</v>
      </c>
      <c r="U1182" s="55">
        <f t="shared" si="254"/>
        <v>266.42</v>
      </c>
      <c r="V1182" s="55">
        <f t="shared" si="255"/>
        <v>-3.5799999999999841</v>
      </c>
      <c r="W1182" s="55">
        <f t="shared" si="256"/>
        <v>266.42</v>
      </c>
      <c r="X1182" s="55">
        <f t="shared" si="257"/>
        <v>0</v>
      </c>
      <c r="Y1182" s="55">
        <f t="shared" si="258"/>
        <v>172</v>
      </c>
      <c r="Z1182" s="55">
        <f t="shared" si="259"/>
        <v>172</v>
      </c>
      <c r="AA1182" s="55">
        <f t="shared" si="260"/>
        <v>0</v>
      </c>
      <c r="AB1182" s="55">
        <f t="shared" si="261"/>
        <v>94.420000000000016</v>
      </c>
      <c r="AC1182" s="54">
        <f t="shared" si="262"/>
        <v>0.35440282261091516</v>
      </c>
      <c r="AD1182" s="56">
        <f>INDEX(Assumptions!$B$14:$B$16,MATCH($R1182,Assumptions!$A$14:$A$16,0))</f>
        <v>0.32</v>
      </c>
      <c r="AE1182" s="56">
        <f>INDEX(Assumptions!$C$14:$C$16,MATCH($R1182,Assumptions!$A$14:$A$16,0))</f>
        <v>0.22</v>
      </c>
      <c r="AF1182" s="49">
        <f t="shared" si="263"/>
        <v>0</v>
      </c>
      <c r="AG1182" s="49">
        <f t="shared" si="264"/>
        <v>0</v>
      </c>
      <c r="AH1182" s="55">
        <f t="shared" si="265"/>
        <v>0</v>
      </c>
    </row>
    <row r="1183" spans="1:34" x14ac:dyDescent="0.2">
      <c r="A1183" s="48" t="s">
        <v>1052</v>
      </c>
      <c r="B1183" s="48">
        <v>1</v>
      </c>
      <c r="C1183" s="48" t="s">
        <v>1053</v>
      </c>
      <c r="D1183" s="48" t="s">
        <v>1051</v>
      </c>
      <c r="E1183" s="48" t="s">
        <v>305</v>
      </c>
      <c r="F1183" s="48" t="s">
        <v>274</v>
      </c>
      <c r="G1183" s="48" t="s">
        <v>306</v>
      </c>
      <c r="H1183" s="48" t="s">
        <v>62</v>
      </c>
      <c r="I1183" s="48" t="s">
        <v>118</v>
      </c>
      <c r="J1183" s="49">
        <v>4</v>
      </c>
      <c r="K1183" s="50">
        <v>1365</v>
      </c>
      <c r="L1183" s="50">
        <v>1355.07</v>
      </c>
      <c r="M1183" s="48" t="s">
        <v>276</v>
      </c>
      <c r="N1183" s="51">
        <v>1</v>
      </c>
      <c r="O1183" s="51">
        <v>1</v>
      </c>
      <c r="P1183" s="52">
        <v>1162.5999999999999</v>
      </c>
      <c r="Q1183" s="52">
        <v>1231.28</v>
      </c>
      <c r="R1183" s="53" t="str">
        <f>INDEX(SKU_Master!$D$5:$D$34,MATCH($I1183,SKU_Master!$A$5:$A$34,0))</f>
        <v>Laptop</v>
      </c>
      <c r="S1183" s="54">
        <f t="shared" si="252"/>
        <v>7.27472527472528E-3</v>
      </c>
      <c r="T1183" s="55">
        <f t="shared" si="253"/>
        <v>5460</v>
      </c>
      <c r="U1183" s="55">
        <f t="shared" si="254"/>
        <v>5420.28</v>
      </c>
      <c r="V1183" s="55">
        <f t="shared" si="255"/>
        <v>-39.720000000000255</v>
      </c>
      <c r="W1183" s="55">
        <f t="shared" si="256"/>
        <v>5420.28</v>
      </c>
      <c r="X1183" s="55">
        <f t="shared" si="257"/>
        <v>0</v>
      </c>
      <c r="Y1183" s="55">
        <f t="shared" si="258"/>
        <v>4650.3999999999996</v>
      </c>
      <c r="Z1183" s="55">
        <f t="shared" si="259"/>
        <v>4925.12</v>
      </c>
      <c r="AA1183" s="55">
        <f t="shared" si="260"/>
        <v>-274.72000000000025</v>
      </c>
      <c r="AB1183" s="55">
        <f t="shared" si="261"/>
        <v>495.15999999999985</v>
      </c>
      <c r="AC1183" s="54">
        <f t="shared" si="262"/>
        <v>9.1353214225095361E-2</v>
      </c>
      <c r="AD1183" s="56">
        <f>INDEX(Assumptions!$B$14:$B$16,MATCH($R1183,Assumptions!$A$14:$A$16,0))</f>
        <v>0.12</v>
      </c>
      <c r="AE1183" s="56">
        <f>INDEX(Assumptions!$C$14:$C$16,MATCH($R1183,Assumptions!$A$14:$A$16,0))</f>
        <v>0.08</v>
      </c>
      <c r="AF1183" s="49">
        <f t="shared" si="263"/>
        <v>0</v>
      </c>
      <c r="AG1183" s="49">
        <f t="shared" si="264"/>
        <v>0</v>
      </c>
      <c r="AH1183" s="55">
        <f t="shared" si="265"/>
        <v>155.2736000000001</v>
      </c>
    </row>
    <row r="1184" spans="1:34" x14ac:dyDescent="0.2">
      <c r="A1184" s="48" t="s">
        <v>1052</v>
      </c>
      <c r="B1184" s="48">
        <v>2</v>
      </c>
      <c r="C1184" s="48" t="s">
        <v>1053</v>
      </c>
      <c r="D1184" s="48" t="s">
        <v>1051</v>
      </c>
      <c r="E1184" s="48" t="s">
        <v>305</v>
      </c>
      <c r="F1184" s="48" t="s">
        <v>274</v>
      </c>
      <c r="G1184" s="48" t="s">
        <v>306</v>
      </c>
      <c r="H1184" s="48" t="s">
        <v>62</v>
      </c>
      <c r="I1184" s="48" t="s">
        <v>135</v>
      </c>
      <c r="J1184" s="49">
        <v>2</v>
      </c>
      <c r="K1184" s="50">
        <v>240</v>
      </c>
      <c r="L1184" s="50">
        <v>235.52</v>
      </c>
      <c r="M1184" s="48" t="s">
        <v>276</v>
      </c>
      <c r="N1184" s="51">
        <v>1</v>
      </c>
      <c r="O1184" s="51">
        <v>1</v>
      </c>
      <c r="P1184" s="52">
        <v>186.7</v>
      </c>
      <c r="Q1184" s="52">
        <v>186.7</v>
      </c>
      <c r="R1184" s="53" t="str">
        <f>INDEX(SKU_Master!$D$5:$D$34,MATCH($I1184,SKU_Master!$A$5:$A$34,0))</f>
        <v>Monitor</v>
      </c>
      <c r="S1184" s="54">
        <f t="shared" si="252"/>
        <v>1.8666666666666609E-2</v>
      </c>
      <c r="T1184" s="55">
        <f t="shared" si="253"/>
        <v>480</v>
      </c>
      <c r="U1184" s="55">
        <f t="shared" si="254"/>
        <v>471.04</v>
      </c>
      <c r="V1184" s="55">
        <f t="shared" si="255"/>
        <v>-8.9599999999999795</v>
      </c>
      <c r="W1184" s="55">
        <f t="shared" si="256"/>
        <v>471.04</v>
      </c>
      <c r="X1184" s="55">
        <f t="shared" si="257"/>
        <v>0</v>
      </c>
      <c r="Y1184" s="55">
        <f t="shared" si="258"/>
        <v>373.4</v>
      </c>
      <c r="Z1184" s="55">
        <f t="shared" si="259"/>
        <v>373.4</v>
      </c>
      <c r="AA1184" s="55">
        <f t="shared" si="260"/>
        <v>0</v>
      </c>
      <c r="AB1184" s="55">
        <f t="shared" si="261"/>
        <v>97.640000000000043</v>
      </c>
      <c r="AC1184" s="54">
        <f t="shared" si="262"/>
        <v>0.20728600543478271</v>
      </c>
      <c r="AD1184" s="56">
        <f>INDEX(Assumptions!$B$14:$B$16,MATCH($R1184,Assumptions!$A$14:$A$16,0))</f>
        <v>0.18</v>
      </c>
      <c r="AE1184" s="56">
        <f>INDEX(Assumptions!$C$14:$C$16,MATCH($R1184,Assumptions!$A$14:$A$16,0))</f>
        <v>0.12</v>
      </c>
      <c r="AF1184" s="49">
        <f t="shared" si="263"/>
        <v>0</v>
      </c>
      <c r="AG1184" s="49">
        <f t="shared" si="264"/>
        <v>0</v>
      </c>
      <c r="AH1184" s="55">
        <f t="shared" si="265"/>
        <v>0</v>
      </c>
    </row>
    <row r="1185" spans="1:34" x14ac:dyDescent="0.2">
      <c r="A1185" s="48" t="s">
        <v>1052</v>
      </c>
      <c r="B1185" s="48">
        <v>3</v>
      </c>
      <c r="C1185" s="48" t="s">
        <v>1053</v>
      </c>
      <c r="D1185" s="48" t="s">
        <v>1051</v>
      </c>
      <c r="E1185" s="48" t="s">
        <v>305</v>
      </c>
      <c r="F1185" s="48" t="s">
        <v>274</v>
      </c>
      <c r="G1185" s="48" t="s">
        <v>306</v>
      </c>
      <c r="H1185" s="48" t="s">
        <v>62</v>
      </c>
      <c r="I1185" s="48" t="s">
        <v>157</v>
      </c>
      <c r="J1185" s="49">
        <v>3</v>
      </c>
      <c r="K1185" s="50">
        <v>135</v>
      </c>
      <c r="L1185" s="50">
        <v>134.58000000000001</v>
      </c>
      <c r="M1185" s="48" t="s">
        <v>276</v>
      </c>
      <c r="N1185" s="51">
        <v>1</v>
      </c>
      <c r="O1185" s="51">
        <v>1</v>
      </c>
      <c r="P1185" s="52">
        <v>86</v>
      </c>
      <c r="Q1185" s="52">
        <v>86</v>
      </c>
      <c r="R1185" s="53" t="str">
        <f>INDEX(SKU_Master!$D$5:$D$34,MATCH($I1185,SKU_Master!$A$5:$A$34,0))</f>
        <v>Accessory</v>
      </c>
      <c r="S1185" s="54">
        <f t="shared" si="252"/>
        <v>3.1111111111110645E-3</v>
      </c>
      <c r="T1185" s="55">
        <f t="shared" si="253"/>
        <v>405</v>
      </c>
      <c r="U1185" s="55">
        <f t="shared" si="254"/>
        <v>403.74</v>
      </c>
      <c r="V1185" s="55">
        <f t="shared" si="255"/>
        <v>-1.2599999999999909</v>
      </c>
      <c r="W1185" s="55">
        <f t="shared" si="256"/>
        <v>403.74</v>
      </c>
      <c r="X1185" s="55">
        <f t="shared" si="257"/>
        <v>0</v>
      </c>
      <c r="Y1185" s="55">
        <f t="shared" si="258"/>
        <v>258</v>
      </c>
      <c r="Z1185" s="55">
        <f t="shared" si="259"/>
        <v>258</v>
      </c>
      <c r="AA1185" s="55">
        <f t="shared" si="260"/>
        <v>0</v>
      </c>
      <c r="AB1185" s="55">
        <f t="shared" si="261"/>
        <v>145.74</v>
      </c>
      <c r="AC1185" s="54">
        <f t="shared" si="262"/>
        <v>0.36097488482686879</v>
      </c>
      <c r="AD1185" s="56">
        <f>INDEX(Assumptions!$B$14:$B$16,MATCH($R1185,Assumptions!$A$14:$A$16,0))</f>
        <v>0.32</v>
      </c>
      <c r="AE1185" s="56">
        <f>INDEX(Assumptions!$C$14:$C$16,MATCH($R1185,Assumptions!$A$14:$A$16,0))</f>
        <v>0.22</v>
      </c>
      <c r="AF1185" s="49">
        <f t="shared" si="263"/>
        <v>0</v>
      </c>
      <c r="AG1185" s="49">
        <f t="shared" si="264"/>
        <v>0</v>
      </c>
      <c r="AH1185" s="55">
        <f t="shared" si="265"/>
        <v>0</v>
      </c>
    </row>
    <row r="1186" spans="1:34" x14ac:dyDescent="0.2">
      <c r="A1186" s="48" t="s">
        <v>1054</v>
      </c>
      <c r="B1186" s="48">
        <v>1</v>
      </c>
      <c r="C1186" s="48" t="s">
        <v>1055</v>
      </c>
      <c r="D1186" s="48" t="s">
        <v>1051</v>
      </c>
      <c r="E1186" s="48" t="s">
        <v>309</v>
      </c>
      <c r="F1186" s="48" t="s">
        <v>280</v>
      </c>
      <c r="G1186" s="48" t="s">
        <v>298</v>
      </c>
      <c r="H1186" s="48" t="s">
        <v>70</v>
      </c>
      <c r="I1186" s="48" t="s">
        <v>93</v>
      </c>
      <c r="J1186" s="49">
        <v>9</v>
      </c>
      <c r="K1186" s="50">
        <v>134750</v>
      </c>
      <c r="L1186" s="50">
        <v>131038.56</v>
      </c>
      <c r="M1186" s="48" t="s">
        <v>276</v>
      </c>
      <c r="N1186" s="51">
        <v>83.5</v>
      </c>
      <c r="O1186" s="51">
        <v>84.621399999999994</v>
      </c>
      <c r="P1186" s="52">
        <v>1351.7</v>
      </c>
      <c r="Q1186" s="52">
        <v>1371.7</v>
      </c>
      <c r="R1186" s="53" t="str">
        <f>INDEX(SKU_Master!$D$5:$D$34,MATCH($I1186,SKU_Master!$A$5:$A$34,0))</f>
        <v>Laptop</v>
      </c>
      <c r="S1186" s="54">
        <f t="shared" si="252"/>
        <v>2.7543153988868307E-2</v>
      </c>
      <c r="T1186" s="55">
        <f t="shared" si="253"/>
        <v>14523.952095808383</v>
      </c>
      <c r="U1186" s="55">
        <f t="shared" si="254"/>
        <v>14123.916646706588</v>
      </c>
      <c r="V1186" s="55">
        <f t="shared" si="255"/>
        <v>-400.03544910179517</v>
      </c>
      <c r="W1186" s="55">
        <f t="shared" si="256"/>
        <v>13936.74696944272</v>
      </c>
      <c r="X1186" s="55">
        <f t="shared" si="257"/>
        <v>-187.16967726386792</v>
      </c>
      <c r="Y1186" s="55">
        <f t="shared" si="258"/>
        <v>12165.300000000001</v>
      </c>
      <c r="Z1186" s="55">
        <f t="shared" si="259"/>
        <v>12345.300000000001</v>
      </c>
      <c r="AA1186" s="55">
        <f t="shared" si="260"/>
        <v>-180</v>
      </c>
      <c r="AB1186" s="55">
        <f t="shared" si="261"/>
        <v>1591.4469694427189</v>
      </c>
      <c r="AC1186" s="54">
        <f t="shared" si="262"/>
        <v>0.11419070554499385</v>
      </c>
      <c r="AD1186" s="56">
        <f>INDEX(Assumptions!$B$14:$B$16,MATCH($R1186,Assumptions!$A$14:$A$16,0))</f>
        <v>0.12</v>
      </c>
      <c r="AE1186" s="56">
        <f>INDEX(Assumptions!$C$14:$C$16,MATCH($R1186,Assumptions!$A$14:$A$16,0))</f>
        <v>0.08</v>
      </c>
      <c r="AF1186" s="49">
        <f t="shared" si="263"/>
        <v>0</v>
      </c>
      <c r="AG1186" s="49">
        <f t="shared" si="264"/>
        <v>0</v>
      </c>
      <c r="AH1186" s="55">
        <f t="shared" si="265"/>
        <v>80.96266689040749</v>
      </c>
    </row>
    <row r="1187" spans="1:34" x14ac:dyDescent="0.2">
      <c r="A1187" s="48" t="s">
        <v>1054</v>
      </c>
      <c r="B1187" s="48">
        <v>2</v>
      </c>
      <c r="C1187" s="48" t="s">
        <v>1055</v>
      </c>
      <c r="D1187" s="48" t="s">
        <v>1051</v>
      </c>
      <c r="E1187" s="48" t="s">
        <v>309</v>
      </c>
      <c r="F1187" s="48" t="s">
        <v>280</v>
      </c>
      <c r="G1187" s="48" t="s">
        <v>298</v>
      </c>
      <c r="H1187" s="48" t="s">
        <v>70</v>
      </c>
      <c r="I1187" s="48" t="s">
        <v>173</v>
      </c>
      <c r="J1187" s="49">
        <v>5</v>
      </c>
      <c r="K1187" s="50">
        <v>6065</v>
      </c>
      <c r="L1187" s="50">
        <v>5977.14</v>
      </c>
      <c r="M1187" s="48" t="s">
        <v>276</v>
      </c>
      <c r="N1187" s="51">
        <v>83.5</v>
      </c>
      <c r="O1187" s="51">
        <v>84.621399999999994</v>
      </c>
      <c r="P1187" s="52">
        <v>46.08</v>
      </c>
      <c r="Q1187" s="52">
        <v>51.08</v>
      </c>
      <c r="R1187" s="53" t="str">
        <f>INDEX(SKU_Master!$D$5:$D$34,MATCH($I1187,SKU_Master!$A$5:$A$34,0))</f>
        <v>Accessory</v>
      </c>
      <c r="S1187" s="54">
        <f t="shared" si="252"/>
        <v>1.4486397361912595E-2</v>
      </c>
      <c r="T1187" s="55">
        <f t="shared" si="253"/>
        <v>363.17365269461078</v>
      </c>
      <c r="U1187" s="55">
        <f t="shared" si="254"/>
        <v>357.91257485029939</v>
      </c>
      <c r="V1187" s="55">
        <f t="shared" si="255"/>
        <v>-5.2610778443113873</v>
      </c>
      <c r="W1187" s="55">
        <f t="shared" si="256"/>
        <v>353.16952922074091</v>
      </c>
      <c r="X1187" s="55">
        <f t="shared" si="257"/>
        <v>-4.7430456295584804</v>
      </c>
      <c r="Y1187" s="55">
        <f t="shared" si="258"/>
        <v>230.39999999999998</v>
      </c>
      <c r="Z1187" s="55">
        <f t="shared" si="259"/>
        <v>255.39999999999998</v>
      </c>
      <c r="AA1187" s="55">
        <f t="shared" si="260"/>
        <v>-25</v>
      </c>
      <c r="AB1187" s="55">
        <f t="shared" si="261"/>
        <v>97.769529220740935</v>
      </c>
      <c r="AC1187" s="54">
        <f t="shared" si="262"/>
        <v>0.27683455431862081</v>
      </c>
      <c r="AD1187" s="56">
        <f>INDEX(Assumptions!$B$14:$B$16,MATCH($R1187,Assumptions!$A$14:$A$16,0))</f>
        <v>0.32</v>
      </c>
      <c r="AE1187" s="56">
        <f>INDEX(Assumptions!$C$14:$C$16,MATCH($R1187,Assumptions!$A$14:$A$16,0))</f>
        <v>0.22</v>
      </c>
      <c r="AF1187" s="49">
        <f t="shared" si="263"/>
        <v>0</v>
      </c>
      <c r="AG1187" s="49">
        <f t="shared" si="264"/>
        <v>0</v>
      </c>
      <c r="AH1187" s="55">
        <f t="shared" si="265"/>
        <v>15.244720129896166</v>
      </c>
    </row>
    <row r="1188" spans="1:34" x14ac:dyDescent="0.2">
      <c r="A1188" s="48" t="s">
        <v>1056</v>
      </c>
      <c r="B1188" s="48">
        <v>1</v>
      </c>
      <c r="C1188" s="48" t="s">
        <v>1057</v>
      </c>
      <c r="D1188" s="48" t="s">
        <v>1051</v>
      </c>
      <c r="E1188" s="48" t="s">
        <v>346</v>
      </c>
      <c r="F1188" s="48" t="s">
        <v>297</v>
      </c>
      <c r="G1188" s="48" t="s">
        <v>302</v>
      </c>
      <c r="H1188" s="48" t="s">
        <v>62</v>
      </c>
      <c r="I1188" s="48" t="s">
        <v>110</v>
      </c>
      <c r="J1188" s="49">
        <v>61</v>
      </c>
      <c r="K1188" s="50">
        <v>1165</v>
      </c>
      <c r="L1188" s="50">
        <v>1082.1400000000001</v>
      </c>
      <c r="M1188" s="48" t="s">
        <v>276</v>
      </c>
      <c r="N1188" s="51">
        <v>1</v>
      </c>
      <c r="O1188" s="51">
        <v>1</v>
      </c>
      <c r="P1188" s="52">
        <v>992.65</v>
      </c>
      <c r="Q1188" s="52">
        <v>992.65</v>
      </c>
      <c r="R1188" s="53" t="str">
        <f>INDEX(SKU_Master!$D$5:$D$34,MATCH($I1188,SKU_Master!$A$5:$A$34,0))</f>
        <v>Laptop</v>
      </c>
      <c r="S1188" s="54">
        <f t="shared" si="252"/>
        <v>7.112446351931323E-2</v>
      </c>
      <c r="T1188" s="55">
        <f t="shared" si="253"/>
        <v>71065</v>
      </c>
      <c r="U1188" s="55">
        <f t="shared" si="254"/>
        <v>66010.540000000008</v>
      </c>
      <c r="V1188" s="55">
        <f t="shared" si="255"/>
        <v>-5054.4599999999919</v>
      </c>
      <c r="W1188" s="55">
        <f t="shared" si="256"/>
        <v>66010.540000000008</v>
      </c>
      <c r="X1188" s="55">
        <f t="shared" si="257"/>
        <v>0</v>
      </c>
      <c r="Y1188" s="55">
        <f t="shared" si="258"/>
        <v>60551.65</v>
      </c>
      <c r="Z1188" s="55">
        <f t="shared" si="259"/>
        <v>60551.65</v>
      </c>
      <c r="AA1188" s="55">
        <f t="shared" si="260"/>
        <v>0</v>
      </c>
      <c r="AB1188" s="55">
        <f t="shared" si="261"/>
        <v>5458.8900000000067</v>
      </c>
      <c r="AC1188" s="54">
        <f t="shared" si="262"/>
        <v>8.269724804553949E-2</v>
      </c>
      <c r="AD1188" s="56">
        <f>INDEX(Assumptions!$B$14:$B$16,MATCH($R1188,Assumptions!$A$14:$A$16,0))</f>
        <v>0.12</v>
      </c>
      <c r="AE1188" s="56">
        <f>INDEX(Assumptions!$C$14:$C$16,MATCH($R1188,Assumptions!$A$14:$A$16,0))</f>
        <v>0.08</v>
      </c>
      <c r="AF1188" s="49">
        <f t="shared" si="263"/>
        <v>0</v>
      </c>
      <c r="AG1188" s="49">
        <f t="shared" si="264"/>
        <v>0</v>
      </c>
      <c r="AH1188" s="55">
        <f t="shared" si="265"/>
        <v>2462.3747999999941</v>
      </c>
    </row>
    <row r="1189" spans="1:34" x14ac:dyDescent="0.2">
      <c r="A1189" s="48" t="s">
        <v>1058</v>
      </c>
      <c r="B1189" s="48">
        <v>1</v>
      </c>
      <c r="C1189" s="48" t="s">
        <v>1055</v>
      </c>
      <c r="D1189" s="48" t="s">
        <v>1051</v>
      </c>
      <c r="E1189" s="48" t="s">
        <v>393</v>
      </c>
      <c r="F1189" s="48" t="s">
        <v>274</v>
      </c>
      <c r="G1189" s="48" t="s">
        <v>275</v>
      </c>
      <c r="H1189" s="48" t="s">
        <v>66</v>
      </c>
      <c r="I1189" s="48" t="s">
        <v>98</v>
      </c>
      <c r="J1189" s="49">
        <v>7</v>
      </c>
      <c r="K1189" s="50">
        <v>1980</v>
      </c>
      <c r="L1189" s="50">
        <v>1960.61</v>
      </c>
      <c r="M1189" s="48" t="s">
        <v>276</v>
      </c>
      <c r="N1189" s="51">
        <v>0.92</v>
      </c>
      <c r="O1189" s="51">
        <v>0.92859999999999998</v>
      </c>
      <c r="P1189" s="52">
        <v>1800.2</v>
      </c>
      <c r="Q1189" s="52">
        <v>1800.2</v>
      </c>
      <c r="R1189" s="53" t="str">
        <f>INDEX(SKU_Master!$D$5:$D$34,MATCH($I1189,SKU_Master!$A$5:$A$34,0))</f>
        <v>Laptop</v>
      </c>
      <c r="S1189" s="54">
        <f t="shared" si="252"/>
        <v>9.7929292929292977E-3</v>
      </c>
      <c r="T1189" s="55">
        <f t="shared" si="253"/>
        <v>15065.217391304348</v>
      </c>
      <c r="U1189" s="55">
        <f t="shared" si="254"/>
        <v>14917.684782608694</v>
      </c>
      <c r="V1189" s="55">
        <f t="shared" si="255"/>
        <v>-147.53260869565383</v>
      </c>
      <c r="W1189" s="55">
        <f t="shared" si="256"/>
        <v>14779.52832220547</v>
      </c>
      <c r="X1189" s="55">
        <f t="shared" si="257"/>
        <v>-138.15646040322463</v>
      </c>
      <c r="Y1189" s="55">
        <f t="shared" si="258"/>
        <v>12601.4</v>
      </c>
      <c r="Z1189" s="55">
        <f t="shared" si="259"/>
        <v>12601.4</v>
      </c>
      <c r="AA1189" s="55">
        <f t="shared" si="260"/>
        <v>0</v>
      </c>
      <c r="AB1189" s="55">
        <f t="shared" si="261"/>
        <v>2178.1283222054699</v>
      </c>
      <c r="AC1189" s="54">
        <f t="shared" si="262"/>
        <v>0.14737468440944396</v>
      </c>
      <c r="AD1189" s="56">
        <f>INDEX(Assumptions!$B$14:$B$16,MATCH($R1189,Assumptions!$A$14:$A$16,0))</f>
        <v>0.12</v>
      </c>
      <c r="AE1189" s="56">
        <f>INDEX(Assumptions!$C$14:$C$16,MATCH($R1189,Assumptions!$A$14:$A$16,0))</f>
        <v>0.08</v>
      </c>
      <c r="AF1189" s="49">
        <f t="shared" si="263"/>
        <v>0</v>
      </c>
      <c r="AG1189" s="49">
        <f t="shared" si="264"/>
        <v>0</v>
      </c>
      <c r="AH1189" s="55">
        <f t="shared" si="265"/>
        <v>0</v>
      </c>
    </row>
    <row r="1190" spans="1:34" x14ac:dyDescent="0.2">
      <c r="A1190" s="48" t="s">
        <v>1058</v>
      </c>
      <c r="B1190" s="48">
        <v>2</v>
      </c>
      <c r="C1190" s="48" t="s">
        <v>1055</v>
      </c>
      <c r="D1190" s="48" t="s">
        <v>1051</v>
      </c>
      <c r="E1190" s="48" t="s">
        <v>393</v>
      </c>
      <c r="F1190" s="48" t="s">
        <v>274</v>
      </c>
      <c r="G1190" s="48" t="s">
        <v>275</v>
      </c>
      <c r="H1190" s="48" t="s">
        <v>66</v>
      </c>
      <c r="I1190" s="48" t="s">
        <v>164</v>
      </c>
      <c r="J1190" s="49">
        <v>5</v>
      </c>
      <c r="K1190" s="50">
        <v>185</v>
      </c>
      <c r="L1190" s="50">
        <v>182.07</v>
      </c>
      <c r="M1190" s="48" t="s">
        <v>276</v>
      </c>
      <c r="N1190" s="51">
        <v>0.92</v>
      </c>
      <c r="O1190" s="51">
        <v>0.92859999999999998</v>
      </c>
      <c r="P1190" s="52">
        <v>126</v>
      </c>
      <c r="Q1190" s="52">
        <v>126</v>
      </c>
      <c r="R1190" s="53" t="str">
        <f>INDEX(SKU_Master!$D$5:$D$34,MATCH($I1190,SKU_Master!$A$5:$A$34,0))</f>
        <v>Accessory</v>
      </c>
      <c r="S1190" s="54">
        <f t="shared" si="252"/>
        <v>1.5837837837837876E-2</v>
      </c>
      <c r="T1190" s="55">
        <f t="shared" si="253"/>
        <v>1005.4347826086956</v>
      </c>
      <c r="U1190" s="55">
        <f t="shared" si="254"/>
        <v>989.51086956521726</v>
      </c>
      <c r="V1190" s="55">
        <f t="shared" si="255"/>
        <v>-15.923913043478365</v>
      </c>
      <c r="W1190" s="55">
        <f t="shared" si="256"/>
        <v>980.34675856127501</v>
      </c>
      <c r="X1190" s="55">
        <f t="shared" si="257"/>
        <v>-9.1641110039422529</v>
      </c>
      <c r="Y1190" s="55">
        <f t="shared" si="258"/>
        <v>630</v>
      </c>
      <c r="Z1190" s="55">
        <f t="shared" si="259"/>
        <v>630</v>
      </c>
      <c r="AA1190" s="55">
        <f t="shared" si="260"/>
        <v>0</v>
      </c>
      <c r="AB1190" s="55">
        <f t="shared" si="261"/>
        <v>350.34675856127501</v>
      </c>
      <c r="AC1190" s="54">
        <f t="shared" si="262"/>
        <v>0.35737024221453284</v>
      </c>
      <c r="AD1190" s="56">
        <f>INDEX(Assumptions!$B$14:$B$16,MATCH($R1190,Assumptions!$A$14:$A$16,0))</f>
        <v>0.32</v>
      </c>
      <c r="AE1190" s="56">
        <f>INDEX(Assumptions!$C$14:$C$16,MATCH($R1190,Assumptions!$A$14:$A$16,0))</f>
        <v>0.22</v>
      </c>
      <c r="AF1190" s="49">
        <f t="shared" si="263"/>
        <v>0</v>
      </c>
      <c r="AG1190" s="49">
        <f t="shared" si="264"/>
        <v>0</v>
      </c>
      <c r="AH1190" s="55">
        <f t="shared" si="265"/>
        <v>0</v>
      </c>
    </row>
    <row r="1191" spans="1:34" x14ac:dyDescent="0.2">
      <c r="A1191" s="48" t="s">
        <v>1059</v>
      </c>
      <c r="B1191" s="48">
        <v>1</v>
      </c>
      <c r="C1191" s="48" t="s">
        <v>1060</v>
      </c>
      <c r="D1191" s="48" t="s">
        <v>1051</v>
      </c>
      <c r="E1191" s="48" t="s">
        <v>333</v>
      </c>
      <c r="F1191" s="48" t="s">
        <v>297</v>
      </c>
      <c r="G1191" s="48" t="s">
        <v>302</v>
      </c>
      <c r="H1191" s="48" t="s">
        <v>70</v>
      </c>
      <c r="I1191" s="48" t="s">
        <v>118</v>
      </c>
      <c r="J1191" s="49">
        <v>30</v>
      </c>
      <c r="K1191" s="50">
        <v>132140</v>
      </c>
      <c r="L1191" s="50">
        <v>123604.69</v>
      </c>
      <c r="M1191" s="48" t="s">
        <v>276</v>
      </c>
      <c r="N1191" s="51">
        <v>83.5</v>
      </c>
      <c r="O1191" s="51">
        <v>84.621399999999994</v>
      </c>
      <c r="P1191" s="52">
        <v>1325.51</v>
      </c>
      <c r="Q1191" s="52">
        <v>1421.74</v>
      </c>
      <c r="R1191" s="53" t="str">
        <f>INDEX(SKU_Master!$D$5:$D$34,MATCH($I1191,SKU_Master!$A$5:$A$34,0))</f>
        <v>Laptop</v>
      </c>
      <c r="S1191" s="54">
        <f t="shared" si="252"/>
        <v>6.4592931739064663E-2</v>
      </c>
      <c r="T1191" s="55">
        <f t="shared" si="253"/>
        <v>47475.44910179641</v>
      </c>
      <c r="U1191" s="55">
        <f t="shared" si="254"/>
        <v>44408.870658682637</v>
      </c>
      <c r="V1191" s="55">
        <f t="shared" si="255"/>
        <v>-3066.5784431137727</v>
      </c>
      <c r="W1191" s="55">
        <f t="shared" si="256"/>
        <v>43820.365770360695</v>
      </c>
      <c r="X1191" s="55">
        <f t="shared" si="257"/>
        <v>-588.50488832194242</v>
      </c>
      <c r="Y1191" s="55">
        <f t="shared" si="258"/>
        <v>39765.300000000003</v>
      </c>
      <c r="Z1191" s="55">
        <f t="shared" si="259"/>
        <v>42652.2</v>
      </c>
      <c r="AA1191" s="55">
        <f t="shared" si="260"/>
        <v>-2886.8999999999942</v>
      </c>
      <c r="AB1191" s="55">
        <f t="shared" si="261"/>
        <v>1168.1657703606979</v>
      </c>
      <c r="AC1191" s="54">
        <f t="shared" si="262"/>
        <v>2.6658056130394608E-2</v>
      </c>
      <c r="AD1191" s="56">
        <f>INDEX(Assumptions!$B$14:$B$16,MATCH($R1191,Assumptions!$A$14:$A$16,0))</f>
        <v>0.12</v>
      </c>
      <c r="AE1191" s="56">
        <f>INDEX(Assumptions!$C$14:$C$16,MATCH($R1191,Assumptions!$A$14:$A$16,0))</f>
        <v>0.08</v>
      </c>
      <c r="AF1191" s="49">
        <f t="shared" si="263"/>
        <v>1</v>
      </c>
      <c r="AG1191" s="49">
        <f t="shared" si="264"/>
        <v>1</v>
      </c>
      <c r="AH1191" s="55">
        <f t="shared" si="265"/>
        <v>4090.2781220825855</v>
      </c>
    </row>
    <row r="1192" spans="1:34" x14ac:dyDescent="0.2">
      <c r="A1192" s="48" t="s">
        <v>1059</v>
      </c>
      <c r="B1192" s="48">
        <v>2</v>
      </c>
      <c r="C1192" s="48" t="s">
        <v>1060</v>
      </c>
      <c r="D1192" s="48" t="s">
        <v>1051</v>
      </c>
      <c r="E1192" s="48" t="s">
        <v>333</v>
      </c>
      <c r="F1192" s="48" t="s">
        <v>297</v>
      </c>
      <c r="G1192" s="48" t="s">
        <v>302</v>
      </c>
      <c r="H1192" s="48" t="s">
        <v>70</v>
      </c>
      <c r="I1192" s="48" t="s">
        <v>138</v>
      </c>
      <c r="J1192" s="49">
        <v>13</v>
      </c>
      <c r="K1192" s="50">
        <v>47515</v>
      </c>
      <c r="L1192" s="50">
        <v>45498.84</v>
      </c>
      <c r="M1192" s="48" t="s">
        <v>276</v>
      </c>
      <c r="N1192" s="51">
        <v>83.5</v>
      </c>
      <c r="O1192" s="51">
        <v>84.621399999999994</v>
      </c>
      <c r="P1192" s="52">
        <v>439.85</v>
      </c>
      <c r="Q1192" s="52">
        <v>459.85</v>
      </c>
      <c r="R1192" s="53" t="str">
        <f>INDEX(SKU_Master!$D$5:$D$34,MATCH($I1192,SKU_Master!$A$5:$A$34,0))</f>
        <v>Monitor</v>
      </c>
      <c r="S1192" s="54">
        <f t="shared" si="252"/>
        <v>4.2432074081868998E-2</v>
      </c>
      <c r="T1192" s="55">
        <f t="shared" si="253"/>
        <v>7397.5449101796403</v>
      </c>
      <c r="U1192" s="55">
        <f t="shared" si="254"/>
        <v>7083.6517365269456</v>
      </c>
      <c r="V1192" s="55">
        <f t="shared" si="255"/>
        <v>-313.89317365269471</v>
      </c>
      <c r="W1192" s="55">
        <f t="shared" si="256"/>
        <v>6989.7794174995915</v>
      </c>
      <c r="X1192" s="55">
        <f t="shared" si="257"/>
        <v>-93.872319027354024</v>
      </c>
      <c r="Y1192" s="55">
        <f t="shared" si="258"/>
        <v>5718.05</v>
      </c>
      <c r="Z1192" s="55">
        <f t="shared" si="259"/>
        <v>5978.05</v>
      </c>
      <c r="AA1192" s="55">
        <f t="shared" si="260"/>
        <v>-260</v>
      </c>
      <c r="AB1192" s="55">
        <f t="shared" si="261"/>
        <v>1011.7294174995914</v>
      </c>
      <c r="AC1192" s="54">
        <f t="shared" si="262"/>
        <v>0.14474411237737039</v>
      </c>
      <c r="AD1192" s="56">
        <f>INDEX(Assumptions!$B$14:$B$16,MATCH($R1192,Assumptions!$A$14:$A$16,0))</f>
        <v>0.18</v>
      </c>
      <c r="AE1192" s="56">
        <f>INDEX(Assumptions!$C$14:$C$16,MATCH($R1192,Assumptions!$A$14:$A$16,0))</f>
        <v>0.12</v>
      </c>
      <c r="AF1192" s="49">
        <f t="shared" si="263"/>
        <v>0</v>
      </c>
      <c r="AG1192" s="49">
        <f t="shared" si="264"/>
        <v>0</v>
      </c>
      <c r="AH1192" s="55">
        <f t="shared" si="265"/>
        <v>246.43087765033511</v>
      </c>
    </row>
    <row r="1193" spans="1:34" x14ac:dyDescent="0.2">
      <c r="A1193" s="48" t="s">
        <v>1059</v>
      </c>
      <c r="B1193" s="48">
        <v>3</v>
      </c>
      <c r="C1193" s="48" t="s">
        <v>1060</v>
      </c>
      <c r="D1193" s="48" t="s">
        <v>1051</v>
      </c>
      <c r="E1193" s="48" t="s">
        <v>333</v>
      </c>
      <c r="F1193" s="48" t="s">
        <v>297</v>
      </c>
      <c r="G1193" s="48" t="s">
        <v>302</v>
      </c>
      <c r="H1193" s="48" t="s">
        <v>70</v>
      </c>
      <c r="I1193" s="48" t="s">
        <v>161</v>
      </c>
      <c r="J1193" s="49">
        <v>25</v>
      </c>
      <c r="K1193" s="50">
        <v>12195</v>
      </c>
      <c r="L1193" s="50">
        <v>11532.65</v>
      </c>
      <c r="M1193" s="48" t="s">
        <v>276</v>
      </c>
      <c r="N1193" s="51">
        <v>83.5</v>
      </c>
      <c r="O1193" s="51">
        <v>84.621399999999994</v>
      </c>
      <c r="P1193" s="52">
        <v>92.7</v>
      </c>
      <c r="Q1193" s="52">
        <v>97.7</v>
      </c>
      <c r="R1193" s="53" t="str">
        <f>INDEX(SKU_Master!$D$5:$D$34,MATCH($I1193,SKU_Master!$A$5:$A$34,0))</f>
        <v>Accessory</v>
      </c>
      <c r="S1193" s="54">
        <f t="shared" si="252"/>
        <v>5.4313243132431355E-2</v>
      </c>
      <c r="T1193" s="55">
        <f t="shared" si="253"/>
        <v>3651.1976047904191</v>
      </c>
      <c r="U1193" s="55">
        <f t="shared" si="254"/>
        <v>3452.8892215568862</v>
      </c>
      <c r="V1193" s="55">
        <f t="shared" si="255"/>
        <v>-198.30838323353282</v>
      </c>
      <c r="W1193" s="55">
        <f t="shared" si="256"/>
        <v>3407.1316475501471</v>
      </c>
      <c r="X1193" s="55">
        <f t="shared" si="257"/>
        <v>-45.757574006739105</v>
      </c>
      <c r="Y1193" s="55">
        <f t="shared" si="258"/>
        <v>2317.5</v>
      </c>
      <c r="Z1193" s="55">
        <f t="shared" si="259"/>
        <v>2442.5</v>
      </c>
      <c r="AA1193" s="55">
        <f t="shared" si="260"/>
        <v>-125</v>
      </c>
      <c r="AB1193" s="55">
        <f t="shared" si="261"/>
        <v>964.63164755014714</v>
      </c>
      <c r="AC1193" s="54">
        <f t="shared" si="262"/>
        <v>0.28312133117713628</v>
      </c>
      <c r="AD1193" s="56">
        <f>INDEX(Assumptions!$B$14:$B$16,MATCH($R1193,Assumptions!$A$14:$A$16,0))</f>
        <v>0.32</v>
      </c>
      <c r="AE1193" s="56">
        <f>INDEX(Assumptions!$C$14:$C$16,MATCH($R1193,Assumptions!$A$14:$A$16,0))</f>
        <v>0.22</v>
      </c>
      <c r="AF1193" s="49">
        <f t="shared" si="263"/>
        <v>0</v>
      </c>
      <c r="AG1193" s="49">
        <f t="shared" si="264"/>
        <v>0</v>
      </c>
      <c r="AH1193" s="55">
        <f t="shared" si="265"/>
        <v>125.65047966589987</v>
      </c>
    </row>
    <row r="1194" spans="1:34" x14ac:dyDescent="0.2">
      <c r="A1194" s="48" t="s">
        <v>1061</v>
      </c>
      <c r="B1194" s="48">
        <v>1</v>
      </c>
      <c r="C1194" s="48" t="s">
        <v>1053</v>
      </c>
      <c r="D1194" s="48" t="s">
        <v>1051</v>
      </c>
      <c r="E1194" s="48" t="s">
        <v>343</v>
      </c>
      <c r="F1194" s="48" t="s">
        <v>280</v>
      </c>
      <c r="G1194" s="48" t="s">
        <v>281</v>
      </c>
      <c r="H1194" s="48" t="s">
        <v>62</v>
      </c>
      <c r="I1194" s="48" t="s">
        <v>98</v>
      </c>
      <c r="J1194" s="49">
        <v>22</v>
      </c>
      <c r="K1194" s="50">
        <v>2085</v>
      </c>
      <c r="L1194" s="50">
        <v>2016.59</v>
      </c>
      <c r="M1194" s="48" t="s">
        <v>276</v>
      </c>
      <c r="N1194" s="51">
        <v>1</v>
      </c>
      <c r="O1194" s="51">
        <v>1</v>
      </c>
      <c r="P1194" s="52">
        <v>1780.2</v>
      </c>
      <c r="Q1194" s="52">
        <v>1780.2</v>
      </c>
      <c r="R1194" s="53" t="str">
        <f>INDEX(SKU_Master!$D$5:$D$34,MATCH($I1194,SKU_Master!$A$5:$A$34,0))</f>
        <v>Laptop</v>
      </c>
      <c r="S1194" s="54">
        <f t="shared" si="252"/>
        <v>3.2810551558753009E-2</v>
      </c>
      <c r="T1194" s="55">
        <f t="shared" si="253"/>
        <v>45870</v>
      </c>
      <c r="U1194" s="55">
        <f t="shared" si="254"/>
        <v>44364.979999999996</v>
      </c>
      <c r="V1194" s="55">
        <f t="shared" si="255"/>
        <v>-1505.0200000000041</v>
      </c>
      <c r="W1194" s="55">
        <f t="shared" si="256"/>
        <v>44364.979999999996</v>
      </c>
      <c r="X1194" s="55">
        <f t="shared" si="257"/>
        <v>0</v>
      </c>
      <c r="Y1194" s="55">
        <f t="shared" si="258"/>
        <v>39164.400000000001</v>
      </c>
      <c r="Z1194" s="55">
        <f t="shared" si="259"/>
        <v>39164.400000000001</v>
      </c>
      <c r="AA1194" s="55">
        <f t="shared" si="260"/>
        <v>0</v>
      </c>
      <c r="AB1194" s="55">
        <f t="shared" si="261"/>
        <v>5200.5799999999945</v>
      </c>
      <c r="AC1194" s="54">
        <f t="shared" si="262"/>
        <v>0.11722263821599818</v>
      </c>
      <c r="AD1194" s="56">
        <f>INDEX(Assumptions!$B$14:$B$16,MATCH($R1194,Assumptions!$A$14:$A$16,0))</f>
        <v>0.12</v>
      </c>
      <c r="AE1194" s="56">
        <f>INDEX(Assumptions!$C$14:$C$16,MATCH($R1194,Assumptions!$A$14:$A$16,0))</f>
        <v>0.08</v>
      </c>
      <c r="AF1194" s="49">
        <f t="shared" si="263"/>
        <v>0</v>
      </c>
      <c r="AG1194" s="49">
        <f t="shared" si="264"/>
        <v>0</v>
      </c>
      <c r="AH1194" s="55">
        <f t="shared" si="265"/>
        <v>123.2176000000045</v>
      </c>
    </row>
    <row r="1195" spans="1:34" x14ac:dyDescent="0.2">
      <c r="A1195" s="48" t="s">
        <v>1061</v>
      </c>
      <c r="B1195" s="48">
        <v>2</v>
      </c>
      <c r="C1195" s="48" t="s">
        <v>1053</v>
      </c>
      <c r="D1195" s="48" t="s">
        <v>1051</v>
      </c>
      <c r="E1195" s="48" t="s">
        <v>343</v>
      </c>
      <c r="F1195" s="48" t="s">
        <v>280</v>
      </c>
      <c r="G1195" s="48" t="s">
        <v>281</v>
      </c>
      <c r="H1195" s="48" t="s">
        <v>62</v>
      </c>
      <c r="I1195" s="48" t="s">
        <v>141</v>
      </c>
      <c r="J1195" s="49">
        <v>12</v>
      </c>
      <c r="K1195" s="50">
        <v>450</v>
      </c>
      <c r="L1195" s="50">
        <v>438.56</v>
      </c>
      <c r="M1195" s="48" t="s">
        <v>276</v>
      </c>
      <c r="N1195" s="51">
        <v>1</v>
      </c>
      <c r="O1195" s="51">
        <v>1</v>
      </c>
      <c r="P1195" s="52">
        <v>351.7</v>
      </c>
      <c r="Q1195" s="52">
        <v>351.7</v>
      </c>
      <c r="R1195" s="53" t="str">
        <f>INDEX(SKU_Master!$D$5:$D$34,MATCH($I1195,SKU_Master!$A$5:$A$34,0))</f>
        <v>Monitor</v>
      </c>
      <c r="S1195" s="54">
        <f t="shared" si="252"/>
        <v>2.5422222222222235E-2</v>
      </c>
      <c r="T1195" s="55">
        <f t="shared" si="253"/>
        <v>5400</v>
      </c>
      <c r="U1195" s="55">
        <f t="shared" si="254"/>
        <v>5262.72</v>
      </c>
      <c r="V1195" s="55">
        <f t="shared" si="255"/>
        <v>-137.27999999999975</v>
      </c>
      <c r="W1195" s="55">
        <f t="shared" si="256"/>
        <v>5262.72</v>
      </c>
      <c r="X1195" s="55">
        <f t="shared" si="257"/>
        <v>0</v>
      </c>
      <c r="Y1195" s="55">
        <f t="shared" si="258"/>
        <v>4220.3999999999996</v>
      </c>
      <c r="Z1195" s="55">
        <f t="shared" si="259"/>
        <v>4220.3999999999996</v>
      </c>
      <c r="AA1195" s="55">
        <f t="shared" si="260"/>
        <v>0</v>
      </c>
      <c r="AB1195" s="55">
        <f t="shared" si="261"/>
        <v>1042.3200000000006</v>
      </c>
      <c r="AC1195" s="54">
        <f t="shared" si="262"/>
        <v>0.19805727836556011</v>
      </c>
      <c r="AD1195" s="56">
        <f>INDEX(Assumptions!$B$14:$B$16,MATCH($R1195,Assumptions!$A$14:$A$16,0))</f>
        <v>0.18</v>
      </c>
      <c r="AE1195" s="56">
        <f>INDEX(Assumptions!$C$14:$C$16,MATCH($R1195,Assumptions!$A$14:$A$16,0))</f>
        <v>0.12</v>
      </c>
      <c r="AF1195" s="49">
        <f t="shared" si="263"/>
        <v>0</v>
      </c>
      <c r="AG1195" s="49">
        <f t="shared" si="264"/>
        <v>0</v>
      </c>
      <c r="AH1195" s="55">
        <f t="shared" si="265"/>
        <v>0</v>
      </c>
    </row>
    <row r="1196" spans="1:34" x14ac:dyDescent="0.2">
      <c r="A1196" s="48" t="s">
        <v>1062</v>
      </c>
      <c r="B1196" s="48">
        <v>1</v>
      </c>
      <c r="C1196" s="48" t="s">
        <v>1063</v>
      </c>
      <c r="D1196" s="48" t="s">
        <v>1051</v>
      </c>
      <c r="E1196" s="48" t="s">
        <v>498</v>
      </c>
      <c r="F1196" s="48" t="s">
        <v>280</v>
      </c>
      <c r="G1196" s="48" t="s">
        <v>302</v>
      </c>
      <c r="H1196" s="48" t="s">
        <v>66</v>
      </c>
      <c r="I1196" s="48" t="s">
        <v>101</v>
      </c>
      <c r="J1196" s="49">
        <v>20</v>
      </c>
      <c r="K1196" s="50">
        <v>3250</v>
      </c>
      <c r="L1196" s="50">
        <v>3144.51</v>
      </c>
      <c r="M1196" s="48" t="s">
        <v>276</v>
      </c>
      <c r="N1196" s="51">
        <v>0.92</v>
      </c>
      <c r="O1196" s="51">
        <v>0.92859999999999998</v>
      </c>
      <c r="P1196" s="52">
        <v>2958.5</v>
      </c>
      <c r="Q1196" s="52">
        <v>2958.5</v>
      </c>
      <c r="R1196" s="53" t="str">
        <f>INDEX(SKU_Master!$D$5:$D$34,MATCH($I1196,SKU_Master!$A$5:$A$34,0))</f>
        <v>Laptop</v>
      </c>
      <c r="S1196" s="54">
        <f t="shared" si="252"/>
        <v>3.2458461538461436E-2</v>
      </c>
      <c r="T1196" s="55">
        <f t="shared" si="253"/>
        <v>70652.173913043473</v>
      </c>
      <c r="U1196" s="55">
        <f t="shared" si="254"/>
        <v>68358.913043478256</v>
      </c>
      <c r="V1196" s="55">
        <f t="shared" si="255"/>
        <v>-2293.2608695652161</v>
      </c>
      <c r="W1196" s="55">
        <f t="shared" si="256"/>
        <v>67725.823820805526</v>
      </c>
      <c r="X1196" s="55">
        <f t="shared" si="257"/>
        <v>-633.0892226727301</v>
      </c>
      <c r="Y1196" s="55">
        <f t="shared" si="258"/>
        <v>59170</v>
      </c>
      <c r="Z1196" s="55">
        <f t="shared" si="259"/>
        <v>59170</v>
      </c>
      <c r="AA1196" s="55">
        <f t="shared" si="260"/>
        <v>0</v>
      </c>
      <c r="AB1196" s="55">
        <f t="shared" si="261"/>
        <v>8555.8238208055263</v>
      </c>
      <c r="AC1196" s="54">
        <f t="shared" si="262"/>
        <v>0.12633030265446779</v>
      </c>
      <c r="AD1196" s="56">
        <f>INDEX(Assumptions!$B$14:$B$16,MATCH($R1196,Assumptions!$A$14:$A$16,0))</f>
        <v>0.12</v>
      </c>
      <c r="AE1196" s="56">
        <f>INDEX(Assumptions!$C$14:$C$16,MATCH($R1196,Assumptions!$A$14:$A$16,0))</f>
        <v>0.08</v>
      </c>
      <c r="AF1196" s="49">
        <f t="shared" si="263"/>
        <v>0</v>
      </c>
      <c r="AG1196" s="49">
        <f t="shared" si="264"/>
        <v>0</v>
      </c>
      <c r="AH1196" s="55">
        <f t="shared" si="265"/>
        <v>0</v>
      </c>
    </row>
    <row r="1197" spans="1:34" x14ac:dyDescent="0.2">
      <c r="A1197" s="48" t="s">
        <v>1062</v>
      </c>
      <c r="B1197" s="48">
        <v>2</v>
      </c>
      <c r="C1197" s="48" t="s">
        <v>1063</v>
      </c>
      <c r="D1197" s="48" t="s">
        <v>1051</v>
      </c>
      <c r="E1197" s="48" t="s">
        <v>498</v>
      </c>
      <c r="F1197" s="48" t="s">
        <v>280</v>
      </c>
      <c r="G1197" s="48" t="s">
        <v>302</v>
      </c>
      <c r="H1197" s="48" t="s">
        <v>66</v>
      </c>
      <c r="I1197" s="48" t="s">
        <v>151</v>
      </c>
      <c r="J1197" s="49">
        <v>17</v>
      </c>
      <c r="K1197" s="50">
        <v>325</v>
      </c>
      <c r="L1197" s="50">
        <v>313.39</v>
      </c>
      <c r="M1197" s="48" t="s">
        <v>276</v>
      </c>
      <c r="N1197" s="51">
        <v>0.92</v>
      </c>
      <c r="O1197" s="51">
        <v>0.92859999999999998</v>
      </c>
      <c r="P1197" s="52">
        <v>221.7</v>
      </c>
      <c r="Q1197" s="52">
        <v>221.7</v>
      </c>
      <c r="R1197" s="53" t="str">
        <f>INDEX(SKU_Master!$D$5:$D$34,MATCH($I1197,SKU_Master!$A$5:$A$34,0))</f>
        <v>Accessory</v>
      </c>
      <c r="S1197" s="54">
        <f t="shared" si="252"/>
        <v>3.5723076923076968E-2</v>
      </c>
      <c r="T1197" s="55">
        <f t="shared" si="253"/>
        <v>6005.4347826086951</v>
      </c>
      <c r="U1197" s="55">
        <f t="shared" si="254"/>
        <v>5790.902173913043</v>
      </c>
      <c r="V1197" s="55">
        <f t="shared" si="255"/>
        <v>-214.53260869565202</v>
      </c>
      <c r="W1197" s="55">
        <f t="shared" si="256"/>
        <v>5737.2711608873578</v>
      </c>
      <c r="X1197" s="55">
        <f t="shared" si="257"/>
        <v>-53.631013025685206</v>
      </c>
      <c r="Y1197" s="55">
        <f t="shared" si="258"/>
        <v>3768.8999999999996</v>
      </c>
      <c r="Z1197" s="55">
        <f t="shared" si="259"/>
        <v>3768.8999999999996</v>
      </c>
      <c r="AA1197" s="55">
        <f t="shared" si="260"/>
        <v>0</v>
      </c>
      <c r="AB1197" s="55">
        <f t="shared" si="261"/>
        <v>1968.3711608873582</v>
      </c>
      <c r="AC1197" s="54">
        <f t="shared" si="262"/>
        <v>0.34308491017581938</v>
      </c>
      <c r="AD1197" s="56">
        <f>INDEX(Assumptions!$B$14:$B$16,MATCH($R1197,Assumptions!$A$14:$A$16,0))</f>
        <v>0.32</v>
      </c>
      <c r="AE1197" s="56">
        <f>INDEX(Assumptions!$C$14:$C$16,MATCH($R1197,Assumptions!$A$14:$A$16,0))</f>
        <v>0.22</v>
      </c>
      <c r="AF1197" s="49">
        <f t="shared" si="263"/>
        <v>0</v>
      </c>
      <c r="AG1197" s="49">
        <f t="shared" si="264"/>
        <v>0</v>
      </c>
      <c r="AH1197" s="55">
        <f t="shared" si="265"/>
        <v>0</v>
      </c>
    </row>
    <row r="1198" spans="1:34" x14ac:dyDescent="0.2">
      <c r="A1198" s="48" t="s">
        <v>1064</v>
      </c>
      <c r="B1198" s="48">
        <v>1</v>
      </c>
      <c r="C1198" s="48" t="s">
        <v>1065</v>
      </c>
      <c r="D1198" s="48" t="s">
        <v>1051</v>
      </c>
      <c r="E1198" s="48" t="s">
        <v>417</v>
      </c>
      <c r="F1198" s="48" t="s">
        <v>280</v>
      </c>
      <c r="G1198" s="48" t="s">
        <v>298</v>
      </c>
      <c r="H1198" s="48" t="s">
        <v>62</v>
      </c>
      <c r="I1198" s="48" t="s">
        <v>93</v>
      </c>
      <c r="J1198" s="49">
        <v>6</v>
      </c>
      <c r="K1198" s="50">
        <v>1390</v>
      </c>
      <c r="L1198" s="50">
        <v>1355.63</v>
      </c>
      <c r="M1198" s="48" t="s">
        <v>276</v>
      </c>
      <c r="N1198" s="51">
        <v>1</v>
      </c>
      <c r="O1198" s="51">
        <v>1</v>
      </c>
      <c r="P1198" s="52">
        <v>1186.2</v>
      </c>
      <c r="Q1198" s="52">
        <v>1186.2</v>
      </c>
      <c r="R1198" s="53" t="str">
        <f>INDEX(SKU_Master!$D$5:$D$34,MATCH($I1198,SKU_Master!$A$5:$A$34,0))</f>
        <v>Laptop</v>
      </c>
      <c r="S1198" s="54">
        <f t="shared" si="252"/>
        <v>2.4726618705035897E-2</v>
      </c>
      <c r="T1198" s="55">
        <f t="shared" si="253"/>
        <v>8340</v>
      </c>
      <c r="U1198" s="55">
        <f t="shared" si="254"/>
        <v>8133.7800000000007</v>
      </c>
      <c r="V1198" s="55">
        <f t="shared" si="255"/>
        <v>-206.21999999999935</v>
      </c>
      <c r="W1198" s="55">
        <f t="shared" si="256"/>
        <v>8133.7800000000007</v>
      </c>
      <c r="X1198" s="55">
        <f t="shared" si="257"/>
        <v>0</v>
      </c>
      <c r="Y1198" s="55">
        <f t="shared" si="258"/>
        <v>7117.2000000000007</v>
      </c>
      <c r="Z1198" s="55">
        <f t="shared" si="259"/>
        <v>7117.2000000000007</v>
      </c>
      <c r="AA1198" s="55">
        <f t="shared" si="260"/>
        <v>0</v>
      </c>
      <c r="AB1198" s="55">
        <f t="shared" si="261"/>
        <v>1016.5799999999999</v>
      </c>
      <c r="AC1198" s="54">
        <f t="shared" si="262"/>
        <v>0.12498248047033481</v>
      </c>
      <c r="AD1198" s="56">
        <f>INDEX(Assumptions!$B$14:$B$16,MATCH($R1198,Assumptions!$A$14:$A$16,0))</f>
        <v>0.12</v>
      </c>
      <c r="AE1198" s="56">
        <f>INDEX(Assumptions!$C$14:$C$16,MATCH($R1198,Assumptions!$A$14:$A$16,0))</f>
        <v>0.08</v>
      </c>
      <c r="AF1198" s="49">
        <f t="shared" si="263"/>
        <v>0</v>
      </c>
      <c r="AG1198" s="49">
        <f t="shared" si="264"/>
        <v>0</v>
      </c>
      <c r="AH1198" s="55">
        <f t="shared" si="265"/>
        <v>0</v>
      </c>
    </row>
    <row r="1199" spans="1:34" x14ac:dyDescent="0.2">
      <c r="A1199" s="48" t="s">
        <v>1064</v>
      </c>
      <c r="B1199" s="48">
        <v>2</v>
      </c>
      <c r="C1199" s="48" t="s">
        <v>1065</v>
      </c>
      <c r="D1199" s="48" t="s">
        <v>1051</v>
      </c>
      <c r="E1199" s="48" t="s">
        <v>417</v>
      </c>
      <c r="F1199" s="48" t="s">
        <v>280</v>
      </c>
      <c r="G1199" s="48" t="s">
        <v>298</v>
      </c>
      <c r="H1199" s="48" t="s">
        <v>62</v>
      </c>
      <c r="I1199" s="48" t="s">
        <v>135</v>
      </c>
      <c r="J1199" s="49">
        <v>2</v>
      </c>
      <c r="K1199" s="50">
        <v>240</v>
      </c>
      <c r="L1199" s="50">
        <v>231.98</v>
      </c>
      <c r="M1199" s="48" t="s">
        <v>276</v>
      </c>
      <c r="N1199" s="51">
        <v>1</v>
      </c>
      <c r="O1199" s="51">
        <v>1</v>
      </c>
      <c r="P1199" s="52">
        <v>186.7</v>
      </c>
      <c r="Q1199" s="52">
        <v>186.7</v>
      </c>
      <c r="R1199" s="53" t="str">
        <f>INDEX(SKU_Master!$D$5:$D$34,MATCH($I1199,SKU_Master!$A$5:$A$34,0))</f>
        <v>Monitor</v>
      </c>
      <c r="S1199" s="54">
        <f t="shared" si="252"/>
        <v>3.3416666666666761E-2</v>
      </c>
      <c r="T1199" s="55">
        <f t="shared" si="253"/>
        <v>480</v>
      </c>
      <c r="U1199" s="55">
        <f t="shared" si="254"/>
        <v>463.96</v>
      </c>
      <c r="V1199" s="55">
        <f t="shared" si="255"/>
        <v>-16.04000000000002</v>
      </c>
      <c r="W1199" s="55">
        <f t="shared" si="256"/>
        <v>463.96</v>
      </c>
      <c r="X1199" s="55">
        <f t="shared" si="257"/>
        <v>0</v>
      </c>
      <c r="Y1199" s="55">
        <f t="shared" si="258"/>
        <v>373.4</v>
      </c>
      <c r="Z1199" s="55">
        <f t="shared" si="259"/>
        <v>373.4</v>
      </c>
      <c r="AA1199" s="55">
        <f t="shared" si="260"/>
        <v>0</v>
      </c>
      <c r="AB1199" s="55">
        <f t="shared" si="261"/>
        <v>90.56</v>
      </c>
      <c r="AC1199" s="54">
        <f t="shared" si="262"/>
        <v>0.19518924045176309</v>
      </c>
      <c r="AD1199" s="56">
        <f>INDEX(Assumptions!$B$14:$B$16,MATCH($R1199,Assumptions!$A$14:$A$16,0))</f>
        <v>0.18</v>
      </c>
      <c r="AE1199" s="56">
        <f>INDEX(Assumptions!$C$14:$C$16,MATCH($R1199,Assumptions!$A$14:$A$16,0))</f>
        <v>0.12</v>
      </c>
      <c r="AF1199" s="49">
        <f t="shared" si="263"/>
        <v>0</v>
      </c>
      <c r="AG1199" s="49">
        <f t="shared" si="264"/>
        <v>0</v>
      </c>
      <c r="AH1199" s="55">
        <f t="shared" si="265"/>
        <v>0</v>
      </c>
    </row>
    <row r="1200" spans="1:34" x14ac:dyDescent="0.2">
      <c r="A1200" s="48" t="s">
        <v>1064</v>
      </c>
      <c r="B1200" s="48">
        <v>3</v>
      </c>
      <c r="C1200" s="48" t="s">
        <v>1065</v>
      </c>
      <c r="D1200" s="48" t="s">
        <v>1051</v>
      </c>
      <c r="E1200" s="48" t="s">
        <v>417</v>
      </c>
      <c r="F1200" s="48" t="s">
        <v>280</v>
      </c>
      <c r="G1200" s="48" t="s">
        <v>298</v>
      </c>
      <c r="H1200" s="48" t="s">
        <v>62</v>
      </c>
      <c r="I1200" s="48" t="s">
        <v>157</v>
      </c>
      <c r="J1200" s="49">
        <v>5</v>
      </c>
      <c r="K1200" s="50">
        <v>135</v>
      </c>
      <c r="L1200" s="50">
        <v>133.41999999999999</v>
      </c>
      <c r="M1200" s="48" t="s">
        <v>276</v>
      </c>
      <c r="N1200" s="51">
        <v>1</v>
      </c>
      <c r="O1200" s="51">
        <v>1</v>
      </c>
      <c r="P1200" s="52">
        <v>86</v>
      </c>
      <c r="Q1200" s="52">
        <v>86</v>
      </c>
      <c r="R1200" s="53" t="str">
        <f>INDEX(SKU_Master!$D$5:$D$34,MATCH($I1200,SKU_Master!$A$5:$A$34,0))</f>
        <v>Accessory</v>
      </c>
      <c r="S1200" s="54">
        <f t="shared" si="252"/>
        <v>1.1703703703703772E-2</v>
      </c>
      <c r="T1200" s="55">
        <f t="shared" si="253"/>
        <v>675</v>
      </c>
      <c r="U1200" s="55">
        <f t="shared" si="254"/>
        <v>667.09999999999991</v>
      </c>
      <c r="V1200" s="55">
        <f t="shared" si="255"/>
        <v>-7.9000000000000909</v>
      </c>
      <c r="W1200" s="55">
        <f t="shared" si="256"/>
        <v>667.09999999999991</v>
      </c>
      <c r="X1200" s="55">
        <f t="shared" si="257"/>
        <v>0</v>
      </c>
      <c r="Y1200" s="55">
        <f t="shared" si="258"/>
        <v>430</v>
      </c>
      <c r="Z1200" s="55">
        <f t="shared" si="259"/>
        <v>430</v>
      </c>
      <c r="AA1200" s="55">
        <f t="shared" si="260"/>
        <v>0</v>
      </c>
      <c r="AB1200" s="55">
        <f t="shared" si="261"/>
        <v>237.09999999999991</v>
      </c>
      <c r="AC1200" s="54">
        <f t="shared" si="262"/>
        <v>0.35541897766451797</v>
      </c>
      <c r="AD1200" s="56">
        <f>INDEX(Assumptions!$B$14:$B$16,MATCH($R1200,Assumptions!$A$14:$A$16,0))</f>
        <v>0.32</v>
      </c>
      <c r="AE1200" s="56">
        <f>INDEX(Assumptions!$C$14:$C$16,MATCH($R1200,Assumptions!$A$14:$A$16,0))</f>
        <v>0.22</v>
      </c>
      <c r="AF1200" s="49">
        <f t="shared" si="263"/>
        <v>0</v>
      </c>
      <c r="AG1200" s="49">
        <f t="shared" si="264"/>
        <v>0</v>
      </c>
      <c r="AH1200" s="55">
        <f t="shared" si="265"/>
        <v>0</v>
      </c>
    </row>
    <row r="1201" spans="1:34" x14ac:dyDescent="0.2">
      <c r="A1201" s="48" t="s">
        <v>1066</v>
      </c>
      <c r="B1201" s="48">
        <v>1</v>
      </c>
      <c r="C1201" s="48" t="s">
        <v>1050</v>
      </c>
      <c r="D1201" s="48" t="s">
        <v>1051</v>
      </c>
      <c r="E1201" s="48" t="s">
        <v>395</v>
      </c>
      <c r="F1201" s="48" t="s">
        <v>280</v>
      </c>
      <c r="G1201" s="48" t="s">
        <v>281</v>
      </c>
      <c r="H1201" s="48" t="s">
        <v>66</v>
      </c>
      <c r="I1201" s="48" t="s">
        <v>103</v>
      </c>
      <c r="J1201" s="49">
        <v>20</v>
      </c>
      <c r="K1201" s="50">
        <v>1090</v>
      </c>
      <c r="L1201" s="50">
        <v>1055.3399999999999</v>
      </c>
      <c r="M1201" s="48" t="s">
        <v>276</v>
      </c>
      <c r="N1201" s="51">
        <v>0.92</v>
      </c>
      <c r="O1201" s="51">
        <v>0.92859999999999998</v>
      </c>
      <c r="P1201" s="52">
        <v>988.6</v>
      </c>
      <c r="Q1201" s="52">
        <v>988.6</v>
      </c>
      <c r="R1201" s="53" t="str">
        <f>INDEX(SKU_Master!$D$5:$D$34,MATCH($I1201,SKU_Master!$A$5:$A$34,0))</f>
        <v>Laptop</v>
      </c>
      <c r="S1201" s="54">
        <f t="shared" si="252"/>
        <v>3.1798165137614798E-2</v>
      </c>
      <c r="T1201" s="55">
        <f t="shared" si="253"/>
        <v>23695.652173913044</v>
      </c>
      <c r="U1201" s="55">
        <f t="shared" si="254"/>
        <v>22942.173913043476</v>
      </c>
      <c r="V1201" s="55">
        <f t="shared" si="255"/>
        <v>-753.47826086956775</v>
      </c>
      <c r="W1201" s="55">
        <f t="shared" si="256"/>
        <v>22729.700624596167</v>
      </c>
      <c r="X1201" s="55">
        <f t="shared" si="257"/>
        <v>-212.47328844730873</v>
      </c>
      <c r="Y1201" s="55">
        <f t="shared" si="258"/>
        <v>19772</v>
      </c>
      <c r="Z1201" s="55">
        <f t="shared" si="259"/>
        <v>19772</v>
      </c>
      <c r="AA1201" s="55">
        <f t="shared" si="260"/>
        <v>0</v>
      </c>
      <c r="AB1201" s="55">
        <f t="shared" si="261"/>
        <v>2957.7006245961675</v>
      </c>
      <c r="AC1201" s="54">
        <f t="shared" si="262"/>
        <v>0.130124926563951</v>
      </c>
      <c r="AD1201" s="56">
        <f>INDEX(Assumptions!$B$14:$B$16,MATCH($R1201,Assumptions!$A$14:$A$16,0))</f>
        <v>0.12</v>
      </c>
      <c r="AE1201" s="56">
        <f>INDEX(Assumptions!$C$14:$C$16,MATCH($R1201,Assumptions!$A$14:$A$16,0))</f>
        <v>0.08</v>
      </c>
      <c r="AF1201" s="49">
        <f t="shared" si="263"/>
        <v>0</v>
      </c>
      <c r="AG1201" s="49">
        <f t="shared" si="264"/>
        <v>0</v>
      </c>
      <c r="AH1201" s="55">
        <f t="shared" si="265"/>
        <v>0</v>
      </c>
    </row>
    <row r="1202" spans="1:34" x14ac:dyDescent="0.2">
      <c r="A1202" s="48" t="s">
        <v>1066</v>
      </c>
      <c r="B1202" s="48">
        <v>2</v>
      </c>
      <c r="C1202" s="48" t="s">
        <v>1050</v>
      </c>
      <c r="D1202" s="48" t="s">
        <v>1051</v>
      </c>
      <c r="E1202" s="48" t="s">
        <v>395</v>
      </c>
      <c r="F1202" s="48" t="s">
        <v>280</v>
      </c>
      <c r="G1202" s="48" t="s">
        <v>281</v>
      </c>
      <c r="H1202" s="48" t="s">
        <v>66</v>
      </c>
      <c r="I1202" s="48" t="s">
        <v>135</v>
      </c>
      <c r="J1202" s="49">
        <v>17</v>
      </c>
      <c r="K1202" s="50">
        <v>255</v>
      </c>
      <c r="L1202" s="50">
        <v>251.72</v>
      </c>
      <c r="M1202" s="48" t="s">
        <v>276</v>
      </c>
      <c r="N1202" s="51">
        <v>0.92</v>
      </c>
      <c r="O1202" s="51">
        <v>0.92859999999999998</v>
      </c>
      <c r="P1202" s="52">
        <v>211.7</v>
      </c>
      <c r="Q1202" s="52">
        <v>211.7</v>
      </c>
      <c r="R1202" s="53" t="str">
        <f>INDEX(SKU_Master!$D$5:$D$34,MATCH($I1202,SKU_Master!$A$5:$A$34,0))</f>
        <v>Monitor</v>
      </c>
      <c r="S1202" s="54">
        <f t="shared" si="252"/>
        <v>1.2862745098039197E-2</v>
      </c>
      <c r="T1202" s="55">
        <f t="shared" si="253"/>
        <v>4711.95652173913</v>
      </c>
      <c r="U1202" s="55">
        <f t="shared" si="254"/>
        <v>4651.347826086956</v>
      </c>
      <c r="V1202" s="55">
        <f t="shared" si="255"/>
        <v>-60.608695652173992</v>
      </c>
      <c r="W1202" s="55">
        <f t="shared" si="256"/>
        <v>4608.2705147533925</v>
      </c>
      <c r="X1202" s="55">
        <f t="shared" si="257"/>
        <v>-43.077311333563557</v>
      </c>
      <c r="Y1202" s="55">
        <f t="shared" si="258"/>
        <v>3598.8999999999996</v>
      </c>
      <c r="Z1202" s="55">
        <f t="shared" si="259"/>
        <v>3598.8999999999996</v>
      </c>
      <c r="AA1202" s="55">
        <f t="shared" si="260"/>
        <v>0</v>
      </c>
      <c r="AB1202" s="55">
        <f t="shared" si="261"/>
        <v>1009.3705147533929</v>
      </c>
      <c r="AC1202" s="54">
        <f t="shared" si="262"/>
        <v>0.2190345622119817</v>
      </c>
      <c r="AD1202" s="56">
        <f>INDEX(Assumptions!$B$14:$B$16,MATCH($R1202,Assumptions!$A$14:$A$16,0))</f>
        <v>0.18</v>
      </c>
      <c r="AE1202" s="56">
        <f>INDEX(Assumptions!$C$14:$C$16,MATCH($R1202,Assumptions!$A$14:$A$16,0))</f>
        <v>0.12</v>
      </c>
      <c r="AF1202" s="49">
        <f t="shared" si="263"/>
        <v>0</v>
      </c>
      <c r="AG1202" s="49">
        <f t="shared" si="264"/>
        <v>0</v>
      </c>
      <c r="AH1202" s="55">
        <f t="shared" si="265"/>
        <v>0</v>
      </c>
    </row>
    <row r="1203" spans="1:34" x14ac:dyDescent="0.2">
      <c r="A1203" s="48" t="s">
        <v>1067</v>
      </c>
      <c r="B1203" s="48">
        <v>1</v>
      </c>
      <c r="C1203" s="48" t="s">
        <v>1057</v>
      </c>
      <c r="D1203" s="48" t="s">
        <v>1051</v>
      </c>
      <c r="E1203" s="48" t="s">
        <v>384</v>
      </c>
      <c r="F1203" s="48" t="s">
        <v>297</v>
      </c>
      <c r="G1203" s="48" t="s">
        <v>281</v>
      </c>
      <c r="H1203" s="48" t="s">
        <v>70</v>
      </c>
      <c r="I1203" s="48" t="s">
        <v>106</v>
      </c>
      <c r="J1203" s="49">
        <v>43</v>
      </c>
      <c r="K1203" s="50">
        <v>147165</v>
      </c>
      <c r="L1203" s="50">
        <v>142048.17000000001</v>
      </c>
      <c r="M1203" s="48" t="s">
        <v>276</v>
      </c>
      <c r="N1203" s="51">
        <v>83.5</v>
      </c>
      <c r="O1203" s="51">
        <v>84.621399999999994</v>
      </c>
      <c r="P1203" s="52">
        <v>1476.24</v>
      </c>
      <c r="Q1203" s="52">
        <v>1496.24</v>
      </c>
      <c r="R1203" s="53" t="str">
        <f>INDEX(SKU_Master!$D$5:$D$34,MATCH($I1203,SKU_Master!$A$5:$A$34,0))</f>
        <v>Laptop</v>
      </c>
      <c r="S1203" s="54">
        <f t="shared" si="252"/>
        <v>3.4769340536132787E-2</v>
      </c>
      <c r="T1203" s="55">
        <f t="shared" si="253"/>
        <v>75785.568862275453</v>
      </c>
      <c r="U1203" s="55">
        <f t="shared" si="254"/>
        <v>73150.554610778447</v>
      </c>
      <c r="V1203" s="55">
        <f t="shared" si="255"/>
        <v>-2635.0142514970066</v>
      </c>
      <c r="W1203" s="55">
        <f t="shared" si="256"/>
        <v>72181.165875298699</v>
      </c>
      <c r="X1203" s="55">
        <f t="shared" si="257"/>
        <v>-969.38873547974799</v>
      </c>
      <c r="Y1203" s="55">
        <f t="shared" si="258"/>
        <v>63478.32</v>
      </c>
      <c r="Z1203" s="55">
        <f t="shared" si="259"/>
        <v>64338.32</v>
      </c>
      <c r="AA1203" s="55">
        <f t="shared" si="260"/>
        <v>-860</v>
      </c>
      <c r="AB1203" s="55">
        <f t="shared" si="261"/>
        <v>7842.845875298699</v>
      </c>
      <c r="AC1203" s="54">
        <f t="shared" si="262"/>
        <v>0.10865501797031266</v>
      </c>
      <c r="AD1203" s="56">
        <f>INDEX(Assumptions!$B$14:$B$16,MATCH($R1203,Assumptions!$A$14:$A$16,0))</f>
        <v>0.12</v>
      </c>
      <c r="AE1203" s="56">
        <f>INDEX(Assumptions!$C$14:$C$16,MATCH($R1203,Assumptions!$A$14:$A$16,0))</f>
        <v>0.08</v>
      </c>
      <c r="AF1203" s="49">
        <f t="shared" si="263"/>
        <v>0</v>
      </c>
      <c r="AG1203" s="49">
        <f t="shared" si="264"/>
        <v>0</v>
      </c>
      <c r="AH1203" s="55">
        <f t="shared" si="265"/>
        <v>818.89402973714459</v>
      </c>
    </row>
    <row r="1204" spans="1:34" x14ac:dyDescent="0.2">
      <c r="A1204" s="48" t="s">
        <v>1067</v>
      </c>
      <c r="B1204" s="48">
        <v>2</v>
      </c>
      <c r="C1204" s="48" t="s">
        <v>1057</v>
      </c>
      <c r="D1204" s="48" t="s">
        <v>1051</v>
      </c>
      <c r="E1204" s="48" t="s">
        <v>384</v>
      </c>
      <c r="F1204" s="48" t="s">
        <v>297</v>
      </c>
      <c r="G1204" s="48" t="s">
        <v>281</v>
      </c>
      <c r="H1204" s="48" t="s">
        <v>70</v>
      </c>
      <c r="I1204" s="48" t="s">
        <v>138</v>
      </c>
      <c r="J1204" s="49">
        <v>27</v>
      </c>
      <c r="K1204" s="50">
        <v>47515</v>
      </c>
      <c r="L1204" s="50">
        <v>46323.66</v>
      </c>
      <c r="M1204" s="48" t="s">
        <v>276</v>
      </c>
      <c r="N1204" s="51">
        <v>83.5</v>
      </c>
      <c r="O1204" s="51">
        <v>84.621399999999994</v>
      </c>
      <c r="P1204" s="52">
        <v>439.85</v>
      </c>
      <c r="Q1204" s="52">
        <v>459.85</v>
      </c>
      <c r="R1204" s="53" t="str">
        <f>INDEX(SKU_Master!$D$5:$D$34,MATCH($I1204,SKU_Master!$A$5:$A$34,0))</f>
        <v>Monitor</v>
      </c>
      <c r="S1204" s="54">
        <f t="shared" si="252"/>
        <v>2.5072924339682112E-2</v>
      </c>
      <c r="T1204" s="55">
        <f t="shared" si="253"/>
        <v>15364.131736526946</v>
      </c>
      <c r="U1204" s="55">
        <f t="shared" si="254"/>
        <v>14978.908023952097</v>
      </c>
      <c r="V1204" s="55">
        <f t="shared" si="255"/>
        <v>-385.22371257484883</v>
      </c>
      <c r="W1204" s="55">
        <f t="shared" si="256"/>
        <v>14780.408029174656</v>
      </c>
      <c r="X1204" s="55">
        <f t="shared" si="257"/>
        <v>-198.49999477744132</v>
      </c>
      <c r="Y1204" s="55">
        <f t="shared" si="258"/>
        <v>11875.95</v>
      </c>
      <c r="Z1204" s="55">
        <f t="shared" si="259"/>
        <v>12415.95</v>
      </c>
      <c r="AA1204" s="55">
        <f t="shared" si="260"/>
        <v>-540</v>
      </c>
      <c r="AB1204" s="55">
        <f t="shared" si="261"/>
        <v>2364.4580291746552</v>
      </c>
      <c r="AC1204" s="54">
        <f t="shared" si="262"/>
        <v>0.15997244626180238</v>
      </c>
      <c r="AD1204" s="56">
        <f>INDEX(Assumptions!$B$14:$B$16,MATCH($R1204,Assumptions!$A$14:$A$16,0))</f>
        <v>0.18</v>
      </c>
      <c r="AE1204" s="56">
        <f>INDEX(Assumptions!$C$14:$C$16,MATCH($R1204,Assumptions!$A$14:$A$16,0))</f>
        <v>0.12</v>
      </c>
      <c r="AF1204" s="49">
        <f t="shared" si="263"/>
        <v>0</v>
      </c>
      <c r="AG1204" s="49">
        <f t="shared" si="264"/>
        <v>0</v>
      </c>
      <c r="AH1204" s="55">
        <f t="shared" si="265"/>
        <v>296.01541607678291</v>
      </c>
    </row>
    <row r="1205" spans="1:34" x14ac:dyDescent="0.2">
      <c r="A1205" s="48" t="s">
        <v>1068</v>
      </c>
      <c r="B1205" s="48">
        <v>1</v>
      </c>
      <c r="C1205" s="48" t="s">
        <v>1069</v>
      </c>
      <c r="D1205" s="48" t="s">
        <v>1051</v>
      </c>
      <c r="E1205" s="48" t="s">
        <v>311</v>
      </c>
      <c r="F1205" s="48" t="s">
        <v>297</v>
      </c>
      <c r="G1205" s="48" t="s">
        <v>302</v>
      </c>
      <c r="H1205" s="48" t="s">
        <v>62</v>
      </c>
      <c r="I1205" s="48" t="s">
        <v>103</v>
      </c>
      <c r="J1205" s="49">
        <v>65</v>
      </c>
      <c r="K1205" s="50">
        <v>1135</v>
      </c>
      <c r="L1205" s="50">
        <v>1084.74</v>
      </c>
      <c r="M1205" s="48" t="s">
        <v>276</v>
      </c>
      <c r="N1205" s="51">
        <v>1</v>
      </c>
      <c r="O1205" s="51">
        <v>1</v>
      </c>
      <c r="P1205" s="52">
        <v>968.6</v>
      </c>
      <c r="Q1205" s="52">
        <v>968.6</v>
      </c>
      <c r="R1205" s="53" t="str">
        <f>INDEX(SKU_Master!$D$5:$D$34,MATCH($I1205,SKU_Master!$A$5:$A$34,0))</f>
        <v>Laptop</v>
      </c>
      <c r="S1205" s="54">
        <f t="shared" si="252"/>
        <v>4.4281938325991144E-2</v>
      </c>
      <c r="T1205" s="55">
        <f t="shared" si="253"/>
        <v>73775</v>
      </c>
      <c r="U1205" s="55">
        <f t="shared" si="254"/>
        <v>70508.100000000006</v>
      </c>
      <c r="V1205" s="55">
        <f t="shared" si="255"/>
        <v>-3266.8999999999942</v>
      </c>
      <c r="W1205" s="55">
        <f t="shared" si="256"/>
        <v>70508.100000000006</v>
      </c>
      <c r="X1205" s="55">
        <f t="shared" si="257"/>
        <v>0</v>
      </c>
      <c r="Y1205" s="55">
        <f t="shared" si="258"/>
        <v>62959</v>
      </c>
      <c r="Z1205" s="55">
        <f t="shared" si="259"/>
        <v>62959</v>
      </c>
      <c r="AA1205" s="55">
        <f t="shared" si="260"/>
        <v>0</v>
      </c>
      <c r="AB1205" s="55">
        <f t="shared" si="261"/>
        <v>7549.1000000000058</v>
      </c>
      <c r="AC1205" s="54">
        <f t="shared" si="262"/>
        <v>0.10706713129413507</v>
      </c>
      <c r="AD1205" s="56">
        <f>INDEX(Assumptions!$B$14:$B$16,MATCH($R1205,Assumptions!$A$14:$A$16,0))</f>
        <v>0.12</v>
      </c>
      <c r="AE1205" s="56">
        <f>INDEX(Assumptions!$C$14:$C$16,MATCH($R1205,Assumptions!$A$14:$A$16,0))</f>
        <v>0.08</v>
      </c>
      <c r="AF1205" s="49">
        <f t="shared" si="263"/>
        <v>0</v>
      </c>
      <c r="AG1205" s="49">
        <f t="shared" si="264"/>
        <v>0</v>
      </c>
      <c r="AH1205" s="55">
        <f t="shared" si="265"/>
        <v>911.87199999999393</v>
      </c>
    </row>
    <row r="1206" spans="1:34" x14ac:dyDescent="0.2">
      <c r="A1206" s="48" t="s">
        <v>1068</v>
      </c>
      <c r="B1206" s="48">
        <v>2</v>
      </c>
      <c r="C1206" s="48" t="s">
        <v>1069</v>
      </c>
      <c r="D1206" s="48" t="s">
        <v>1051</v>
      </c>
      <c r="E1206" s="48" t="s">
        <v>311</v>
      </c>
      <c r="F1206" s="48" t="s">
        <v>297</v>
      </c>
      <c r="G1206" s="48" t="s">
        <v>302</v>
      </c>
      <c r="H1206" s="48" t="s">
        <v>62</v>
      </c>
      <c r="I1206" s="48" t="s">
        <v>154</v>
      </c>
      <c r="J1206" s="49">
        <v>62</v>
      </c>
      <c r="K1206" s="50">
        <v>475</v>
      </c>
      <c r="L1206" s="50">
        <v>462.45</v>
      </c>
      <c r="M1206" s="48" t="s">
        <v>276</v>
      </c>
      <c r="N1206" s="51">
        <v>1</v>
      </c>
      <c r="O1206" s="51">
        <v>1</v>
      </c>
      <c r="P1206" s="52">
        <v>306</v>
      </c>
      <c r="Q1206" s="52">
        <v>306</v>
      </c>
      <c r="R1206" s="53" t="str">
        <f>INDEX(SKU_Master!$D$5:$D$34,MATCH($I1206,SKU_Master!$A$5:$A$34,0))</f>
        <v>Accessory</v>
      </c>
      <c r="S1206" s="54">
        <f t="shared" si="252"/>
        <v>2.6421052631579012E-2</v>
      </c>
      <c r="T1206" s="55">
        <f t="shared" si="253"/>
        <v>29450</v>
      </c>
      <c r="U1206" s="55">
        <f t="shared" si="254"/>
        <v>28671.899999999998</v>
      </c>
      <c r="V1206" s="55">
        <f t="shared" si="255"/>
        <v>-778.10000000000218</v>
      </c>
      <c r="W1206" s="55">
        <f t="shared" si="256"/>
        <v>28671.899999999998</v>
      </c>
      <c r="X1206" s="55">
        <f t="shared" si="257"/>
        <v>0</v>
      </c>
      <c r="Y1206" s="55">
        <f t="shared" si="258"/>
        <v>18972</v>
      </c>
      <c r="Z1206" s="55">
        <f t="shared" si="259"/>
        <v>18972</v>
      </c>
      <c r="AA1206" s="55">
        <f t="shared" si="260"/>
        <v>0</v>
      </c>
      <c r="AB1206" s="55">
        <f t="shared" si="261"/>
        <v>9699.8999999999978</v>
      </c>
      <c r="AC1206" s="54">
        <f t="shared" si="262"/>
        <v>0.33830684398313327</v>
      </c>
      <c r="AD1206" s="56">
        <f>INDEX(Assumptions!$B$14:$B$16,MATCH($R1206,Assumptions!$A$14:$A$16,0))</f>
        <v>0.32</v>
      </c>
      <c r="AE1206" s="56">
        <f>INDEX(Assumptions!$C$14:$C$16,MATCH($R1206,Assumptions!$A$14:$A$16,0))</f>
        <v>0.22</v>
      </c>
      <c r="AF1206" s="49">
        <f t="shared" si="263"/>
        <v>0</v>
      </c>
      <c r="AG1206" s="49">
        <f t="shared" si="264"/>
        <v>0</v>
      </c>
      <c r="AH1206" s="55">
        <f t="shared" si="265"/>
        <v>0</v>
      </c>
    </row>
    <row r="1207" spans="1:34" x14ac:dyDescent="0.2">
      <c r="A1207" s="48" t="s">
        <v>1070</v>
      </c>
      <c r="B1207" s="48">
        <v>1</v>
      </c>
      <c r="C1207" s="48" t="s">
        <v>1071</v>
      </c>
      <c r="D1207" s="48" t="s">
        <v>1051</v>
      </c>
      <c r="E1207" s="48" t="s">
        <v>296</v>
      </c>
      <c r="F1207" s="48" t="s">
        <v>297</v>
      </c>
      <c r="G1207" s="48" t="s">
        <v>298</v>
      </c>
      <c r="H1207" s="48" t="s">
        <v>66</v>
      </c>
      <c r="I1207" s="48" t="s">
        <v>118</v>
      </c>
      <c r="J1207" s="49">
        <v>57</v>
      </c>
      <c r="K1207" s="50">
        <v>1300</v>
      </c>
      <c r="L1207" s="50">
        <v>1262.25</v>
      </c>
      <c r="M1207" s="48" t="s">
        <v>276</v>
      </c>
      <c r="N1207" s="51">
        <v>0.92</v>
      </c>
      <c r="O1207" s="51">
        <v>0.92859999999999998</v>
      </c>
      <c r="P1207" s="52">
        <v>1182.5999999999999</v>
      </c>
      <c r="Q1207" s="52">
        <v>1251.28</v>
      </c>
      <c r="R1207" s="53" t="str">
        <f>INDEX(SKU_Master!$D$5:$D$34,MATCH($I1207,SKU_Master!$A$5:$A$34,0))</f>
        <v>Laptop</v>
      </c>
      <c r="S1207" s="54">
        <f t="shared" si="252"/>
        <v>2.9038461538461569E-2</v>
      </c>
      <c r="T1207" s="55">
        <f t="shared" si="253"/>
        <v>80543.478260869568</v>
      </c>
      <c r="U1207" s="55">
        <f t="shared" si="254"/>
        <v>78204.619565217392</v>
      </c>
      <c r="V1207" s="55">
        <f t="shared" si="255"/>
        <v>-2338.8586956521758</v>
      </c>
      <c r="W1207" s="55">
        <f t="shared" si="256"/>
        <v>77480.346758561282</v>
      </c>
      <c r="X1207" s="55">
        <f t="shared" si="257"/>
        <v>-724.27280665611033</v>
      </c>
      <c r="Y1207" s="55">
        <f t="shared" si="258"/>
        <v>67408.2</v>
      </c>
      <c r="Z1207" s="55">
        <f t="shared" si="259"/>
        <v>71322.959999999992</v>
      </c>
      <c r="AA1207" s="55">
        <f t="shared" si="260"/>
        <v>-3914.7599999999948</v>
      </c>
      <c r="AB1207" s="55">
        <f t="shared" si="261"/>
        <v>6157.3867585612898</v>
      </c>
      <c r="AC1207" s="54">
        <f t="shared" si="262"/>
        <v>7.9470304614775389E-2</v>
      </c>
      <c r="AD1207" s="56">
        <f>INDEX(Assumptions!$B$14:$B$16,MATCH($R1207,Assumptions!$A$14:$A$16,0))</f>
        <v>0.12</v>
      </c>
      <c r="AE1207" s="56">
        <f>INDEX(Assumptions!$C$14:$C$16,MATCH($R1207,Assumptions!$A$14:$A$16,0))</f>
        <v>0.08</v>
      </c>
      <c r="AF1207" s="49">
        <f t="shared" si="263"/>
        <v>1</v>
      </c>
      <c r="AG1207" s="49">
        <f t="shared" si="264"/>
        <v>1</v>
      </c>
      <c r="AH1207" s="55">
        <f t="shared" si="265"/>
        <v>3140.2548524660633</v>
      </c>
    </row>
    <row r="1208" spans="1:34" x14ac:dyDescent="0.2">
      <c r="A1208" s="48" t="s">
        <v>1070</v>
      </c>
      <c r="B1208" s="48">
        <v>2</v>
      </c>
      <c r="C1208" s="48" t="s">
        <v>1071</v>
      </c>
      <c r="D1208" s="48" t="s">
        <v>1051</v>
      </c>
      <c r="E1208" s="48" t="s">
        <v>296</v>
      </c>
      <c r="F1208" s="48" t="s">
        <v>297</v>
      </c>
      <c r="G1208" s="48" t="s">
        <v>298</v>
      </c>
      <c r="H1208" s="48" t="s">
        <v>66</v>
      </c>
      <c r="I1208" s="48" t="s">
        <v>161</v>
      </c>
      <c r="J1208" s="49">
        <v>46</v>
      </c>
      <c r="K1208" s="50">
        <v>120</v>
      </c>
      <c r="L1208" s="50">
        <v>114.89</v>
      </c>
      <c r="M1208" s="48" t="s">
        <v>276</v>
      </c>
      <c r="N1208" s="51">
        <v>0.92</v>
      </c>
      <c r="O1208" s="51">
        <v>0.92859999999999998</v>
      </c>
      <c r="P1208" s="52">
        <v>81</v>
      </c>
      <c r="Q1208" s="52">
        <v>81</v>
      </c>
      <c r="R1208" s="53" t="str">
        <f>INDEX(SKU_Master!$D$5:$D$34,MATCH($I1208,SKU_Master!$A$5:$A$34,0))</f>
        <v>Accessory</v>
      </c>
      <c r="S1208" s="54">
        <f t="shared" si="252"/>
        <v>4.2583333333333306E-2</v>
      </c>
      <c r="T1208" s="55">
        <f t="shared" si="253"/>
        <v>6000</v>
      </c>
      <c r="U1208" s="55">
        <f t="shared" si="254"/>
        <v>5744.4999999999991</v>
      </c>
      <c r="V1208" s="55">
        <f t="shared" si="255"/>
        <v>-255.50000000000091</v>
      </c>
      <c r="W1208" s="55">
        <f t="shared" si="256"/>
        <v>5691.2987292698681</v>
      </c>
      <c r="X1208" s="55">
        <f t="shared" si="257"/>
        <v>-53.201270730131</v>
      </c>
      <c r="Y1208" s="55">
        <f t="shared" si="258"/>
        <v>3726</v>
      </c>
      <c r="Z1208" s="55">
        <f t="shared" si="259"/>
        <v>3726</v>
      </c>
      <c r="AA1208" s="55">
        <f t="shared" si="260"/>
        <v>0</v>
      </c>
      <c r="AB1208" s="55">
        <f t="shared" si="261"/>
        <v>1965.2987292698681</v>
      </c>
      <c r="AC1208" s="54">
        <f t="shared" si="262"/>
        <v>0.34531638959004257</v>
      </c>
      <c r="AD1208" s="56">
        <f>INDEX(Assumptions!$B$14:$B$16,MATCH($R1208,Assumptions!$A$14:$A$16,0))</f>
        <v>0.32</v>
      </c>
      <c r="AE1208" s="56">
        <f>INDEX(Assumptions!$C$14:$C$16,MATCH($R1208,Assumptions!$A$14:$A$16,0))</f>
        <v>0.22</v>
      </c>
      <c r="AF1208" s="49">
        <f t="shared" si="263"/>
        <v>0</v>
      </c>
      <c r="AG1208" s="49">
        <f t="shared" si="264"/>
        <v>0</v>
      </c>
      <c r="AH1208" s="55">
        <f t="shared" si="265"/>
        <v>0</v>
      </c>
    </row>
    <row r="1209" spans="1:34" x14ac:dyDescent="0.2">
      <c r="A1209" s="48" t="s">
        <v>1072</v>
      </c>
      <c r="B1209" s="48">
        <v>1</v>
      </c>
      <c r="C1209" s="48" t="s">
        <v>1073</v>
      </c>
      <c r="D1209" s="48" t="s">
        <v>1051</v>
      </c>
      <c r="E1209" s="48" t="s">
        <v>314</v>
      </c>
      <c r="F1209" s="48" t="s">
        <v>274</v>
      </c>
      <c r="G1209" s="48" t="s">
        <v>298</v>
      </c>
      <c r="H1209" s="48" t="s">
        <v>68</v>
      </c>
      <c r="I1209" s="48" t="s">
        <v>118</v>
      </c>
      <c r="J1209" s="49">
        <v>5</v>
      </c>
      <c r="K1209" s="50">
        <v>1925</v>
      </c>
      <c r="L1209" s="50">
        <v>1910.64</v>
      </c>
      <c r="M1209" s="48" t="s">
        <v>276</v>
      </c>
      <c r="N1209" s="51">
        <v>1.37</v>
      </c>
      <c r="O1209" s="51">
        <v>1.3584000000000001</v>
      </c>
      <c r="P1209" s="52">
        <v>1174.5999999999999</v>
      </c>
      <c r="Q1209" s="52">
        <v>1243.28</v>
      </c>
      <c r="R1209" s="53" t="str">
        <f>INDEX(SKU_Master!$D$5:$D$34,MATCH($I1209,SKU_Master!$A$5:$A$34,0))</f>
        <v>Laptop</v>
      </c>
      <c r="S1209" s="54">
        <f t="shared" si="252"/>
        <v>7.4597402597401663E-3</v>
      </c>
      <c r="T1209" s="55">
        <f t="shared" si="253"/>
        <v>7025.5474452554736</v>
      </c>
      <c r="U1209" s="55">
        <f t="shared" si="254"/>
        <v>6973.1386861313867</v>
      </c>
      <c r="V1209" s="55">
        <f t="shared" si="255"/>
        <v>-52.408759124086828</v>
      </c>
      <c r="W1209" s="55">
        <f t="shared" si="256"/>
        <v>7032.6855123674914</v>
      </c>
      <c r="X1209" s="55">
        <f t="shared" si="257"/>
        <v>59.546826236104607</v>
      </c>
      <c r="Y1209" s="55">
        <f t="shared" si="258"/>
        <v>5873</v>
      </c>
      <c r="Z1209" s="55">
        <f t="shared" si="259"/>
        <v>6216.4</v>
      </c>
      <c r="AA1209" s="55">
        <f t="shared" si="260"/>
        <v>-343.39999999999964</v>
      </c>
      <c r="AB1209" s="55">
        <f t="shared" si="261"/>
        <v>816.28551236749172</v>
      </c>
      <c r="AC1209" s="54">
        <f t="shared" si="262"/>
        <v>0.11607024243185537</v>
      </c>
      <c r="AD1209" s="56">
        <f>INDEX(Assumptions!$B$14:$B$16,MATCH($R1209,Assumptions!$A$14:$A$16,0))</f>
        <v>0.12</v>
      </c>
      <c r="AE1209" s="56">
        <f>INDEX(Assumptions!$C$14:$C$16,MATCH($R1209,Assumptions!$A$14:$A$16,0))</f>
        <v>0.08</v>
      </c>
      <c r="AF1209" s="49">
        <f t="shared" si="263"/>
        <v>0</v>
      </c>
      <c r="AG1209" s="49">
        <f t="shared" si="264"/>
        <v>0</v>
      </c>
      <c r="AH1209" s="55">
        <f t="shared" si="265"/>
        <v>27.636749116607234</v>
      </c>
    </row>
    <row r="1210" spans="1:34" x14ac:dyDescent="0.2">
      <c r="A1210" s="48" t="s">
        <v>1074</v>
      </c>
      <c r="B1210" s="48">
        <v>1</v>
      </c>
      <c r="C1210" s="48" t="s">
        <v>1075</v>
      </c>
      <c r="D1210" s="48" t="s">
        <v>1051</v>
      </c>
      <c r="E1210" s="48" t="s">
        <v>358</v>
      </c>
      <c r="F1210" s="48" t="s">
        <v>274</v>
      </c>
      <c r="G1210" s="48" t="s">
        <v>288</v>
      </c>
      <c r="H1210" s="48" t="s">
        <v>62</v>
      </c>
      <c r="I1210" s="48" t="s">
        <v>93</v>
      </c>
      <c r="J1210" s="49">
        <v>3</v>
      </c>
      <c r="K1210" s="50">
        <v>1390</v>
      </c>
      <c r="L1210" s="50">
        <v>1388.06</v>
      </c>
      <c r="M1210" s="48" t="s">
        <v>276</v>
      </c>
      <c r="N1210" s="51">
        <v>1</v>
      </c>
      <c r="O1210" s="51">
        <v>1</v>
      </c>
      <c r="P1210" s="52">
        <v>1186.2</v>
      </c>
      <c r="Q1210" s="52">
        <v>1186.2</v>
      </c>
      <c r="R1210" s="53" t="str">
        <f>INDEX(SKU_Master!$D$5:$D$34,MATCH($I1210,SKU_Master!$A$5:$A$34,0))</f>
        <v>Laptop</v>
      </c>
      <c r="S1210" s="54">
        <f t="shared" si="252"/>
        <v>1.395683453237484E-3</v>
      </c>
      <c r="T1210" s="55">
        <f t="shared" si="253"/>
        <v>4170</v>
      </c>
      <c r="U1210" s="55">
        <f t="shared" si="254"/>
        <v>4164.18</v>
      </c>
      <c r="V1210" s="55">
        <f t="shared" si="255"/>
        <v>-5.819999999999709</v>
      </c>
      <c r="W1210" s="55">
        <f t="shared" si="256"/>
        <v>4164.18</v>
      </c>
      <c r="X1210" s="55">
        <f t="shared" si="257"/>
        <v>0</v>
      </c>
      <c r="Y1210" s="55">
        <f t="shared" si="258"/>
        <v>3558.6000000000004</v>
      </c>
      <c r="Z1210" s="55">
        <f t="shared" si="259"/>
        <v>3558.6000000000004</v>
      </c>
      <c r="AA1210" s="55">
        <f t="shared" si="260"/>
        <v>0</v>
      </c>
      <c r="AB1210" s="55">
        <f t="shared" si="261"/>
        <v>605.57999999999993</v>
      </c>
      <c r="AC1210" s="54">
        <f t="shared" si="262"/>
        <v>0.1454259902309698</v>
      </c>
      <c r="AD1210" s="56">
        <f>INDEX(Assumptions!$B$14:$B$16,MATCH($R1210,Assumptions!$A$14:$A$16,0))</f>
        <v>0.12</v>
      </c>
      <c r="AE1210" s="56">
        <f>INDEX(Assumptions!$C$14:$C$16,MATCH($R1210,Assumptions!$A$14:$A$16,0))</f>
        <v>0.08</v>
      </c>
      <c r="AF1210" s="49">
        <f t="shared" si="263"/>
        <v>0</v>
      </c>
      <c r="AG1210" s="49">
        <f t="shared" si="264"/>
        <v>0</v>
      </c>
      <c r="AH1210" s="55">
        <f t="shared" si="265"/>
        <v>0</v>
      </c>
    </row>
    <row r="1211" spans="1:34" x14ac:dyDescent="0.2">
      <c r="A1211" s="48" t="s">
        <v>1074</v>
      </c>
      <c r="B1211" s="48">
        <v>2</v>
      </c>
      <c r="C1211" s="48" t="s">
        <v>1075</v>
      </c>
      <c r="D1211" s="48" t="s">
        <v>1051</v>
      </c>
      <c r="E1211" s="48" t="s">
        <v>358</v>
      </c>
      <c r="F1211" s="48" t="s">
        <v>274</v>
      </c>
      <c r="G1211" s="48" t="s">
        <v>288</v>
      </c>
      <c r="H1211" s="48" t="s">
        <v>62</v>
      </c>
      <c r="I1211" s="48" t="s">
        <v>151</v>
      </c>
      <c r="J1211" s="49">
        <v>3</v>
      </c>
      <c r="K1211" s="50">
        <v>335</v>
      </c>
      <c r="L1211" s="50">
        <v>329.02</v>
      </c>
      <c r="M1211" s="48" t="s">
        <v>276</v>
      </c>
      <c r="N1211" s="51">
        <v>1</v>
      </c>
      <c r="O1211" s="51">
        <v>1</v>
      </c>
      <c r="P1211" s="52">
        <v>216.7</v>
      </c>
      <c r="Q1211" s="52">
        <v>216.7</v>
      </c>
      <c r="R1211" s="53" t="str">
        <f>INDEX(SKU_Master!$D$5:$D$34,MATCH($I1211,SKU_Master!$A$5:$A$34,0))</f>
        <v>Accessory</v>
      </c>
      <c r="S1211" s="54">
        <f t="shared" si="252"/>
        <v>1.7850746268656792E-2</v>
      </c>
      <c r="T1211" s="55">
        <f t="shared" si="253"/>
        <v>1005</v>
      </c>
      <c r="U1211" s="55">
        <f t="shared" si="254"/>
        <v>987.06</v>
      </c>
      <c r="V1211" s="55">
        <f t="shared" si="255"/>
        <v>-17.940000000000055</v>
      </c>
      <c r="W1211" s="55">
        <f t="shared" si="256"/>
        <v>987.06</v>
      </c>
      <c r="X1211" s="55">
        <f t="shared" si="257"/>
        <v>0</v>
      </c>
      <c r="Y1211" s="55">
        <f t="shared" si="258"/>
        <v>650.09999999999991</v>
      </c>
      <c r="Z1211" s="55">
        <f t="shared" si="259"/>
        <v>650.09999999999991</v>
      </c>
      <c r="AA1211" s="55">
        <f t="shared" si="260"/>
        <v>0</v>
      </c>
      <c r="AB1211" s="55">
        <f t="shared" si="261"/>
        <v>336.96000000000004</v>
      </c>
      <c r="AC1211" s="54">
        <f t="shared" si="262"/>
        <v>0.34137742386481068</v>
      </c>
      <c r="AD1211" s="56">
        <f>INDEX(Assumptions!$B$14:$B$16,MATCH($R1211,Assumptions!$A$14:$A$16,0))</f>
        <v>0.32</v>
      </c>
      <c r="AE1211" s="56">
        <f>INDEX(Assumptions!$C$14:$C$16,MATCH($R1211,Assumptions!$A$14:$A$16,0))</f>
        <v>0.22</v>
      </c>
      <c r="AF1211" s="49">
        <f t="shared" si="263"/>
        <v>0</v>
      </c>
      <c r="AG1211" s="49">
        <f t="shared" si="264"/>
        <v>0</v>
      </c>
      <c r="AH1211" s="55">
        <f t="shared" si="265"/>
        <v>0</v>
      </c>
    </row>
    <row r="1212" spans="1:34" x14ac:dyDescent="0.2">
      <c r="A1212" s="48" t="s">
        <v>1076</v>
      </c>
      <c r="B1212" s="48">
        <v>1</v>
      </c>
      <c r="C1212" s="48" t="s">
        <v>1077</v>
      </c>
      <c r="D1212" s="48" t="s">
        <v>1051</v>
      </c>
      <c r="E1212" s="48" t="s">
        <v>317</v>
      </c>
      <c r="F1212" s="48" t="s">
        <v>280</v>
      </c>
      <c r="G1212" s="48" t="s">
        <v>306</v>
      </c>
      <c r="H1212" s="48" t="s">
        <v>62</v>
      </c>
      <c r="I1212" s="48" t="s">
        <v>113</v>
      </c>
      <c r="J1212" s="49">
        <v>18</v>
      </c>
      <c r="K1212" s="50">
        <v>1740</v>
      </c>
      <c r="L1212" s="50">
        <v>1704.87</v>
      </c>
      <c r="M1212" s="48" t="s">
        <v>276</v>
      </c>
      <c r="N1212" s="51">
        <v>1</v>
      </c>
      <c r="O1212" s="51">
        <v>1</v>
      </c>
      <c r="P1212" s="52">
        <v>1484.8</v>
      </c>
      <c r="Q1212" s="52">
        <v>1484.8</v>
      </c>
      <c r="R1212" s="53" t="str">
        <f>INDEX(SKU_Master!$D$5:$D$34,MATCH($I1212,SKU_Master!$A$5:$A$34,0))</f>
        <v>Laptop</v>
      </c>
      <c r="S1212" s="54">
        <f t="shared" si="252"/>
        <v>2.018965517241389E-2</v>
      </c>
      <c r="T1212" s="55">
        <f t="shared" si="253"/>
        <v>31320</v>
      </c>
      <c r="U1212" s="55">
        <f t="shared" si="254"/>
        <v>30687.659999999996</v>
      </c>
      <c r="V1212" s="55">
        <f t="shared" si="255"/>
        <v>-632.34000000000378</v>
      </c>
      <c r="W1212" s="55">
        <f t="shared" si="256"/>
        <v>30687.659999999996</v>
      </c>
      <c r="X1212" s="55">
        <f t="shared" si="257"/>
        <v>0</v>
      </c>
      <c r="Y1212" s="55">
        <f t="shared" si="258"/>
        <v>26726.399999999998</v>
      </c>
      <c r="Z1212" s="55">
        <f t="shared" si="259"/>
        <v>26726.399999999998</v>
      </c>
      <c r="AA1212" s="55">
        <f t="shared" si="260"/>
        <v>0</v>
      </c>
      <c r="AB1212" s="55">
        <f t="shared" si="261"/>
        <v>3961.2599999999984</v>
      </c>
      <c r="AC1212" s="54">
        <f t="shared" si="262"/>
        <v>0.12908315590044986</v>
      </c>
      <c r="AD1212" s="56">
        <f>INDEX(Assumptions!$B$14:$B$16,MATCH($R1212,Assumptions!$A$14:$A$16,0))</f>
        <v>0.12</v>
      </c>
      <c r="AE1212" s="56">
        <f>INDEX(Assumptions!$C$14:$C$16,MATCH($R1212,Assumptions!$A$14:$A$16,0))</f>
        <v>0.08</v>
      </c>
      <c r="AF1212" s="49">
        <f t="shared" si="263"/>
        <v>0</v>
      </c>
      <c r="AG1212" s="49">
        <f t="shared" si="264"/>
        <v>0</v>
      </c>
      <c r="AH1212" s="55">
        <f t="shared" si="265"/>
        <v>0</v>
      </c>
    </row>
    <row r="1213" spans="1:34" x14ac:dyDescent="0.2">
      <c r="A1213" s="48" t="s">
        <v>1076</v>
      </c>
      <c r="B1213" s="48">
        <v>2</v>
      </c>
      <c r="C1213" s="48" t="s">
        <v>1077</v>
      </c>
      <c r="D1213" s="48" t="s">
        <v>1051</v>
      </c>
      <c r="E1213" s="48" t="s">
        <v>317</v>
      </c>
      <c r="F1213" s="48" t="s">
        <v>280</v>
      </c>
      <c r="G1213" s="48" t="s">
        <v>306</v>
      </c>
      <c r="H1213" s="48" t="s">
        <v>62</v>
      </c>
      <c r="I1213" s="48" t="s">
        <v>135</v>
      </c>
      <c r="J1213" s="49">
        <v>20</v>
      </c>
      <c r="K1213" s="50">
        <v>240</v>
      </c>
      <c r="L1213" s="50">
        <v>230.43</v>
      </c>
      <c r="M1213" s="48" t="s">
        <v>276</v>
      </c>
      <c r="N1213" s="51">
        <v>1</v>
      </c>
      <c r="O1213" s="51">
        <v>1</v>
      </c>
      <c r="P1213" s="52">
        <v>186.7</v>
      </c>
      <c r="Q1213" s="52">
        <v>186.7</v>
      </c>
      <c r="R1213" s="53" t="str">
        <f>INDEX(SKU_Master!$D$5:$D$34,MATCH($I1213,SKU_Master!$A$5:$A$34,0))</f>
        <v>Monitor</v>
      </c>
      <c r="S1213" s="54">
        <f t="shared" si="252"/>
        <v>3.9874999999999994E-2</v>
      </c>
      <c r="T1213" s="55">
        <f t="shared" si="253"/>
        <v>4800</v>
      </c>
      <c r="U1213" s="55">
        <f t="shared" si="254"/>
        <v>4608.6000000000004</v>
      </c>
      <c r="V1213" s="55">
        <f t="shared" si="255"/>
        <v>-191.39999999999964</v>
      </c>
      <c r="W1213" s="55">
        <f t="shared" si="256"/>
        <v>4608.6000000000004</v>
      </c>
      <c r="X1213" s="55">
        <f t="shared" si="257"/>
        <v>0</v>
      </c>
      <c r="Y1213" s="55">
        <f t="shared" si="258"/>
        <v>3734</v>
      </c>
      <c r="Z1213" s="55">
        <f t="shared" si="259"/>
        <v>3734</v>
      </c>
      <c r="AA1213" s="55">
        <f t="shared" si="260"/>
        <v>0</v>
      </c>
      <c r="AB1213" s="55">
        <f t="shared" si="261"/>
        <v>874.60000000000036</v>
      </c>
      <c r="AC1213" s="54">
        <f t="shared" si="262"/>
        <v>0.18977563685284041</v>
      </c>
      <c r="AD1213" s="56">
        <f>INDEX(Assumptions!$B$14:$B$16,MATCH($R1213,Assumptions!$A$14:$A$16,0))</f>
        <v>0.18</v>
      </c>
      <c r="AE1213" s="56">
        <f>INDEX(Assumptions!$C$14:$C$16,MATCH($R1213,Assumptions!$A$14:$A$16,0))</f>
        <v>0.12</v>
      </c>
      <c r="AF1213" s="49">
        <f t="shared" si="263"/>
        <v>0</v>
      </c>
      <c r="AG1213" s="49">
        <f t="shared" si="264"/>
        <v>0</v>
      </c>
      <c r="AH1213" s="55">
        <f t="shared" si="265"/>
        <v>0</v>
      </c>
    </row>
    <row r="1214" spans="1:34" x14ac:dyDescent="0.2">
      <c r="A1214" s="48" t="s">
        <v>1076</v>
      </c>
      <c r="B1214" s="48">
        <v>3</v>
      </c>
      <c r="C1214" s="48" t="s">
        <v>1077</v>
      </c>
      <c r="D1214" s="48" t="s">
        <v>1051</v>
      </c>
      <c r="E1214" s="48" t="s">
        <v>317</v>
      </c>
      <c r="F1214" s="48" t="s">
        <v>280</v>
      </c>
      <c r="G1214" s="48" t="s">
        <v>306</v>
      </c>
      <c r="H1214" s="48" t="s">
        <v>62</v>
      </c>
      <c r="I1214" s="48" t="s">
        <v>151</v>
      </c>
      <c r="J1214" s="49">
        <v>19</v>
      </c>
      <c r="K1214" s="50">
        <v>335</v>
      </c>
      <c r="L1214" s="50">
        <v>330.51</v>
      </c>
      <c r="M1214" s="48" t="s">
        <v>276</v>
      </c>
      <c r="N1214" s="51">
        <v>1</v>
      </c>
      <c r="O1214" s="51">
        <v>1</v>
      </c>
      <c r="P1214" s="52">
        <v>216.7</v>
      </c>
      <c r="Q1214" s="52">
        <v>216.7</v>
      </c>
      <c r="R1214" s="53" t="str">
        <f>INDEX(SKU_Master!$D$5:$D$34,MATCH($I1214,SKU_Master!$A$5:$A$34,0))</f>
        <v>Accessory</v>
      </c>
      <c r="S1214" s="54">
        <f t="shared" si="252"/>
        <v>1.3402985074626894E-2</v>
      </c>
      <c r="T1214" s="55">
        <f t="shared" si="253"/>
        <v>6365</v>
      </c>
      <c r="U1214" s="55">
        <f t="shared" si="254"/>
        <v>6279.69</v>
      </c>
      <c r="V1214" s="55">
        <f t="shared" si="255"/>
        <v>-85.3100000000004</v>
      </c>
      <c r="W1214" s="55">
        <f t="shared" si="256"/>
        <v>6279.69</v>
      </c>
      <c r="X1214" s="55">
        <f t="shared" si="257"/>
        <v>0</v>
      </c>
      <c r="Y1214" s="55">
        <f t="shared" si="258"/>
        <v>4117.3</v>
      </c>
      <c r="Z1214" s="55">
        <f t="shared" si="259"/>
        <v>4117.3</v>
      </c>
      <c r="AA1214" s="55">
        <f t="shared" si="260"/>
        <v>0</v>
      </c>
      <c r="AB1214" s="55">
        <f t="shared" si="261"/>
        <v>2162.3899999999994</v>
      </c>
      <c r="AC1214" s="54">
        <f t="shared" si="262"/>
        <v>0.34434661583613196</v>
      </c>
      <c r="AD1214" s="56">
        <f>INDEX(Assumptions!$B$14:$B$16,MATCH($R1214,Assumptions!$A$14:$A$16,0))</f>
        <v>0.32</v>
      </c>
      <c r="AE1214" s="56">
        <f>INDEX(Assumptions!$C$14:$C$16,MATCH($R1214,Assumptions!$A$14:$A$16,0))</f>
        <v>0.22</v>
      </c>
      <c r="AF1214" s="49">
        <f t="shared" si="263"/>
        <v>0</v>
      </c>
      <c r="AG1214" s="49">
        <f t="shared" si="264"/>
        <v>0</v>
      </c>
      <c r="AH1214" s="55">
        <f t="shared" si="265"/>
        <v>0</v>
      </c>
    </row>
    <row r="1215" spans="1:34" x14ac:dyDescent="0.2">
      <c r="A1215" s="48" t="s">
        <v>1078</v>
      </c>
      <c r="B1215" s="48">
        <v>1</v>
      </c>
      <c r="C1215" s="48" t="s">
        <v>1063</v>
      </c>
      <c r="D1215" s="48" t="s">
        <v>1051</v>
      </c>
      <c r="E1215" s="48" t="s">
        <v>305</v>
      </c>
      <c r="F1215" s="48" t="s">
        <v>274</v>
      </c>
      <c r="G1215" s="48" t="s">
        <v>306</v>
      </c>
      <c r="H1215" s="48" t="s">
        <v>62</v>
      </c>
      <c r="I1215" s="48" t="s">
        <v>103</v>
      </c>
      <c r="J1215" s="49">
        <v>2</v>
      </c>
      <c r="K1215" s="50">
        <v>1135</v>
      </c>
      <c r="L1215" s="50">
        <v>1114.48</v>
      </c>
      <c r="M1215" s="48" t="s">
        <v>276</v>
      </c>
      <c r="N1215" s="51">
        <v>1</v>
      </c>
      <c r="O1215" s="51">
        <v>1</v>
      </c>
      <c r="P1215" s="52">
        <v>968.6</v>
      </c>
      <c r="Q1215" s="52">
        <v>968.6</v>
      </c>
      <c r="R1215" s="53" t="str">
        <f>INDEX(SKU_Master!$D$5:$D$34,MATCH($I1215,SKU_Master!$A$5:$A$34,0))</f>
        <v>Laptop</v>
      </c>
      <c r="S1215" s="54">
        <f t="shared" si="252"/>
        <v>1.8079295154185049E-2</v>
      </c>
      <c r="T1215" s="55">
        <f t="shared" si="253"/>
        <v>2270</v>
      </c>
      <c r="U1215" s="55">
        <f t="shared" si="254"/>
        <v>2228.96</v>
      </c>
      <c r="V1215" s="55">
        <f t="shared" si="255"/>
        <v>-41.039999999999964</v>
      </c>
      <c r="W1215" s="55">
        <f t="shared" si="256"/>
        <v>2228.96</v>
      </c>
      <c r="X1215" s="55">
        <f t="shared" si="257"/>
        <v>0</v>
      </c>
      <c r="Y1215" s="55">
        <f t="shared" si="258"/>
        <v>1937.2</v>
      </c>
      <c r="Z1215" s="55">
        <f t="shared" si="259"/>
        <v>1937.2</v>
      </c>
      <c r="AA1215" s="55">
        <f t="shared" si="260"/>
        <v>0</v>
      </c>
      <c r="AB1215" s="55">
        <f t="shared" si="261"/>
        <v>291.76</v>
      </c>
      <c r="AC1215" s="54">
        <f t="shared" si="262"/>
        <v>0.1308951259780346</v>
      </c>
      <c r="AD1215" s="56">
        <f>INDEX(Assumptions!$B$14:$B$16,MATCH($R1215,Assumptions!$A$14:$A$16,0))</f>
        <v>0.12</v>
      </c>
      <c r="AE1215" s="56">
        <f>INDEX(Assumptions!$C$14:$C$16,MATCH($R1215,Assumptions!$A$14:$A$16,0))</f>
        <v>0.08</v>
      </c>
      <c r="AF1215" s="49">
        <f t="shared" si="263"/>
        <v>0</v>
      </c>
      <c r="AG1215" s="49">
        <f t="shared" si="264"/>
        <v>0</v>
      </c>
      <c r="AH1215" s="55">
        <f t="shared" si="265"/>
        <v>0</v>
      </c>
    </row>
    <row r="1216" spans="1:34" x14ac:dyDescent="0.2">
      <c r="A1216" s="48" t="s">
        <v>1078</v>
      </c>
      <c r="B1216" s="48">
        <v>2</v>
      </c>
      <c r="C1216" s="48" t="s">
        <v>1063</v>
      </c>
      <c r="D1216" s="48" t="s">
        <v>1051</v>
      </c>
      <c r="E1216" s="48" t="s">
        <v>305</v>
      </c>
      <c r="F1216" s="48" t="s">
        <v>274</v>
      </c>
      <c r="G1216" s="48" t="s">
        <v>306</v>
      </c>
      <c r="H1216" s="48" t="s">
        <v>62</v>
      </c>
      <c r="I1216" s="48" t="s">
        <v>173</v>
      </c>
      <c r="J1216" s="49">
        <v>1</v>
      </c>
      <c r="K1216" s="50">
        <v>55</v>
      </c>
      <c r="L1216" s="50">
        <v>54.32</v>
      </c>
      <c r="M1216" s="48" t="s">
        <v>276</v>
      </c>
      <c r="N1216" s="51">
        <v>1</v>
      </c>
      <c r="O1216" s="51">
        <v>1</v>
      </c>
      <c r="P1216" s="52">
        <v>34</v>
      </c>
      <c r="Q1216" s="52">
        <v>34</v>
      </c>
      <c r="R1216" s="53" t="str">
        <f>INDEX(SKU_Master!$D$5:$D$34,MATCH($I1216,SKU_Master!$A$5:$A$34,0))</f>
        <v>Accessory</v>
      </c>
      <c r="S1216" s="54">
        <f t="shared" si="252"/>
        <v>1.2363636363636354E-2</v>
      </c>
      <c r="T1216" s="55">
        <f t="shared" si="253"/>
        <v>55</v>
      </c>
      <c r="U1216" s="55">
        <f t="shared" si="254"/>
        <v>54.32</v>
      </c>
      <c r="V1216" s="55">
        <f t="shared" si="255"/>
        <v>-0.67999999999999972</v>
      </c>
      <c r="W1216" s="55">
        <f t="shared" si="256"/>
        <v>54.32</v>
      </c>
      <c r="X1216" s="55">
        <f t="shared" si="257"/>
        <v>0</v>
      </c>
      <c r="Y1216" s="55">
        <f t="shared" si="258"/>
        <v>34</v>
      </c>
      <c r="Z1216" s="55">
        <f t="shared" si="259"/>
        <v>34</v>
      </c>
      <c r="AA1216" s="55">
        <f t="shared" si="260"/>
        <v>0</v>
      </c>
      <c r="AB1216" s="55">
        <f t="shared" si="261"/>
        <v>20.32</v>
      </c>
      <c r="AC1216" s="54">
        <f t="shared" si="262"/>
        <v>0.37407952871870398</v>
      </c>
      <c r="AD1216" s="56">
        <f>INDEX(Assumptions!$B$14:$B$16,MATCH($R1216,Assumptions!$A$14:$A$16,0))</f>
        <v>0.32</v>
      </c>
      <c r="AE1216" s="56">
        <f>INDEX(Assumptions!$C$14:$C$16,MATCH($R1216,Assumptions!$A$14:$A$16,0))</f>
        <v>0.22</v>
      </c>
      <c r="AF1216" s="49">
        <f t="shared" si="263"/>
        <v>0</v>
      </c>
      <c r="AG1216" s="49">
        <f t="shared" si="264"/>
        <v>0</v>
      </c>
      <c r="AH1216" s="55">
        <f t="shared" si="265"/>
        <v>0</v>
      </c>
    </row>
    <row r="1217" spans="1:34" x14ac:dyDescent="0.2">
      <c r="A1217" s="48" t="s">
        <v>1079</v>
      </c>
      <c r="B1217" s="48">
        <v>1</v>
      </c>
      <c r="C1217" s="48" t="s">
        <v>1080</v>
      </c>
      <c r="D1217" s="48" t="s">
        <v>1051</v>
      </c>
      <c r="E1217" s="48" t="s">
        <v>355</v>
      </c>
      <c r="F1217" s="48" t="s">
        <v>280</v>
      </c>
      <c r="G1217" s="48" t="s">
        <v>302</v>
      </c>
      <c r="H1217" s="48" t="s">
        <v>62</v>
      </c>
      <c r="I1217" s="48" t="s">
        <v>93</v>
      </c>
      <c r="J1217" s="49">
        <v>29</v>
      </c>
      <c r="K1217" s="50">
        <v>1390</v>
      </c>
      <c r="L1217" s="50">
        <v>1366.45</v>
      </c>
      <c r="M1217" s="48" t="s">
        <v>276</v>
      </c>
      <c r="N1217" s="51">
        <v>1</v>
      </c>
      <c r="O1217" s="51">
        <v>1</v>
      </c>
      <c r="P1217" s="52">
        <v>1186.2</v>
      </c>
      <c r="Q1217" s="52">
        <v>1186.2</v>
      </c>
      <c r="R1217" s="53" t="str">
        <f>INDEX(SKU_Master!$D$5:$D$34,MATCH($I1217,SKU_Master!$A$5:$A$34,0))</f>
        <v>Laptop</v>
      </c>
      <c r="S1217" s="54">
        <f t="shared" si="252"/>
        <v>1.6942446043165416E-2</v>
      </c>
      <c r="T1217" s="55">
        <f t="shared" si="253"/>
        <v>40310</v>
      </c>
      <c r="U1217" s="55">
        <f t="shared" si="254"/>
        <v>39627.050000000003</v>
      </c>
      <c r="V1217" s="55">
        <f t="shared" si="255"/>
        <v>-682.94999999999709</v>
      </c>
      <c r="W1217" s="55">
        <f t="shared" si="256"/>
        <v>39627.050000000003</v>
      </c>
      <c r="X1217" s="55">
        <f t="shared" si="257"/>
        <v>0</v>
      </c>
      <c r="Y1217" s="55">
        <f t="shared" si="258"/>
        <v>34399.800000000003</v>
      </c>
      <c r="Z1217" s="55">
        <f t="shared" si="259"/>
        <v>34399.800000000003</v>
      </c>
      <c r="AA1217" s="55">
        <f t="shared" si="260"/>
        <v>0</v>
      </c>
      <c r="AB1217" s="55">
        <f t="shared" si="261"/>
        <v>5227.25</v>
      </c>
      <c r="AC1217" s="54">
        <f t="shared" si="262"/>
        <v>0.13191115664678546</v>
      </c>
      <c r="AD1217" s="56">
        <f>INDEX(Assumptions!$B$14:$B$16,MATCH($R1217,Assumptions!$A$14:$A$16,0))</f>
        <v>0.12</v>
      </c>
      <c r="AE1217" s="56">
        <f>INDEX(Assumptions!$C$14:$C$16,MATCH($R1217,Assumptions!$A$14:$A$16,0))</f>
        <v>0.08</v>
      </c>
      <c r="AF1217" s="49">
        <f t="shared" si="263"/>
        <v>0</v>
      </c>
      <c r="AG1217" s="49">
        <f t="shared" si="264"/>
        <v>0</v>
      </c>
      <c r="AH1217" s="55">
        <f t="shared" si="265"/>
        <v>0</v>
      </c>
    </row>
    <row r="1218" spans="1:34" x14ac:dyDescent="0.2">
      <c r="A1218" s="48" t="s">
        <v>1081</v>
      </c>
      <c r="B1218" s="48">
        <v>1</v>
      </c>
      <c r="C1218" s="48" t="s">
        <v>1082</v>
      </c>
      <c r="D1218" s="48" t="s">
        <v>1051</v>
      </c>
      <c r="E1218" s="48" t="s">
        <v>339</v>
      </c>
      <c r="F1218" s="48" t="s">
        <v>280</v>
      </c>
      <c r="G1218" s="48" t="s">
        <v>302</v>
      </c>
      <c r="H1218" s="48" t="s">
        <v>62</v>
      </c>
      <c r="I1218" s="48" t="s">
        <v>113</v>
      </c>
      <c r="J1218" s="49">
        <v>29</v>
      </c>
      <c r="K1218" s="50">
        <v>1740</v>
      </c>
      <c r="L1218" s="50">
        <v>1637.48</v>
      </c>
      <c r="M1218" s="48" t="s">
        <v>276</v>
      </c>
      <c r="N1218" s="51">
        <v>1</v>
      </c>
      <c r="O1218" s="51">
        <v>1</v>
      </c>
      <c r="P1218" s="52">
        <v>1484.8</v>
      </c>
      <c r="Q1218" s="52">
        <v>1484.8</v>
      </c>
      <c r="R1218" s="53" t="str">
        <f>INDEX(SKU_Master!$D$5:$D$34,MATCH($I1218,SKU_Master!$A$5:$A$34,0))</f>
        <v>Laptop</v>
      </c>
      <c r="S1218" s="54">
        <f t="shared" si="252"/>
        <v>5.8919540229884992E-2</v>
      </c>
      <c r="T1218" s="55">
        <f t="shared" si="253"/>
        <v>50460</v>
      </c>
      <c r="U1218" s="55">
        <f t="shared" si="254"/>
        <v>47486.92</v>
      </c>
      <c r="V1218" s="55">
        <f t="shared" si="255"/>
        <v>-2973.0800000000017</v>
      </c>
      <c r="W1218" s="55">
        <f t="shared" si="256"/>
        <v>47486.92</v>
      </c>
      <c r="X1218" s="55">
        <f t="shared" si="257"/>
        <v>0</v>
      </c>
      <c r="Y1218" s="55">
        <f t="shared" si="258"/>
        <v>43059.199999999997</v>
      </c>
      <c r="Z1218" s="55">
        <f t="shared" si="259"/>
        <v>43059.199999999997</v>
      </c>
      <c r="AA1218" s="55">
        <f t="shared" si="260"/>
        <v>0</v>
      </c>
      <c r="AB1218" s="55">
        <f t="shared" si="261"/>
        <v>4427.7200000000012</v>
      </c>
      <c r="AC1218" s="54">
        <f t="shared" si="262"/>
        <v>9.3240833475828747E-2</v>
      </c>
      <c r="AD1218" s="56">
        <f>INDEX(Assumptions!$B$14:$B$16,MATCH($R1218,Assumptions!$A$14:$A$16,0))</f>
        <v>0.12</v>
      </c>
      <c r="AE1218" s="56">
        <f>INDEX(Assumptions!$C$14:$C$16,MATCH($R1218,Assumptions!$A$14:$A$16,0))</f>
        <v>0.08</v>
      </c>
      <c r="AF1218" s="49">
        <f t="shared" si="263"/>
        <v>0</v>
      </c>
      <c r="AG1218" s="49">
        <f t="shared" si="264"/>
        <v>0</v>
      </c>
      <c r="AH1218" s="55">
        <f t="shared" si="265"/>
        <v>1270.7103999999981</v>
      </c>
    </row>
    <row r="1219" spans="1:34" x14ac:dyDescent="0.2">
      <c r="A1219" s="48" t="s">
        <v>1081</v>
      </c>
      <c r="B1219" s="48">
        <v>2</v>
      </c>
      <c r="C1219" s="48" t="s">
        <v>1082</v>
      </c>
      <c r="D1219" s="48" t="s">
        <v>1051</v>
      </c>
      <c r="E1219" s="48" t="s">
        <v>339</v>
      </c>
      <c r="F1219" s="48" t="s">
        <v>280</v>
      </c>
      <c r="G1219" s="48" t="s">
        <v>302</v>
      </c>
      <c r="H1219" s="48" t="s">
        <v>62</v>
      </c>
      <c r="I1219" s="48" t="s">
        <v>144</v>
      </c>
      <c r="J1219" s="49">
        <v>32</v>
      </c>
      <c r="K1219" s="50">
        <v>370</v>
      </c>
      <c r="L1219" s="50">
        <v>340.42</v>
      </c>
      <c r="M1219" s="48" t="s">
        <v>276</v>
      </c>
      <c r="N1219" s="51">
        <v>1</v>
      </c>
      <c r="O1219" s="51">
        <v>1</v>
      </c>
      <c r="P1219" s="52">
        <v>289.60000000000002</v>
      </c>
      <c r="Q1219" s="52">
        <v>289.60000000000002</v>
      </c>
      <c r="R1219" s="53" t="str">
        <f>INDEX(SKU_Master!$D$5:$D$34,MATCH($I1219,SKU_Master!$A$5:$A$34,0))</f>
        <v>Monitor</v>
      </c>
      <c r="S1219" s="54">
        <f t="shared" si="252"/>
        <v>7.9945945945945951E-2</v>
      </c>
      <c r="T1219" s="55">
        <f t="shared" si="253"/>
        <v>11840</v>
      </c>
      <c r="U1219" s="55">
        <f t="shared" si="254"/>
        <v>10893.44</v>
      </c>
      <c r="V1219" s="55">
        <f t="shared" si="255"/>
        <v>-946.55999999999949</v>
      </c>
      <c r="W1219" s="55">
        <f t="shared" si="256"/>
        <v>10893.44</v>
      </c>
      <c r="X1219" s="55">
        <f t="shared" si="257"/>
        <v>0</v>
      </c>
      <c r="Y1219" s="55">
        <f t="shared" si="258"/>
        <v>9267.2000000000007</v>
      </c>
      <c r="Z1219" s="55">
        <f t="shared" si="259"/>
        <v>9267.2000000000007</v>
      </c>
      <c r="AA1219" s="55">
        <f t="shared" si="260"/>
        <v>0</v>
      </c>
      <c r="AB1219" s="55">
        <f t="shared" si="261"/>
        <v>1626.2399999999998</v>
      </c>
      <c r="AC1219" s="54">
        <f t="shared" si="262"/>
        <v>0.14928617590035836</v>
      </c>
      <c r="AD1219" s="56">
        <f>INDEX(Assumptions!$B$14:$B$16,MATCH($R1219,Assumptions!$A$14:$A$16,0))</f>
        <v>0.18</v>
      </c>
      <c r="AE1219" s="56">
        <f>INDEX(Assumptions!$C$14:$C$16,MATCH($R1219,Assumptions!$A$14:$A$16,0))</f>
        <v>0.12</v>
      </c>
      <c r="AF1219" s="49">
        <f t="shared" si="263"/>
        <v>0</v>
      </c>
      <c r="AG1219" s="49">
        <f t="shared" si="264"/>
        <v>0</v>
      </c>
      <c r="AH1219" s="55">
        <f t="shared" si="265"/>
        <v>334.57920000000013</v>
      </c>
    </row>
    <row r="1220" spans="1:34" x14ac:dyDescent="0.2">
      <c r="A1220" s="48" t="s">
        <v>1081</v>
      </c>
      <c r="B1220" s="48">
        <v>3</v>
      </c>
      <c r="C1220" s="48" t="s">
        <v>1082</v>
      </c>
      <c r="D1220" s="48" t="s">
        <v>1051</v>
      </c>
      <c r="E1220" s="48" t="s">
        <v>339</v>
      </c>
      <c r="F1220" s="48" t="s">
        <v>280</v>
      </c>
      <c r="G1220" s="48" t="s">
        <v>302</v>
      </c>
      <c r="H1220" s="48" t="s">
        <v>62</v>
      </c>
      <c r="I1220" s="48" t="s">
        <v>157</v>
      </c>
      <c r="J1220" s="49">
        <v>17</v>
      </c>
      <c r="K1220" s="50">
        <v>135</v>
      </c>
      <c r="L1220" s="50">
        <v>129.46</v>
      </c>
      <c r="M1220" s="48" t="s">
        <v>276</v>
      </c>
      <c r="N1220" s="51">
        <v>1</v>
      </c>
      <c r="O1220" s="51">
        <v>1</v>
      </c>
      <c r="P1220" s="52">
        <v>86</v>
      </c>
      <c r="Q1220" s="52">
        <v>86</v>
      </c>
      <c r="R1220" s="53" t="str">
        <f>INDEX(SKU_Master!$D$5:$D$34,MATCH($I1220,SKU_Master!$A$5:$A$34,0))</f>
        <v>Accessory</v>
      </c>
      <c r="S1220" s="54">
        <f t="shared" si="252"/>
        <v>4.1037037037036983E-2</v>
      </c>
      <c r="T1220" s="55">
        <f t="shared" si="253"/>
        <v>2295</v>
      </c>
      <c r="U1220" s="55">
        <f t="shared" si="254"/>
        <v>2200.8200000000002</v>
      </c>
      <c r="V1220" s="55">
        <f t="shared" si="255"/>
        <v>-94.179999999999836</v>
      </c>
      <c r="W1220" s="55">
        <f t="shared" si="256"/>
        <v>2200.8200000000002</v>
      </c>
      <c r="X1220" s="55">
        <f t="shared" si="257"/>
        <v>0</v>
      </c>
      <c r="Y1220" s="55">
        <f t="shared" si="258"/>
        <v>1462</v>
      </c>
      <c r="Z1220" s="55">
        <f t="shared" si="259"/>
        <v>1462</v>
      </c>
      <c r="AA1220" s="55">
        <f t="shared" si="260"/>
        <v>0</v>
      </c>
      <c r="AB1220" s="55">
        <f t="shared" si="261"/>
        <v>738.82000000000016</v>
      </c>
      <c r="AC1220" s="54">
        <f t="shared" si="262"/>
        <v>0.33570214738143062</v>
      </c>
      <c r="AD1220" s="56">
        <f>INDEX(Assumptions!$B$14:$B$16,MATCH($R1220,Assumptions!$A$14:$A$16,0))</f>
        <v>0.32</v>
      </c>
      <c r="AE1220" s="56">
        <f>INDEX(Assumptions!$C$14:$C$16,MATCH($R1220,Assumptions!$A$14:$A$16,0))</f>
        <v>0.22</v>
      </c>
      <c r="AF1220" s="49">
        <f t="shared" si="263"/>
        <v>0</v>
      </c>
      <c r="AG1220" s="49">
        <f t="shared" si="264"/>
        <v>0</v>
      </c>
      <c r="AH1220" s="55">
        <f t="shared" si="265"/>
        <v>0</v>
      </c>
    </row>
    <row r="1221" spans="1:34" x14ac:dyDescent="0.2">
      <c r="A1221" s="48" t="s">
        <v>1083</v>
      </c>
      <c r="B1221" s="48">
        <v>1</v>
      </c>
      <c r="C1221" s="48" t="s">
        <v>1084</v>
      </c>
      <c r="D1221" s="48" t="s">
        <v>1051</v>
      </c>
      <c r="E1221" s="48" t="s">
        <v>393</v>
      </c>
      <c r="F1221" s="48" t="s">
        <v>274</v>
      </c>
      <c r="G1221" s="48" t="s">
        <v>275</v>
      </c>
      <c r="H1221" s="48" t="s">
        <v>66</v>
      </c>
      <c r="I1221" s="48" t="s">
        <v>110</v>
      </c>
      <c r="J1221" s="49">
        <v>9</v>
      </c>
      <c r="K1221" s="50">
        <v>1115</v>
      </c>
      <c r="L1221" s="50">
        <v>1094.6199999999999</v>
      </c>
      <c r="M1221" s="48" t="s">
        <v>276</v>
      </c>
      <c r="N1221" s="51">
        <v>0.92</v>
      </c>
      <c r="O1221" s="51">
        <v>0.92859999999999998</v>
      </c>
      <c r="P1221" s="52">
        <v>1012.65</v>
      </c>
      <c r="Q1221" s="52">
        <v>1012.65</v>
      </c>
      <c r="R1221" s="53" t="str">
        <f>INDEX(SKU_Master!$D$5:$D$34,MATCH($I1221,SKU_Master!$A$5:$A$34,0))</f>
        <v>Laptop</v>
      </c>
      <c r="S1221" s="54">
        <f t="shared" ref="S1221:S1284" si="266">IF(K1221=0,0,1-L1221/K1221)</f>
        <v>1.8278026905829692E-2</v>
      </c>
      <c r="T1221" s="55">
        <f t="shared" ref="T1221:T1284" si="267">J1221*K1221/N1221</f>
        <v>10907.608695652174</v>
      </c>
      <c r="U1221" s="55">
        <f t="shared" ref="U1221:U1284" si="268">J1221*L1221/N1221</f>
        <v>10708.23913043478</v>
      </c>
      <c r="V1221" s="55">
        <f t="shared" ref="V1221:V1284" si="269">U1221-T1221</f>
        <v>-199.36956521739376</v>
      </c>
      <c r="W1221" s="55">
        <f t="shared" ref="W1221:W1284" si="270">J1221*L1221/O1221</f>
        <v>10609.067413310358</v>
      </c>
      <c r="X1221" s="55">
        <f t="shared" ref="X1221:X1284" si="271">W1221-U1221</f>
        <v>-99.171717124421775</v>
      </c>
      <c r="Y1221" s="55">
        <f t="shared" ref="Y1221:Y1284" si="272">J1221*P1221</f>
        <v>9113.85</v>
      </c>
      <c r="Z1221" s="55">
        <f t="shared" ref="Z1221:Z1284" si="273">J1221*Q1221</f>
        <v>9113.85</v>
      </c>
      <c r="AA1221" s="55">
        <f t="shared" ref="AA1221:AA1284" si="274">Y1221-Z1221</f>
        <v>0</v>
      </c>
      <c r="AB1221" s="55">
        <f t="shared" ref="AB1221:AB1284" si="275">W1221-Z1221</f>
        <v>1495.2174133103581</v>
      </c>
      <c r="AC1221" s="54">
        <f t="shared" ref="AC1221:AC1284" si="276">IF(W1221=0,0,AB1221/W1221)</f>
        <v>0.14093768613765495</v>
      </c>
      <c r="AD1221" s="56">
        <f>INDEX(Assumptions!$B$14:$B$16,MATCH($R1221,Assumptions!$A$14:$A$16,0))</f>
        <v>0.12</v>
      </c>
      <c r="AE1221" s="56">
        <f>INDEX(Assumptions!$C$14:$C$16,MATCH($R1221,Assumptions!$A$14:$A$16,0))</f>
        <v>0.08</v>
      </c>
      <c r="AF1221" s="49">
        <f t="shared" ref="AF1221:AF1284" si="277">IF(AC1221&lt;AE1221,1,0)</f>
        <v>0</v>
      </c>
      <c r="AG1221" s="49">
        <f t="shared" ref="AG1221:AG1284" si="278">IF(AND(AF1221=1,M1221="N"),1,0)</f>
        <v>0</v>
      </c>
      <c r="AH1221" s="55">
        <f t="shared" ref="AH1221:AH1284" si="279">MAX(0,W1221*AD1221-AB1221)</f>
        <v>0</v>
      </c>
    </row>
    <row r="1222" spans="1:34" x14ac:dyDescent="0.2">
      <c r="A1222" s="48" t="s">
        <v>1083</v>
      </c>
      <c r="B1222" s="48">
        <v>2</v>
      </c>
      <c r="C1222" s="48" t="s">
        <v>1084</v>
      </c>
      <c r="D1222" s="48" t="s">
        <v>1051</v>
      </c>
      <c r="E1222" s="48" t="s">
        <v>393</v>
      </c>
      <c r="F1222" s="48" t="s">
        <v>274</v>
      </c>
      <c r="G1222" s="48" t="s">
        <v>275</v>
      </c>
      <c r="H1222" s="48" t="s">
        <v>66</v>
      </c>
      <c r="I1222" s="48" t="s">
        <v>138</v>
      </c>
      <c r="J1222" s="49">
        <v>8</v>
      </c>
      <c r="K1222" s="50">
        <v>460</v>
      </c>
      <c r="L1222" s="50">
        <v>454.11</v>
      </c>
      <c r="M1222" s="48" t="s">
        <v>276</v>
      </c>
      <c r="N1222" s="51">
        <v>0.92</v>
      </c>
      <c r="O1222" s="51">
        <v>0.92859999999999998</v>
      </c>
      <c r="P1222" s="52">
        <v>383.2</v>
      </c>
      <c r="Q1222" s="52">
        <v>383.2</v>
      </c>
      <c r="R1222" s="53" t="str">
        <f>INDEX(SKU_Master!$D$5:$D$34,MATCH($I1222,SKU_Master!$A$5:$A$34,0))</f>
        <v>Monitor</v>
      </c>
      <c r="S1222" s="54">
        <f t="shared" si="266"/>
        <v>1.280434782608697E-2</v>
      </c>
      <c r="T1222" s="55">
        <f t="shared" si="267"/>
        <v>4000</v>
      </c>
      <c r="U1222" s="55">
        <f t="shared" si="268"/>
        <v>3948.782608695652</v>
      </c>
      <c r="V1222" s="55">
        <f t="shared" si="269"/>
        <v>-51.217391304347984</v>
      </c>
      <c r="W1222" s="55">
        <f t="shared" si="270"/>
        <v>3912.211931940556</v>
      </c>
      <c r="X1222" s="55">
        <f t="shared" si="271"/>
        <v>-36.570676755095974</v>
      </c>
      <c r="Y1222" s="55">
        <f t="shared" si="272"/>
        <v>3065.6</v>
      </c>
      <c r="Z1222" s="55">
        <f t="shared" si="273"/>
        <v>3065.6</v>
      </c>
      <c r="AA1222" s="55">
        <f t="shared" si="274"/>
        <v>0</v>
      </c>
      <c r="AB1222" s="55">
        <f t="shared" si="275"/>
        <v>846.61193194055613</v>
      </c>
      <c r="AC1222" s="54">
        <f t="shared" si="276"/>
        <v>0.21640236946995231</v>
      </c>
      <c r="AD1222" s="56">
        <f>INDEX(Assumptions!$B$14:$B$16,MATCH($R1222,Assumptions!$A$14:$A$16,0))</f>
        <v>0.18</v>
      </c>
      <c r="AE1222" s="56">
        <f>INDEX(Assumptions!$C$14:$C$16,MATCH($R1222,Assumptions!$A$14:$A$16,0))</f>
        <v>0.12</v>
      </c>
      <c r="AF1222" s="49">
        <f t="shared" si="277"/>
        <v>0</v>
      </c>
      <c r="AG1222" s="49">
        <f t="shared" si="278"/>
        <v>0</v>
      </c>
      <c r="AH1222" s="55">
        <f t="shared" si="279"/>
        <v>0</v>
      </c>
    </row>
    <row r="1223" spans="1:34" x14ac:dyDescent="0.2">
      <c r="A1223" s="48" t="s">
        <v>1085</v>
      </c>
      <c r="B1223" s="48">
        <v>1</v>
      </c>
      <c r="C1223" s="48" t="s">
        <v>1075</v>
      </c>
      <c r="D1223" s="48" t="s">
        <v>1051</v>
      </c>
      <c r="E1223" s="48" t="s">
        <v>273</v>
      </c>
      <c r="F1223" s="48" t="s">
        <v>274</v>
      </c>
      <c r="G1223" s="48" t="s">
        <v>275</v>
      </c>
      <c r="H1223" s="48" t="s">
        <v>66</v>
      </c>
      <c r="I1223" s="48" t="s">
        <v>93</v>
      </c>
      <c r="J1223" s="49">
        <v>8</v>
      </c>
      <c r="K1223" s="50">
        <v>1325</v>
      </c>
      <c r="L1223" s="50">
        <v>1320.15</v>
      </c>
      <c r="M1223" s="48" t="s">
        <v>276</v>
      </c>
      <c r="N1223" s="51">
        <v>0.92</v>
      </c>
      <c r="O1223" s="51">
        <v>0.92859999999999998</v>
      </c>
      <c r="P1223" s="52">
        <v>1206.2</v>
      </c>
      <c r="Q1223" s="52">
        <v>1206.2</v>
      </c>
      <c r="R1223" s="53" t="str">
        <f>INDEX(SKU_Master!$D$5:$D$34,MATCH($I1223,SKU_Master!$A$5:$A$34,0))</f>
        <v>Laptop</v>
      </c>
      <c r="S1223" s="54">
        <f t="shared" si="266"/>
        <v>3.660377358490452E-3</v>
      </c>
      <c r="T1223" s="55">
        <f t="shared" si="267"/>
        <v>11521.739130434782</v>
      </c>
      <c r="U1223" s="55">
        <f t="shared" si="268"/>
        <v>11479.565217391304</v>
      </c>
      <c r="V1223" s="55">
        <f t="shared" si="269"/>
        <v>-42.173913043478024</v>
      </c>
      <c r="W1223" s="55">
        <f t="shared" si="270"/>
        <v>11373.250053844498</v>
      </c>
      <c r="X1223" s="55">
        <f t="shared" si="271"/>
        <v>-106.31516354680571</v>
      </c>
      <c r="Y1223" s="55">
        <f t="shared" si="272"/>
        <v>9649.6</v>
      </c>
      <c r="Z1223" s="55">
        <f t="shared" si="273"/>
        <v>9649.6</v>
      </c>
      <c r="AA1223" s="55">
        <f t="shared" si="274"/>
        <v>0</v>
      </c>
      <c r="AB1223" s="55">
        <f t="shared" si="275"/>
        <v>1723.650053844498</v>
      </c>
      <c r="AC1223" s="54">
        <f t="shared" si="276"/>
        <v>0.15155299019050872</v>
      </c>
      <c r="AD1223" s="56">
        <f>INDEX(Assumptions!$B$14:$B$16,MATCH($R1223,Assumptions!$A$14:$A$16,0))</f>
        <v>0.12</v>
      </c>
      <c r="AE1223" s="56">
        <f>INDEX(Assumptions!$C$14:$C$16,MATCH($R1223,Assumptions!$A$14:$A$16,0))</f>
        <v>0.08</v>
      </c>
      <c r="AF1223" s="49">
        <f t="shared" si="277"/>
        <v>0</v>
      </c>
      <c r="AG1223" s="49">
        <f t="shared" si="278"/>
        <v>0</v>
      </c>
      <c r="AH1223" s="55">
        <f t="shared" si="279"/>
        <v>0</v>
      </c>
    </row>
    <row r="1224" spans="1:34" x14ac:dyDescent="0.2">
      <c r="A1224" s="48" t="s">
        <v>1085</v>
      </c>
      <c r="B1224" s="48">
        <v>2</v>
      </c>
      <c r="C1224" s="48" t="s">
        <v>1075</v>
      </c>
      <c r="D1224" s="48" t="s">
        <v>1051</v>
      </c>
      <c r="E1224" s="48" t="s">
        <v>273</v>
      </c>
      <c r="F1224" s="48" t="s">
        <v>274</v>
      </c>
      <c r="G1224" s="48" t="s">
        <v>275</v>
      </c>
      <c r="H1224" s="48" t="s">
        <v>66</v>
      </c>
      <c r="I1224" s="48" t="s">
        <v>177</v>
      </c>
      <c r="J1224" s="49">
        <v>9</v>
      </c>
      <c r="K1224" s="50">
        <v>75</v>
      </c>
      <c r="L1224" s="50">
        <v>73.55</v>
      </c>
      <c r="M1224" s="48" t="s">
        <v>276</v>
      </c>
      <c r="N1224" s="51">
        <v>0.92</v>
      </c>
      <c r="O1224" s="51">
        <v>0.92859999999999998</v>
      </c>
      <c r="P1224" s="52">
        <v>49</v>
      </c>
      <c r="Q1224" s="52">
        <v>49</v>
      </c>
      <c r="R1224" s="53" t="str">
        <f>INDEX(SKU_Master!$D$5:$D$34,MATCH($I1224,SKU_Master!$A$5:$A$34,0))</f>
        <v>Accessory</v>
      </c>
      <c r="S1224" s="54">
        <f t="shared" si="266"/>
        <v>1.9333333333333425E-2</v>
      </c>
      <c r="T1224" s="55">
        <f t="shared" si="267"/>
        <v>733.695652173913</v>
      </c>
      <c r="U1224" s="55">
        <f t="shared" si="268"/>
        <v>719.51086956521726</v>
      </c>
      <c r="V1224" s="55">
        <f t="shared" si="269"/>
        <v>-14.184782608695741</v>
      </c>
      <c r="W1224" s="55">
        <f t="shared" si="270"/>
        <v>712.84729700624587</v>
      </c>
      <c r="X1224" s="55">
        <f t="shared" si="271"/>
        <v>-6.6635725589713957</v>
      </c>
      <c r="Y1224" s="55">
        <f t="shared" si="272"/>
        <v>441</v>
      </c>
      <c r="Z1224" s="55">
        <f t="shared" si="273"/>
        <v>441</v>
      </c>
      <c r="AA1224" s="55">
        <f t="shared" si="274"/>
        <v>0</v>
      </c>
      <c r="AB1224" s="55">
        <f t="shared" si="275"/>
        <v>271.84729700624587</v>
      </c>
      <c r="AC1224" s="54">
        <f t="shared" si="276"/>
        <v>0.38135418082936767</v>
      </c>
      <c r="AD1224" s="56">
        <f>INDEX(Assumptions!$B$14:$B$16,MATCH($R1224,Assumptions!$A$14:$A$16,0))</f>
        <v>0.32</v>
      </c>
      <c r="AE1224" s="56">
        <f>INDEX(Assumptions!$C$14:$C$16,MATCH($R1224,Assumptions!$A$14:$A$16,0))</f>
        <v>0.22</v>
      </c>
      <c r="AF1224" s="49">
        <f t="shared" si="277"/>
        <v>0</v>
      </c>
      <c r="AG1224" s="49">
        <f t="shared" si="278"/>
        <v>0</v>
      </c>
      <c r="AH1224" s="55">
        <f t="shared" si="279"/>
        <v>0</v>
      </c>
    </row>
    <row r="1225" spans="1:34" x14ac:dyDescent="0.2">
      <c r="A1225" s="48" t="s">
        <v>1086</v>
      </c>
      <c r="B1225" s="48">
        <v>1</v>
      </c>
      <c r="C1225" s="48" t="s">
        <v>1087</v>
      </c>
      <c r="D1225" s="48" t="s">
        <v>1051</v>
      </c>
      <c r="E1225" s="48" t="s">
        <v>301</v>
      </c>
      <c r="F1225" s="48" t="s">
        <v>274</v>
      </c>
      <c r="G1225" s="48" t="s">
        <v>302</v>
      </c>
      <c r="H1225" s="48" t="s">
        <v>62</v>
      </c>
      <c r="I1225" s="48" t="s">
        <v>93</v>
      </c>
      <c r="J1225" s="49">
        <v>4</v>
      </c>
      <c r="K1225" s="50">
        <v>1390</v>
      </c>
      <c r="L1225" s="50">
        <v>1324.69</v>
      </c>
      <c r="M1225" s="48" t="s">
        <v>276</v>
      </c>
      <c r="N1225" s="51">
        <v>1</v>
      </c>
      <c r="O1225" s="51">
        <v>1</v>
      </c>
      <c r="P1225" s="52">
        <v>1186.2</v>
      </c>
      <c r="Q1225" s="52">
        <v>1186.2</v>
      </c>
      <c r="R1225" s="53" t="str">
        <f>INDEX(SKU_Master!$D$5:$D$34,MATCH($I1225,SKU_Master!$A$5:$A$34,0))</f>
        <v>Laptop</v>
      </c>
      <c r="S1225" s="54">
        <f t="shared" si="266"/>
        <v>4.6985611510791281E-2</v>
      </c>
      <c r="T1225" s="55">
        <f t="shared" si="267"/>
        <v>5560</v>
      </c>
      <c r="U1225" s="55">
        <f t="shared" si="268"/>
        <v>5298.76</v>
      </c>
      <c r="V1225" s="55">
        <f t="shared" si="269"/>
        <v>-261.23999999999978</v>
      </c>
      <c r="W1225" s="55">
        <f t="shared" si="270"/>
        <v>5298.76</v>
      </c>
      <c r="X1225" s="55">
        <f t="shared" si="271"/>
        <v>0</v>
      </c>
      <c r="Y1225" s="55">
        <f t="shared" si="272"/>
        <v>4744.8</v>
      </c>
      <c r="Z1225" s="55">
        <f t="shared" si="273"/>
        <v>4744.8</v>
      </c>
      <c r="AA1225" s="55">
        <f t="shared" si="274"/>
        <v>0</v>
      </c>
      <c r="AB1225" s="55">
        <f t="shared" si="275"/>
        <v>553.96</v>
      </c>
      <c r="AC1225" s="54">
        <f t="shared" si="276"/>
        <v>0.10454521435203708</v>
      </c>
      <c r="AD1225" s="56">
        <f>INDEX(Assumptions!$B$14:$B$16,MATCH($R1225,Assumptions!$A$14:$A$16,0))</f>
        <v>0.12</v>
      </c>
      <c r="AE1225" s="56">
        <f>INDEX(Assumptions!$C$14:$C$16,MATCH($R1225,Assumptions!$A$14:$A$16,0))</f>
        <v>0.08</v>
      </c>
      <c r="AF1225" s="49">
        <f t="shared" si="277"/>
        <v>0</v>
      </c>
      <c r="AG1225" s="49">
        <f t="shared" si="278"/>
        <v>0</v>
      </c>
      <c r="AH1225" s="55">
        <f t="shared" si="279"/>
        <v>81.891199999999913</v>
      </c>
    </row>
    <row r="1226" spans="1:34" x14ac:dyDescent="0.2">
      <c r="A1226" s="48" t="s">
        <v>1086</v>
      </c>
      <c r="B1226" s="48">
        <v>2</v>
      </c>
      <c r="C1226" s="48" t="s">
        <v>1087</v>
      </c>
      <c r="D1226" s="48" t="s">
        <v>1051</v>
      </c>
      <c r="E1226" s="48" t="s">
        <v>301</v>
      </c>
      <c r="F1226" s="48" t="s">
        <v>274</v>
      </c>
      <c r="G1226" s="48" t="s">
        <v>302</v>
      </c>
      <c r="H1226" s="48" t="s">
        <v>62</v>
      </c>
      <c r="I1226" s="48" t="s">
        <v>135</v>
      </c>
      <c r="J1226" s="49">
        <v>1</v>
      </c>
      <c r="K1226" s="50">
        <v>240</v>
      </c>
      <c r="L1226" s="50">
        <v>239.62</v>
      </c>
      <c r="M1226" s="48" t="s">
        <v>276</v>
      </c>
      <c r="N1226" s="51">
        <v>1</v>
      </c>
      <c r="O1226" s="51">
        <v>1</v>
      </c>
      <c r="P1226" s="52">
        <v>186.7</v>
      </c>
      <c r="Q1226" s="52">
        <v>186.7</v>
      </c>
      <c r="R1226" s="53" t="str">
        <f>INDEX(SKU_Master!$D$5:$D$34,MATCH($I1226,SKU_Master!$A$5:$A$34,0))</f>
        <v>Monitor</v>
      </c>
      <c r="S1226" s="54">
        <f t="shared" si="266"/>
        <v>1.58333333333327E-3</v>
      </c>
      <c r="T1226" s="55">
        <f t="shared" si="267"/>
        <v>240</v>
      </c>
      <c r="U1226" s="55">
        <f t="shared" si="268"/>
        <v>239.62</v>
      </c>
      <c r="V1226" s="55">
        <f t="shared" si="269"/>
        <v>-0.37999999999999545</v>
      </c>
      <c r="W1226" s="55">
        <f t="shared" si="270"/>
        <v>239.62</v>
      </c>
      <c r="X1226" s="55">
        <f t="shared" si="271"/>
        <v>0</v>
      </c>
      <c r="Y1226" s="55">
        <f t="shared" si="272"/>
        <v>186.7</v>
      </c>
      <c r="Z1226" s="55">
        <f t="shared" si="273"/>
        <v>186.7</v>
      </c>
      <c r="AA1226" s="55">
        <f t="shared" si="274"/>
        <v>0</v>
      </c>
      <c r="AB1226" s="55">
        <f t="shared" si="275"/>
        <v>52.920000000000016</v>
      </c>
      <c r="AC1226" s="54">
        <f t="shared" si="276"/>
        <v>0.22084967865787503</v>
      </c>
      <c r="AD1226" s="56">
        <f>INDEX(Assumptions!$B$14:$B$16,MATCH($R1226,Assumptions!$A$14:$A$16,0))</f>
        <v>0.18</v>
      </c>
      <c r="AE1226" s="56">
        <f>INDEX(Assumptions!$C$14:$C$16,MATCH($R1226,Assumptions!$A$14:$A$16,0))</f>
        <v>0.12</v>
      </c>
      <c r="AF1226" s="49">
        <f t="shared" si="277"/>
        <v>0</v>
      </c>
      <c r="AG1226" s="49">
        <f t="shared" si="278"/>
        <v>0</v>
      </c>
      <c r="AH1226" s="55">
        <f t="shared" si="279"/>
        <v>0</v>
      </c>
    </row>
    <row r="1227" spans="1:34" x14ac:dyDescent="0.2">
      <c r="A1227" s="48" t="s">
        <v>1088</v>
      </c>
      <c r="B1227" s="48">
        <v>1</v>
      </c>
      <c r="C1227" s="48" t="s">
        <v>1071</v>
      </c>
      <c r="D1227" s="48" t="s">
        <v>1051</v>
      </c>
      <c r="E1227" s="48" t="s">
        <v>393</v>
      </c>
      <c r="F1227" s="48" t="s">
        <v>274</v>
      </c>
      <c r="G1227" s="48" t="s">
        <v>275</v>
      </c>
      <c r="H1227" s="48" t="s">
        <v>66</v>
      </c>
      <c r="I1227" s="48" t="s">
        <v>103</v>
      </c>
      <c r="J1227" s="49">
        <v>7</v>
      </c>
      <c r="K1227" s="50">
        <v>1090</v>
      </c>
      <c r="L1227" s="50">
        <v>1082.19</v>
      </c>
      <c r="M1227" s="48" t="s">
        <v>276</v>
      </c>
      <c r="N1227" s="51">
        <v>0.92</v>
      </c>
      <c r="O1227" s="51">
        <v>0.92859999999999998</v>
      </c>
      <c r="P1227" s="52">
        <v>988.6</v>
      </c>
      <c r="Q1227" s="52">
        <v>988.6</v>
      </c>
      <c r="R1227" s="53" t="str">
        <f>INDEX(SKU_Master!$D$5:$D$34,MATCH($I1227,SKU_Master!$A$5:$A$34,0))</f>
        <v>Laptop</v>
      </c>
      <c r="S1227" s="54">
        <f t="shared" si="266"/>
        <v>7.1651376146788515E-3</v>
      </c>
      <c r="T1227" s="55">
        <f t="shared" si="267"/>
        <v>8293.4782608695641</v>
      </c>
      <c r="U1227" s="55">
        <f t="shared" si="268"/>
        <v>8234.0543478260861</v>
      </c>
      <c r="V1227" s="55">
        <f t="shared" si="269"/>
        <v>-59.423913043478024</v>
      </c>
      <c r="W1227" s="55">
        <f t="shared" si="270"/>
        <v>8157.796683178979</v>
      </c>
      <c r="X1227" s="55">
        <f t="shared" si="271"/>
        <v>-76.257664647107049</v>
      </c>
      <c r="Y1227" s="55">
        <f t="shared" si="272"/>
        <v>6920.2</v>
      </c>
      <c r="Z1227" s="55">
        <f t="shared" si="273"/>
        <v>6920.2</v>
      </c>
      <c r="AA1227" s="55">
        <f t="shared" si="274"/>
        <v>0</v>
      </c>
      <c r="AB1227" s="55">
        <f t="shared" si="275"/>
        <v>1237.5966831789792</v>
      </c>
      <c r="AC1227" s="54">
        <f t="shared" si="276"/>
        <v>0.15170722331568395</v>
      </c>
      <c r="AD1227" s="56">
        <f>INDEX(Assumptions!$B$14:$B$16,MATCH($R1227,Assumptions!$A$14:$A$16,0))</f>
        <v>0.12</v>
      </c>
      <c r="AE1227" s="56">
        <f>INDEX(Assumptions!$C$14:$C$16,MATCH($R1227,Assumptions!$A$14:$A$16,0))</f>
        <v>0.08</v>
      </c>
      <c r="AF1227" s="49">
        <f t="shared" si="277"/>
        <v>0</v>
      </c>
      <c r="AG1227" s="49">
        <f t="shared" si="278"/>
        <v>0</v>
      </c>
      <c r="AH1227" s="55">
        <f t="shared" si="279"/>
        <v>0</v>
      </c>
    </row>
    <row r="1228" spans="1:34" x14ac:dyDescent="0.2">
      <c r="A1228" s="48" t="s">
        <v>1088</v>
      </c>
      <c r="B1228" s="48">
        <v>2</v>
      </c>
      <c r="C1228" s="48" t="s">
        <v>1071</v>
      </c>
      <c r="D1228" s="48" t="s">
        <v>1051</v>
      </c>
      <c r="E1228" s="48" t="s">
        <v>393</v>
      </c>
      <c r="F1228" s="48" t="s">
        <v>274</v>
      </c>
      <c r="G1228" s="48" t="s">
        <v>275</v>
      </c>
      <c r="H1228" s="48" t="s">
        <v>66</v>
      </c>
      <c r="I1228" s="48" t="s">
        <v>164</v>
      </c>
      <c r="J1228" s="49">
        <v>4</v>
      </c>
      <c r="K1228" s="50">
        <v>185</v>
      </c>
      <c r="L1228" s="50">
        <v>182.24</v>
      </c>
      <c r="M1228" s="48" t="s">
        <v>276</v>
      </c>
      <c r="N1228" s="51">
        <v>0.92</v>
      </c>
      <c r="O1228" s="51">
        <v>0.92859999999999998</v>
      </c>
      <c r="P1228" s="52">
        <v>126</v>
      </c>
      <c r="Q1228" s="52">
        <v>126</v>
      </c>
      <c r="R1228" s="53" t="str">
        <f>INDEX(SKU_Master!$D$5:$D$34,MATCH($I1228,SKU_Master!$A$5:$A$34,0))</f>
        <v>Accessory</v>
      </c>
      <c r="S1228" s="54">
        <f t="shared" si="266"/>
        <v>1.4918918918918833E-2</v>
      </c>
      <c r="T1228" s="55">
        <f t="shared" si="267"/>
        <v>804.3478260869565</v>
      </c>
      <c r="U1228" s="55">
        <f t="shared" si="268"/>
        <v>792.3478260869565</v>
      </c>
      <c r="V1228" s="55">
        <f t="shared" si="269"/>
        <v>-12</v>
      </c>
      <c r="W1228" s="55">
        <f t="shared" si="270"/>
        <v>785.00969200947668</v>
      </c>
      <c r="X1228" s="55">
        <f t="shared" si="271"/>
        <v>-7.3381340774798218</v>
      </c>
      <c r="Y1228" s="55">
        <f t="shared" si="272"/>
        <v>504</v>
      </c>
      <c r="Z1228" s="55">
        <f t="shared" si="273"/>
        <v>504</v>
      </c>
      <c r="AA1228" s="55">
        <f t="shared" si="274"/>
        <v>0</v>
      </c>
      <c r="AB1228" s="55">
        <f t="shared" si="275"/>
        <v>281.00969200947668</v>
      </c>
      <c r="AC1228" s="54">
        <f t="shared" si="276"/>
        <v>0.35796971027216862</v>
      </c>
      <c r="AD1228" s="56">
        <f>INDEX(Assumptions!$B$14:$B$16,MATCH($R1228,Assumptions!$A$14:$A$16,0))</f>
        <v>0.32</v>
      </c>
      <c r="AE1228" s="56">
        <f>INDEX(Assumptions!$C$14:$C$16,MATCH($R1228,Assumptions!$A$14:$A$16,0))</f>
        <v>0.22</v>
      </c>
      <c r="AF1228" s="49">
        <f t="shared" si="277"/>
        <v>0</v>
      </c>
      <c r="AG1228" s="49">
        <f t="shared" si="278"/>
        <v>0</v>
      </c>
      <c r="AH1228" s="55">
        <f t="shared" si="279"/>
        <v>0</v>
      </c>
    </row>
    <row r="1229" spans="1:34" x14ac:dyDescent="0.2">
      <c r="A1229" s="48" t="s">
        <v>1089</v>
      </c>
      <c r="B1229" s="48">
        <v>1</v>
      </c>
      <c r="C1229" s="48" t="s">
        <v>1090</v>
      </c>
      <c r="D1229" s="48" t="s">
        <v>1051</v>
      </c>
      <c r="E1229" s="48" t="s">
        <v>322</v>
      </c>
      <c r="F1229" s="48" t="s">
        <v>274</v>
      </c>
      <c r="G1229" s="48" t="s">
        <v>288</v>
      </c>
      <c r="H1229" s="48" t="s">
        <v>62</v>
      </c>
      <c r="I1229" s="48" t="s">
        <v>98</v>
      </c>
      <c r="J1229" s="49">
        <v>9</v>
      </c>
      <c r="K1229" s="50">
        <v>2085</v>
      </c>
      <c r="L1229" s="50">
        <v>2083.4299999999998</v>
      </c>
      <c r="M1229" s="48" t="s">
        <v>276</v>
      </c>
      <c r="N1229" s="51">
        <v>1</v>
      </c>
      <c r="O1229" s="51">
        <v>1</v>
      </c>
      <c r="P1229" s="52">
        <v>1780.2</v>
      </c>
      <c r="Q1229" s="52">
        <v>1780.2</v>
      </c>
      <c r="R1229" s="53" t="str">
        <f>INDEX(SKU_Master!$D$5:$D$34,MATCH($I1229,SKU_Master!$A$5:$A$34,0))</f>
        <v>Laptop</v>
      </c>
      <c r="S1229" s="54">
        <f t="shared" si="266"/>
        <v>7.5299760191849252E-4</v>
      </c>
      <c r="T1229" s="55">
        <f t="shared" si="267"/>
        <v>18765</v>
      </c>
      <c r="U1229" s="55">
        <f t="shared" si="268"/>
        <v>18750.87</v>
      </c>
      <c r="V1229" s="55">
        <f t="shared" si="269"/>
        <v>-14.130000000001019</v>
      </c>
      <c r="W1229" s="55">
        <f t="shared" si="270"/>
        <v>18750.87</v>
      </c>
      <c r="X1229" s="55">
        <f t="shared" si="271"/>
        <v>0</v>
      </c>
      <c r="Y1229" s="55">
        <f t="shared" si="272"/>
        <v>16021.800000000001</v>
      </c>
      <c r="Z1229" s="55">
        <f t="shared" si="273"/>
        <v>16021.800000000001</v>
      </c>
      <c r="AA1229" s="55">
        <f t="shared" si="274"/>
        <v>0</v>
      </c>
      <c r="AB1229" s="55">
        <f t="shared" si="275"/>
        <v>2729.0699999999979</v>
      </c>
      <c r="AC1229" s="54">
        <f t="shared" si="276"/>
        <v>0.14554364677478954</v>
      </c>
      <c r="AD1229" s="56">
        <f>INDEX(Assumptions!$B$14:$B$16,MATCH($R1229,Assumptions!$A$14:$A$16,0))</f>
        <v>0.12</v>
      </c>
      <c r="AE1229" s="56">
        <f>INDEX(Assumptions!$C$14:$C$16,MATCH($R1229,Assumptions!$A$14:$A$16,0))</f>
        <v>0.08</v>
      </c>
      <c r="AF1229" s="49">
        <f t="shared" si="277"/>
        <v>0</v>
      </c>
      <c r="AG1229" s="49">
        <f t="shared" si="278"/>
        <v>0</v>
      </c>
      <c r="AH1229" s="55">
        <f t="shared" si="279"/>
        <v>0</v>
      </c>
    </row>
    <row r="1230" spans="1:34" x14ac:dyDescent="0.2">
      <c r="A1230" s="48" t="s">
        <v>1089</v>
      </c>
      <c r="B1230" s="48">
        <v>2</v>
      </c>
      <c r="C1230" s="48" t="s">
        <v>1090</v>
      </c>
      <c r="D1230" s="48" t="s">
        <v>1051</v>
      </c>
      <c r="E1230" s="48" t="s">
        <v>322</v>
      </c>
      <c r="F1230" s="48" t="s">
        <v>274</v>
      </c>
      <c r="G1230" s="48" t="s">
        <v>288</v>
      </c>
      <c r="H1230" s="48" t="s">
        <v>62</v>
      </c>
      <c r="I1230" s="48" t="s">
        <v>166</v>
      </c>
      <c r="J1230" s="49">
        <v>7</v>
      </c>
      <c r="K1230" s="50">
        <v>265</v>
      </c>
      <c r="L1230" s="50">
        <v>261.16000000000003</v>
      </c>
      <c r="M1230" s="48" t="s">
        <v>276</v>
      </c>
      <c r="N1230" s="51">
        <v>1</v>
      </c>
      <c r="O1230" s="51">
        <v>1</v>
      </c>
      <c r="P1230" s="52">
        <v>169.35</v>
      </c>
      <c r="Q1230" s="52">
        <v>169.35</v>
      </c>
      <c r="R1230" s="53" t="str">
        <f>INDEX(SKU_Master!$D$5:$D$34,MATCH($I1230,SKU_Master!$A$5:$A$34,0))</f>
        <v>Accessory</v>
      </c>
      <c r="S1230" s="54">
        <f t="shared" si="266"/>
        <v>1.4490566037735797E-2</v>
      </c>
      <c r="T1230" s="55">
        <f t="shared" si="267"/>
        <v>1855</v>
      </c>
      <c r="U1230" s="55">
        <f t="shared" si="268"/>
        <v>1828.1200000000001</v>
      </c>
      <c r="V1230" s="55">
        <f t="shared" si="269"/>
        <v>-26.879999999999882</v>
      </c>
      <c r="W1230" s="55">
        <f t="shared" si="270"/>
        <v>1828.1200000000001</v>
      </c>
      <c r="X1230" s="55">
        <f t="shared" si="271"/>
        <v>0</v>
      </c>
      <c r="Y1230" s="55">
        <f t="shared" si="272"/>
        <v>1185.45</v>
      </c>
      <c r="Z1230" s="55">
        <f t="shared" si="273"/>
        <v>1185.45</v>
      </c>
      <c r="AA1230" s="55">
        <f t="shared" si="274"/>
        <v>0</v>
      </c>
      <c r="AB1230" s="55">
        <f t="shared" si="275"/>
        <v>642.67000000000007</v>
      </c>
      <c r="AC1230" s="54">
        <f t="shared" si="276"/>
        <v>0.35154694440189921</v>
      </c>
      <c r="AD1230" s="56">
        <f>INDEX(Assumptions!$B$14:$B$16,MATCH($R1230,Assumptions!$A$14:$A$16,0))</f>
        <v>0.32</v>
      </c>
      <c r="AE1230" s="56">
        <f>INDEX(Assumptions!$C$14:$C$16,MATCH($R1230,Assumptions!$A$14:$A$16,0))</f>
        <v>0.22</v>
      </c>
      <c r="AF1230" s="49">
        <f t="shared" si="277"/>
        <v>0</v>
      </c>
      <c r="AG1230" s="49">
        <f t="shared" si="278"/>
        <v>0</v>
      </c>
      <c r="AH1230" s="55">
        <f t="shared" si="279"/>
        <v>0</v>
      </c>
    </row>
    <row r="1231" spans="1:34" x14ac:dyDescent="0.2">
      <c r="A1231" s="48" t="s">
        <v>1091</v>
      </c>
      <c r="B1231" s="48">
        <v>1</v>
      </c>
      <c r="C1231" s="48" t="s">
        <v>1084</v>
      </c>
      <c r="D1231" s="48" t="s">
        <v>1051</v>
      </c>
      <c r="E1231" s="48" t="s">
        <v>355</v>
      </c>
      <c r="F1231" s="48" t="s">
        <v>280</v>
      </c>
      <c r="G1231" s="48" t="s">
        <v>302</v>
      </c>
      <c r="H1231" s="48" t="s">
        <v>62</v>
      </c>
      <c r="I1231" s="48" t="s">
        <v>106</v>
      </c>
      <c r="J1231" s="49">
        <v>7</v>
      </c>
      <c r="K1231" s="50">
        <v>1520</v>
      </c>
      <c r="L1231" s="50">
        <v>1394.69</v>
      </c>
      <c r="M1231" s="48" t="s">
        <v>276</v>
      </c>
      <c r="N1231" s="51">
        <v>1</v>
      </c>
      <c r="O1231" s="51">
        <v>1</v>
      </c>
      <c r="P1231" s="52">
        <v>1298.4000000000001</v>
      </c>
      <c r="Q1231" s="52">
        <v>1298.4000000000001</v>
      </c>
      <c r="R1231" s="53" t="str">
        <f>INDEX(SKU_Master!$D$5:$D$34,MATCH($I1231,SKU_Master!$A$5:$A$34,0))</f>
        <v>Laptop</v>
      </c>
      <c r="S1231" s="54">
        <f t="shared" si="266"/>
        <v>8.2440789473684162E-2</v>
      </c>
      <c r="T1231" s="55">
        <f t="shared" si="267"/>
        <v>10640</v>
      </c>
      <c r="U1231" s="55">
        <f t="shared" si="268"/>
        <v>9762.83</v>
      </c>
      <c r="V1231" s="55">
        <f t="shared" si="269"/>
        <v>-877.17000000000007</v>
      </c>
      <c r="W1231" s="55">
        <f t="shared" si="270"/>
        <v>9762.83</v>
      </c>
      <c r="X1231" s="55">
        <f t="shared" si="271"/>
        <v>0</v>
      </c>
      <c r="Y1231" s="55">
        <f t="shared" si="272"/>
        <v>9088.8000000000011</v>
      </c>
      <c r="Z1231" s="55">
        <f t="shared" si="273"/>
        <v>9088.8000000000011</v>
      </c>
      <c r="AA1231" s="55">
        <f t="shared" si="274"/>
        <v>0</v>
      </c>
      <c r="AB1231" s="55">
        <f t="shared" si="275"/>
        <v>674.02999999999884</v>
      </c>
      <c r="AC1231" s="54">
        <f t="shared" si="276"/>
        <v>6.9040431923939966E-2</v>
      </c>
      <c r="AD1231" s="56">
        <f>INDEX(Assumptions!$B$14:$B$16,MATCH($R1231,Assumptions!$A$14:$A$16,0))</f>
        <v>0.12</v>
      </c>
      <c r="AE1231" s="56">
        <f>INDEX(Assumptions!$C$14:$C$16,MATCH($R1231,Assumptions!$A$14:$A$16,0))</f>
        <v>0.08</v>
      </c>
      <c r="AF1231" s="49">
        <f t="shared" si="277"/>
        <v>1</v>
      </c>
      <c r="AG1231" s="49">
        <f t="shared" si="278"/>
        <v>1</v>
      </c>
      <c r="AH1231" s="55">
        <f t="shared" si="279"/>
        <v>497.509600000001</v>
      </c>
    </row>
    <row r="1232" spans="1:34" x14ac:dyDescent="0.2">
      <c r="A1232" s="48" t="s">
        <v>1092</v>
      </c>
      <c r="B1232" s="48">
        <v>1</v>
      </c>
      <c r="C1232" s="48" t="s">
        <v>1063</v>
      </c>
      <c r="D1232" s="48" t="s">
        <v>1051</v>
      </c>
      <c r="E1232" s="48" t="s">
        <v>336</v>
      </c>
      <c r="F1232" s="48" t="s">
        <v>274</v>
      </c>
      <c r="G1232" s="48" t="s">
        <v>288</v>
      </c>
      <c r="H1232" s="48" t="s">
        <v>62</v>
      </c>
      <c r="I1232" s="48" t="s">
        <v>110</v>
      </c>
      <c r="J1232" s="49">
        <v>8</v>
      </c>
      <c r="K1232" s="50">
        <v>1165</v>
      </c>
      <c r="L1232" s="50">
        <v>1161.9100000000001</v>
      </c>
      <c r="M1232" s="48" t="s">
        <v>276</v>
      </c>
      <c r="N1232" s="51">
        <v>1</v>
      </c>
      <c r="O1232" s="51">
        <v>1</v>
      </c>
      <c r="P1232" s="52">
        <v>992.65</v>
      </c>
      <c r="Q1232" s="52">
        <v>992.65</v>
      </c>
      <c r="R1232" s="53" t="str">
        <f>INDEX(SKU_Master!$D$5:$D$34,MATCH($I1232,SKU_Master!$A$5:$A$34,0))</f>
        <v>Laptop</v>
      </c>
      <c r="S1232" s="54">
        <f t="shared" si="266"/>
        <v>2.6523605150213792E-3</v>
      </c>
      <c r="T1232" s="55">
        <f t="shared" si="267"/>
        <v>9320</v>
      </c>
      <c r="U1232" s="55">
        <f t="shared" si="268"/>
        <v>9295.2800000000007</v>
      </c>
      <c r="V1232" s="55">
        <f t="shared" si="269"/>
        <v>-24.719999999999345</v>
      </c>
      <c r="W1232" s="55">
        <f t="shared" si="270"/>
        <v>9295.2800000000007</v>
      </c>
      <c r="X1232" s="55">
        <f t="shared" si="271"/>
        <v>0</v>
      </c>
      <c r="Y1232" s="55">
        <f t="shared" si="272"/>
        <v>7941.2</v>
      </c>
      <c r="Z1232" s="55">
        <f t="shared" si="273"/>
        <v>7941.2</v>
      </c>
      <c r="AA1232" s="55">
        <f t="shared" si="274"/>
        <v>0</v>
      </c>
      <c r="AB1232" s="55">
        <f t="shared" si="275"/>
        <v>1354.0800000000008</v>
      </c>
      <c r="AC1232" s="54">
        <f t="shared" si="276"/>
        <v>0.1456739334371854</v>
      </c>
      <c r="AD1232" s="56">
        <f>INDEX(Assumptions!$B$14:$B$16,MATCH($R1232,Assumptions!$A$14:$A$16,0))</f>
        <v>0.12</v>
      </c>
      <c r="AE1232" s="56">
        <f>INDEX(Assumptions!$C$14:$C$16,MATCH($R1232,Assumptions!$A$14:$A$16,0))</f>
        <v>0.08</v>
      </c>
      <c r="AF1232" s="49">
        <f t="shared" si="277"/>
        <v>0</v>
      </c>
      <c r="AG1232" s="49">
        <f t="shared" si="278"/>
        <v>0</v>
      </c>
      <c r="AH1232" s="55">
        <f t="shared" si="279"/>
        <v>0</v>
      </c>
    </row>
    <row r="1233" spans="1:34" x14ac:dyDescent="0.2">
      <c r="A1233" s="48" t="s">
        <v>1092</v>
      </c>
      <c r="B1233" s="48">
        <v>2</v>
      </c>
      <c r="C1233" s="48" t="s">
        <v>1063</v>
      </c>
      <c r="D1233" s="48" t="s">
        <v>1051</v>
      </c>
      <c r="E1233" s="48" t="s">
        <v>336</v>
      </c>
      <c r="F1233" s="48" t="s">
        <v>274</v>
      </c>
      <c r="G1233" s="48" t="s">
        <v>288</v>
      </c>
      <c r="H1233" s="48" t="s">
        <v>62</v>
      </c>
      <c r="I1233" s="48" t="s">
        <v>151</v>
      </c>
      <c r="J1233" s="49">
        <v>8</v>
      </c>
      <c r="K1233" s="50">
        <v>335</v>
      </c>
      <c r="L1233" s="50">
        <v>330.81</v>
      </c>
      <c r="M1233" s="48" t="s">
        <v>276</v>
      </c>
      <c r="N1233" s="51">
        <v>1</v>
      </c>
      <c r="O1233" s="51">
        <v>1</v>
      </c>
      <c r="P1233" s="52">
        <v>216.7</v>
      </c>
      <c r="Q1233" s="52">
        <v>216.7</v>
      </c>
      <c r="R1233" s="53" t="str">
        <f>INDEX(SKU_Master!$D$5:$D$34,MATCH($I1233,SKU_Master!$A$5:$A$34,0))</f>
        <v>Accessory</v>
      </c>
      <c r="S1233" s="54">
        <f t="shared" si="266"/>
        <v>1.2507462686567106E-2</v>
      </c>
      <c r="T1233" s="55">
        <f t="shared" si="267"/>
        <v>2680</v>
      </c>
      <c r="U1233" s="55">
        <f t="shared" si="268"/>
        <v>2646.48</v>
      </c>
      <c r="V1233" s="55">
        <f t="shared" si="269"/>
        <v>-33.519999999999982</v>
      </c>
      <c r="W1233" s="55">
        <f t="shared" si="270"/>
        <v>2646.48</v>
      </c>
      <c r="X1233" s="55">
        <f t="shared" si="271"/>
        <v>0</v>
      </c>
      <c r="Y1233" s="55">
        <f t="shared" si="272"/>
        <v>1733.6</v>
      </c>
      <c r="Z1233" s="55">
        <f t="shared" si="273"/>
        <v>1733.6</v>
      </c>
      <c r="AA1233" s="55">
        <f t="shared" si="274"/>
        <v>0</v>
      </c>
      <c r="AB1233" s="55">
        <f t="shared" si="275"/>
        <v>912.88000000000011</v>
      </c>
      <c r="AC1233" s="54">
        <f t="shared" si="276"/>
        <v>0.34494120492125391</v>
      </c>
      <c r="AD1233" s="56">
        <f>INDEX(Assumptions!$B$14:$B$16,MATCH($R1233,Assumptions!$A$14:$A$16,0))</f>
        <v>0.32</v>
      </c>
      <c r="AE1233" s="56">
        <f>INDEX(Assumptions!$C$14:$C$16,MATCH($R1233,Assumptions!$A$14:$A$16,0))</f>
        <v>0.22</v>
      </c>
      <c r="AF1233" s="49">
        <f t="shared" si="277"/>
        <v>0</v>
      </c>
      <c r="AG1233" s="49">
        <f t="shared" si="278"/>
        <v>0</v>
      </c>
      <c r="AH1233" s="55">
        <f t="shared" si="279"/>
        <v>0</v>
      </c>
    </row>
    <row r="1234" spans="1:34" x14ac:dyDescent="0.2">
      <c r="A1234" s="48" t="s">
        <v>1093</v>
      </c>
      <c r="B1234" s="48">
        <v>1</v>
      </c>
      <c r="C1234" s="48" t="s">
        <v>1094</v>
      </c>
      <c r="D1234" s="48" t="s">
        <v>1051</v>
      </c>
      <c r="E1234" s="48" t="s">
        <v>322</v>
      </c>
      <c r="F1234" s="48" t="s">
        <v>274</v>
      </c>
      <c r="G1234" s="48" t="s">
        <v>288</v>
      </c>
      <c r="H1234" s="48" t="s">
        <v>62</v>
      </c>
      <c r="I1234" s="48" t="s">
        <v>103</v>
      </c>
      <c r="J1234" s="49">
        <v>6</v>
      </c>
      <c r="K1234" s="50">
        <v>1135</v>
      </c>
      <c r="L1234" s="50">
        <v>1125.5999999999999</v>
      </c>
      <c r="M1234" s="48" t="s">
        <v>276</v>
      </c>
      <c r="N1234" s="51">
        <v>1</v>
      </c>
      <c r="O1234" s="51">
        <v>1</v>
      </c>
      <c r="P1234" s="52">
        <v>968.6</v>
      </c>
      <c r="Q1234" s="52">
        <v>968.6</v>
      </c>
      <c r="R1234" s="53" t="str">
        <f>INDEX(SKU_Master!$D$5:$D$34,MATCH($I1234,SKU_Master!$A$5:$A$34,0))</f>
        <v>Laptop</v>
      </c>
      <c r="S1234" s="54">
        <f t="shared" si="266"/>
        <v>8.2819383259912227E-3</v>
      </c>
      <c r="T1234" s="55">
        <f t="shared" si="267"/>
        <v>6810</v>
      </c>
      <c r="U1234" s="55">
        <f t="shared" si="268"/>
        <v>6753.5999999999995</v>
      </c>
      <c r="V1234" s="55">
        <f t="shared" si="269"/>
        <v>-56.400000000000546</v>
      </c>
      <c r="W1234" s="55">
        <f t="shared" si="270"/>
        <v>6753.5999999999995</v>
      </c>
      <c r="X1234" s="55">
        <f t="shared" si="271"/>
        <v>0</v>
      </c>
      <c r="Y1234" s="55">
        <f t="shared" si="272"/>
        <v>5811.6</v>
      </c>
      <c r="Z1234" s="55">
        <f t="shared" si="273"/>
        <v>5811.6</v>
      </c>
      <c r="AA1234" s="55">
        <f t="shared" si="274"/>
        <v>0</v>
      </c>
      <c r="AB1234" s="55">
        <f t="shared" si="275"/>
        <v>941.99999999999909</v>
      </c>
      <c r="AC1234" s="54">
        <f t="shared" si="276"/>
        <v>0.13948116560056847</v>
      </c>
      <c r="AD1234" s="56">
        <f>INDEX(Assumptions!$B$14:$B$16,MATCH($R1234,Assumptions!$A$14:$A$16,0))</f>
        <v>0.12</v>
      </c>
      <c r="AE1234" s="56">
        <f>INDEX(Assumptions!$C$14:$C$16,MATCH($R1234,Assumptions!$A$14:$A$16,0))</f>
        <v>0.08</v>
      </c>
      <c r="AF1234" s="49">
        <f t="shared" si="277"/>
        <v>0</v>
      </c>
      <c r="AG1234" s="49">
        <f t="shared" si="278"/>
        <v>0</v>
      </c>
      <c r="AH1234" s="55">
        <f t="shared" si="279"/>
        <v>0</v>
      </c>
    </row>
    <row r="1235" spans="1:34" x14ac:dyDescent="0.2">
      <c r="A1235" s="48" t="s">
        <v>1093</v>
      </c>
      <c r="B1235" s="48">
        <v>2</v>
      </c>
      <c r="C1235" s="48" t="s">
        <v>1094</v>
      </c>
      <c r="D1235" s="48" t="s">
        <v>1051</v>
      </c>
      <c r="E1235" s="48" t="s">
        <v>322</v>
      </c>
      <c r="F1235" s="48" t="s">
        <v>274</v>
      </c>
      <c r="G1235" s="48" t="s">
        <v>288</v>
      </c>
      <c r="H1235" s="48" t="s">
        <v>62</v>
      </c>
      <c r="I1235" s="48" t="s">
        <v>164</v>
      </c>
      <c r="J1235" s="49">
        <v>6</v>
      </c>
      <c r="K1235" s="50">
        <v>190</v>
      </c>
      <c r="L1235" s="50">
        <v>187.86</v>
      </c>
      <c r="M1235" s="48" t="s">
        <v>276</v>
      </c>
      <c r="N1235" s="51">
        <v>1</v>
      </c>
      <c r="O1235" s="51">
        <v>1</v>
      </c>
      <c r="P1235" s="52">
        <v>121</v>
      </c>
      <c r="Q1235" s="52">
        <v>121</v>
      </c>
      <c r="R1235" s="53" t="str">
        <f>INDEX(SKU_Master!$D$5:$D$34,MATCH($I1235,SKU_Master!$A$5:$A$34,0))</f>
        <v>Accessory</v>
      </c>
      <c r="S1235" s="54">
        <f t="shared" si="266"/>
        <v>1.1263157894736753E-2</v>
      </c>
      <c r="T1235" s="55">
        <f t="shared" si="267"/>
        <v>1140</v>
      </c>
      <c r="U1235" s="55">
        <f t="shared" si="268"/>
        <v>1127.1600000000001</v>
      </c>
      <c r="V1235" s="55">
        <f t="shared" si="269"/>
        <v>-12.839999999999918</v>
      </c>
      <c r="W1235" s="55">
        <f t="shared" si="270"/>
        <v>1127.1600000000001</v>
      </c>
      <c r="X1235" s="55">
        <f t="shared" si="271"/>
        <v>0</v>
      </c>
      <c r="Y1235" s="55">
        <f t="shared" si="272"/>
        <v>726</v>
      </c>
      <c r="Z1235" s="55">
        <f t="shared" si="273"/>
        <v>726</v>
      </c>
      <c r="AA1235" s="55">
        <f t="shared" si="274"/>
        <v>0</v>
      </c>
      <c r="AB1235" s="55">
        <f t="shared" si="275"/>
        <v>401.16000000000008</v>
      </c>
      <c r="AC1235" s="54">
        <f t="shared" si="276"/>
        <v>0.35590333226871079</v>
      </c>
      <c r="AD1235" s="56">
        <f>INDEX(Assumptions!$B$14:$B$16,MATCH($R1235,Assumptions!$A$14:$A$16,0))</f>
        <v>0.32</v>
      </c>
      <c r="AE1235" s="56">
        <f>INDEX(Assumptions!$C$14:$C$16,MATCH($R1235,Assumptions!$A$14:$A$16,0))</f>
        <v>0.22</v>
      </c>
      <c r="AF1235" s="49">
        <f t="shared" si="277"/>
        <v>0</v>
      </c>
      <c r="AG1235" s="49">
        <f t="shared" si="278"/>
        <v>0</v>
      </c>
      <c r="AH1235" s="55">
        <f t="shared" si="279"/>
        <v>0</v>
      </c>
    </row>
    <row r="1236" spans="1:34" x14ac:dyDescent="0.2">
      <c r="A1236" s="48" t="s">
        <v>1095</v>
      </c>
      <c r="B1236" s="48">
        <v>1</v>
      </c>
      <c r="C1236" s="48" t="s">
        <v>1096</v>
      </c>
      <c r="D1236" s="48" t="s">
        <v>1051</v>
      </c>
      <c r="E1236" s="48" t="s">
        <v>273</v>
      </c>
      <c r="F1236" s="48" t="s">
        <v>274</v>
      </c>
      <c r="G1236" s="48" t="s">
        <v>275</v>
      </c>
      <c r="H1236" s="48" t="s">
        <v>66</v>
      </c>
      <c r="I1236" s="48" t="s">
        <v>93</v>
      </c>
      <c r="J1236" s="49">
        <v>8</v>
      </c>
      <c r="K1236" s="50">
        <v>1325</v>
      </c>
      <c r="L1236" s="50">
        <v>1304.99</v>
      </c>
      <c r="M1236" s="48" t="s">
        <v>276</v>
      </c>
      <c r="N1236" s="51">
        <v>0.92</v>
      </c>
      <c r="O1236" s="51">
        <v>0.92859999999999998</v>
      </c>
      <c r="P1236" s="52">
        <v>1206.2</v>
      </c>
      <c r="Q1236" s="52">
        <v>1206.2</v>
      </c>
      <c r="R1236" s="53" t="str">
        <f>INDEX(SKU_Master!$D$5:$D$34,MATCH($I1236,SKU_Master!$A$5:$A$34,0))</f>
        <v>Laptop</v>
      </c>
      <c r="S1236" s="54">
        <f t="shared" si="266"/>
        <v>1.5101886792452834E-2</v>
      </c>
      <c r="T1236" s="55">
        <f t="shared" si="267"/>
        <v>11521.739130434782</v>
      </c>
      <c r="U1236" s="55">
        <f t="shared" si="268"/>
        <v>11347.739130434782</v>
      </c>
      <c r="V1236" s="55">
        <f t="shared" si="269"/>
        <v>-174</v>
      </c>
      <c r="W1236" s="55">
        <f t="shared" si="270"/>
        <v>11242.644841697178</v>
      </c>
      <c r="X1236" s="55">
        <f t="shared" si="271"/>
        <v>-105.09428873760407</v>
      </c>
      <c r="Y1236" s="55">
        <f t="shared" si="272"/>
        <v>9649.6</v>
      </c>
      <c r="Z1236" s="55">
        <f t="shared" si="273"/>
        <v>9649.6</v>
      </c>
      <c r="AA1236" s="55">
        <f t="shared" si="274"/>
        <v>0</v>
      </c>
      <c r="AB1236" s="55">
        <f t="shared" si="275"/>
        <v>1593.0448416971776</v>
      </c>
      <c r="AC1236" s="54">
        <f t="shared" si="276"/>
        <v>0.14169662602778557</v>
      </c>
      <c r="AD1236" s="56">
        <f>INDEX(Assumptions!$B$14:$B$16,MATCH($R1236,Assumptions!$A$14:$A$16,0))</f>
        <v>0.12</v>
      </c>
      <c r="AE1236" s="56">
        <f>INDEX(Assumptions!$C$14:$C$16,MATCH($R1236,Assumptions!$A$14:$A$16,0))</f>
        <v>0.08</v>
      </c>
      <c r="AF1236" s="49">
        <f t="shared" si="277"/>
        <v>0</v>
      </c>
      <c r="AG1236" s="49">
        <f t="shared" si="278"/>
        <v>0</v>
      </c>
      <c r="AH1236" s="55">
        <f t="shared" si="279"/>
        <v>0</v>
      </c>
    </row>
    <row r="1237" spans="1:34" x14ac:dyDescent="0.2">
      <c r="A1237" s="48" t="s">
        <v>1097</v>
      </c>
      <c r="B1237" s="48">
        <v>1</v>
      </c>
      <c r="C1237" s="48" t="s">
        <v>1063</v>
      </c>
      <c r="D1237" s="48" t="s">
        <v>1051</v>
      </c>
      <c r="E1237" s="48" t="s">
        <v>437</v>
      </c>
      <c r="F1237" s="48" t="s">
        <v>274</v>
      </c>
      <c r="G1237" s="48" t="s">
        <v>302</v>
      </c>
      <c r="H1237" s="48" t="s">
        <v>62</v>
      </c>
      <c r="I1237" s="48" t="s">
        <v>110</v>
      </c>
      <c r="J1237" s="49">
        <v>6</v>
      </c>
      <c r="K1237" s="50">
        <v>1165</v>
      </c>
      <c r="L1237" s="50">
        <v>1152.8</v>
      </c>
      <c r="M1237" s="48" t="s">
        <v>276</v>
      </c>
      <c r="N1237" s="51">
        <v>1</v>
      </c>
      <c r="O1237" s="51">
        <v>1</v>
      </c>
      <c r="P1237" s="52">
        <v>992.65</v>
      </c>
      <c r="Q1237" s="52">
        <v>992.65</v>
      </c>
      <c r="R1237" s="53" t="str">
        <f>INDEX(SKU_Master!$D$5:$D$34,MATCH($I1237,SKU_Master!$A$5:$A$34,0))</f>
        <v>Laptop</v>
      </c>
      <c r="S1237" s="54">
        <f t="shared" si="266"/>
        <v>1.0472103004291911E-2</v>
      </c>
      <c r="T1237" s="55">
        <f t="shared" si="267"/>
        <v>6990</v>
      </c>
      <c r="U1237" s="55">
        <f t="shared" si="268"/>
        <v>6916.7999999999993</v>
      </c>
      <c r="V1237" s="55">
        <f t="shared" si="269"/>
        <v>-73.200000000000728</v>
      </c>
      <c r="W1237" s="55">
        <f t="shared" si="270"/>
        <v>6916.7999999999993</v>
      </c>
      <c r="X1237" s="55">
        <f t="shared" si="271"/>
        <v>0</v>
      </c>
      <c r="Y1237" s="55">
        <f t="shared" si="272"/>
        <v>5955.9</v>
      </c>
      <c r="Z1237" s="55">
        <f t="shared" si="273"/>
        <v>5955.9</v>
      </c>
      <c r="AA1237" s="55">
        <f t="shared" si="274"/>
        <v>0</v>
      </c>
      <c r="AB1237" s="55">
        <f t="shared" si="275"/>
        <v>960.89999999999964</v>
      </c>
      <c r="AC1237" s="54">
        <f t="shared" si="276"/>
        <v>0.13892262317834833</v>
      </c>
      <c r="AD1237" s="56">
        <f>INDEX(Assumptions!$B$14:$B$16,MATCH($R1237,Assumptions!$A$14:$A$16,0))</f>
        <v>0.12</v>
      </c>
      <c r="AE1237" s="56">
        <f>INDEX(Assumptions!$C$14:$C$16,MATCH($R1237,Assumptions!$A$14:$A$16,0))</f>
        <v>0.08</v>
      </c>
      <c r="AF1237" s="49">
        <f t="shared" si="277"/>
        <v>0</v>
      </c>
      <c r="AG1237" s="49">
        <f t="shared" si="278"/>
        <v>0</v>
      </c>
      <c r="AH1237" s="55">
        <f t="shared" si="279"/>
        <v>0</v>
      </c>
    </row>
    <row r="1238" spans="1:34" x14ac:dyDescent="0.2">
      <c r="A1238" s="48" t="s">
        <v>1097</v>
      </c>
      <c r="B1238" s="48">
        <v>2</v>
      </c>
      <c r="C1238" s="48" t="s">
        <v>1063</v>
      </c>
      <c r="D1238" s="48" t="s">
        <v>1051</v>
      </c>
      <c r="E1238" s="48" t="s">
        <v>437</v>
      </c>
      <c r="F1238" s="48" t="s">
        <v>274</v>
      </c>
      <c r="G1238" s="48" t="s">
        <v>302</v>
      </c>
      <c r="H1238" s="48" t="s">
        <v>62</v>
      </c>
      <c r="I1238" s="48" t="s">
        <v>135</v>
      </c>
      <c r="J1238" s="49">
        <v>3</v>
      </c>
      <c r="K1238" s="50">
        <v>240</v>
      </c>
      <c r="L1238" s="50">
        <v>228.51</v>
      </c>
      <c r="M1238" s="48" t="s">
        <v>276</v>
      </c>
      <c r="N1238" s="51">
        <v>1</v>
      </c>
      <c r="O1238" s="51">
        <v>1</v>
      </c>
      <c r="P1238" s="52">
        <v>186.7</v>
      </c>
      <c r="Q1238" s="52">
        <v>186.7</v>
      </c>
      <c r="R1238" s="53" t="str">
        <f>INDEX(SKU_Master!$D$5:$D$34,MATCH($I1238,SKU_Master!$A$5:$A$34,0))</f>
        <v>Monitor</v>
      </c>
      <c r="S1238" s="54">
        <f t="shared" si="266"/>
        <v>4.7875000000000001E-2</v>
      </c>
      <c r="T1238" s="55">
        <f t="shared" si="267"/>
        <v>720</v>
      </c>
      <c r="U1238" s="55">
        <f t="shared" si="268"/>
        <v>685.53</v>
      </c>
      <c r="V1238" s="55">
        <f t="shared" si="269"/>
        <v>-34.470000000000027</v>
      </c>
      <c r="W1238" s="55">
        <f t="shared" si="270"/>
        <v>685.53</v>
      </c>
      <c r="X1238" s="55">
        <f t="shared" si="271"/>
        <v>0</v>
      </c>
      <c r="Y1238" s="55">
        <f t="shared" si="272"/>
        <v>560.09999999999991</v>
      </c>
      <c r="Z1238" s="55">
        <f t="shared" si="273"/>
        <v>560.09999999999991</v>
      </c>
      <c r="AA1238" s="55">
        <f t="shared" si="274"/>
        <v>0</v>
      </c>
      <c r="AB1238" s="55">
        <f t="shared" si="275"/>
        <v>125.43000000000006</v>
      </c>
      <c r="AC1238" s="54">
        <f t="shared" si="276"/>
        <v>0.18296792262920669</v>
      </c>
      <c r="AD1238" s="56">
        <f>INDEX(Assumptions!$B$14:$B$16,MATCH($R1238,Assumptions!$A$14:$A$16,0))</f>
        <v>0.18</v>
      </c>
      <c r="AE1238" s="56">
        <f>INDEX(Assumptions!$C$14:$C$16,MATCH($R1238,Assumptions!$A$14:$A$16,0))</f>
        <v>0.12</v>
      </c>
      <c r="AF1238" s="49">
        <f t="shared" si="277"/>
        <v>0</v>
      </c>
      <c r="AG1238" s="49">
        <f t="shared" si="278"/>
        <v>0</v>
      </c>
      <c r="AH1238" s="55">
        <f t="shared" si="279"/>
        <v>0</v>
      </c>
    </row>
    <row r="1239" spans="1:34" x14ac:dyDescent="0.2">
      <c r="A1239" s="48" t="s">
        <v>1097</v>
      </c>
      <c r="B1239" s="48">
        <v>3</v>
      </c>
      <c r="C1239" s="48" t="s">
        <v>1063</v>
      </c>
      <c r="D1239" s="48" t="s">
        <v>1051</v>
      </c>
      <c r="E1239" s="48" t="s">
        <v>437</v>
      </c>
      <c r="F1239" s="48" t="s">
        <v>274</v>
      </c>
      <c r="G1239" s="48" t="s">
        <v>302</v>
      </c>
      <c r="H1239" s="48" t="s">
        <v>62</v>
      </c>
      <c r="I1239" s="48" t="s">
        <v>173</v>
      </c>
      <c r="J1239" s="49">
        <v>5</v>
      </c>
      <c r="K1239" s="50">
        <v>55</v>
      </c>
      <c r="L1239" s="50">
        <v>53.45</v>
      </c>
      <c r="M1239" s="48" t="s">
        <v>276</v>
      </c>
      <c r="N1239" s="51">
        <v>1</v>
      </c>
      <c r="O1239" s="51">
        <v>1</v>
      </c>
      <c r="P1239" s="52">
        <v>34</v>
      </c>
      <c r="Q1239" s="52">
        <v>34</v>
      </c>
      <c r="R1239" s="53" t="str">
        <f>INDEX(SKU_Master!$D$5:$D$34,MATCH($I1239,SKU_Master!$A$5:$A$34,0))</f>
        <v>Accessory</v>
      </c>
      <c r="S1239" s="54">
        <f t="shared" si="266"/>
        <v>2.8181818181818086E-2</v>
      </c>
      <c r="T1239" s="55">
        <f t="shared" si="267"/>
        <v>275</v>
      </c>
      <c r="U1239" s="55">
        <f t="shared" si="268"/>
        <v>267.25</v>
      </c>
      <c r="V1239" s="55">
        <f t="shared" si="269"/>
        <v>-7.75</v>
      </c>
      <c r="W1239" s="55">
        <f t="shared" si="270"/>
        <v>267.25</v>
      </c>
      <c r="X1239" s="55">
        <f t="shared" si="271"/>
        <v>0</v>
      </c>
      <c r="Y1239" s="55">
        <f t="shared" si="272"/>
        <v>170</v>
      </c>
      <c r="Z1239" s="55">
        <f t="shared" si="273"/>
        <v>170</v>
      </c>
      <c r="AA1239" s="55">
        <f t="shared" si="274"/>
        <v>0</v>
      </c>
      <c r="AB1239" s="55">
        <f t="shared" si="275"/>
        <v>97.25</v>
      </c>
      <c r="AC1239" s="54">
        <f t="shared" si="276"/>
        <v>0.36389148737137511</v>
      </c>
      <c r="AD1239" s="56">
        <f>INDEX(Assumptions!$B$14:$B$16,MATCH($R1239,Assumptions!$A$14:$A$16,0))</f>
        <v>0.32</v>
      </c>
      <c r="AE1239" s="56">
        <f>INDEX(Assumptions!$C$14:$C$16,MATCH($R1239,Assumptions!$A$14:$A$16,0))</f>
        <v>0.22</v>
      </c>
      <c r="AF1239" s="49">
        <f t="shared" si="277"/>
        <v>0</v>
      </c>
      <c r="AG1239" s="49">
        <f t="shared" si="278"/>
        <v>0</v>
      </c>
      <c r="AH1239" s="55">
        <f t="shared" si="279"/>
        <v>0</v>
      </c>
    </row>
    <row r="1240" spans="1:34" x14ac:dyDescent="0.2">
      <c r="A1240" s="48" t="s">
        <v>1098</v>
      </c>
      <c r="B1240" s="48">
        <v>1</v>
      </c>
      <c r="C1240" s="48" t="s">
        <v>1099</v>
      </c>
      <c r="D1240" s="48" t="s">
        <v>1051</v>
      </c>
      <c r="E1240" s="48" t="s">
        <v>360</v>
      </c>
      <c r="F1240" s="48" t="s">
        <v>280</v>
      </c>
      <c r="G1240" s="48" t="s">
        <v>275</v>
      </c>
      <c r="H1240" s="48" t="s">
        <v>68</v>
      </c>
      <c r="I1240" s="48" t="s">
        <v>110</v>
      </c>
      <c r="J1240" s="49">
        <v>17</v>
      </c>
      <c r="K1240" s="50">
        <v>1645</v>
      </c>
      <c r="L1240" s="50">
        <v>1611.37</v>
      </c>
      <c r="M1240" s="48" t="s">
        <v>276</v>
      </c>
      <c r="N1240" s="51">
        <v>1.37</v>
      </c>
      <c r="O1240" s="51">
        <v>1.3584000000000001</v>
      </c>
      <c r="P1240" s="52">
        <v>1004.65</v>
      </c>
      <c r="Q1240" s="52">
        <v>1004.65</v>
      </c>
      <c r="R1240" s="53" t="str">
        <f>INDEX(SKU_Master!$D$5:$D$34,MATCH($I1240,SKU_Master!$A$5:$A$34,0))</f>
        <v>Laptop</v>
      </c>
      <c r="S1240" s="54">
        <f t="shared" si="266"/>
        <v>2.0443768996960543E-2</v>
      </c>
      <c r="T1240" s="55">
        <f t="shared" si="267"/>
        <v>20412.408759124086</v>
      </c>
      <c r="U1240" s="55">
        <f t="shared" si="268"/>
        <v>19995.102189781017</v>
      </c>
      <c r="V1240" s="55">
        <f t="shared" si="269"/>
        <v>-417.30656934306899</v>
      </c>
      <c r="W1240" s="55">
        <f t="shared" si="270"/>
        <v>20165.849528857478</v>
      </c>
      <c r="X1240" s="55">
        <f t="shared" si="271"/>
        <v>170.74733907646078</v>
      </c>
      <c r="Y1240" s="55">
        <f t="shared" si="272"/>
        <v>17079.05</v>
      </c>
      <c r="Z1240" s="55">
        <f t="shared" si="273"/>
        <v>17079.05</v>
      </c>
      <c r="AA1240" s="55">
        <f t="shared" si="274"/>
        <v>0</v>
      </c>
      <c r="AB1240" s="55">
        <f t="shared" si="275"/>
        <v>3086.7995288574784</v>
      </c>
      <c r="AC1240" s="54">
        <f t="shared" si="276"/>
        <v>0.15307064175204946</v>
      </c>
      <c r="AD1240" s="56">
        <f>INDEX(Assumptions!$B$14:$B$16,MATCH($R1240,Assumptions!$A$14:$A$16,0))</f>
        <v>0.12</v>
      </c>
      <c r="AE1240" s="56">
        <f>INDEX(Assumptions!$C$14:$C$16,MATCH($R1240,Assumptions!$A$14:$A$16,0))</f>
        <v>0.08</v>
      </c>
      <c r="AF1240" s="49">
        <f t="shared" si="277"/>
        <v>0</v>
      </c>
      <c r="AG1240" s="49">
        <f t="shared" si="278"/>
        <v>0</v>
      </c>
      <c r="AH1240" s="55">
        <f t="shared" si="279"/>
        <v>0</v>
      </c>
    </row>
    <row r="1241" spans="1:34" x14ac:dyDescent="0.2">
      <c r="A1241" s="48" t="s">
        <v>1098</v>
      </c>
      <c r="B1241" s="48">
        <v>2</v>
      </c>
      <c r="C1241" s="48" t="s">
        <v>1099</v>
      </c>
      <c r="D1241" s="48" t="s">
        <v>1051</v>
      </c>
      <c r="E1241" s="48" t="s">
        <v>360</v>
      </c>
      <c r="F1241" s="48" t="s">
        <v>280</v>
      </c>
      <c r="G1241" s="48" t="s">
        <v>275</v>
      </c>
      <c r="H1241" s="48" t="s">
        <v>68</v>
      </c>
      <c r="I1241" s="48" t="s">
        <v>138</v>
      </c>
      <c r="J1241" s="49">
        <v>15</v>
      </c>
      <c r="K1241" s="50">
        <v>665</v>
      </c>
      <c r="L1241" s="50">
        <v>645.55999999999995</v>
      </c>
      <c r="M1241" s="48" t="s">
        <v>276</v>
      </c>
      <c r="N1241" s="51">
        <v>1.37</v>
      </c>
      <c r="O1241" s="51">
        <v>1.3584000000000001</v>
      </c>
      <c r="P1241" s="52">
        <v>373.2</v>
      </c>
      <c r="Q1241" s="52">
        <v>373.2</v>
      </c>
      <c r="R1241" s="53" t="str">
        <f>INDEX(SKU_Master!$D$5:$D$34,MATCH($I1241,SKU_Master!$A$5:$A$34,0))</f>
        <v>Monitor</v>
      </c>
      <c r="S1241" s="54">
        <f t="shared" si="266"/>
        <v>2.9233082706766944E-2</v>
      </c>
      <c r="T1241" s="55">
        <f t="shared" si="267"/>
        <v>7281.0218978102184</v>
      </c>
      <c r="U1241" s="55">
        <f t="shared" si="268"/>
        <v>7068.1751824817511</v>
      </c>
      <c r="V1241" s="55">
        <f t="shared" si="269"/>
        <v>-212.84671532846733</v>
      </c>
      <c r="W1241" s="55">
        <f t="shared" si="270"/>
        <v>7128.5335689045933</v>
      </c>
      <c r="X1241" s="55">
        <f t="shared" si="271"/>
        <v>60.358386422842159</v>
      </c>
      <c r="Y1241" s="55">
        <f t="shared" si="272"/>
        <v>5598</v>
      </c>
      <c r="Z1241" s="55">
        <f t="shared" si="273"/>
        <v>5598</v>
      </c>
      <c r="AA1241" s="55">
        <f t="shared" si="274"/>
        <v>0</v>
      </c>
      <c r="AB1241" s="55">
        <f t="shared" si="275"/>
        <v>1530.5335689045933</v>
      </c>
      <c r="AC1241" s="54">
        <f t="shared" si="276"/>
        <v>0.21470524815663916</v>
      </c>
      <c r="AD1241" s="56">
        <f>INDEX(Assumptions!$B$14:$B$16,MATCH($R1241,Assumptions!$A$14:$A$16,0))</f>
        <v>0.18</v>
      </c>
      <c r="AE1241" s="56">
        <f>INDEX(Assumptions!$C$14:$C$16,MATCH($R1241,Assumptions!$A$14:$A$16,0))</f>
        <v>0.12</v>
      </c>
      <c r="AF1241" s="49">
        <f t="shared" si="277"/>
        <v>0</v>
      </c>
      <c r="AG1241" s="49">
        <f t="shared" si="278"/>
        <v>0</v>
      </c>
      <c r="AH1241" s="55">
        <f t="shared" si="279"/>
        <v>0</v>
      </c>
    </row>
    <row r="1242" spans="1:34" x14ac:dyDescent="0.2">
      <c r="A1242" s="48" t="s">
        <v>1098</v>
      </c>
      <c r="B1242" s="48">
        <v>3</v>
      </c>
      <c r="C1242" s="48" t="s">
        <v>1099</v>
      </c>
      <c r="D1242" s="48" t="s">
        <v>1051</v>
      </c>
      <c r="E1242" s="48" t="s">
        <v>360</v>
      </c>
      <c r="F1242" s="48" t="s">
        <v>280</v>
      </c>
      <c r="G1242" s="48" t="s">
        <v>275</v>
      </c>
      <c r="H1242" s="48" t="s">
        <v>68</v>
      </c>
      <c r="I1242" s="48" t="s">
        <v>151</v>
      </c>
      <c r="J1242" s="49">
        <v>18</v>
      </c>
      <c r="K1242" s="50">
        <v>475</v>
      </c>
      <c r="L1242" s="50">
        <v>461.73</v>
      </c>
      <c r="M1242" s="48" t="s">
        <v>276</v>
      </c>
      <c r="N1242" s="51">
        <v>1.37</v>
      </c>
      <c r="O1242" s="51">
        <v>1.3584000000000001</v>
      </c>
      <c r="P1242" s="52">
        <v>219.7</v>
      </c>
      <c r="Q1242" s="52">
        <v>219.7</v>
      </c>
      <c r="R1242" s="53" t="str">
        <f>INDEX(SKU_Master!$D$5:$D$34,MATCH($I1242,SKU_Master!$A$5:$A$34,0))</f>
        <v>Accessory</v>
      </c>
      <c r="S1242" s="54">
        <f t="shared" si="266"/>
        <v>2.7936842105263149E-2</v>
      </c>
      <c r="T1242" s="55">
        <f t="shared" si="267"/>
        <v>6240.8759124087583</v>
      </c>
      <c r="U1242" s="55">
        <f t="shared" si="268"/>
        <v>6066.5255474452542</v>
      </c>
      <c r="V1242" s="55">
        <f t="shared" si="269"/>
        <v>-174.35036496350403</v>
      </c>
      <c r="W1242" s="55">
        <f t="shared" si="270"/>
        <v>6118.3303886925787</v>
      </c>
      <c r="X1242" s="55">
        <f t="shared" si="271"/>
        <v>51.804841247324475</v>
      </c>
      <c r="Y1242" s="55">
        <f t="shared" si="272"/>
        <v>3954.6</v>
      </c>
      <c r="Z1242" s="55">
        <f t="shared" si="273"/>
        <v>3954.6</v>
      </c>
      <c r="AA1242" s="55">
        <f t="shared" si="274"/>
        <v>0</v>
      </c>
      <c r="AB1242" s="55">
        <f t="shared" si="275"/>
        <v>2163.7303886925788</v>
      </c>
      <c r="AC1242" s="54">
        <f t="shared" si="276"/>
        <v>0.35364719641348835</v>
      </c>
      <c r="AD1242" s="56">
        <f>INDEX(Assumptions!$B$14:$B$16,MATCH($R1242,Assumptions!$A$14:$A$16,0))</f>
        <v>0.32</v>
      </c>
      <c r="AE1242" s="56">
        <f>INDEX(Assumptions!$C$14:$C$16,MATCH($R1242,Assumptions!$A$14:$A$16,0))</f>
        <v>0.22</v>
      </c>
      <c r="AF1242" s="49">
        <f t="shared" si="277"/>
        <v>0</v>
      </c>
      <c r="AG1242" s="49">
        <f t="shared" si="278"/>
        <v>0</v>
      </c>
      <c r="AH1242" s="55">
        <f t="shared" si="279"/>
        <v>0</v>
      </c>
    </row>
    <row r="1243" spans="1:34" x14ac:dyDescent="0.2">
      <c r="A1243" s="48" t="s">
        <v>1100</v>
      </c>
      <c r="B1243" s="48">
        <v>1</v>
      </c>
      <c r="C1243" s="48" t="s">
        <v>1084</v>
      </c>
      <c r="D1243" s="48" t="s">
        <v>1051</v>
      </c>
      <c r="E1243" s="48" t="s">
        <v>384</v>
      </c>
      <c r="F1243" s="48" t="s">
        <v>297</v>
      </c>
      <c r="G1243" s="48" t="s">
        <v>281</v>
      </c>
      <c r="H1243" s="48" t="s">
        <v>70</v>
      </c>
      <c r="I1243" s="48" t="s">
        <v>101</v>
      </c>
      <c r="J1243" s="49">
        <v>45</v>
      </c>
      <c r="K1243" s="50">
        <v>328650</v>
      </c>
      <c r="L1243" s="50">
        <v>319852.57</v>
      </c>
      <c r="M1243" s="48" t="s">
        <v>276</v>
      </c>
      <c r="N1243" s="51">
        <v>83.5</v>
      </c>
      <c r="O1243" s="51">
        <v>84.621399999999994</v>
      </c>
      <c r="P1243" s="52">
        <v>3296.76</v>
      </c>
      <c r="Q1243" s="52">
        <v>3316.76</v>
      </c>
      <c r="R1243" s="53" t="str">
        <f>INDEX(SKU_Master!$D$5:$D$34,MATCH($I1243,SKU_Master!$A$5:$A$34,0))</f>
        <v>Laptop</v>
      </c>
      <c r="S1243" s="54">
        <f t="shared" si="266"/>
        <v>2.6768385820782004E-2</v>
      </c>
      <c r="T1243" s="55">
        <f t="shared" si="267"/>
        <v>177116.76646706587</v>
      </c>
      <c r="U1243" s="55">
        <f t="shared" si="268"/>
        <v>172375.63652694612</v>
      </c>
      <c r="V1243" s="55">
        <f t="shared" si="269"/>
        <v>-4741.1299401197466</v>
      </c>
      <c r="W1243" s="55">
        <f t="shared" si="270"/>
        <v>170091.32028068553</v>
      </c>
      <c r="X1243" s="55">
        <f t="shared" si="271"/>
        <v>-2284.3162462605978</v>
      </c>
      <c r="Y1243" s="55">
        <f t="shared" si="272"/>
        <v>148354.20000000001</v>
      </c>
      <c r="Z1243" s="55">
        <f t="shared" si="273"/>
        <v>149254.20000000001</v>
      </c>
      <c r="AA1243" s="55">
        <f t="shared" si="274"/>
        <v>-900</v>
      </c>
      <c r="AB1243" s="55">
        <f t="shared" si="275"/>
        <v>20837.120280685514</v>
      </c>
      <c r="AC1243" s="54">
        <f t="shared" si="276"/>
        <v>0.12250548850053017</v>
      </c>
      <c r="AD1243" s="56">
        <f>INDEX(Assumptions!$B$14:$B$16,MATCH($R1243,Assumptions!$A$14:$A$16,0))</f>
        <v>0.12</v>
      </c>
      <c r="AE1243" s="56">
        <f>INDEX(Assumptions!$C$14:$C$16,MATCH($R1243,Assumptions!$A$14:$A$16,0))</f>
        <v>0.08</v>
      </c>
      <c r="AF1243" s="49">
        <f t="shared" si="277"/>
        <v>0</v>
      </c>
      <c r="AG1243" s="49">
        <f t="shared" si="278"/>
        <v>0</v>
      </c>
      <c r="AH1243" s="55">
        <f t="shared" si="279"/>
        <v>0</v>
      </c>
    </row>
    <row r="1244" spans="1:34" x14ac:dyDescent="0.2">
      <c r="A1244" s="48" t="s">
        <v>1100</v>
      </c>
      <c r="B1244" s="48">
        <v>2</v>
      </c>
      <c r="C1244" s="48" t="s">
        <v>1084</v>
      </c>
      <c r="D1244" s="48" t="s">
        <v>1051</v>
      </c>
      <c r="E1244" s="48" t="s">
        <v>384</v>
      </c>
      <c r="F1244" s="48" t="s">
        <v>297</v>
      </c>
      <c r="G1244" s="48" t="s">
        <v>281</v>
      </c>
      <c r="H1244" s="48" t="s">
        <v>70</v>
      </c>
      <c r="I1244" s="48" t="s">
        <v>138</v>
      </c>
      <c r="J1244" s="49">
        <v>34</v>
      </c>
      <c r="K1244" s="50">
        <v>47515</v>
      </c>
      <c r="L1244" s="50">
        <v>45508.44</v>
      </c>
      <c r="M1244" s="48" t="s">
        <v>276</v>
      </c>
      <c r="N1244" s="51">
        <v>83.5</v>
      </c>
      <c r="O1244" s="51">
        <v>84.621399999999994</v>
      </c>
      <c r="P1244" s="52">
        <v>439.85</v>
      </c>
      <c r="Q1244" s="52">
        <v>459.85</v>
      </c>
      <c r="R1244" s="53" t="str">
        <f>INDEX(SKU_Master!$D$5:$D$34,MATCH($I1244,SKU_Master!$A$5:$A$34,0))</f>
        <v>Monitor</v>
      </c>
      <c r="S1244" s="54">
        <f t="shared" si="266"/>
        <v>4.2230032621277447E-2</v>
      </c>
      <c r="T1244" s="55">
        <f t="shared" si="267"/>
        <v>19347.425149700597</v>
      </c>
      <c r="U1244" s="55">
        <f t="shared" si="268"/>
        <v>18530.382754491016</v>
      </c>
      <c r="V1244" s="55">
        <f t="shared" si="269"/>
        <v>-817.04239520958072</v>
      </c>
      <c r="W1244" s="55">
        <f t="shared" si="270"/>
        <v>18284.81873379547</v>
      </c>
      <c r="X1244" s="55">
        <f t="shared" si="271"/>
        <v>-245.56402069554679</v>
      </c>
      <c r="Y1244" s="55">
        <f t="shared" si="272"/>
        <v>14954.900000000001</v>
      </c>
      <c r="Z1244" s="55">
        <f t="shared" si="273"/>
        <v>15634.900000000001</v>
      </c>
      <c r="AA1244" s="55">
        <f t="shared" si="274"/>
        <v>-680</v>
      </c>
      <c r="AB1244" s="55">
        <f t="shared" si="275"/>
        <v>2649.9187337954681</v>
      </c>
      <c r="AC1244" s="54">
        <f t="shared" si="276"/>
        <v>0.14492452850504203</v>
      </c>
      <c r="AD1244" s="56">
        <f>INDEX(Assumptions!$B$14:$B$16,MATCH($R1244,Assumptions!$A$14:$A$16,0))</f>
        <v>0.18</v>
      </c>
      <c r="AE1244" s="56">
        <f>INDEX(Assumptions!$C$14:$C$16,MATCH($R1244,Assumptions!$A$14:$A$16,0))</f>
        <v>0.12</v>
      </c>
      <c r="AF1244" s="49">
        <f t="shared" si="277"/>
        <v>0</v>
      </c>
      <c r="AG1244" s="49">
        <f t="shared" si="278"/>
        <v>0</v>
      </c>
      <c r="AH1244" s="55">
        <f t="shared" si="279"/>
        <v>641.34863828771631</v>
      </c>
    </row>
    <row r="1245" spans="1:34" x14ac:dyDescent="0.2">
      <c r="A1245" s="48" t="s">
        <v>1100</v>
      </c>
      <c r="B1245" s="48">
        <v>3</v>
      </c>
      <c r="C1245" s="48" t="s">
        <v>1084</v>
      </c>
      <c r="D1245" s="48" t="s">
        <v>1051</v>
      </c>
      <c r="E1245" s="48" t="s">
        <v>384</v>
      </c>
      <c r="F1245" s="48" t="s">
        <v>297</v>
      </c>
      <c r="G1245" s="48" t="s">
        <v>281</v>
      </c>
      <c r="H1245" s="48" t="s">
        <v>70</v>
      </c>
      <c r="I1245" s="48" t="s">
        <v>177</v>
      </c>
      <c r="J1245" s="49">
        <v>25</v>
      </c>
      <c r="K1245" s="50">
        <v>7520</v>
      </c>
      <c r="L1245" s="50">
        <v>7350.78</v>
      </c>
      <c r="M1245" s="48" t="s">
        <v>276</v>
      </c>
      <c r="N1245" s="51">
        <v>83.5</v>
      </c>
      <c r="O1245" s="51">
        <v>84.621399999999994</v>
      </c>
      <c r="P1245" s="52">
        <v>57.18</v>
      </c>
      <c r="Q1245" s="52">
        <v>62.18</v>
      </c>
      <c r="R1245" s="53" t="str">
        <f>INDEX(SKU_Master!$D$5:$D$34,MATCH($I1245,SKU_Master!$A$5:$A$34,0))</f>
        <v>Accessory</v>
      </c>
      <c r="S1245" s="54">
        <f t="shared" si="266"/>
        <v>2.2502659574468065E-2</v>
      </c>
      <c r="T1245" s="55">
        <f t="shared" si="267"/>
        <v>2251.4970059880238</v>
      </c>
      <c r="U1245" s="55">
        <f t="shared" si="268"/>
        <v>2200.8323353293413</v>
      </c>
      <c r="V1245" s="55">
        <f t="shared" si="269"/>
        <v>-50.664670658682553</v>
      </c>
      <c r="W1245" s="55">
        <f t="shared" si="270"/>
        <v>2171.6669778566652</v>
      </c>
      <c r="X1245" s="55">
        <f t="shared" si="271"/>
        <v>-29.165357472676078</v>
      </c>
      <c r="Y1245" s="55">
        <f t="shared" si="272"/>
        <v>1429.5</v>
      </c>
      <c r="Z1245" s="55">
        <f t="shared" si="273"/>
        <v>1554.5</v>
      </c>
      <c r="AA1245" s="55">
        <f t="shared" si="274"/>
        <v>-125</v>
      </c>
      <c r="AB1245" s="55">
        <f t="shared" si="275"/>
        <v>617.1669778566652</v>
      </c>
      <c r="AC1245" s="54">
        <f t="shared" si="276"/>
        <v>0.28419043257994392</v>
      </c>
      <c r="AD1245" s="56">
        <f>INDEX(Assumptions!$B$14:$B$16,MATCH($R1245,Assumptions!$A$14:$A$16,0))</f>
        <v>0.32</v>
      </c>
      <c r="AE1245" s="56">
        <f>INDEX(Assumptions!$C$14:$C$16,MATCH($R1245,Assumptions!$A$14:$A$16,0))</f>
        <v>0.22</v>
      </c>
      <c r="AF1245" s="49">
        <f t="shared" si="277"/>
        <v>0</v>
      </c>
      <c r="AG1245" s="49">
        <f t="shared" si="278"/>
        <v>0</v>
      </c>
      <c r="AH1245" s="55">
        <f t="shared" si="279"/>
        <v>77.766455057467624</v>
      </c>
    </row>
    <row r="1246" spans="1:34" x14ac:dyDescent="0.2">
      <c r="A1246" s="48" t="s">
        <v>1101</v>
      </c>
      <c r="B1246" s="48">
        <v>1</v>
      </c>
      <c r="C1246" s="48" t="s">
        <v>1090</v>
      </c>
      <c r="D1246" s="48" t="s">
        <v>1051</v>
      </c>
      <c r="E1246" s="48" t="s">
        <v>336</v>
      </c>
      <c r="F1246" s="48" t="s">
        <v>274</v>
      </c>
      <c r="G1246" s="48" t="s">
        <v>288</v>
      </c>
      <c r="H1246" s="48" t="s">
        <v>62</v>
      </c>
      <c r="I1246" s="48" t="s">
        <v>98</v>
      </c>
      <c r="J1246" s="49">
        <v>2</v>
      </c>
      <c r="K1246" s="50">
        <v>2085</v>
      </c>
      <c r="L1246" s="50">
        <v>2083.19</v>
      </c>
      <c r="M1246" s="48" t="s">
        <v>276</v>
      </c>
      <c r="N1246" s="51">
        <v>1</v>
      </c>
      <c r="O1246" s="51">
        <v>1</v>
      </c>
      <c r="P1246" s="52">
        <v>1780.2</v>
      </c>
      <c r="Q1246" s="52">
        <v>1780.2</v>
      </c>
      <c r="R1246" s="53" t="str">
        <f>INDEX(SKU_Master!$D$5:$D$34,MATCH($I1246,SKU_Master!$A$5:$A$34,0))</f>
        <v>Laptop</v>
      </c>
      <c r="S1246" s="54">
        <f t="shared" si="266"/>
        <v>8.6810551558746951E-4</v>
      </c>
      <c r="T1246" s="55">
        <f t="shared" si="267"/>
        <v>4170</v>
      </c>
      <c r="U1246" s="55">
        <f t="shared" si="268"/>
        <v>4166.38</v>
      </c>
      <c r="V1246" s="55">
        <f t="shared" si="269"/>
        <v>-3.6199999999998909</v>
      </c>
      <c r="W1246" s="55">
        <f t="shared" si="270"/>
        <v>4166.38</v>
      </c>
      <c r="X1246" s="55">
        <f t="shared" si="271"/>
        <v>0</v>
      </c>
      <c r="Y1246" s="55">
        <f t="shared" si="272"/>
        <v>3560.4</v>
      </c>
      <c r="Z1246" s="55">
        <f t="shared" si="273"/>
        <v>3560.4</v>
      </c>
      <c r="AA1246" s="55">
        <f t="shared" si="274"/>
        <v>0</v>
      </c>
      <c r="AB1246" s="55">
        <f t="shared" si="275"/>
        <v>605.98</v>
      </c>
      <c r="AC1246" s="54">
        <f t="shared" si="276"/>
        <v>0.14544520663021615</v>
      </c>
      <c r="AD1246" s="56">
        <f>INDEX(Assumptions!$B$14:$B$16,MATCH($R1246,Assumptions!$A$14:$A$16,0))</f>
        <v>0.12</v>
      </c>
      <c r="AE1246" s="56">
        <f>INDEX(Assumptions!$C$14:$C$16,MATCH($R1246,Assumptions!$A$14:$A$16,0))</f>
        <v>0.08</v>
      </c>
      <c r="AF1246" s="49">
        <f t="shared" si="277"/>
        <v>0</v>
      </c>
      <c r="AG1246" s="49">
        <f t="shared" si="278"/>
        <v>0</v>
      </c>
      <c r="AH1246" s="55">
        <f t="shared" si="279"/>
        <v>0</v>
      </c>
    </row>
    <row r="1247" spans="1:34" x14ac:dyDescent="0.2">
      <c r="A1247" s="48" t="s">
        <v>1102</v>
      </c>
      <c r="B1247" s="48">
        <v>1</v>
      </c>
      <c r="C1247" s="48" t="s">
        <v>1103</v>
      </c>
      <c r="D1247" s="48" t="s">
        <v>1051</v>
      </c>
      <c r="E1247" s="48" t="s">
        <v>349</v>
      </c>
      <c r="F1247" s="48" t="s">
        <v>274</v>
      </c>
      <c r="G1247" s="48" t="s">
        <v>275</v>
      </c>
      <c r="H1247" s="48" t="s">
        <v>66</v>
      </c>
      <c r="I1247" s="48" t="s">
        <v>108</v>
      </c>
      <c r="J1247" s="49">
        <v>8</v>
      </c>
      <c r="K1247" s="50">
        <v>1280</v>
      </c>
      <c r="L1247" s="50">
        <v>1273.54</v>
      </c>
      <c r="M1247" s="48" t="s">
        <v>276</v>
      </c>
      <c r="N1247" s="51">
        <v>0.92</v>
      </c>
      <c r="O1247" s="51">
        <v>0.92859999999999998</v>
      </c>
      <c r="P1247" s="52">
        <v>1165</v>
      </c>
      <c r="Q1247" s="52">
        <v>1232.6199999999999</v>
      </c>
      <c r="R1247" s="53" t="str">
        <f>INDEX(SKU_Master!$D$5:$D$34,MATCH($I1247,SKU_Master!$A$5:$A$34,0))</f>
        <v>Laptop</v>
      </c>
      <c r="S1247" s="54">
        <f t="shared" si="266"/>
        <v>5.0468750000000062E-3</v>
      </c>
      <c r="T1247" s="55">
        <f t="shared" si="267"/>
        <v>11130.434782608696</v>
      </c>
      <c r="U1247" s="55">
        <f t="shared" si="268"/>
        <v>11074.260869565216</v>
      </c>
      <c r="V1247" s="55">
        <f t="shared" si="269"/>
        <v>-56.173913043479843</v>
      </c>
      <c r="W1247" s="55">
        <f t="shared" si="270"/>
        <v>10971.699332328237</v>
      </c>
      <c r="X1247" s="55">
        <f t="shared" si="271"/>
        <v>-102.56153723697935</v>
      </c>
      <c r="Y1247" s="55">
        <f t="shared" si="272"/>
        <v>9320</v>
      </c>
      <c r="Z1247" s="55">
        <f t="shared" si="273"/>
        <v>9860.9599999999991</v>
      </c>
      <c r="AA1247" s="55">
        <f t="shared" si="274"/>
        <v>-540.95999999999913</v>
      </c>
      <c r="AB1247" s="55">
        <f t="shared" si="275"/>
        <v>1110.7393323282377</v>
      </c>
      <c r="AC1247" s="54">
        <f t="shared" si="276"/>
        <v>0.10123676366663016</v>
      </c>
      <c r="AD1247" s="56">
        <f>INDEX(Assumptions!$B$14:$B$16,MATCH($R1247,Assumptions!$A$14:$A$16,0))</f>
        <v>0.12</v>
      </c>
      <c r="AE1247" s="56">
        <f>INDEX(Assumptions!$C$14:$C$16,MATCH($R1247,Assumptions!$A$14:$A$16,0))</f>
        <v>0.08</v>
      </c>
      <c r="AF1247" s="49">
        <f t="shared" si="277"/>
        <v>0</v>
      </c>
      <c r="AG1247" s="49">
        <f t="shared" si="278"/>
        <v>0</v>
      </c>
      <c r="AH1247" s="55">
        <f t="shared" si="279"/>
        <v>205.86458755115063</v>
      </c>
    </row>
    <row r="1248" spans="1:34" x14ac:dyDescent="0.2">
      <c r="A1248" s="48" t="s">
        <v>1102</v>
      </c>
      <c r="B1248" s="48">
        <v>2</v>
      </c>
      <c r="C1248" s="48" t="s">
        <v>1103</v>
      </c>
      <c r="D1248" s="48" t="s">
        <v>1051</v>
      </c>
      <c r="E1248" s="48" t="s">
        <v>349</v>
      </c>
      <c r="F1248" s="48" t="s">
        <v>274</v>
      </c>
      <c r="G1248" s="48" t="s">
        <v>275</v>
      </c>
      <c r="H1248" s="48" t="s">
        <v>66</v>
      </c>
      <c r="I1248" s="48" t="s">
        <v>164</v>
      </c>
      <c r="J1248" s="49">
        <v>3</v>
      </c>
      <c r="K1248" s="50">
        <v>185</v>
      </c>
      <c r="L1248" s="50">
        <v>182.61</v>
      </c>
      <c r="M1248" s="48" t="s">
        <v>276</v>
      </c>
      <c r="N1248" s="51">
        <v>0.92</v>
      </c>
      <c r="O1248" s="51">
        <v>0.92859999999999998</v>
      </c>
      <c r="P1248" s="52">
        <v>126</v>
      </c>
      <c r="Q1248" s="52">
        <v>126</v>
      </c>
      <c r="R1248" s="53" t="str">
        <f>INDEX(SKU_Master!$D$5:$D$34,MATCH($I1248,SKU_Master!$A$5:$A$34,0))</f>
        <v>Accessory</v>
      </c>
      <c r="S1248" s="54">
        <f t="shared" si="266"/>
        <v>1.2918918918918831E-2</v>
      </c>
      <c r="T1248" s="55">
        <f t="shared" si="267"/>
        <v>603.26086956521738</v>
      </c>
      <c r="U1248" s="55">
        <f t="shared" si="268"/>
        <v>595.46739130434787</v>
      </c>
      <c r="V1248" s="55">
        <f t="shared" si="269"/>
        <v>-7.7934782608695059</v>
      </c>
      <c r="W1248" s="55">
        <f t="shared" si="270"/>
        <v>589.95261684255877</v>
      </c>
      <c r="X1248" s="55">
        <f t="shared" si="271"/>
        <v>-5.5147744617891021</v>
      </c>
      <c r="Y1248" s="55">
        <f t="shared" si="272"/>
        <v>378</v>
      </c>
      <c r="Z1248" s="55">
        <f t="shared" si="273"/>
        <v>378</v>
      </c>
      <c r="AA1248" s="55">
        <f t="shared" si="274"/>
        <v>0</v>
      </c>
      <c r="AB1248" s="55">
        <f t="shared" si="275"/>
        <v>211.95261684255877</v>
      </c>
      <c r="AC1248" s="54">
        <f t="shared" si="276"/>
        <v>0.3592705766387384</v>
      </c>
      <c r="AD1248" s="56">
        <f>INDEX(Assumptions!$B$14:$B$16,MATCH($R1248,Assumptions!$A$14:$A$16,0))</f>
        <v>0.32</v>
      </c>
      <c r="AE1248" s="56">
        <f>INDEX(Assumptions!$C$14:$C$16,MATCH($R1248,Assumptions!$A$14:$A$16,0))</f>
        <v>0.22</v>
      </c>
      <c r="AF1248" s="49">
        <f t="shared" si="277"/>
        <v>0</v>
      </c>
      <c r="AG1248" s="49">
        <f t="shared" si="278"/>
        <v>0</v>
      </c>
      <c r="AH1248" s="55">
        <f t="shared" si="279"/>
        <v>0</v>
      </c>
    </row>
    <row r="1249" spans="1:34" x14ac:dyDescent="0.2">
      <c r="A1249" s="48" t="s">
        <v>1104</v>
      </c>
      <c r="B1249" s="48">
        <v>1</v>
      </c>
      <c r="C1249" s="48" t="s">
        <v>1055</v>
      </c>
      <c r="D1249" s="48" t="s">
        <v>1051</v>
      </c>
      <c r="E1249" s="48" t="s">
        <v>339</v>
      </c>
      <c r="F1249" s="48" t="s">
        <v>280</v>
      </c>
      <c r="G1249" s="48" t="s">
        <v>302</v>
      </c>
      <c r="H1249" s="48" t="s">
        <v>62</v>
      </c>
      <c r="I1249" s="48" t="s">
        <v>110</v>
      </c>
      <c r="J1249" s="49">
        <v>14</v>
      </c>
      <c r="K1249" s="50">
        <v>1165</v>
      </c>
      <c r="L1249" s="50">
        <v>1102.55</v>
      </c>
      <c r="M1249" s="48" t="s">
        <v>276</v>
      </c>
      <c r="N1249" s="51">
        <v>1</v>
      </c>
      <c r="O1249" s="51">
        <v>1</v>
      </c>
      <c r="P1249" s="52">
        <v>992.65</v>
      </c>
      <c r="Q1249" s="52">
        <v>992.65</v>
      </c>
      <c r="R1249" s="53" t="str">
        <f>INDEX(SKU_Master!$D$5:$D$34,MATCH($I1249,SKU_Master!$A$5:$A$34,0))</f>
        <v>Laptop</v>
      </c>
      <c r="S1249" s="54">
        <f t="shared" si="266"/>
        <v>5.3605150214592334E-2</v>
      </c>
      <c r="T1249" s="55">
        <f t="shared" si="267"/>
        <v>16310</v>
      </c>
      <c r="U1249" s="55">
        <f t="shared" si="268"/>
        <v>15435.699999999999</v>
      </c>
      <c r="V1249" s="55">
        <f t="shared" si="269"/>
        <v>-874.30000000000109</v>
      </c>
      <c r="W1249" s="55">
        <f t="shared" si="270"/>
        <v>15435.699999999999</v>
      </c>
      <c r="X1249" s="55">
        <f t="shared" si="271"/>
        <v>0</v>
      </c>
      <c r="Y1249" s="55">
        <f t="shared" si="272"/>
        <v>13897.1</v>
      </c>
      <c r="Z1249" s="55">
        <f t="shared" si="273"/>
        <v>13897.1</v>
      </c>
      <c r="AA1249" s="55">
        <f t="shared" si="274"/>
        <v>0</v>
      </c>
      <c r="AB1249" s="55">
        <f t="shared" si="275"/>
        <v>1538.5999999999985</v>
      </c>
      <c r="AC1249" s="54">
        <f t="shared" si="276"/>
        <v>9.9678019137453999E-2</v>
      </c>
      <c r="AD1249" s="56">
        <f>INDEX(Assumptions!$B$14:$B$16,MATCH($R1249,Assumptions!$A$14:$A$16,0))</f>
        <v>0.12</v>
      </c>
      <c r="AE1249" s="56">
        <f>INDEX(Assumptions!$C$14:$C$16,MATCH($R1249,Assumptions!$A$14:$A$16,0))</f>
        <v>0.08</v>
      </c>
      <c r="AF1249" s="49">
        <f t="shared" si="277"/>
        <v>0</v>
      </c>
      <c r="AG1249" s="49">
        <f t="shared" si="278"/>
        <v>0</v>
      </c>
      <c r="AH1249" s="55">
        <f t="shared" si="279"/>
        <v>313.68400000000133</v>
      </c>
    </row>
    <row r="1250" spans="1:34" x14ac:dyDescent="0.2">
      <c r="A1250" s="48" t="s">
        <v>1104</v>
      </c>
      <c r="B1250" s="48">
        <v>2</v>
      </c>
      <c r="C1250" s="48" t="s">
        <v>1055</v>
      </c>
      <c r="D1250" s="48" t="s">
        <v>1051</v>
      </c>
      <c r="E1250" s="48" t="s">
        <v>339</v>
      </c>
      <c r="F1250" s="48" t="s">
        <v>280</v>
      </c>
      <c r="G1250" s="48" t="s">
        <v>302</v>
      </c>
      <c r="H1250" s="48" t="s">
        <v>62</v>
      </c>
      <c r="I1250" s="48" t="s">
        <v>157</v>
      </c>
      <c r="J1250" s="49">
        <v>6</v>
      </c>
      <c r="K1250" s="50">
        <v>135</v>
      </c>
      <c r="L1250" s="50">
        <v>128.28</v>
      </c>
      <c r="M1250" s="48" t="s">
        <v>276</v>
      </c>
      <c r="N1250" s="51">
        <v>1</v>
      </c>
      <c r="O1250" s="51">
        <v>1</v>
      </c>
      <c r="P1250" s="52">
        <v>86</v>
      </c>
      <c r="Q1250" s="52">
        <v>86</v>
      </c>
      <c r="R1250" s="53" t="str">
        <f>INDEX(SKU_Master!$D$5:$D$34,MATCH($I1250,SKU_Master!$A$5:$A$34,0))</f>
        <v>Accessory</v>
      </c>
      <c r="S1250" s="54">
        <f t="shared" si="266"/>
        <v>4.977777777777781E-2</v>
      </c>
      <c r="T1250" s="55">
        <f t="shared" si="267"/>
        <v>810</v>
      </c>
      <c r="U1250" s="55">
        <f t="shared" si="268"/>
        <v>769.68000000000006</v>
      </c>
      <c r="V1250" s="55">
        <f t="shared" si="269"/>
        <v>-40.319999999999936</v>
      </c>
      <c r="W1250" s="55">
        <f t="shared" si="270"/>
        <v>769.68000000000006</v>
      </c>
      <c r="X1250" s="55">
        <f t="shared" si="271"/>
        <v>0</v>
      </c>
      <c r="Y1250" s="55">
        <f t="shared" si="272"/>
        <v>516</v>
      </c>
      <c r="Z1250" s="55">
        <f t="shared" si="273"/>
        <v>516</v>
      </c>
      <c r="AA1250" s="55">
        <f t="shared" si="274"/>
        <v>0</v>
      </c>
      <c r="AB1250" s="55">
        <f t="shared" si="275"/>
        <v>253.68000000000006</v>
      </c>
      <c r="AC1250" s="54">
        <f t="shared" si="276"/>
        <v>0.32959151855316499</v>
      </c>
      <c r="AD1250" s="56">
        <f>INDEX(Assumptions!$B$14:$B$16,MATCH($R1250,Assumptions!$A$14:$A$16,0))</f>
        <v>0.32</v>
      </c>
      <c r="AE1250" s="56">
        <f>INDEX(Assumptions!$C$14:$C$16,MATCH($R1250,Assumptions!$A$14:$A$16,0))</f>
        <v>0.22</v>
      </c>
      <c r="AF1250" s="49">
        <f t="shared" si="277"/>
        <v>0</v>
      </c>
      <c r="AG1250" s="49">
        <f t="shared" si="278"/>
        <v>0</v>
      </c>
      <c r="AH1250" s="55">
        <f t="shared" si="279"/>
        <v>0</v>
      </c>
    </row>
    <row r="1251" spans="1:34" x14ac:dyDescent="0.2">
      <c r="A1251" s="48" t="s">
        <v>1105</v>
      </c>
      <c r="B1251" s="48">
        <v>1</v>
      </c>
      <c r="C1251" s="48" t="s">
        <v>1077</v>
      </c>
      <c r="D1251" s="48" t="s">
        <v>1051</v>
      </c>
      <c r="E1251" s="48" t="s">
        <v>437</v>
      </c>
      <c r="F1251" s="48" t="s">
        <v>274</v>
      </c>
      <c r="G1251" s="48" t="s">
        <v>302</v>
      </c>
      <c r="H1251" s="48" t="s">
        <v>62</v>
      </c>
      <c r="I1251" s="48" t="s">
        <v>98</v>
      </c>
      <c r="J1251" s="49">
        <v>6</v>
      </c>
      <c r="K1251" s="50">
        <v>2085</v>
      </c>
      <c r="L1251" s="50">
        <v>1981.19</v>
      </c>
      <c r="M1251" s="48" t="s">
        <v>276</v>
      </c>
      <c r="N1251" s="51">
        <v>1</v>
      </c>
      <c r="O1251" s="51">
        <v>1</v>
      </c>
      <c r="P1251" s="52">
        <v>1780.2</v>
      </c>
      <c r="Q1251" s="52">
        <v>1780.2</v>
      </c>
      <c r="R1251" s="53" t="str">
        <f>INDEX(SKU_Master!$D$5:$D$34,MATCH($I1251,SKU_Master!$A$5:$A$34,0))</f>
        <v>Laptop</v>
      </c>
      <c r="S1251" s="54">
        <f t="shared" si="266"/>
        <v>4.9788968824939994E-2</v>
      </c>
      <c r="T1251" s="55">
        <f t="shared" si="267"/>
        <v>12510</v>
      </c>
      <c r="U1251" s="55">
        <f t="shared" si="268"/>
        <v>11887.14</v>
      </c>
      <c r="V1251" s="55">
        <f t="shared" si="269"/>
        <v>-622.86000000000058</v>
      </c>
      <c r="W1251" s="55">
        <f t="shared" si="270"/>
        <v>11887.14</v>
      </c>
      <c r="X1251" s="55">
        <f t="shared" si="271"/>
        <v>0</v>
      </c>
      <c r="Y1251" s="55">
        <f t="shared" si="272"/>
        <v>10681.2</v>
      </c>
      <c r="Z1251" s="55">
        <f t="shared" si="273"/>
        <v>10681.2</v>
      </c>
      <c r="AA1251" s="55">
        <f t="shared" si="274"/>
        <v>0</v>
      </c>
      <c r="AB1251" s="55">
        <f t="shared" si="275"/>
        <v>1205.9399999999987</v>
      </c>
      <c r="AC1251" s="54">
        <f t="shared" si="276"/>
        <v>0.1014491290587979</v>
      </c>
      <c r="AD1251" s="56">
        <f>INDEX(Assumptions!$B$14:$B$16,MATCH($R1251,Assumptions!$A$14:$A$16,0))</f>
        <v>0.12</v>
      </c>
      <c r="AE1251" s="56">
        <f>INDEX(Assumptions!$C$14:$C$16,MATCH($R1251,Assumptions!$A$14:$A$16,0))</f>
        <v>0.08</v>
      </c>
      <c r="AF1251" s="49">
        <f t="shared" si="277"/>
        <v>0</v>
      </c>
      <c r="AG1251" s="49">
        <f t="shared" si="278"/>
        <v>0</v>
      </c>
      <c r="AH1251" s="55">
        <f t="shared" si="279"/>
        <v>220.51680000000124</v>
      </c>
    </row>
    <row r="1252" spans="1:34" x14ac:dyDescent="0.2">
      <c r="A1252" s="48" t="s">
        <v>1105</v>
      </c>
      <c r="B1252" s="48">
        <v>2</v>
      </c>
      <c r="C1252" s="48" t="s">
        <v>1077</v>
      </c>
      <c r="D1252" s="48" t="s">
        <v>1051</v>
      </c>
      <c r="E1252" s="48" t="s">
        <v>437</v>
      </c>
      <c r="F1252" s="48" t="s">
        <v>274</v>
      </c>
      <c r="G1252" s="48" t="s">
        <v>302</v>
      </c>
      <c r="H1252" s="48" t="s">
        <v>62</v>
      </c>
      <c r="I1252" s="48" t="s">
        <v>146</v>
      </c>
      <c r="J1252" s="49">
        <v>4</v>
      </c>
      <c r="K1252" s="50">
        <v>235</v>
      </c>
      <c r="L1252" s="50">
        <v>228.99</v>
      </c>
      <c r="M1252" s="48" t="s">
        <v>276</v>
      </c>
      <c r="N1252" s="51">
        <v>1</v>
      </c>
      <c r="O1252" s="51">
        <v>1</v>
      </c>
      <c r="P1252" s="52">
        <v>181.8</v>
      </c>
      <c r="Q1252" s="52">
        <v>181.8</v>
      </c>
      <c r="R1252" s="53" t="str">
        <f>INDEX(SKU_Master!$D$5:$D$34,MATCH($I1252,SKU_Master!$A$5:$A$34,0))</f>
        <v>Monitor</v>
      </c>
      <c r="S1252" s="54">
        <f t="shared" si="266"/>
        <v>2.5574468085106328E-2</v>
      </c>
      <c r="T1252" s="55">
        <f t="shared" si="267"/>
        <v>940</v>
      </c>
      <c r="U1252" s="55">
        <f t="shared" si="268"/>
        <v>915.96</v>
      </c>
      <c r="V1252" s="55">
        <f t="shared" si="269"/>
        <v>-24.039999999999964</v>
      </c>
      <c r="W1252" s="55">
        <f t="shared" si="270"/>
        <v>915.96</v>
      </c>
      <c r="X1252" s="55">
        <f t="shared" si="271"/>
        <v>0</v>
      </c>
      <c r="Y1252" s="55">
        <f t="shared" si="272"/>
        <v>727.2</v>
      </c>
      <c r="Z1252" s="55">
        <f t="shared" si="273"/>
        <v>727.2</v>
      </c>
      <c r="AA1252" s="55">
        <f t="shared" si="274"/>
        <v>0</v>
      </c>
      <c r="AB1252" s="55">
        <f t="shared" si="275"/>
        <v>188.76</v>
      </c>
      <c r="AC1252" s="54">
        <f t="shared" si="276"/>
        <v>0.20607886807284159</v>
      </c>
      <c r="AD1252" s="56">
        <f>INDEX(Assumptions!$B$14:$B$16,MATCH($R1252,Assumptions!$A$14:$A$16,0))</f>
        <v>0.18</v>
      </c>
      <c r="AE1252" s="56">
        <f>INDEX(Assumptions!$C$14:$C$16,MATCH($R1252,Assumptions!$A$14:$A$16,0))</f>
        <v>0.12</v>
      </c>
      <c r="AF1252" s="49">
        <f t="shared" si="277"/>
        <v>0</v>
      </c>
      <c r="AG1252" s="49">
        <f t="shared" si="278"/>
        <v>0</v>
      </c>
      <c r="AH1252" s="55">
        <f t="shared" si="279"/>
        <v>0</v>
      </c>
    </row>
    <row r="1253" spans="1:34" x14ac:dyDescent="0.2">
      <c r="A1253" s="48" t="s">
        <v>1106</v>
      </c>
      <c r="B1253" s="48">
        <v>1</v>
      </c>
      <c r="C1253" s="48" t="s">
        <v>1075</v>
      </c>
      <c r="D1253" s="48" t="s">
        <v>1051</v>
      </c>
      <c r="E1253" s="48" t="s">
        <v>296</v>
      </c>
      <c r="F1253" s="48" t="s">
        <v>297</v>
      </c>
      <c r="G1253" s="48" t="s">
        <v>298</v>
      </c>
      <c r="H1253" s="48" t="s">
        <v>66</v>
      </c>
      <c r="I1253" s="48" t="s">
        <v>108</v>
      </c>
      <c r="J1253" s="49">
        <v>70</v>
      </c>
      <c r="K1253" s="50">
        <v>1280</v>
      </c>
      <c r="L1253" s="50">
        <v>1227.28</v>
      </c>
      <c r="M1253" s="48" t="s">
        <v>276</v>
      </c>
      <c r="N1253" s="51">
        <v>0.92</v>
      </c>
      <c r="O1253" s="51">
        <v>0.92859999999999998</v>
      </c>
      <c r="P1253" s="52">
        <v>1165</v>
      </c>
      <c r="Q1253" s="52">
        <v>1232.6199999999999</v>
      </c>
      <c r="R1253" s="53" t="str">
        <f>INDEX(SKU_Master!$D$5:$D$34,MATCH($I1253,SKU_Master!$A$5:$A$34,0))</f>
        <v>Laptop</v>
      </c>
      <c r="S1253" s="54">
        <f t="shared" si="266"/>
        <v>4.1187500000000044E-2</v>
      </c>
      <c r="T1253" s="55">
        <f t="shared" si="267"/>
        <v>97391.304347826081</v>
      </c>
      <c r="U1253" s="55">
        <f t="shared" si="268"/>
        <v>93379.999999999985</v>
      </c>
      <c r="V1253" s="55">
        <f t="shared" si="269"/>
        <v>-4011.3043478260952</v>
      </c>
      <c r="W1253" s="55">
        <f t="shared" si="270"/>
        <v>92515.184148180051</v>
      </c>
      <c r="X1253" s="55">
        <f t="shared" si="271"/>
        <v>-864.81585181993432</v>
      </c>
      <c r="Y1253" s="55">
        <f t="shared" si="272"/>
        <v>81550</v>
      </c>
      <c r="Z1253" s="55">
        <f t="shared" si="273"/>
        <v>86283.4</v>
      </c>
      <c r="AA1253" s="55">
        <f t="shared" si="274"/>
        <v>-4733.3999999999942</v>
      </c>
      <c r="AB1253" s="55">
        <f t="shared" si="275"/>
        <v>6231.7841481800569</v>
      </c>
      <c r="AC1253" s="54">
        <f t="shared" si="276"/>
        <v>6.7359582165439039E-2</v>
      </c>
      <c r="AD1253" s="56">
        <f>INDEX(Assumptions!$B$14:$B$16,MATCH($R1253,Assumptions!$A$14:$A$16,0))</f>
        <v>0.12</v>
      </c>
      <c r="AE1253" s="56">
        <f>INDEX(Assumptions!$C$14:$C$16,MATCH($R1253,Assumptions!$A$14:$A$16,0))</f>
        <v>0.08</v>
      </c>
      <c r="AF1253" s="49">
        <f t="shared" si="277"/>
        <v>1</v>
      </c>
      <c r="AG1253" s="49">
        <f t="shared" si="278"/>
        <v>1</v>
      </c>
      <c r="AH1253" s="55">
        <f t="shared" si="279"/>
        <v>4870.0379496015485</v>
      </c>
    </row>
    <row r="1254" spans="1:34" x14ac:dyDescent="0.2">
      <c r="A1254" s="48" t="s">
        <v>1106</v>
      </c>
      <c r="B1254" s="48">
        <v>2</v>
      </c>
      <c r="C1254" s="48" t="s">
        <v>1075</v>
      </c>
      <c r="D1254" s="48" t="s">
        <v>1051</v>
      </c>
      <c r="E1254" s="48" t="s">
        <v>296</v>
      </c>
      <c r="F1254" s="48" t="s">
        <v>297</v>
      </c>
      <c r="G1254" s="48" t="s">
        <v>298</v>
      </c>
      <c r="H1254" s="48" t="s">
        <v>66</v>
      </c>
      <c r="I1254" s="48" t="s">
        <v>135</v>
      </c>
      <c r="J1254" s="49">
        <v>71</v>
      </c>
      <c r="K1254" s="50">
        <v>255</v>
      </c>
      <c r="L1254" s="50">
        <v>249.16</v>
      </c>
      <c r="M1254" s="48" t="s">
        <v>276</v>
      </c>
      <c r="N1254" s="51">
        <v>0.92</v>
      </c>
      <c r="O1254" s="51">
        <v>0.92859999999999998</v>
      </c>
      <c r="P1254" s="52">
        <v>211.7</v>
      </c>
      <c r="Q1254" s="52">
        <v>211.7</v>
      </c>
      <c r="R1254" s="53" t="str">
        <f>INDEX(SKU_Master!$D$5:$D$34,MATCH($I1254,SKU_Master!$A$5:$A$34,0))</f>
        <v>Monitor</v>
      </c>
      <c r="S1254" s="54">
        <f t="shared" si="266"/>
        <v>2.2901960784313724E-2</v>
      </c>
      <c r="T1254" s="55">
        <f t="shared" si="267"/>
        <v>19679.347826086956</v>
      </c>
      <c r="U1254" s="55">
        <f t="shared" si="268"/>
        <v>19228.652173913044</v>
      </c>
      <c r="V1254" s="55">
        <f t="shared" si="269"/>
        <v>-450.69565217391209</v>
      </c>
      <c r="W1254" s="55">
        <f t="shared" si="270"/>
        <v>19050.57075166918</v>
      </c>
      <c r="X1254" s="55">
        <f t="shared" si="271"/>
        <v>-178.08142224386393</v>
      </c>
      <c r="Y1254" s="55">
        <f t="shared" si="272"/>
        <v>15030.699999999999</v>
      </c>
      <c r="Z1254" s="55">
        <f t="shared" si="273"/>
        <v>15030.699999999999</v>
      </c>
      <c r="AA1254" s="55">
        <f t="shared" si="274"/>
        <v>0</v>
      </c>
      <c r="AB1254" s="55">
        <f t="shared" si="275"/>
        <v>4019.8707516691811</v>
      </c>
      <c r="AC1254" s="54">
        <f t="shared" si="276"/>
        <v>0.21101051533151396</v>
      </c>
      <c r="AD1254" s="56">
        <f>INDEX(Assumptions!$B$14:$B$16,MATCH($R1254,Assumptions!$A$14:$A$16,0))</f>
        <v>0.18</v>
      </c>
      <c r="AE1254" s="56">
        <f>INDEX(Assumptions!$C$14:$C$16,MATCH($R1254,Assumptions!$A$14:$A$16,0))</f>
        <v>0.12</v>
      </c>
      <c r="AF1254" s="49">
        <f t="shared" si="277"/>
        <v>0</v>
      </c>
      <c r="AG1254" s="49">
        <f t="shared" si="278"/>
        <v>0</v>
      </c>
      <c r="AH1254" s="55">
        <f t="shared" si="279"/>
        <v>0</v>
      </c>
    </row>
    <row r="1255" spans="1:34" x14ac:dyDescent="0.2">
      <c r="A1255" s="48" t="s">
        <v>1107</v>
      </c>
      <c r="B1255" s="48">
        <v>1</v>
      </c>
      <c r="C1255" s="48" t="s">
        <v>1108</v>
      </c>
      <c r="D1255" s="48" t="s">
        <v>1051</v>
      </c>
      <c r="E1255" s="48" t="s">
        <v>314</v>
      </c>
      <c r="F1255" s="48" t="s">
        <v>274</v>
      </c>
      <c r="G1255" s="48" t="s">
        <v>298</v>
      </c>
      <c r="H1255" s="48" t="s">
        <v>68</v>
      </c>
      <c r="I1255" s="48" t="s">
        <v>115</v>
      </c>
      <c r="J1255" s="49">
        <v>8</v>
      </c>
      <c r="K1255" s="50">
        <v>1205</v>
      </c>
      <c r="L1255" s="50">
        <v>1204.3399999999999</v>
      </c>
      <c r="M1255" s="48" t="s">
        <v>276</v>
      </c>
      <c r="N1255" s="51">
        <v>1.37</v>
      </c>
      <c r="O1255" s="51">
        <v>1.3584000000000001</v>
      </c>
      <c r="P1255" s="52">
        <v>735.6</v>
      </c>
      <c r="Q1255" s="52">
        <v>735.6</v>
      </c>
      <c r="R1255" s="53" t="str">
        <f>INDEX(SKU_Master!$D$5:$D$34,MATCH($I1255,SKU_Master!$A$5:$A$34,0))</f>
        <v>Laptop</v>
      </c>
      <c r="S1255" s="54">
        <f t="shared" si="266"/>
        <v>5.4771784232376941E-4</v>
      </c>
      <c r="T1255" s="55">
        <f t="shared" si="267"/>
        <v>7036.4963503649633</v>
      </c>
      <c r="U1255" s="55">
        <f t="shared" si="268"/>
        <v>7032.6423357664225</v>
      </c>
      <c r="V1255" s="55">
        <f t="shared" si="269"/>
        <v>-3.8540145985407435</v>
      </c>
      <c r="W1255" s="55">
        <f t="shared" si="270"/>
        <v>7092.6972909305059</v>
      </c>
      <c r="X1255" s="55">
        <f t="shared" si="271"/>
        <v>60.054955164083367</v>
      </c>
      <c r="Y1255" s="55">
        <f t="shared" si="272"/>
        <v>5884.8</v>
      </c>
      <c r="Z1255" s="55">
        <f t="shared" si="273"/>
        <v>5884.8</v>
      </c>
      <c r="AA1255" s="55">
        <f t="shared" si="274"/>
        <v>0</v>
      </c>
      <c r="AB1255" s="55">
        <f t="shared" si="275"/>
        <v>1207.8972909305057</v>
      </c>
      <c r="AC1255" s="54">
        <f t="shared" si="276"/>
        <v>0.17030154275370735</v>
      </c>
      <c r="AD1255" s="56">
        <f>INDEX(Assumptions!$B$14:$B$16,MATCH($R1255,Assumptions!$A$14:$A$16,0))</f>
        <v>0.12</v>
      </c>
      <c r="AE1255" s="56">
        <f>INDEX(Assumptions!$C$14:$C$16,MATCH($R1255,Assumptions!$A$14:$A$16,0))</f>
        <v>0.08</v>
      </c>
      <c r="AF1255" s="49">
        <f t="shared" si="277"/>
        <v>0</v>
      </c>
      <c r="AG1255" s="49">
        <f t="shared" si="278"/>
        <v>0</v>
      </c>
      <c r="AH1255" s="55">
        <f t="shared" si="279"/>
        <v>0</v>
      </c>
    </row>
    <row r="1256" spans="1:34" x14ac:dyDescent="0.2">
      <c r="A1256" s="48" t="s">
        <v>1107</v>
      </c>
      <c r="B1256" s="48">
        <v>2</v>
      </c>
      <c r="C1256" s="48" t="s">
        <v>1108</v>
      </c>
      <c r="D1256" s="48" t="s">
        <v>1051</v>
      </c>
      <c r="E1256" s="48" t="s">
        <v>314</v>
      </c>
      <c r="F1256" s="48" t="s">
        <v>274</v>
      </c>
      <c r="G1256" s="48" t="s">
        <v>298</v>
      </c>
      <c r="H1256" s="48" t="s">
        <v>68</v>
      </c>
      <c r="I1256" s="48" t="s">
        <v>135</v>
      </c>
      <c r="J1256" s="49">
        <v>8</v>
      </c>
      <c r="K1256" s="50">
        <v>360</v>
      </c>
      <c r="L1256" s="50">
        <v>356.65</v>
      </c>
      <c r="M1256" s="48" t="s">
        <v>276</v>
      </c>
      <c r="N1256" s="51">
        <v>1.37</v>
      </c>
      <c r="O1256" s="51">
        <v>1.3584000000000001</v>
      </c>
      <c r="P1256" s="52">
        <v>201.7</v>
      </c>
      <c r="Q1256" s="52">
        <v>201.7</v>
      </c>
      <c r="R1256" s="53" t="str">
        <f>INDEX(SKU_Master!$D$5:$D$34,MATCH($I1256,SKU_Master!$A$5:$A$34,0))</f>
        <v>Monitor</v>
      </c>
      <c r="S1256" s="54">
        <f t="shared" si="266"/>
        <v>9.3055555555555669E-3</v>
      </c>
      <c r="T1256" s="55">
        <f t="shared" si="267"/>
        <v>2102.1897810218975</v>
      </c>
      <c r="U1256" s="55">
        <f t="shared" si="268"/>
        <v>2082.6277372262771</v>
      </c>
      <c r="V1256" s="55">
        <f t="shared" si="269"/>
        <v>-19.562043795620411</v>
      </c>
      <c r="W1256" s="55">
        <f t="shared" si="270"/>
        <v>2100.4122497055355</v>
      </c>
      <c r="X1256" s="55">
        <f t="shared" si="271"/>
        <v>17.78451247925841</v>
      </c>
      <c r="Y1256" s="55">
        <f t="shared" si="272"/>
        <v>1613.6</v>
      </c>
      <c r="Z1256" s="55">
        <f t="shared" si="273"/>
        <v>1613.6</v>
      </c>
      <c r="AA1256" s="55">
        <f t="shared" si="274"/>
        <v>0</v>
      </c>
      <c r="AB1256" s="55">
        <f t="shared" si="275"/>
        <v>486.81224970553558</v>
      </c>
      <c r="AC1256" s="54">
        <f t="shared" si="276"/>
        <v>0.23176985840459824</v>
      </c>
      <c r="AD1256" s="56">
        <f>INDEX(Assumptions!$B$14:$B$16,MATCH($R1256,Assumptions!$A$14:$A$16,0))</f>
        <v>0.18</v>
      </c>
      <c r="AE1256" s="56">
        <f>INDEX(Assumptions!$C$14:$C$16,MATCH($R1256,Assumptions!$A$14:$A$16,0))</f>
        <v>0.12</v>
      </c>
      <c r="AF1256" s="49">
        <f t="shared" si="277"/>
        <v>0</v>
      </c>
      <c r="AG1256" s="49">
        <f t="shared" si="278"/>
        <v>0</v>
      </c>
      <c r="AH1256" s="55">
        <f t="shared" si="279"/>
        <v>0</v>
      </c>
    </row>
    <row r="1257" spans="1:34" x14ac:dyDescent="0.2">
      <c r="A1257" s="48" t="s">
        <v>1107</v>
      </c>
      <c r="B1257" s="48">
        <v>3</v>
      </c>
      <c r="C1257" s="48" t="s">
        <v>1108</v>
      </c>
      <c r="D1257" s="48" t="s">
        <v>1051</v>
      </c>
      <c r="E1257" s="48" t="s">
        <v>314</v>
      </c>
      <c r="F1257" s="48" t="s">
        <v>274</v>
      </c>
      <c r="G1257" s="48" t="s">
        <v>298</v>
      </c>
      <c r="H1257" s="48" t="s">
        <v>68</v>
      </c>
      <c r="I1257" s="48" t="s">
        <v>173</v>
      </c>
      <c r="J1257" s="49">
        <v>7</v>
      </c>
      <c r="K1257" s="50">
        <v>80</v>
      </c>
      <c r="L1257" s="50">
        <v>79</v>
      </c>
      <c r="M1257" s="48" t="s">
        <v>276</v>
      </c>
      <c r="N1257" s="51">
        <v>1.37</v>
      </c>
      <c r="O1257" s="51">
        <v>1.3584000000000001</v>
      </c>
      <c r="P1257" s="52">
        <v>37</v>
      </c>
      <c r="Q1257" s="52">
        <v>37</v>
      </c>
      <c r="R1257" s="53" t="str">
        <f>INDEX(SKU_Master!$D$5:$D$34,MATCH($I1257,SKU_Master!$A$5:$A$34,0))</f>
        <v>Accessory</v>
      </c>
      <c r="S1257" s="54">
        <f t="shared" si="266"/>
        <v>1.2499999999999956E-2</v>
      </c>
      <c r="T1257" s="55">
        <f t="shared" si="267"/>
        <v>408.7591240875912</v>
      </c>
      <c r="U1257" s="55">
        <f t="shared" si="268"/>
        <v>403.64963503649631</v>
      </c>
      <c r="V1257" s="55">
        <f t="shared" si="269"/>
        <v>-5.1094890510948971</v>
      </c>
      <c r="W1257" s="55">
        <f t="shared" si="270"/>
        <v>407.09658421672555</v>
      </c>
      <c r="X1257" s="55">
        <f t="shared" si="271"/>
        <v>3.4469491802292396</v>
      </c>
      <c r="Y1257" s="55">
        <f t="shared" si="272"/>
        <v>259</v>
      </c>
      <c r="Z1257" s="55">
        <f t="shared" si="273"/>
        <v>259</v>
      </c>
      <c r="AA1257" s="55">
        <f t="shared" si="274"/>
        <v>0</v>
      </c>
      <c r="AB1257" s="55">
        <f t="shared" si="275"/>
        <v>148.09658421672555</v>
      </c>
      <c r="AC1257" s="54">
        <f t="shared" si="276"/>
        <v>0.36378734177215188</v>
      </c>
      <c r="AD1257" s="56">
        <f>INDEX(Assumptions!$B$14:$B$16,MATCH($R1257,Assumptions!$A$14:$A$16,0))</f>
        <v>0.32</v>
      </c>
      <c r="AE1257" s="56">
        <f>INDEX(Assumptions!$C$14:$C$16,MATCH($R1257,Assumptions!$A$14:$A$16,0))</f>
        <v>0.22</v>
      </c>
      <c r="AF1257" s="49">
        <f t="shared" si="277"/>
        <v>0</v>
      </c>
      <c r="AG1257" s="49">
        <f t="shared" si="278"/>
        <v>0</v>
      </c>
      <c r="AH1257" s="55">
        <f t="shared" si="279"/>
        <v>0</v>
      </c>
    </row>
    <row r="1258" spans="1:34" x14ac:dyDescent="0.2">
      <c r="A1258" s="48" t="s">
        <v>1109</v>
      </c>
      <c r="B1258" s="48">
        <v>1</v>
      </c>
      <c r="C1258" s="48" t="s">
        <v>1053</v>
      </c>
      <c r="D1258" s="48" t="s">
        <v>1051</v>
      </c>
      <c r="E1258" s="48" t="s">
        <v>314</v>
      </c>
      <c r="F1258" s="48" t="s">
        <v>274</v>
      </c>
      <c r="G1258" s="48" t="s">
        <v>298</v>
      </c>
      <c r="H1258" s="48" t="s">
        <v>68</v>
      </c>
      <c r="I1258" s="48" t="s">
        <v>108</v>
      </c>
      <c r="J1258" s="49">
        <v>6</v>
      </c>
      <c r="K1258" s="50">
        <v>1895</v>
      </c>
      <c r="L1258" s="50">
        <v>1884.67</v>
      </c>
      <c r="M1258" s="48" t="s">
        <v>276</v>
      </c>
      <c r="N1258" s="51">
        <v>1.37</v>
      </c>
      <c r="O1258" s="51">
        <v>1.3584000000000001</v>
      </c>
      <c r="P1258" s="52">
        <v>1157</v>
      </c>
      <c r="Q1258" s="52">
        <v>1224.6199999999999</v>
      </c>
      <c r="R1258" s="53" t="str">
        <f>INDEX(SKU_Master!$D$5:$D$34,MATCH($I1258,SKU_Master!$A$5:$A$34,0))</f>
        <v>Laptop</v>
      </c>
      <c r="S1258" s="54">
        <f t="shared" si="266"/>
        <v>5.4511873350923112E-3</v>
      </c>
      <c r="T1258" s="55">
        <f t="shared" si="267"/>
        <v>8299.2700729927001</v>
      </c>
      <c r="U1258" s="55">
        <f t="shared" si="268"/>
        <v>8254.0291970802919</v>
      </c>
      <c r="V1258" s="55">
        <f t="shared" si="269"/>
        <v>-45.240875912408228</v>
      </c>
      <c r="W1258" s="55">
        <f t="shared" si="270"/>
        <v>8324.5141342756178</v>
      </c>
      <c r="X1258" s="55">
        <f t="shared" si="271"/>
        <v>70.484937195325983</v>
      </c>
      <c r="Y1258" s="55">
        <f t="shared" si="272"/>
        <v>6942</v>
      </c>
      <c r="Z1258" s="55">
        <f t="shared" si="273"/>
        <v>7347.7199999999993</v>
      </c>
      <c r="AA1258" s="55">
        <f t="shared" si="274"/>
        <v>-405.71999999999935</v>
      </c>
      <c r="AB1258" s="55">
        <f t="shared" si="275"/>
        <v>976.79413427561849</v>
      </c>
      <c r="AC1258" s="54">
        <f t="shared" si="276"/>
        <v>0.11733947693760713</v>
      </c>
      <c r="AD1258" s="56">
        <f>INDEX(Assumptions!$B$14:$B$16,MATCH($R1258,Assumptions!$A$14:$A$16,0))</f>
        <v>0.12</v>
      </c>
      <c r="AE1258" s="56">
        <f>INDEX(Assumptions!$C$14:$C$16,MATCH($R1258,Assumptions!$A$14:$A$16,0))</f>
        <v>0.08</v>
      </c>
      <c r="AF1258" s="49">
        <f t="shared" si="277"/>
        <v>0</v>
      </c>
      <c r="AG1258" s="49">
        <f t="shared" si="278"/>
        <v>0</v>
      </c>
      <c r="AH1258" s="55">
        <f t="shared" si="279"/>
        <v>22.147561837455669</v>
      </c>
    </row>
    <row r="1259" spans="1:34" x14ac:dyDescent="0.2">
      <c r="A1259" s="48" t="s">
        <v>1109</v>
      </c>
      <c r="B1259" s="48">
        <v>2</v>
      </c>
      <c r="C1259" s="48" t="s">
        <v>1053</v>
      </c>
      <c r="D1259" s="48" t="s">
        <v>1051</v>
      </c>
      <c r="E1259" s="48" t="s">
        <v>314</v>
      </c>
      <c r="F1259" s="48" t="s">
        <v>274</v>
      </c>
      <c r="G1259" s="48" t="s">
        <v>298</v>
      </c>
      <c r="H1259" s="48" t="s">
        <v>68</v>
      </c>
      <c r="I1259" s="48" t="s">
        <v>135</v>
      </c>
      <c r="J1259" s="49">
        <v>5</v>
      </c>
      <c r="K1259" s="50">
        <v>360</v>
      </c>
      <c r="L1259" s="50">
        <v>354.25</v>
      </c>
      <c r="M1259" s="48" t="s">
        <v>276</v>
      </c>
      <c r="N1259" s="51">
        <v>1.37</v>
      </c>
      <c r="O1259" s="51">
        <v>1.3584000000000001</v>
      </c>
      <c r="P1259" s="52">
        <v>201.7</v>
      </c>
      <c r="Q1259" s="52">
        <v>201.7</v>
      </c>
      <c r="R1259" s="53" t="str">
        <f>INDEX(SKU_Master!$D$5:$D$34,MATCH($I1259,SKU_Master!$A$5:$A$34,0))</f>
        <v>Monitor</v>
      </c>
      <c r="S1259" s="54">
        <f t="shared" si="266"/>
        <v>1.5972222222222276E-2</v>
      </c>
      <c r="T1259" s="55">
        <f t="shared" si="267"/>
        <v>1313.868613138686</v>
      </c>
      <c r="U1259" s="55">
        <f t="shared" si="268"/>
        <v>1292.8832116788319</v>
      </c>
      <c r="V1259" s="55">
        <f t="shared" si="269"/>
        <v>-20.985401459854074</v>
      </c>
      <c r="W1259" s="55">
        <f t="shared" si="270"/>
        <v>1303.9237338044759</v>
      </c>
      <c r="X1259" s="55">
        <f t="shared" si="271"/>
        <v>11.040522125643975</v>
      </c>
      <c r="Y1259" s="55">
        <f t="shared" si="272"/>
        <v>1008.5</v>
      </c>
      <c r="Z1259" s="55">
        <f t="shared" si="273"/>
        <v>1008.5</v>
      </c>
      <c r="AA1259" s="55">
        <f t="shared" si="274"/>
        <v>0</v>
      </c>
      <c r="AB1259" s="55">
        <f t="shared" si="275"/>
        <v>295.42373380447589</v>
      </c>
      <c r="AC1259" s="54">
        <f t="shared" si="276"/>
        <v>0.22656519407198308</v>
      </c>
      <c r="AD1259" s="56">
        <f>INDEX(Assumptions!$B$14:$B$16,MATCH($R1259,Assumptions!$A$14:$A$16,0))</f>
        <v>0.18</v>
      </c>
      <c r="AE1259" s="56">
        <f>INDEX(Assumptions!$C$14:$C$16,MATCH($R1259,Assumptions!$A$14:$A$16,0))</f>
        <v>0.12</v>
      </c>
      <c r="AF1259" s="49">
        <f t="shared" si="277"/>
        <v>0</v>
      </c>
      <c r="AG1259" s="49">
        <f t="shared" si="278"/>
        <v>0</v>
      </c>
      <c r="AH1259" s="55">
        <f t="shared" si="279"/>
        <v>0</v>
      </c>
    </row>
    <row r="1260" spans="1:34" x14ac:dyDescent="0.2">
      <c r="A1260" s="48" t="s">
        <v>1110</v>
      </c>
      <c r="B1260" s="48">
        <v>1</v>
      </c>
      <c r="C1260" s="48" t="s">
        <v>1084</v>
      </c>
      <c r="D1260" s="48" t="s">
        <v>1051</v>
      </c>
      <c r="E1260" s="48" t="s">
        <v>346</v>
      </c>
      <c r="F1260" s="48" t="s">
        <v>297</v>
      </c>
      <c r="G1260" s="48" t="s">
        <v>302</v>
      </c>
      <c r="H1260" s="48" t="s">
        <v>62</v>
      </c>
      <c r="I1260" s="48" t="s">
        <v>106</v>
      </c>
      <c r="J1260" s="49">
        <v>65</v>
      </c>
      <c r="K1260" s="50">
        <v>1520</v>
      </c>
      <c r="L1260" s="50">
        <v>1489.25</v>
      </c>
      <c r="M1260" s="48" t="s">
        <v>276</v>
      </c>
      <c r="N1260" s="51">
        <v>1</v>
      </c>
      <c r="O1260" s="51">
        <v>1</v>
      </c>
      <c r="P1260" s="52">
        <v>1298.4000000000001</v>
      </c>
      <c r="Q1260" s="52">
        <v>1298.4000000000001</v>
      </c>
      <c r="R1260" s="53" t="str">
        <f>INDEX(SKU_Master!$D$5:$D$34,MATCH($I1260,SKU_Master!$A$5:$A$34,0))</f>
        <v>Laptop</v>
      </c>
      <c r="S1260" s="54">
        <f t="shared" si="266"/>
        <v>2.0230263157894779E-2</v>
      </c>
      <c r="T1260" s="55">
        <f t="shared" si="267"/>
        <v>98800</v>
      </c>
      <c r="U1260" s="55">
        <f t="shared" si="268"/>
        <v>96801.25</v>
      </c>
      <c r="V1260" s="55">
        <f t="shared" si="269"/>
        <v>-1998.75</v>
      </c>
      <c r="W1260" s="55">
        <f t="shared" si="270"/>
        <v>96801.25</v>
      </c>
      <c r="X1260" s="55">
        <f t="shared" si="271"/>
        <v>0</v>
      </c>
      <c r="Y1260" s="55">
        <f t="shared" si="272"/>
        <v>84396</v>
      </c>
      <c r="Z1260" s="55">
        <f t="shared" si="273"/>
        <v>84396</v>
      </c>
      <c r="AA1260" s="55">
        <f t="shared" si="274"/>
        <v>0</v>
      </c>
      <c r="AB1260" s="55">
        <f t="shared" si="275"/>
        <v>12405.25</v>
      </c>
      <c r="AC1260" s="54">
        <f t="shared" si="276"/>
        <v>0.12815175423871075</v>
      </c>
      <c r="AD1260" s="56">
        <f>INDEX(Assumptions!$B$14:$B$16,MATCH($R1260,Assumptions!$A$14:$A$16,0))</f>
        <v>0.12</v>
      </c>
      <c r="AE1260" s="56">
        <f>INDEX(Assumptions!$C$14:$C$16,MATCH($R1260,Assumptions!$A$14:$A$16,0))</f>
        <v>0.08</v>
      </c>
      <c r="AF1260" s="49">
        <f t="shared" si="277"/>
        <v>0</v>
      </c>
      <c r="AG1260" s="49">
        <f t="shared" si="278"/>
        <v>0</v>
      </c>
      <c r="AH1260" s="55">
        <f t="shared" si="279"/>
        <v>0</v>
      </c>
    </row>
    <row r="1261" spans="1:34" x14ac:dyDescent="0.2">
      <c r="A1261" s="48" t="s">
        <v>1110</v>
      </c>
      <c r="B1261" s="48">
        <v>2</v>
      </c>
      <c r="C1261" s="48" t="s">
        <v>1084</v>
      </c>
      <c r="D1261" s="48" t="s">
        <v>1051</v>
      </c>
      <c r="E1261" s="48" t="s">
        <v>346</v>
      </c>
      <c r="F1261" s="48" t="s">
        <v>297</v>
      </c>
      <c r="G1261" s="48" t="s">
        <v>302</v>
      </c>
      <c r="H1261" s="48" t="s">
        <v>62</v>
      </c>
      <c r="I1261" s="48" t="s">
        <v>157</v>
      </c>
      <c r="J1261" s="49">
        <v>55</v>
      </c>
      <c r="K1261" s="50">
        <v>135</v>
      </c>
      <c r="L1261" s="50">
        <v>131.72999999999999</v>
      </c>
      <c r="M1261" s="48" t="s">
        <v>276</v>
      </c>
      <c r="N1261" s="51">
        <v>1</v>
      </c>
      <c r="O1261" s="51">
        <v>1</v>
      </c>
      <c r="P1261" s="52">
        <v>86</v>
      </c>
      <c r="Q1261" s="52">
        <v>86</v>
      </c>
      <c r="R1261" s="53" t="str">
        <f>INDEX(SKU_Master!$D$5:$D$34,MATCH($I1261,SKU_Master!$A$5:$A$34,0))</f>
        <v>Accessory</v>
      </c>
      <c r="S1261" s="54">
        <f t="shared" si="266"/>
        <v>2.4222222222222256E-2</v>
      </c>
      <c r="T1261" s="55">
        <f t="shared" si="267"/>
        <v>7425</v>
      </c>
      <c r="U1261" s="55">
        <f t="shared" si="268"/>
        <v>7245.15</v>
      </c>
      <c r="V1261" s="55">
        <f t="shared" si="269"/>
        <v>-179.85000000000036</v>
      </c>
      <c r="W1261" s="55">
        <f t="shared" si="270"/>
        <v>7245.15</v>
      </c>
      <c r="X1261" s="55">
        <f t="shared" si="271"/>
        <v>0</v>
      </c>
      <c r="Y1261" s="55">
        <f t="shared" si="272"/>
        <v>4730</v>
      </c>
      <c r="Z1261" s="55">
        <f t="shared" si="273"/>
        <v>4730</v>
      </c>
      <c r="AA1261" s="55">
        <f t="shared" si="274"/>
        <v>0</v>
      </c>
      <c r="AB1261" s="55">
        <f t="shared" si="275"/>
        <v>2515.1499999999996</v>
      </c>
      <c r="AC1261" s="54">
        <f t="shared" si="276"/>
        <v>0.34714947240567823</v>
      </c>
      <c r="AD1261" s="56">
        <f>INDEX(Assumptions!$B$14:$B$16,MATCH($R1261,Assumptions!$A$14:$A$16,0))</f>
        <v>0.32</v>
      </c>
      <c r="AE1261" s="56">
        <f>INDEX(Assumptions!$C$14:$C$16,MATCH($R1261,Assumptions!$A$14:$A$16,0))</f>
        <v>0.22</v>
      </c>
      <c r="AF1261" s="49">
        <f t="shared" si="277"/>
        <v>0</v>
      </c>
      <c r="AG1261" s="49">
        <f t="shared" si="278"/>
        <v>0</v>
      </c>
      <c r="AH1261" s="55">
        <f t="shared" si="279"/>
        <v>0</v>
      </c>
    </row>
    <row r="1262" spans="1:34" x14ac:dyDescent="0.2">
      <c r="A1262" s="48" t="s">
        <v>1111</v>
      </c>
      <c r="B1262" s="48">
        <v>1</v>
      </c>
      <c r="C1262" s="48" t="s">
        <v>1063</v>
      </c>
      <c r="D1262" s="48" t="s">
        <v>1051</v>
      </c>
      <c r="E1262" s="48" t="s">
        <v>296</v>
      </c>
      <c r="F1262" s="48" t="s">
        <v>297</v>
      </c>
      <c r="G1262" s="48" t="s">
        <v>298</v>
      </c>
      <c r="H1262" s="48" t="s">
        <v>66</v>
      </c>
      <c r="I1262" s="48" t="s">
        <v>98</v>
      </c>
      <c r="J1262" s="49">
        <v>22</v>
      </c>
      <c r="K1262" s="50">
        <v>1980</v>
      </c>
      <c r="L1262" s="50">
        <v>1925.08</v>
      </c>
      <c r="M1262" s="48" t="s">
        <v>276</v>
      </c>
      <c r="N1262" s="51">
        <v>0.92</v>
      </c>
      <c r="O1262" s="51">
        <v>0.92859999999999998</v>
      </c>
      <c r="P1262" s="52">
        <v>1800.2</v>
      </c>
      <c r="Q1262" s="52">
        <v>1800.2</v>
      </c>
      <c r="R1262" s="53" t="str">
        <f>INDEX(SKU_Master!$D$5:$D$34,MATCH($I1262,SKU_Master!$A$5:$A$34,0))</f>
        <v>Laptop</v>
      </c>
      <c r="S1262" s="54">
        <f t="shared" si="266"/>
        <v>2.7737373737373727E-2</v>
      </c>
      <c r="T1262" s="55">
        <f t="shared" si="267"/>
        <v>47347.82608695652</v>
      </c>
      <c r="U1262" s="55">
        <f t="shared" si="268"/>
        <v>46034.521739130425</v>
      </c>
      <c r="V1262" s="55">
        <f t="shared" si="269"/>
        <v>-1313.3043478260952</v>
      </c>
      <c r="W1262" s="55">
        <f t="shared" si="270"/>
        <v>45608.184363558037</v>
      </c>
      <c r="X1262" s="55">
        <f t="shared" si="271"/>
        <v>-426.33737557238783</v>
      </c>
      <c r="Y1262" s="55">
        <f t="shared" si="272"/>
        <v>39604.400000000001</v>
      </c>
      <c r="Z1262" s="55">
        <f t="shared" si="273"/>
        <v>39604.400000000001</v>
      </c>
      <c r="AA1262" s="55">
        <f t="shared" si="274"/>
        <v>0</v>
      </c>
      <c r="AB1262" s="55">
        <f t="shared" si="275"/>
        <v>6003.7843635580357</v>
      </c>
      <c r="AC1262" s="54">
        <f t="shared" si="276"/>
        <v>0.13163831113512148</v>
      </c>
      <c r="AD1262" s="56">
        <f>INDEX(Assumptions!$B$14:$B$16,MATCH($R1262,Assumptions!$A$14:$A$16,0))</f>
        <v>0.12</v>
      </c>
      <c r="AE1262" s="56">
        <f>INDEX(Assumptions!$C$14:$C$16,MATCH($R1262,Assumptions!$A$14:$A$16,0))</f>
        <v>0.08</v>
      </c>
      <c r="AF1262" s="49">
        <f t="shared" si="277"/>
        <v>0</v>
      </c>
      <c r="AG1262" s="49">
        <f t="shared" si="278"/>
        <v>0</v>
      </c>
      <c r="AH1262" s="55">
        <f t="shared" si="279"/>
        <v>0</v>
      </c>
    </row>
    <row r="1263" spans="1:34" x14ac:dyDescent="0.2">
      <c r="A1263" s="48" t="s">
        <v>1111</v>
      </c>
      <c r="B1263" s="48">
        <v>2</v>
      </c>
      <c r="C1263" s="48" t="s">
        <v>1063</v>
      </c>
      <c r="D1263" s="48" t="s">
        <v>1051</v>
      </c>
      <c r="E1263" s="48" t="s">
        <v>296</v>
      </c>
      <c r="F1263" s="48" t="s">
        <v>297</v>
      </c>
      <c r="G1263" s="48" t="s">
        <v>298</v>
      </c>
      <c r="H1263" s="48" t="s">
        <v>66</v>
      </c>
      <c r="I1263" s="48" t="s">
        <v>157</v>
      </c>
      <c r="J1263" s="49">
        <v>13</v>
      </c>
      <c r="K1263" s="50">
        <v>135</v>
      </c>
      <c r="L1263" s="50">
        <v>130.43</v>
      </c>
      <c r="M1263" s="48" t="s">
        <v>276</v>
      </c>
      <c r="N1263" s="51">
        <v>0.92</v>
      </c>
      <c r="O1263" s="51">
        <v>0.92859999999999998</v>
      </c>
      <c r="P1263" s="52">
        <v>91</v>
      </c>
      <c r="Q1263" s="52">
        <v>91</v>
      </c>
      <c r="R1263" s="53" t="str">
        <f>INDEX(SKU_Master!$D$5:$D$34,MATCH($I1263,SKU_Master!$A$5:$A$34,0))</f>
        <v>Accessory</v>
      </c>
      <c r="S1263" s="54">
        <f t="shared" si="266"/>
        <v>3.38518518518518E-2</v>
      </c>
      <c r="T1263" s="55">
        <f t="shared" si="267"/>
        <v>1907.6086956521738</v>
      </c>
      <c r="U1263" s="55">
        <f t="shared" si="268"/>
        <v>1843.0326086956522</v>
      </c>
      <c r="V1263" s="55">
        <f t="shared" si="269"/>
        <v>-64.576086956521522</v>
      </c>
      <c r="W1263" s="55">
        <f t="shared" si="270"/>
        <v>1825.9638164979542</v>
      </c>
      <c r="X1263" s="55">
        <f t="shared" si="271"/>
        <v>-17.068792197698031</v>
      </c>
      <c r="Y1263" s="55">
        <f t="shared" si="272"/>
        <v>1183</v>
      </c>
      <c r="Z1263" s="55">
        <f t="shared" si="273"/>
        <v>1183</v>
      </c>
      <c r="AA1263" s="55">
        <f t="shared" si="274"/>
        <v>0</v>
      </c>
      <c r="AB1263" s="55">
        <f t="shared" si="275"/>
        <v>642.96381649795421</v>
      </c>
      <c r="AC1263" s="54">
        <f t="shared" si="276"/>
        <v>0.352122977842521</v>
      </c>
      <c r="AD1263" s="56">
        <f>INDEX(Assumptions!$B$14:$B$16,MATCH($R1263,Assumptions!$A$14:$A$16,0))</f>
        <v>0.32</v>
      </c>
      <c r="AE1263" s="56">
        <f>INDEX(Assumptions!$C$14:$C$16,MATCH($R1263,Assumptions!$A$14:$A$16,0))</f>
        <v>0.22</v>
      </c>
      <c r="AF1263" s="49">
        <f t="shared" si="277"/>
        <v>0</v>
      </c>
      <c r="AG1263" s="49">
        <f t="shared" si="278"/>
        <v>0</v>
      </c>
      <c r="AH1263" s="55">
        <f t="shared" si="279"/>
        <v>0</v>
      </c>
    </row>
    <row r="1264" spans="1:34" x14ac:dyDescent="0.2">
      <c r="A1264" s="48" t="s">
        <v>1112</v>
      </c>
      <c r="B1264" s="48">
        <v>1</v>
      </c>
      <c r="C1264" s="48" t="s">
        <v>1113</v>
      </c>
      <c r="D1264" s="48" t="s">
        <v>1051</v>
      </c>
      <c r="E1264" s="48" t="s">
        <v>427</v>
      </c>
      <c r="F1264" s="48" t="s">
        <v>297</v>
      </c>
      <c r="G1264" s="48" t="s">
        <v>302</v>
      </c>
      <c r="H1264" s="48" t="s">
        <v>66</v>
      </c>
      <c r="I1264" s="48" t="s">
        <v>115</v>
      </c>
      <c r="J1264" s="49">
        <v>30</v>
      </c>
      <c r="K1264" s="50">
        <v>820</v>
      </c>
      <c r="L1264" s="50">
        <v>769.36</v>
      </c>
      <c r="M1264" s="48" t="s">
        <v>276</v>
      </c>
      <c r="N1264" s="51">
        <v>0.92</v>
      </c>
      <c r="O1264" s="51">
        <v>0.92859999999999998</v>
      </c>
      <c r="P1264" s="52">
        <v>743.6</v>
      </c>
      <c r="Q1264" s="52">
        <v>743.6</v>
      </c>
      <c r="R1264" s="53" t="str">
        <f>INDEX(SKU_Master!$D$5:$D$34,MATCH($I1264,SKU_Master!$A$5:$A$34,0))</f>
        <v>Laptop</v>
      </c>
      <c r="S1264" s="54">
        <f t="shared" si="266"/>
        <v>6.1756097560975554E-2</v>
      </c>
      <c r="T1264" s="55">
        <f t="shared" si="267"/>
        <v>26739.130434782608</v>
      </c>
      <c r="U1264" s="55">
        <f t="shared" si="268"/>
        <v>25087.82608695652</v>
      </c>
      <c r="V1264" s="55">
        <f t="shared" si="269"/>
        <v>-1651.3043478260879</v>
      </c>
      <c r="W1264" s="55">
        <f t="shared" si="270"/>
        <v>24855.481369804005</v>
      </c>
      <c r="X1264" s="55">
        <f t="shared" si="271"/>
        <v>-232.34471715251493</v>
      </c>
      <c r="Y1264" s="55">
        <f t="shared" si="272"/>
        <v>22308</v>
      </c>
      <c r="Z1264" s="55">
        <f t="shared" si="273"/>
        <v>22308</v>
      </c>
      <c r="AA1264" s="55">
        <f t="shared" si="274"/>
        <v>0</v>
      </c>
      <c r="AB1264" s="55">
        <f t="shared" si="275"/>
        <v>2547.4813698040052</v>
      </c>
      <c r="AC1264" s="54">
        <f t="shared" si="276"/>
        <v>0.10249173338879065</v>
      </c>
      <c r="AD1264" s="56">
        <f>INDEX(Assumptions!$B$14:$B$16,MATCH($R1264,Assumptions!$A$14:$A$16,0))</f>
        <v>0.12</v>
      </c>
      <c r="AE1264" s="56">
        <f>INDEX(Assumptions!$C$14:$C$16,MATCH($R1264,Assumptions!$A$14:$A$16,0))</f>
        <v>0.08</v>
      </c>
      <c r="AF1264" s="49">
        <f t="shared" si="277"/>
        <v>0</v>
      </c>
      <c r="AG1264" s="49">
        <f t="shared" si="278"/>
        <v>0</v>
      </c>
      <c r="AH1264" s="55">
        <f t="shared" si="279"/>
        <v>435.17639457247515</v>
      </c>
    </row>
    <row r="1265" spans="1:34" x14ac:dyDescent="0.2">
      <c r="A1265" s="48" t="s">
        <v>1112</v>
      </c>
      <c r="B1265" s="48">
        <v>2</v>
      </c>
      <c r="C1265" s="48" t="s">
        <v>1113</v>
      </c>
      <c r="D1265" s="48" t="s">
        <v>1051</v>
      </c>
      <c r="E1265" s="48" t="s">
        <v>427</v>
      </c>
      <c r="F1265" s="48" t="s">
        <v>297</v>
      </c>
      <c r="G1265" s="48" t="s">
        <v>302</v>
      </c>
      <c r="H1265" s="48" t="s">
        <v>66</v>
      </c>
      <c r="I1265" s="48" t="s">
        <v>144</v>
      </c>
      <c r="J1265" s="49">
        <v>12</v>
      </c>
      <c r="K1265" s="50">
        <v>375</v>
      </c>
      <c r="L1265" s="50">
        <v>350.01</v>
      </c>
      <c r="M1265" s="48" t="s">
        <v>276</v>
      </c>
      <c r="N1265" s="51">
        <v>0.92</v>
      </c>
      <c r="O1265" s="51">
        <v>0.92859999999999998</v>
      </c>
      <c r="P1265" s="52">
        <v>314.60000000000002</v>
      </c>
      <c r="Q1265" s="52">
        <v>314.60000000000002</v>
      </c>
      <c r="R1265" s="53" t="str">
        <f>INDEX(SKU_Master!$D$5:$D$34,MATCH($I1265,SKU_Master!$A$5:$A$34,0))</f>
        <v>Monitor</v>
      </c>
      <c r="S1265" s="54">
        <f t="shared" si="266"/>
        <v>6.6640000000000033E-2</v>
      </c>
      <c r="T1265" s="55">
        <f t="shared" si="267"/>
        <v>4891.304347826087</v>
      </c>
      <c r="U1265" s="55">
        <f t="shared" si="268"/>
        <v>4565.347826086956</v>
      </c>
      <c r="V1265" s="55">
        <f t="shared" si="269"/>
        <v>-325.95652173913095</v>
      </c>
      <c r="W1265" s="55">
        <f t="shared" si="270"/>
        <v>4523.0669825543828</v>
      </c>
      <c r="X1265" s="55">
        <f t="shared" si="271"/>
        <v>-42.280843532573272</v>
      </c>
      <c r="Y1265" s="55">
        <f t="shared" si="272"/>
        <v>3775.2000000000003</v>
      </c>
      <c r="Z1265" s="55">
        <f t="shared" si="273"/>
        <v>3775.2000000000003</v>
      </c>
      <c r="AA1265" s="55">
        <f t="shared" si="274"/>
        <v>0</v>
      </c>
      <c r="AB1265" s="55">
        <f t="shared" si="275"/>
        <v>747.8669825543825</v>
      </c>
      <c r="AC1265" s="54">
        <f t="shared" si="276"/>
        <v>0.16534510442558775</v>
      </c>
      <c r="AD1265" s="56">
        <f>INDEX(Assumptions!$B$14:$B$16,MATCH($R1265,Assumptions!$A$14:$A$16,0))</f>
        <v>0.18</v>
      </c>
      <c r="AE1265" s="56">
        <f>INDEX(Assumptions!$C$14:$C$16,MATCH($R1265,Assumptions!$A$14:$A$16,0))</f>
        <v>0.12</v>
      </c>
      <c r="AF1265" s="49">
        <f t="shared" si="277"/>
        <v>0</v>
      </c>
      <c r="AG1265" s="49">
        <f t="shared" si="278"/>
        <v>0</v>
      </c>
      <c r="AH1265" s="55">
        <f t="shared" si="279"/>
        <v>66.285074305406397</v>
      </c>
    </row>
    <row r="1266" spans="1:34" x14ac:dyDescent="0.2">
      <c r="A1266" s="48" t="s">
        <v>1112</v>
      </c>
      <c r="B1266" s="48">
        <v>3</v>
      </c>
      <c r="C1266" s="48" t="s">
        <v>1113</v>
      </c>
      <c r="D1266" s="48" t="s">
        <v>1051</v>
      </c>
      <c r="E1266" s="48" t="s">
        <v>427</v>
      </c>
      <c r="F1266" s="48" t="s">
        <v>297</v>
      </c>
      <c r="G1266" s="48" t="s">
        <v>302</v>
      </c>
      <c r="H1266" s="48" t="s">
        <v>66</v>
      </c>
      <c r="I1266" s="48" t="s">
        <v>157</v>
      </c>
      <c r="J1266" s="49">
        <v>27</v>
      </c>
      <c r="K1266" s="50">
        <v>135</v>
      </c>
      <c r="L1266" s="50">
        <v>126.57</v>
      </c>
      <c r="M1266" s="48" t="s">
        <v>276</v>
      </c>
      <c r="N1266" s="51">
        <v>0.92</v>
      </c>
      <c r="O1266" s="51">
        <v>0.92859999999999998</v>
      </c>
      <c r="P1266" s="52">
        <v>91</v>
      </c>
      <c r="Q1266" s="52">
        <v>91</v>
      </c>
      <c r="R1266" s="53" t="str">
        <f>INDEX(SKU_Master!$D$5:$D$34,MATCH($I1266,SKU_Master!$A$5:$A$34,0))</f>
        <v>Accessory</v>
      </c>
      <c r="S1266" s="54">
        <f t="shared" si="266"/>
        <v>6.2444444444444525E-2</v>
      </c>
      <c r="T1266" s="55">
        <f t="shared" si="267"/>
        <v>3961.95652173913</v>
      </c>
      <c r="U1266" s="55">
        <f t="shared" si="268"/>
        <v>3714.5543478260865</v>
      </c>
      <c r="V1266" s="55">
        <f t="shared" si="269"/>
        <v>-247.4021739130435</v>
      </c>
      <c r="W1266" s="55">
        <f t="shared" si="270"/>
        <v>3680.1529183717425</v>
      </c>
      <c r="X1266" s="55">
        <f t="shared" si="271"/>
        <v>-34.401429454343997</v>
      </c>
      <c r="Y1266" s="55">
        <f t="shared" si="272"/>
        <v>2457</v>
      </c>
      <c r="Z1266" s="55">
        <f t="shared" si="273"/>
        <v>2457</v>
      </c>
      <c r="AA1266" s="55">
        <f t="shared" si="274"/>
        <v>0</v>
      </c>
      <c r="AB1266" s="55">
        <f t="shared" si="275"/>
        <v>1223.1529183717425</v>
      </c>
      <c r="AC1266" s="54">
        <f t="shared" si="276"/>
        <v>0.33236469937583946</v>
      </c>
      <c r="AD1266" s="56">
        <f>INDEX(Assumptions!$B$14:$B$16,MATCH($R1266,Assumptions!$A$14:$A$16,0))</f>
        <v>0.32</v>
      </c>
      <c r="AE1266" s="56">
        <f>INDEX(Assumptions!$C$14:$C$16,MATCH($R1266,Assumptions!$A$14:$A$16,0))</f>
        <v>0.22</v>
      </c>
      <c r="AF1266" s="49">
        <f t="shared" si="277"/>
        <v>0</v>
      </c>
      <c r="AG1266" s="49">
        <f t="shared" si="278"/>
        <v>0</v>
      </c>
      <c r="AH1266" s="55">
        <f t="shared" si="279"/>
        <v>0</v>
      </c>
    </row>
    <row r="1267" spans="1:34" x14ac:dyDescent="0.2">
      <c r="A1267" s="48" t="s">
        <v>1114</v>
      </c>
      <c r="B1267" s="48">
        <v>1</v>
      </c>
      <c r="C1267" s="48" t="s">
        <v>1087</v>
      </c>
      <c r="D1267" s="48" t="s">
        <v>1051</v>
      </c>
      <c r="E1267" s="48" t="s">
        <v>437</v>
      </c>
      <c r="F1267" s="48" t="s">
        <v>274</v>
      </c>
      <c r="G1267" s="48" t="s">
        <v>302</v>
      </c>
      <c r="H1267" s="48" t="s">
        <v>62</v>
      </c>
      <c r="I1267" s="48" t="s">
        <v>93</v>
      </c>
      <c r="J1267" s="49">
        <v>8</v>
      </c>
      <c r="K1267" s="50">
        <v>1390</v>
      </c>
      <c r="L1267" s="50">
        <v>1343.03</v>
      </c>
      <c r="M1267" s="48" t="s">
        <v>276</v>
      </c>
      <c r="N1267" s="51">
        <v>1</v>
      </c>
      <c r="O1267" s="51">
        <v>1</v>
      </c>
      <c r="P1267" s="52">
        <v>1186.2</v>
      </c>
      <c r="Q1267" s="52">
        <v>1186.2</v>
      </c>
      <c r="R1267" s="53" t="str">
        <f>INDEX(SKU_Master!$D$5:$D$34,MATCH($I1267,SKU_Master!$A$5:$A$34,0))</f>
        <v>Laptop</v>
      </c>
      <c r="S1267" s="54">
        <f t="shared" si="266"/>
        <v>3.3791366906474885E-2</v>
      </c>
      <c r="T1267" s="55">
        <f t="shared" si="267"/>
        <v>11120</v>
      </c>
      <c r="U1267" s="55">
        <f t="shared" si="268"/>
        <v>10744.24</v>
      </c>
      <c r="V1267" s="55">
        <f t="shared" si="269"/>
        <v>-375.76000000000022</v>
      </c>
      <c r="W1267" s="55">
        <f t="shared" si="270"/>
        <v>10744.24</v>
      </c>
      <c r="X1267" s="55">
        <f t="shared" si="271"/>
        <v>0</v>
      </c>
      <c r="Y1267" s="55">
        <f t="shared" si="272"/>
        <v>9489.6</v>
      </c>
      <c r="Z1267" s="55">
        <f t="shared" si="273"/>
        <v>9489.6</v>
      </c>
      <c r="AA1267" s="55">
        <f t="shared" si="274"/>
        <v>0</v>
      </c>
      <c r="AB1267" s="55">
        <f t="shared" si="275"/>
        <v>1254.6399999999994</v>
      </c>
      <c r="AC1267" s="54">
        <f t="shared" si="276"/>
        <v>0.11677326641996079</v>
      </c>
      <c r="AD1267" s="56">
        <f>INDEX(Assumptions!$B$14:$B$16,MATCH($R1267,Assumptions!$A$14:$A$16,0))</f>
        <v>0.12</v>
      </c>
      <c r="AE1267" s="56">
        <f>INDEX(Assumptions!$C$14:$C$16,MATCH($R1267,Assumptions!$A$14:$A$16,0))</f>
        <v>0.08</v>
      </c>
      <c r="AF1267" s="49">
        <f t="shared" si="277"/>
        <v>0</v>
      </c>
      <c r="AG1267" s="49">
        <f t="shared" si="278"/>
        <v>0</v>
      </c>
      <c r="AH1267" s="55">
        <f t="shared" si="279"/>
        <v>34.668800000000601</v>
      </c>
    </row>
    <row r="1268" spans="1:34" x14ac:dyDescent="0.2">
      <c r="A1268" s="48" t="s">
        <v>1114</v>
      </c>
      <c r="B1268" s="48">
        <v>2</v>
      </c>
      <c r="C1268" s="48" t="s">
        <v>1087</v>
      </c>
      <c r="D1268" s="48" t="s">
        <v>1051</v>
      </c>
      <c r="E1268" s="48" t="s">
        <v>437</v>
      </c>
      <c r="F1268" s="48" t="s">
        <v>274</v>
      </c>
      <c r="G1268" s="48" t="s">
        <v>302</v>
      </c>
      <c r="H1268" s="48" t="s">
        <v>62</v>
      </c>
      <c r="I1268" s="48" t="s">
        <v>135</v>
      </c>
      <c r="J1268" s="49">
        <v>6</v>
      </c>
      <c r="K1268" s="50">
        <v>240</v>
      </c>
      <c r="L1268" s="50">
        <v>238.51</v>
      </c>
      <c r="M1268" s="48" t="s">
        <v>276</v>
      </c>
      <c r="N1268" s="51">
        <v>1</v>
      </c>
      <c r="O1268" s="51">
        <v>1</v>
      </c>
      <c r="P1268" s="52">
        <v>186.7</v>
      </c>
      <c r="Q1268" s="52">
        <v>186.7</v>
      </c>
      <c r="R1268" s="53" t="str">
        <f>INDEX(SKU_Master!$D$5:$D$34,MATCH($I1268,SKU_Master!$A$5:$A$34,0))</f>
        <v>Monitor</v>
      </c>
      <c r="S1268" s="54">
        <f t="shared" si="266"/>
        <v>6.2083333333333712E-3</v>
      </c>
      <c r="T1268" s="55">
        <f t="shared" si="267"/>
        <v>1440</v>
      </c>
      <c r="U1268" s="55">
        <f t="shared" si="268"/>
        <v>1431.06</v>
      </c>
      <c r="V1268" s="55">
        <f t="shared" si="269"/>
        <v>-8.9400000000000546</v>
      </c>
      <c r="W1268" s="55">
        <f t="shared" si="270"/>
        <v>1431.06</v>
      </c>
      <c r="X1268" s="55">
        <f t="shared" si="271"/>
        <v>0</v>
      </c>
      <c r="Y1268" s="55">
        <f t="shared" si="272"/>
        <v>1120.1999999999998</v>
      </c>
      <c r="Z1268" s="55">
        <f t="shared" si="273"/>
        <v>1120.1999999999998</v>
      </c>
      <c r="AA1268" s="55">
        <f t="shared" si="274"/>
        <v>0</v>
      </c>
      <c r="AB1268" s="55">
        <f t="shared" si="275"/>
        <v>310.86000000000013</v>
      </c>
      <c r="AC1268" s="54">
        <f t="shared" si="276"/>
        <v>0.21722359649490597</v>
      </c>
      <c r="AD1268" s="56">
        <f>INDEX(Assumptions!$B$14:$B$16,MATCH($R1268,Assumptions!$A$14:$A$16,0))</f>
        <v>0.18</v>
      </c>
      <c r="AE1268" s="56">
        <f>INDEX(Assumptions!$C$14:$C$16,MATCH($R1268,Assumptions!$A$14:$A$16,0))</f>
        <v>0.12</v>
      </c>
      <c r="AF1268" s="49">
        <f t="shared" si="277"/>
        <v>0</v>
      </c>
      <c r="AG1268" s="49">
        <f t="shared" si="278"/>
        <v>0</v>
      </c>
      <c r="AH1268" s="55">
        <f t="shared" si="279"/>
        <v>0</v>
      </c>
    </row>
    <row r="1269" spans="1:34" x14ac:dyDescent="0.2">
      <c r="A1269" s="48" t="s">
        <v>1114</v>
      </c>
      <c r="B1269" s="48">
        <v>3</v>
      </c>
      <c r="C1269" s="48" t="s">
        <v>1087</v>
      </c>
      <c r="D1269" s="48" t="s">
        <v>1051</v>
      </c>
      <c r="E1269" s="48" t="s">
        <v>437</v>
      </c>
      <c r="F1269" s="48" t="s">
        <v>274</v>
      </c>
      <c r="G1269" s="48" t="s">
        <v>302</v>
      </c>
      <c r="H1269" s="48" t="s">
        <v>62</v>
      </c>
      <c r="I1269" s="48" t="s">
        <v>157</v>
      </c>
      <c r="J1269" s="49">
        <v>8</v>
      </c>
      <c r="K1269" s="50">
        <v>135</v>
      </c>
      <c r="L1269" s="50">
        <v>134.22999999999999</v>
      </c>
      <c r="M1269" s="48" t="s">
        <v>276</v>
      </c>
      <c r="N1269" s="51">
        <v>1</v>
      </c>
      <c r="O1269" s="51">
        <v>1</v>
      </c>
      <c r="P1269" s="52">
        <v>86</v>
      </c>
      <c r="Q1269" s="52">
        <v>86</v>
      </c>
      <c r="R1269" s="53" t="str">
        <f>INDEX(SKU_Master!$D$5:$D$34,MATCH($I1269,SKU_Master!$A$5:$A$34,0))</f>
        <v>Accessory</v>
      </c>
      <c r="S1269" s="54">
        <f t="shared" si="266"/>
        <v>5.7037037037037663E-3</v>
      </c>
      <c r="T1269" s="55">
        <f t="shared" si="267"/>
        <v>1080</v>
      </c>
      <c r="U1269" s="55">
        <f t="shared" si="268"/>
        <v>1073.8399999999999</v>
      </c>
      <c r="V1269" s="55">
        <f t="shared" si="269"/>
        <v>-6.1600000000000819</v>
      </c>
      <c r="W1269" s="55">
        <f t="shared" si="270"/>
        <v>1073.8399999999999</v>
      </c>
      <c r="X1269" s="55">
        <f t="shared" si="271"/>
        <v>0</v>
      </c>
      <c r="Y1269" s="55">
        <f t="shared" si="272"/>
        <v>688</v>
      </c>
      <c r="Z1269" s="55">
        <f t="shared" si="273"/>
        <v>688</v>
      </c>
      <c r="AA1269" s="55">
        <f t="shared" si="274"/>
        <v>0</v>
      </c>
      <c r="AB1269" s="55">
        <f t="shared" si="275"/>
        <v>385.83999999999992</v>
      </c>
      <c r="AC1269" s="54">
        <f t="shared" si="276"/>
        <v>0.35930864933323398</v>
      </c>
      <c r="AD1269" s="56">
        <f>INDEX(Assumptions!$B$14:$B$16,MATCH($R1269,Assumptions!$A$14:$A$16,0))</f>
        <v>0.32</v>
      </c>
      <c r="AE1269" s="56">
        <f>INDEX(Assumptions!$C$14:$C$16,MATCH($R1269,Assumptions!$A$14:$A$16,0))</f>
        <v>0.22</v>
      </c>
      <c r="AF1269" s="49">
        <f t="shared" si="277"/>
        <v>0</v>
      </c>
      <c r="AG1269" s="49">
        <f t="shared" si="278"/>
        <v>0</v>
      </c>
      <c r="AH1269" s="55">
        <f t="shared" si="279"/>
        <v>0</v>
      </c>
    </row>
    <row r="1270" spans="1:34" x14ac:dyDescent="0.2">
      <c r="A1270" s="48" t="s">
        <v>1115</v>
      </c>
      <c r="B1270" s="48">
        <v>1</v>
      </c>
      <c r="C1270" s="48" t="s">
        <v>1060</v>
      </c>
      <c r="D1270" s="48" t="s">
        <v>1051</v>
      </c>
      <c r="E1270" s="48" t="s">
        <v>355</v>
      </c>
      <c r="F1270" s="48" t="s">
        <v>280</v>
      </c>
      <c r="G1270" s="48" t="s">
        <v>302</v>
      </c>
      <c r="H1270" s="48" t="s">
        <v>62</v>
      </c>
      <c r="I1270" s="48" t="s">
        <v>108</v>
      </c>
      <c r="J1270" s="49">
        <v>24</v>
      </c>
      <c r="K1270" s="50">
        <v>1345</v>
      </c>
      <c r="L1270" s="50">
        <v>1284.69</v>
      </c>
      <c r="M1270" s="48" t="s">
        <v>276</v>
      </c>
      <c r="N1270" s="51">
        <v>1</v>
      </c>
      <c r="O1270" s="51">
        <v>1</v>
      </c>
      <c r="P1270" s="52">
        <v>1145</v>
      </c>
      <c r="Q1270" s="52">
        <v>1212.6199999999999</v>
      </c>
      <c r="R1270" s="53" t="str">
        <f>INDEX(SKU_Master!$D$5:$D$34,MATCH($I1270,SKU_Master!$A$5:$A$34,0))</f>
        <v>Laptop</v>
      </c>
      <c r="S1270" s="54">
        <f t="shared" si="266"/>
        <v>4.4840148698884752E-2</v>
      </c>
      <c r="T1270" s="55">
        <f t="shared" si="267"/>
        <v>32280</v>
      </c>
      <c r="U1270" s="55">
        <f t="shared" si="268"/>
        <v>30832.560000000001</v>
      </c>
      <c r="V1270" s="55">
        <f t="shared" si="269"/>
        <v>-1447.4399999999987</v>
      </c>
      <c r="W1270" s="55">
        <f t="shared" si="270"/>
        <v>30832.560000000001</v>
      </c>
      <c r="X1270" s="55">
        <f t="shared" si="271"/>
        <v>0</v>
      </c>
      <c r="Y1270" s="55">
        <f t="shared" si="272"/>
        <v>27480</v>
      </c>
      <c r="Z1270" s="55">
        <f t="shared" si="273"/>
        <v>29102.879999999997</v>
      </c>
      <c r="AA1270" s="55">
        <f t="shared" si="274"/>
        <v>-1622.8799999999974</v>
      </c>
      <c r="AB1270" s="55">
        <f t="shared" si="275"/>
        <v>1729.6800000000039</v>
      </c>
      <c r="AC1270" s="54">
        <f t="shared" si="276"/>
        <v>5.6099136756727432E-2</v>
      </c>
      <c r="AD1270" s="56">
        <f>INDEX(Assumptions!$B$14:$B$16,MATCH($R1270,Assumptions!$A$14:$A$16,0))</f>
        <v>0.12</v>
      </c>
      <c r="AE1270" s="56">
        <f>INDEX(Assumptions!$C$14:$C$16,MATCH($R1270,Assumptions!$A$14:$A$16,0))</f>
        <v>0.08</v>
      </c>
      <c r="AF1270" s="49">
        <f t="shared" si="277"/>
        <v>1</v>
      </c>
      <c r="AG1270" s="49">
        <f t="shared" si="278"/>
        <v>1</v>
      </c>
      <c r="AH1270" s="55">
        <f t="shared" si="279"/>
        <v>1970.2271999999962</v>
      </c>
    </row>
    <row r="1271" spans="1:34" x14ac:dyDescent="0.2">
      <c r="A1271" s="48" t="s">
        <v>1115</v>
      </c>
      <c r="B1271" s="48">
        <v>2</v>
      </c>
      <c r="C1271" s="48" t="s">
        <v>1060</v>
      </c>
      <c r="D1271" s="48" t="s">
        <v>1051</v>
      </c>
      <c r="E1271" s="48" t="s">
        <v>355</v>
      </c>
      <c r="F1271" s="48" t="s">
        <v>280</v>
      </c>
      <c r="G1271" s="48" t="s">
        <v>302</v>
      </c>
      <c r="H1271" s="48" t="s">
        <v>62</v>
      </c>
      <c r="I1271" s="48" t="s">
        <v>135</v>
      </c>
      <c r="J1271" s="49">
        <v>24</v>
      </c>
      <c r="K1271" s="50">
        <v>240</v>
      </c>
      <c r="L1271" s="50">
        <v>225.11</v>
      </c>
      <c r="M1271" s="48" t="s">
        <v>276</v>
      </c>
      <c r="N1271" s="51">
        <v>1</v>
      </c>
      <c r="O1271" s="51">
        <v>1</v>
      </c>
      <c r="P1271" s="52">
        <v>186.7</v>
      </c>
      <c r="Q1271" s="52">
        <v>186.7</v>
      </c>
      <c r="R1271" s="53" t="str">
        <f>INDEX(SKU_Master!$D$5:$D$34,MATCH($I1271,SKU_Master!$A$5:$A$34,0))</f>
        <v>Monitor</v>
      </c>
      <c r="S1271" s="54">
        <f t="shared" si="266"/>
        <v>6.2041666666666662E-2</v>
      </c>
      <c r="T1271" s="55">
        <f t="shared" si="267"/>
        <v>5760</v>
      </c>
      <c r="U1271" s="55">
        <f t="shared" si="268"/>
        <v>5402.64</v>
      </c>
      <c r="V1271" s="55">
        <f t="shared" si="269"/>
        <v>-357.35999999999967</v>
      </c>
      <c r="W1271" s="55">
        <f t="shared" si="270"/>
        <v>5402.64</v>
      </c>
      <c r="X1271" s="55">
        <f t="shared" si="271"/>
        <v>0</v>
      </c>
      <c r="Y1271" s="55">
        <f t="shared" si="272"/>
        <v>4480.7999999999993</v>
      </c>
      <c r="Z1271" s="55">
        <f t="shared" si="273"/>
        <v>4480.7999999999993</v>
      </c>
      <c r="AA1271" s="55">
        <f t="shared" si="274"/>
        <v>0</v>
      </c>
      <c r="AB1271" s="55">
        <f t="shared" si="275"/>
        <v>921.84000000000106</v>
      </c>
      <c r="AC1271" s="54">
        <f t="shared" si="276"/>
        <v>0.17062769312780438</v>
      </c>
      <c r="AD1271" s="56">
        <f>INDEX(Assumptions!$B$14:$B$16,MATCH($R1271,Assumptions!$A$14:$A$16,0))</f>
        <v>0.18</v>
      </c>
      <c r="AE1271" s="56">
        <f>INDEX(Assumptions!$C$14:$C$16,MATCH($R1271,Assumptions!$A$14:$A$16,0))</f>
        <v>0.12</v>
      </c>
      <c r="AF1271" s="49">
        <f t="shared" si="277"/>
        <v>0</v>
      </c>
      <c r="AG1271" s="49">
        <f t="shared" si="278"/>
        <v>0</v>
      </c>
      <c r="AH1271" s="55">
        <f t="shared" si="279"/>
        <v>50.635199999998918</v>
      </c>
    </row>
    <row r="1272" spans="1:34" x14ac:dyDescent="0.2">
      <c r="A1272" s="48" t="s">
        <v>1115</v>
      </c>
      <c r="B1272" s="48">
        <v>3</v>
      </c>
      <c r="C1272" s="48" t="s">
        <v>1060</v>
      </c>
      <c r="D1272" s="48" t="s">
        <v>1051</v>
      </c>
      <c r="E1272" s="48" t="s">
        <v>355</v>
      </c>
      <c r="F1272" s="48" t="s">
        <v>280</v>
      </c>
      <c r="G1272" s="48" t="s">
        <v>302</v>
      </c>
      <c r="H1272" s="48" t="s">
        <v>62</v>
      </c>
      <c r="I1272" s="48" t="s">
        <v>161</v>
      </c>
      <c r="J1272" s="49">
        <v>19</v>
      </c>
      <c r="K1272" s="50">
        <v>120</v>
      </c>
      <c r="L1272" s="50">
        <v>110.52</v>
      </c>
      <c r="M1272" s="48" t="s">
        <v>276</v>
      </c>
      <c r="N1272" s="51">
        <v>1</v>
      </c>
      <c r="O1272" s="51">
        <v>1</v>
      </c>
      <c r="P1272" s="52">
        <v>76</v>
      </c>
      <c r="Q1272" s="52">
        <v>76</v>
      </c>
      <c r="R1272" s="53" t="str">
        <f>INDEX(SKU_Master!$D$5:$D$34,MATCH($I1272,SKU_Master!$A$5:$A$34,0))</f>
        <v>Accessory</v>
      </c>
      <c r="S1272" s="54">
        <f t="shared" si="266"/>
        <v>7.900000000000007E-2</v>
      </c>
      <c r="T1272" s="55">
        <f t="shared" si="267"/>
        <v>2280</v>
      </c>
      <c r="U1272" s="55">
        <f t="shared" si="268"/>
        <v>2099.88</v>
      </c>
      <c r="V1272" s="55">
        <f t="shared" si="269"/>
        <v>-180.11999999999989</v>
      </c>
      <c r="W1272" s="55">
        <f t="shared" si="270"/>
        <v>2099.88</v>
      </c>
      <c r="X1272" s="55">
        <f t="shared" si="271"/>
        <v>0</v>
      </c>
      <c r="Y1272" s="55">
        <f t="shared" si="272"/>
        <v>1444</v>
      </c>
      <c r="Z1272" s="55">
        <f t="shared" si="273"/>
        <v>1444</v>
      </c>
      <c r="AA1272" s="55">
        <f t="shared" si="274"/>
        <v>0</v>
      </c>
      <c r="AB1272" s="55">
        <f t="shared" si="275"/>
        <v>655.88000000000011</v>
      </c>
      <c r="AC1272" s="54">
        <f t="shared" si="276"/>
        <v>0.31234165761853061</v>
      </c>
      <c r="AD1272" s="56">
        <f>INDEX(Assumptions!$B$14:$B$16,MATCH($R1272,Assumptions!$A$14:$A$16,0))</f>
        <v>0.32</v>
      </c>
      <c r="AE1272" s="56">
        <f>INDEX(Assumptions!$C$14:$C$16,MATCH($R1272,Assumptions!$A$14:$A$16,0))</f>
        <v>0.22</v>
      </c>
      <c r="AF1272" s="49">
        <f t="shared" si="277"/>
        <v>0</v>
      </c>
      <c r="AG1272" s="49">
        <f t="shared" si="278"/>
        <v>0</v>
      </c>
      <c r="AH1272" s="55">
        <f t="shared" si="279"/>
        <v>16.08159999999998</v>
      </c>
    </row>
    <row r="1273" spans="1:34" x14ac:dyDescent="0.2">
      <c r="A1273" s="48" t="s">
        <v>1116</v>
      </c>
      <c r="B1273" s="48">
        <v>1</v>
      </c>
      <c r="C1273" s="48" t="s">
        <v>1117</v>
      </c>
      <c r="D1273" s="48" t="s">
        <v>1051</v>
      </c>
      <c r="E1273" s="48" t="s">
        <v>339</v>
      </c>
      <c r="F1273" s="48" t="s">
        <v>280</v>
      </c>
      <c r="G1273" s="48" t="s">
        <v>302</v>
      </c>
      <c r="H1273" s="48" t="s">
        <v>62</v>
      </c>
      <c r="I1273" s="48" t="s">
        <v>106</v>
      </c>
      <c r="J1273" s="49">
        <v>18</v>
      </c>
      <c r="K1273" s="50">
        <v>1520</v>
      </c>
      <c r="L1273" s="50">
        <v>1499.04</v>
      </c>
      <c r="M1273" s="48" t="s">
        <v>276</v>
      </c>
      <c r="N1273" s="51">
        <v>1</v>
      </c>
      <c r="O1273" s="51">
        <v>1</v>
      </c>
      <c r="P1273" s="52">
        <v>1298.4000000000001</v>
      </c>
      <c r="Q1273" s="52">
        <v>1298.4000000000001</v>
      </c>
      <c r="R1273" s="53" t="str">
        <f>INDEX(SKU_Master!$D$5:$D$34,MATCH($I1273,SKU_Master!$A$5:$A$34,0))</f>
        <v>Laptop</v>
      </c>
      <c r="S1273" s="54">
        <f t="shared" si="266"/>
        <v>1.3789473684210574E-2</v>
      </c>
      <c r="T1273" s="55">
        <f t="shared" si="267"/>
        <v>27360</v>
      </c>
      <c r="U1273" s="55">
        <f t="shared" si="268"/>
        <v>26982.720000000001</v>
      </c>
      <c r="V1273" s="55">
        <f t="shared" si="269"/>
        <v>-377.27999999999884</v>
      </c>
      <c r="W1273" s="55">
        <f t="shared" si="270"/>
        <v>26982.720000000001</v>
      </c>
      <c r="X1273" s="55">
        <f t="shared" si="271"/>
        <v>0</v>
      </c>
      <c r="Y1273" s="55">
        <f t="shared" si="272"/>
        <v>23371.200000000001</v>
      </c>
      <c r="Z1273" s="55">
        <f t="shared" si="273"/>
        <v>23371.200000000001</v>
      </c>
      <c r="AA1273" s="55">
        <f t="shared" si="274"/>
        <v>0</v>
      </c>
      <c r="AB1273" s="55">
        <f t="shared" si="275"/>
        <v>3611.5200000000004</v>
      </c>
      <c r="AC1273" s="54">
        <f t="shared" si="276"/>
        <v>0.13384566122318284</v>
      </c>
      <c r="AD1273" s="56">
        <f>INDEX(Assumptions!$B$14:$B$16,MATCH($R1273,Assumptions!$A$14:$A$16,0))</f>
        <v>0.12</v>
      </c>
      <c r="AE1273" s="56">
        <f>INDEX(Assumptions!$C$14:$C$16,MATCH($R1273,Assumptions!$A$14:$A$16,0))</f>
        <v>0.08</v>
      </c>
      <c r="AF1273" s="49">
        <f t="shared" si="277"/>
        <v>0</v>
      </c>
      <c r="AG1273" s="49">
        <f t="shared" si="278"/>
        <v>0</v>
      </c>
      <c r="AH1273" s="55">
        <f t="shared" si="279"/>
        <v>0</v>
      </c>
    </row>
    <row r="1274" spans="1:34" x14ac:dyDescent="0.2">
      <c r="A1274" s="48" t="s">
        <v>1116</v>
      </c>
      <c r="B1274" s="48">
        <v>2</v>
      </c>
      <c r="C1274" s="48" t="s">
        <v>1117</v>
      </c>
      <c r="D1274" s="48" t="s">
        <v>1051</v>
      </c>
      <c r="E1274" s="48" t="s">
        <v>339</v>
      </c>
      <c r="F1274" s="48" t="s">
        <v>280</v>
      </c>
      <c r="G1274" s="48" t="s">
        <v>302</v>
      </c>
      <c r="H1274" s="48" t="s">
        <v>62</v>
      </c>
      <c r="I1274" s="48" t="s">
        <v>146</v>
      </c>
      <c r="J1274" s="49">
        <v>20</v>
      </c>
      <c r="K1274" s="50">
        <v>235</v>
      </c>
      <c r="L1274" s="50">
        <v>219.15</v>
      </c>
      <c r="M1274" s="48" t="s">
        <v>276</v>
      </c>
      <c r="N1274" s="51">
        <v>1</v>
      </c>
      <c r="O1274" s="51">
        <v>1</v>
      </c>
      <c r="P1274" s="52">
        <v>181.8</v>
      </c>
      <c r="Q1274" s="52">
        <v>181.8</v>
      </c>
      <c r="R1274" s="53" t="str">
        <f>INDEX(SKU_Master!$D$5:$D$34,MATCH($I1274,SKU_Master!$A$5:$A$34,0))</f>
        <v>Monitor</v>
      </c>
      <c r="S1274" s="54">
        <f t="shared" si="266"/>
        <v>6.7446808510638223E-2</v>
      </c>
      <c r="T1274" s="55">
        <f t="shared" si="267"/>
        <v>4700</v>
      </c>
      <c r="U1274" s="55">
        <f t="shared" si="268"/>
        <v>4383</v>
      </c>
      <c r="V1274" s="55">
        <f t="shared" si="269"/>
        <v>-317</v>
      </c>
      <c r="W1274" s="55">
        <f t="shared" si="270"/>
        <v>4383</v>
      </c>
      <c r="X1274" s="55">
        <f t="shared" si="271"/>
        <v>0</v>
      </c>
      <c r="Y1274" s="55">
        <f t="shared" si="272"/>
        <v>3636</v>
      </c>
      <c r="Z1274" s="55">
        <f t="shared" si="273"/>
        <v>3636</v>
      </c>
      <c r="AA1274" s="55">
        <f t="shared" si="274"/>
        <v>0</v>
      </c>
      <c r="AB1274" s="55">
        <f t="shared" si="275"/>
        <v>747</v>
      </c>
      <c r="AC1274" s="54">
        <f t="shared" si="276"/>
        <v>0.17043121149897331</v>
      </c>
      <c r="AD1274" s="56">
        <f>INDEX(Assumptions!$B$14:$B$16,MATCH($R1274,Assumptions!$A$14:$A$16,0))</f>
        <v>0.18</v>
      </c>
      <c r="AE1274" s="56">
        <f>INDEX(Assumptions!$C$14:$C$16,MATCH($R1274,Assumptions!$A$14:$A$16,0))</f>
        <v>0.12</v>
      </c>
      <c r="AF1274" s="49">
        <f t="shared" si="277"/>
        <v>0</v>
      </c>
      <c r="AG1274" s="49">
        <f t="shared" si="278"/>
        <v>0</v>
      </c>
      <c r="AH1274" s="55">
        <f t="shared" si="279"/>
        <v>41.939999999999941</v>
      </c>
    </row>
    <row r="1275" spans="1:34" x14ac:dyDescent="0.2">
      <c r="A1275" s="48" t="s">
        <v>1116</v>
      </c>
      <c r="B1275" s="48">
        <v>3</v>
      </c>
      <c r="C1275" s="48" t="s">
        <v>1117</v>
      </c>
      <c r="D1275" s="48" t="s">
        <v>1051</v>
      </c>
      <c r="E1275" s="48" t="s">
        <v>339</v>
      </c>
      <c r="F1275" s="48" t="s">
        <v>280</v>
      </c>
      <c r="G1275" s="48" t="s">
        <v>302</v>
      </c>
      <c r="H1275" s="48" t="s">
        <v>62</v>
      </c>
      <c r="I1275" s="48" t="s">
        <v>173</v>
      </c>
      <c r="J1275" s="49">
        <v>19</v>
      </c>
      <c r="K1275" s="50">
        <v>55</v>
      </c>
      <c r="L1275" s="50">
        <v>51.58</v>
      </c>
      <c r="M1275" s="48" t="s">
        <v>276</v>
      </c>
      <c r="N1275" s="51">
        <v>1</v>
      </c>
      <c r="O1275" s="51">
        <v>1</v>
      </c>
      <c r="P1275" s="52">
        <v>34</v>
      </c>
      <c r="Q1275" s="52">
        <v>34</v>
      </c>
      <c r="R1275" s="53" t="str">
        <f>INDEX(SKU_Master!$D$5:$D$34,MATCH($I1275,SKU_Master!$A$5:$A$34,0))</f>
        <v>Accessory</v>
      </c>
      <c r="S1275" s="54">
        <f t="shared" si="266"/>
        <v>6.2181818181818227E-2</v>
      </c>
      <c r="T1275" s="55">
        <f t="shared" si="267"/>
        <v>1045</v>
      </c>
      <c r="U1275" s="55">
        <f t="shared" si="268"/>
        <v>980.02</v>
      </c>
      <c r="V1275" s="55">
        <f t="shared" si="269"/>
        <v>-64.980000000000018</v>
      </c>
      <c r="W1275" s="55">
        <f t="shared" si="270"/>
        <v>980.02</v>
      </c>
      <c r="X1275" s="55">
        <f t="shared" si="271"/>
        <v>0</v>
      </c>
      <c r="Y1275" s="55">
        <f t="shared" si="272"/>
        <v>646</v>
      </c>
      <c r="Z1275" s="55">
        <f t="shared" si="273"/>
        <v>646</v>
      </c>
      <c r="AA1275" s="55">
        <f t="shared" si="274"/>
        <v>0</v>
      </c>
      <c r="AB1275" s="55">
        <f t="shared" si="275"/>
        <v>334.02</v>
      </c>
      <c r="AC1275" s="54">
        <f t="shared" si="276"/>
        <v>0.34082977898410233</v>
      </c>
      <c r="AD1275" s="56">
        <f>INDEX(Assumptions!$B$14:$B$16,MATCH($R1275,Assumptions!$A$14:$A$16,0))</f>
        <v>0.32</v>
      </c>
      <c r="AE1275" s="56">
        <f>INDEX(Assumptions!$C$14:$C$16,MATCH($R1275,Assumptions!$A$14:$A$16,0))</f>
        <v>0.22</v>
      </c>
      <c r="AF1275" s="49">
        <f t="shared" si="277"/>
        <v>0</v>
      </c>
      <c r="AG1275" s="49">
        <f t="shared" si="278"/>
        <v>0</v>
      </c>
      <c r="AH1275" s="55">
        <f t="shared" si="279"/>
        <v>0</v>
      </c>
    </row>
    <row r="1276" spans="1:34" x14ac:dyDescent="0.2">
      <c r="A1276" s="48" t="s">
        <v>1118</v>
      </c>
      <c r="B1276" s="48">
        <v>1</v>
      </c>
      <c r="C1276" s="48" t="s">
        <v>1060</v>
      </c>
      <c r="D1276" s="48" t="s">
        <v>1051</v>
      </c>
      <c r="E1276" s="48" t="s">
        <v>336</v>
      </c>
      <c r="F1276" s="48" t="s">
        <v>274</v>
      </c>
      <c r="G1276" s="48" t="s">
        <v>288</v>
      </c>
      <c r="H1276" s="48" t="s">
        <v>62</v>
      </c>
      <c r="I1276" s="48" t="s">
        <v>106</v>
      </c>
      <c r="J1276" s="49">
        <v>6</v>
      </c>
      <c r="K1276" s="50">
        <v>1520</v>
      </c>
      <c r="L1276" s="50">
        <v>1500.08</v>
      </c>
      <c r="M1276" s="48" t="s">
        <v>276</v>
      </c>
      <c r="N1276" s="51">
        <v>1</v>
      </c>
      <c r="O1276" s="51">
        <v>1</v>
      </c>
      <c r="P1276" s="52">
        <v>1298.4000000000001</v>
      </c>
      <c r="Q1276" s="52">
        <v>1298.4000000000001</v>
      </c>
      <c r="R1276" s="53" t="str">
        <f>INDEX(SKU_Master!$D$5:$D$34,MATCH($I1276,SKU_Master!$A$5:$A$34,0))</f>
        <v>Laptop</v>
      </c>
      <c r="S1276" s="54">
        <f t="shared" si="266"/>
        <v>1.3105263157894731E-2</v>
      </c>
      <c r="T1276" s="55">
        <f t="shared" si="267"/>
        <v>9120</v>
      </c>
      <c r="U1276" s="55">
        <f t="shared" si="268"/>
        <v>9000.48</v>
      </c>
      <c r="V1276" s="55">
        <f t="shared" si="269"/>
        <v>-119.52000000000044</v>
      </c>
      <c r="W1276" s="55">
        <f t="shared" si="270"/>
        <v>9000.48</v>
      </c>
      <c r="X1276" s="55">
        <f t="shared" si="271"/>
        <v>0</v>
      </c>
      <c r="Y1276" s="55">
        <f t="shared" si="272"/>
        <v>7790.4000000000005</v>
      </c>
      <c r="Z1276" s="55">
        <f t="shared" si="273"/>
        <v>7790.4000000000005</v>
      </c>
      <c r="AA1276" s="55">
        <f t="shared" si="274"/>
        <v>0</v>
      </c>
      <c r="AB1276" s="55">
        <f t="shared" si="275"/>
        <v>1210.079999999999</v>
      </c>
      <c r="AC1276" s="54">
        <f t="shared" si="276"/>
        <v>0.13444616287131342</v>
      </c>
      <c r="AD1276" s="56">
        <f>INDEX(Assumptions!$B$14:$B$16,MATCH($R1276,Assumptions!$A$14:$A$16,0))</f>
        <v>0.12</v>
      </c>
      <c r="AE1276" s="56">
        <f>INDEX(Assumptions!$C$14:$C$16,MATCH($R1276,Assumptions!$A$14:$A$16,0))</f>
        <v>0.08</v>
      </c>
      <c r="AF1276" s="49">
        <f t="shared" si="277"/>
        <v>0</v>
      </c>
      <c r="AG1276" s="49">
        <f t="shared" si="278"/>
        <v>0</v>
      </c>
      <c r="AH1276" s="55">
        <f t="shared" si="279"/>
        <v>0</v>
      </c>
    </row>
    <row r="1277" spans="1:34" x14ac:dyDescent="0.2">
      <c r="A1277" s="48" t="s">
        <v>1118</v>
      </c>
      <c r="B1277" s="48">
        <v>2</v>
      </c>
      <c r="C1277" s="48" t="s">
        <v>1060</v>
      </c>
      <c r="D1277" s="48" t="s">
        <v>1051</v>
      </c>
      <c r="E1277" s="48" t="s">
        <v>336</v>
      </c>
      <c r="F1277" s="48" t="s">
        <v>274</v>
      </c>
      <c r="G1277" s="48" t="s">
        <v>288</v>
      </c>
      <c r="H1277" s="48" t="s">
        <v>62</v>
      </c>
      <c r="I1277" s="48" t="s">
        <v>146</v>
      </c>
      <c r="J1277" s="49">
        <v>6</v>
      </c>
      <c r="K1277" s="50">
        <v>235</v>
      </c>
      <c r="L1277" s="50">
        <v>230.97</v>
      </c>
      <c r="M1277" s="48" t="s">
        <v>276</v>
      </c>
      <c r="N1277" s="51">
        <v>1</v>
      </c>
      <c r="O1277" s="51">
        <v>1</v>
      </c>
      <c r="P1277" s="52">
        <v>181.8</v>
      </c>
      <c r="Q1277" s="52">
        <v>181.8</v>
      </c>
      <c r="R1277" s="53" t="str">
        <f>INDEX(SKU_Master!$D$5:$D$34,MATCH($I1277,SKU_Master!$A$5:$A$34,0))</f>
        <v>Monitor</v>
      </c>
      <c r="S1277" s="54">
        <f t="shared" si="266"/>
        <v>1.7148936170212736E-2</v>
      </c>
      <c r="T1277" s="55">
        <f t="shared" si="267"/>
        <v>1410</v>
      </c>
      <c r="U1277" s="55">
        <f t="shared" si="268"/>
        <v>1385.82</v>
      </c>
      <c r="V1277" s="55">
        <f t="shared" si="269"/>
        <v>-24.180000000000064</v>
      </c>
      <c r="W1277" s="55">
        <f t="shared" si="270"/>
        <v>1385.82</v>
      </c>
      <c r="X1277" s="55">
        <f t="shared" si="271"/>
        <v>0</v>
      </c>
      <c r="Y1277" s="55">
        <f t="shared" si="272"/>
        <v>1090.8000000000002</v>
      </c>
      <c r="Z1277" s="55">
        <f t="shared" si="273"/>
        <v>1090.8000000000002</v>
      </c>
      <c r="AA1277" s="55">
        <f t="shared" si="274"/>
        <v>0</v>
      </c>
      <c r="AB1277" s="55">
        <f t="shared" si="275"/>
        <v>295.01999999999975</v>
      </c>
      <c r="AC1277" s="54">
        <f t="shared" si="276"/>
        <v>0.21288479023249757</v>
      </c>
      <c r="AD1277" s="56">
        <f>INDEX(Assumptions!$B$14:$B$16,MATCH($R1277,Assumptions!$A$14:$A$16,0))</f>
        <v>0.18</v>
      </c>
      <c r="AE1277" s="56">
        <f>INDEX(Assumptions!$C$14:$C$16,MATCH($R1277,Assumptions!$A$14:$A$16,0))</f>
        <v>0.12</v>
      </c>
      <c r="AF1277" s="49">
        <f t="shared" si="277"/>
        <v>0</v>
      </c>
      <c r="AG1277" s="49">
        <f t="shared" si="278"/>
        <v>0</v>
      </c>
      <c r="AH1277" s="55">
        <f t="shared" si="279"/>
        <v>0</v>
      </c>
    </row>
    <row r="1278" spans="1:34" x14ac:dyDescent="0.2">
      <c r="A1278" s="48" t="s">
        <v>1118</v>
      </c>
      <c r="B1278" s="48">
        <v>3</v>
      </c>
      <c r="C1278" s="48" t="s">
        <v>1060</v>
      </c>
      <c r="D1278" s="48" t="s">
        <v>1051</v>
      </c>
      <c r="E1278" s="48" t="s">
        <v>336</v>
      </c>
      <c r="F1278" s="48" t="s">
        <v>274</v>
      </c>
      <c r="G1278" s="48" t="s">
        <v>288</v>
      </c>
      <c r="H1278" s="48" t="s">
        <v>62</v>
      </c>
      <c r="I1278" s="48" t="s">
        <v>166</v>
      </c>
      <c r="J1278" s="49">
        <v>5</v>
      </c>
      <c r="K1278" s="50">
        <v>265</v>
      </c>
      <c r="L1278" s="50">
        <v>264.95</v>
      </c>
      <c r="M1278" s="48" t="s">
        <v>276</v>
      </c>
      <c r="N1278" s="51">
        <v>1</v>
      </c>
      <c r="O1278" s="51">
        <v>1</v>
      </c>
      <c r="P1278" s="52">
        <v>169.35</v>
      </c>
      <c r="Q1278" s="52">
        <v>169.35</v>
      </c>
      <c r="R1278" s="53" t="str">
        <f>INDEX(SKU_Master!$D$5:$D$34,MATCH($I1278,SKU_Master!$A$5:$A$34,0))</f>
        <v>Accessory</v>
      </c>
      <c r="S1278" s="54">
        <f t="shared" si="266"/>
        <v>1.8867924528309654E-4</v>
      </c>
      <c r="T1278" s="55">
        <f t="shared" si="267"/>
        <v>1325</v>
      </c>
      <c r="U1278" s="55">
        <f t="shared" si="268"/>
        <v>1324.75</v>
      </c>
      <c r="V1278" s="55">
        <f t="shared" si="269"/>
        <v>-0.25</v>
      </c>
      <c r="W1278" s="55">
        <f t="shared" si="270"/>
        <v>1324.75</v>
      </c>
      <c r="X1278" s="55">
        <f t="shared" si="271"/>
        <v>0</v>
      </c>
      <c r="Y1278" s="55">
        <f t="shared" si="272"/>
        <v>846.75</v>
      </c>
      <c r="Z1278" s="55">
        <f t="shared" si="273"/>
        <v>846.75</v>
      </c>
      <c r="AA1278" s="55">
        <f t="shared" si="274"/>
        <v>0</v>
      </c>
      <c r="AB1278" s="55">
        <f t="shared" si="275"/>
        <v>478</v>
      </c>
      <c r="AC1278" s="54">
        <f t="shared" si="276"/>
        <v>0.36082279675410456</v>
      </c>
      <c r="AD1278" s="56">
        <f>INDEX(Assumptions!$B$14:$B$16,MATCH($R1278,Assumptions!$A$14:$A$16,0))</f>
        <v>0.32</v>
      </c>
      <c r="AE1278" s="56">
        <f>INDEX(Assumptions!$C$14:$C$16,MATCH($R1278,Assumptions!$A$14:$A$16,0))</f>
        <v>0.22</v>
      </c>
      <c r="AF1278" s="49">
        <f t="shared" si="277"/>
        <v>0</v>
      </c>
      <c r="AG1278" s="49">
        <f t="shared" si="278"/>
        <v>0</v>
      </c>
      <c r="AH1278" s="55">
        <f t="shared" si="279"/>
        <v>0</v>
      </c>
    </row>
    <row r="1279" spans="1:34" x14ac:dyDescent="0.2">
      <c r="A1279" s="48" t="s">
        <v>1119</v>
      </c>
      <c r="B1279" s="48">
        <v>1</v>
      </c>
      <c r="C1279" s="48" t="s">
        <v>1103</v>
      </c>
      <c r="D1279" s="48" t="s">
        <v>1051</v>
      </c>
      <c r="E1279" s="48" t="s">
        <v>293</v>
      </c>
      <c r="F1279" s="48" t="s">
        <v>274</v>
      </c>
      <c r="G1279" s="48" t="s">
        <v>275</v>
      </c>
      <c r="H1279" s="48" t="s">
        <v>66</v>
      </c>
      <c r="I1279" s="48" t="s">
        <v>115</v>
      </c>
      <c r="J1279" s="49">
        <v>9</v>
      </c>
      <c r="K1279" s="50">
        <v>820</v>
      </c>
      <c r="L1279" s="50">
        <v>807.8</v>
      </c>
      <c r="M1279" s="48" t="s">
        <v>276</v>
      </c>
      <c r="N1279" s="51">
        <v>0.92</v>
      </c>
      <c r="O1279" s="51">
        <v>0.92859999999999998</v>
      </c>
      <c r="P1279" s="52">
        <v>743.6</v>
      </c>
      <c r="Q1279" s="52">
        <v>743.6</v>
      </c>
      <c r="R1279" s="53" t="str">
        <f>INDEX(SKU_Master!$D$5:$D$34,MATCH($I1279,SKU_Master!$A$5:$A$34,0))</f>
        <v>Laptop</v>
      </c>
      <c r="S1279" s="54">
        <f t="shared" si="266"/>
        <v>1.4878048780487818E-2</v>
      </c>
      <c r="T1279" s="55">
        <f t="shared" si="267"/>
        <v>8021.7391304347821</v>
      </c>
      <c r="U1279" s="55">
        <f t="shared" si="268"/>
        <v>7902.3913043478251</v>
      </c>
      <c r="V1279" s="55">
        <f t="shared" si="269"/>
        <v>-119.34782608695696</v>
      </c>
      <c r="W1279" s="55">
        <f t="shared" si="270"/>
        <v>7829.2052552229161</v>
      </c>
      <c r="X1279" s="55">
        <f t="shared" si="271"/>
        <v>-73.186049124909005</v>
      </c>
      <c r="Y1279" s="55">
        <f t="shared" si="272"/>
        <v>6692.4000000000005</v>
      </c>
      <c r="Z1279" s="55">
        <f t="shared" si="273"/>
        <v>6692.4000000000005</v>
      </c>
      <c r="AA1279" s="55">
        <f t="shared" si="274"/>
        <v>0</v>
      </c>
      <c r="AB1279" s="55">
        <f t="shared" si="275"/>
        <v>1136.8052552229155</v>
      </c>
      <c r="AC1279" s="54">
        <f t="shared" si="276"/>
        <v>0.14520059420648668</v>
      </c>
      <c r="AD1279" s="56">
        <f>INDEX(Assumptions!$B$14:$B$16,MATCH($R1279,Assumptions!$A$14:$A$16,0))</f>
        <v>0.12</v>
      </c>
      <c r="AE1279" s="56">
        <f>INDEX(Assumptions!$C$14:$C$16,MATCH($R1279,Assumptions!$A$14:$A$16,0))</f>
        <v>0.08</v>
      </c>
      <c r="AF1279" s="49">
        <f t="shared" si="277"/>
        <v>0</v>
      </c>
      <c r="AG1279" s="49">
        <f t="shared" si="278"/>
        <v>0</v>
      </c>
      <c r="AH1279" s="55">
        <f t="shared" si="279"/>
        <v>0</v>
      </c>
    </row>
    <row r="1280" spans="1:34" x14ac:dyDescent="0.2">
      <c r="A1280" s="48" t="s">
        <v>1119</v>
      </c>
      <c r="B1280" s="48">
        <v>2</v>
      </c>
      <c r="C1280" s="48" t="s">
        <v>1103</v>
      </c>
      <c r="D1280" s="48" t="s">
        <v>1051</v>
      </c>
      <c r="E1280" s="48" t="s">
        <v>293</v>
      </c>
      <c r="F1280" s="48" t="s">
        <v>274</v>
      </c>
      <c r="G1280" s="48" t="s">
        <v>275</v>
      </c>
      <c r="H1280" s="48" t="s">
        <v>66</v>
      </c>
      <c r="I1280" s="48" t="s">
        <v>146</v>
      </c>
      <c r="J1280" s="49">
        <v>10</v>
      </c>
      <c r="K1280" s="50">
        <v>250</v>
      </c>
      <c r="L1280" s="50">
        <v>245.53</v>
      </c>
      <c r="M1280" s="48" t="s">
        <v>276</v>
      </c>
      <c r="N1280" s="51">
        <v>0.92</v>
      </c>
      <c r="O1280" s="51">
        <v>0.92859999999999998</v>
      </c>
      <c r="P1280" s="52">
        <v>206.8</v>
      </c>
      <c r="Q1280" s="52">
        <v>206.8</v>
      </c>
      <c r="R1280" s="53" t="str">
        <f>INDEX(SKU_Master!$D$5:$D$34,MATCH($I1280,SKU_Master!$A$5:$A$34,0))</f>
        <v>Monitor</v>
      </c>
      <c r="S1280" s="54">
        <f t="shared" si="266"/>
        <v>1.7880000000000007E-2</v>
      </c>
      <c r="T1280" s="55">
        <f t="shared" si="267"/>
        <v>2717.391304347826</v>
      </c>
      <c r="U1280" s="55">
        <f t="shared" si="268"/>
        <v>2668.804347826087</v>
      </c>
      <c r="V1280" s="55">
        <f t="shared" si="269"/>
        <v>-48.586956521739012</v>
      </c>
      <c r="W1280" s="55">
        <f t="shared" si="270"/>
        <v>2644.0878742192549</v>
      </c>
      <c r="X1280" s="55">
        <f t="shared" si="271"/>
        <v>-24.716473606832096</v>
      </c>
      <c r="Y1280" s="55">
        <f t="shared" si="272"/>
        <v>2068</v>
      </c>
      <c r="Z1280" s="55">
        <f t="shared" si="273"/>
        <v>2068</v>
      </c>
      <c r="AA1280" s="55">
        <f t="shared" si="274"/>
        <v>0</v>
      </c>
      <c r="AB1280" s="55">
        <f t="shared" si="275"/>
        <v>576.0878742192549</v>
      </c>
      <c r="AC1280" s="54">
        <f t="shared" si="276"/>
        <v>0.21787773388180673</v>
      </c>
      <c r="AD1280" s="56">
        <f>INDEX(Assumptions!$B$14:$B$16,MATCH($R1280,Assumptions!$A$14:$A$16,0))</f>
        <v>0.18</v>
      </c>
      <c r="AE1280" s="56">
        <f>INDEX(Assumptions!$C$14:$C$16,MATCH($R1280,Assumptions!$A$14:$A$16,0))</f>
        <v>0.12</v>
      </c>
      <c r="AF1280" s="49">
        <f t="shared" si="277"/>
        <v>0</v>
      </c>
      <c r="AG1280" s="49">
        <f t="shared" si="278"/>
        <v>0</v>
      </c>
      <c r="AH1280" s="55">
        <f t="shared" si="279"/>
        <v>0</v>
      </c>
    </row>
    <row r="1281" spans="1:34" x14ac:dyDescent="0.2">
      <c r="A1281" s="48" t="s">
        <v>1119</v>
      </c>
      <c r="B1281" s="48">
        <v>3</v>
      </c>
      <c r="C1281" s="48" t="s">
        <v>1103</v>
      </c>
      <c r="D1281" s="48" t="s">
        <v>1051</v>
      </c>
      <c r="E1281" s="48" t="s">
        <v>293</v>
      </c>
      <c r="F1281" s="48" t="s">
        <v>274</v>
      </c>
      <c r="G1281" s="48" t="s">
        <v>275</v>
      </c>
      <c r="H1281" s="48" t="s">
        <v>66</v>
      </c>
      <c r="I1281" s="48" t="s">
        <v>151</v>
      </c>
      <c r="J1281" s="49">
        <v>9</v>
      </c>
      <c r="K1281" s="50">
        <v>325</v>
      </c>
      <c r="L1281" s="50">
        <v>319.55</v>
      </c>
      <c r="M1281" s="48" t="s">
        <v>276</v>
      </c>
      <c r="N1281" s="51">
        <v>0.92</v>
      </c>
      <c r="O1281" s="51">
        <v>0.92859999999999998</v>
      </c>
      <c r="P1281" s="52">
        <v>221.7</v>
      </c>
      <c r="Q1281" s="52">
        <v>221.7</v>
      </c>
      <c r="R1281" s="53" t="str">
        <f>INDEX(SKU_Master!$D$5:$D$34,MATCH($I1281,SKU_Master!$A$5:$A$34,0))</f>
        <v>Accessory</v>
      </c>
      <c r="S1281" s="54">
        <f t="shared" si="266"/>
        <v>1.6769230769230759E-2</v>
      </c>
      <c r="T1281" s="55">
        <f t="shared" si="267"/>
        <v>3179.3478260869565</v>
      </c>
      <c r="U1281" s="55">
        <f t="shared" si="268"/>
        <v>3126.0326086956525</v>
      </c>
      <c r="V1281" s="55">
        <f t="shared" si="269"/>
        <v>-53.315217391304031</v>
      </c>
      <c r="W1281" s="55">
        <f t="shared" si="270"/>
        <v>3097.0816282575925</v>
      </c>
      <c r="X1281" s="55">
        <f t="shared" si="271"/>
        <v>-28.950980438060014</v>
      </c>
      <c r="Y1281" s="55">
        <f t="shared" si="272"/>
        <v>1995.3</v>
      </c>
      <c r="Z1281" s="55">
        <f t="shared" si="273"/>
        <v>1995.3</v>
      </c>
      <c r="AA1281" s="55">
        <f t="shared" si="274"/>
        <v>0</v>
      </c>
      <c r="AB1281" s="55">
        <f t="shared" si="275"/>
        <v>1101.7816282575925</v>
      </c>
      <c r="AC1281" s="54">
        <f t="shared" si="276"/>
        <v>0.35574833359411684</v>
      </c>
      <c r="AD1281" s="56">
        <f>INDEX(Assumptions!$B$14:$B$16,MATCH($R1281,Assumptions!$A$14:$A$16,0))</f>
        <v>0.32</v>
      </c>
      <c r="AE1281" s="56">
        <f>INDEX(Assumptions!$C$14:$C$16,MATCH($R1281,Assumptions!$A$14:$A$16,0))</f>
        <v>0.22</v>
      </c>
      <c r="AF1281" s="49">
        <f t="shared" si="277"/>
        <v>0</v>
      </c>
      <c r="AG1281" s="49">
        <f t="shared" si="278"/>
        <v>0</v>
      </c>
      <c r="AH1281" s="55">
        <f t="shared" si="279"/>
        <v>0</v>
      </c>
    </row>
    <row r="1282" spans="1:34" x14ac:dyDescent="0.2">
      <c r="A1282" s="48" t="s">
        <v>1120</v>
      </c>
      <c r="B1282" s="48">
        <v>1</v>
      </c>
      <c r="C1282" s="48" t="s">
        <v>1121</v>
      </c>
      <c r="D1282" s="48" t="s">
        <v>1051</v>
      </c>
      <c r="E1282" s="48" t="s">
        <v>293</v>
      </c>
      <c r="F1282" s="48" t="s">
        <v>274</v>
      </c>
      <c r="G1282" s="48" t="s">
        <v>275</v>
      </c>
      <c r="H1282" s="48" t="s">
        <v>66</v>
      </c>
      <c r="I1282" s="48" t="s">
        <v>118</v>
      </c>
      <c r="J1282" s="49">
        <v>8</v>
      </c>
      <c r="K1282" s="50">
        <v>1300</v>
      </c>
      <c r="L1282" s="50">
        <v>1295.48</v>
      </c>
      <c r="M1282" s="48" t="s">
        <v>276</v>
      </c>
      <c r="N1282" s="51">
        <v>0.92</v>
      </c>
      <c r="O1282" s="51">
        <v>0.92859999999999998</v>
      </c>
      <c r="P1282" s="52">
        <v>1182.5999999999999</v>
      </c>
      <c r="Q1282" s="52">
        <v>1251.28</v>
      </c>
      <c r="R1282" s="53" t="str">
        <f>INDEX(SKU_Master!$D$5:$D$34,MATCH($I1282,SKU_Master!$A$5:$A$34,0))</f>
        <v>Laptop</v>
      </c>
      <c r="S1282" s="54">
        <f t="shared" si="266"/>
        <v>3.4769230769230441E-3</v>
      </c>
      <c r="T1282" s="55">
        <f t="shared" si="267"/>
        <v>11304.347826086956</v>
      </c>
      <c r="U1282" s="55">
        <f t="shared" si="268"/>
        <v>11265.04347826087</v>
      </c>
      <c r="V1282" s="55">
        <f t="shared" si="269"/>
        <v>-39.304347826086087</v>
      </c>
      <c r="W1282" s="55">
        <f t="shared" si="270"/>
        <v>11160.715054921387</v>
      </c>
      <c r="X1282" s="55">
        <f t="shared" si="271"/>
        <v>-104.32842333948247</v>
      </c>
      <c r="Y1282" s="55">
        <f t="shared" si="272"/>
        <v>9460.7999999999993</v>
      </c>
      <c r="Z1282" s="55">
        <f t="shared" si="273"/>
        <v>10010.24</v>
      </c>
      <c r="AA1282" s="55">
        <f t="shared" si="274"/>
        <v>-549.44000000000051</v>
      </c>
      <c r="AB1282" s="55">
        <f t="shared" si="275"/>
        <v>1150.4750549213877</v>
      </c>
      <c r="AC1282" s="54">
        <f t="shared" si="276"/>
        <v>0.10308255781640788</v>
      </c>
      <c r="AD1282" s="56">
        <f>INDEX(Assumptions!$B$14:$B$16,MATCH($R1282,Assumptions!$A$14:$A$16,0))</f>
        <v>0.12</v>
      </c>
      <c r="AE1282" s="56">
        <f>INDEX(Assumptions!$C$14:$C$16,MATCH($R1282,Assumptions!$A$14:$A$16,0))</f>
        <v>0.08</v>
      </c>
      <c r="AF1282" s="49">
        <f t="shared" si="277"/>
        <v>0</v>
      </c>
      <c r="AG1282" s="49">
        <f t="shared" si="278"/>
        <v>0</v>
      </c>
      <c r="AH1282" s="55">
        <f t="shared" si="279"/>
        <v>188.81075166917867</v>
      </c>
    </row>
    <row r="1283" spans="1:34" x14ac:dyDescent="0.2">
      <c r="A1283" s="48" t="s">
        <v>1120</v>
      </c>
      <c r="B1283" s="48">
        <v>2</v>
      </c>
      <c r="C1283" s="48" t="s">
        <v>1121</v>
      </c>
      <c r="D1283" s="48" t="s">
        <v>1051</v>
      </c>
      <c r="E1283" s="48" t="s">
        <v>293</v>
      </c>
      <c r="F1283" s="48" t="s">
        <v>274</v>
      </c>
      <c r="G1283" s="48" t="s">
        <v>275</v>
      </c>
      <c r="H1283" s="48" t="s">
        <v>66</v>
      </c>
      <c r="I1283" s="48" t="s">
        <v>138</v>
      </c>
      <c r="J1283" s="49">
        <v>6</v>
      </c>
      <c r="K1283" s="50">
        <v>460</v>
      </c>
      <c r="L1283" s="50">
        <v>458.86</v>
      </c>
      <c r="M1283" s="48" t="s">
        <v>276</v>
      </c>
      <c r="N1283" s="51">
        <v>0.92</v>
      </c>
      <c r="O1283" s="51">
        <v>0.92859999999999998</v>
      </c>
      <c r="P1283" s="52">
        <v>383.2</v>
      </c>
      <c r="Q1283" s="52">
        <v>383.2</v>
      </c>
      <c r="R1283" s="53" t="str">
        <f>INDEX(SKU_Master!$D$5:$D$34,MATCH($I1283,SKU_Master!$A$5:$A$34,0))</f>
        <v>Monitor</v>
      </c>
      <c r="S1283" s="54">
        <f t="shared" si="266"/>
        <v>2.478260869565152E-3</v>
      </c>
      <c r="T1283" s="55">
        <f t="shared" si="267"/>
        <v>3000</v>
      </c>
      <c r="U1283" s="55">
        <f t="shared" si="268"/>
        <v>2992.565217391304</v>
      </c>
      <c r="V1283" s="55">
        <f t="shared" si="269"/>
        <v>-7.4347826086959685</v>
      </c>
      <c r="W1283" s="55">
        <f t="shared" si="270"/>
        <v>2964.8503122980828</v>
      </c>
      <c r="X1283" s="55">
        <f t="shared" si="271"/>
        <v>-27.714905093221205</v>
      </c>
      <c r="Y1283" s="55">
        <f t="shared" si="272"/>
        <v>2299.1999999999998</v>
      </c>
      <c r="Z1283" s="55">
        <f t="shared" si="273"/>
        <v>2299.1999999999998</v>
      </c>
      <c r="AA1283" s="55">
        <f t="shared" si="274"/>
        <v>0</v>
      </c>
      <c r="AB1283" s="55">
        <f t="shared" si="275"/>
        <v>665.65031229808301</v>
      </c>
      <c r="AC1283" s="54">
        <f t="shared" si="276"/>
        <v>0.2245139694024321</v>
      </c>
      <c r="AD1283" s="56">
        <f>INDEX(Assumptions!$B$14:$B$16,MATCH($R1283,Assumptions!$A$14:$A$16,0))</f>
        <v>0.18</v>
      </c>
      <c r="AE1283" s="56">
        <f>INDEX(Assumptions!$C$14:$C$16,MATCH($R1283,Assumptions!$A$14:$A$16,0))</f>
        <v>0.12</v>
      </c>
      <c r="AF1283" s="49">
        <f t="shared" si="277"/>
        <v>0</v>
      </c>
      <c r="AG1283" s="49">
        <f t="shared" si="278"/>
        <v>0</v>
      </c>
      <c r="AH1283" s="55">
        <f t="shared" si="279"/>
        <v>0</v>
      </c>
    </row>
    <row r="1284" spans="1:34" x14ac:dyDescent="0.2">
      <c r="A1284" s="48" t="s">
        <v>1120</v>
      </c>
      <c r="B1284" s="48">
        <v>3</v>
      </c>
      <c r="C1284" s="48" t="s">
        <v>1121</v>
      </c>
      <c r="D1284" s="48" t="s">
        <v>1051</v>
      </c>
      <c r="E1284" s="48" t="s">
        <v>293</v>
      </c>
      <c r="F1284" s="48" t="s">
        <v>274</v>
      </c>
      <c r="G1284" s="48" t="s">
        <v>275</v>
      </c>
      <c r="H1284" s="48" t="s">
        <v>66</v>
      </c>
      <c r="I1284" s="48" t="s">
        <v>151</v>
      </c>
      <c r="J1284" s="49">
        <v>9</v>
      </c>
      <c r="K1284" s="50">
        <v>325</v>
      </c>
      <c r="L1284" s="50">
        <v>319.3</v>
      </c>
      <c r="M1284" s="48" t="s">
        <v>276</v>
      </c>
      <c r="N1284" s="51">
        <v>0.92</v>
      </c>
      <c r="O1284" s="51">
        <v>0.92859999999999998</v>
      </c>
      <c r="P1284" s="52">
        <v>221.7</v>
      </c>
      <c r="Q1284" s="52">
        <v>221.7</v>
      </c>
      <c r="R1284" s="53" t="str">
        <f>INDEX(SKU_Master!$D$5:$D$34,MATCH($I1284,SKU_Master!$A$5:$A$34,0))</f>
        <v>Accessory</v>
      </c>
      <c r="S1284" s="54">
        <f t="shared" si="266"/>
        <v>1.7538461538461503E-2</v>
      </c>
      <c r="T1284" s="55">
        <f t="shared" si="267"/>
        <v>3179.3478260869565</v>
      </c>
      <c r="U1284" s="55">
        <f t="shared" si="268"/>
        <v>3123.5869565217395</v>
      </c>
      <c r="V1284" s="55">
        <f t="shared" si="269"/>
        <v>-55.760869565217035</v>
      </c>
      <c r="W1284" s="55">
        <f t="shared" si="270"/>
        <v>3094.6586258884345</v>
      </c>
      <c r="X1284" s="55">
        <f t="shared" si="271"/>
        <v>-28.928330633304995</v>
      </c>
      <c r="Y1284" s="55">
        <f t="shared" si="272"/>
        <v>1995.3</v>
      </c>
      <c r="Z1284" s="55">
        <f t="shared" si="273"/>
        <v>1995.3</v>
      </c>
      <c r="AA1284" s="55">
        <f t="shared" si="274"/>
        <v>0</v>
      </c>
      <c r="AB1284" s="55">
        <f t="shared" si="275"/>
        <v>1099.3586258884345</v>
      </c>
      <c r="AC1284" s="54">
        <f t="shared" si="276"/>
        <v>0.35524390854995308</v>
      </c>
      <c r="AD1284" s="56">
        <f>INDEX(Assumptions!$B$14:$B$16,MATCH($R1284,Assumptions!$A$14:$A$16,0))</f>
        <v>0.32</v>
      </c>
      <c r="AE1284" s="56">
        <f>INDEX(Assumptions!$C$14:$C$16,MATCH($R1284,Assumptions!$A$14:$A$16,0))</f>
        <v>0.22</v>
      </c>
      <c r="AF1284" s="49">
        <f t="shared" si="277"/>
        <v>0</v>
      </c>
      <c r="AG1284" s="49">
        <f t="shared" si="278"/>
        <v>0</v>
      </c>
      <c r="AH1284" s="55">
        <f t="shared" si="279"/>
        <v>0</v>
      </c>
    </row>
    <row r="1285" spans="1:34" x14ac:dyDescent="0.2">
      <c r="A1285" s="48" t="s">
        <v>1122</v>
      </c>
      <c r="B1285" s="48">
        <v>1</v>
      </c>
      <c r="C1285" s="48" t="s">
        <v>1069</v>
      </c>
      <c r="D1285" s="48" t="s">
        <v>1051</v>
      </c>
      <c r="E1285" s="48" t="s">
        <v>360</v>
      </c>
      <c r="F1285" s="48" t="s">
        <v>280</v>
      </c>
      <c r="G1285" s="48" t="s">
        <v>275</v>
      </c>
      <c r="H1285" s="48" t="s">
        <v>68</v>
      </c>
      <c r="I1285" s="48" t="s">
        <v>106</v>
      </c>
      <c r="J1285" s="49">
        <v>25</v>
      </c>
      <c r="K1285" s="50">
        <v>2145</v>
      </c>
      <c r="L1285" s="50">
        <v>2123.13</v>
      </c>
      <c r="M1285" s="48" t="s">
        <v>276</v>
      </c>
      <c r="N1285" s="51">
        <v>1.37</v>
      </c>
      <c r="O1285" s="51">
        <v>1.3584000000000001</v>
      </c>
      <c r="P1285" s="52">
        <v>1310.4000000000001</v>
      </c>
      <c r="Q1285" s="52">
        <v>1310.4000000000001</v>
      </c>
      <c r="R1285" s="53" t="str">
        <f>INDEX(SKU_Master!$D$5:$D$34,MATCH($I1285,SKU_Master!$A$5:$A$34,0))</f>
        <v>Laptop</v>
      </c>
      <c r="S1285" s="54">
        <f t="shared" ref="S1285:S1348" si="280">IF(K1285=0,0,1-L1285/K1285)</f>
        <v>1.0195804195804126E-2</v>
      </c>
      <c r="T1285" s="55">
        <f t="shared" ref="T1285:T1348" si="281">J1285*K1285/N1285</f>
        <v>39142.335766423355</v>
      </c>
      <c r="U1285" s="55">
        <f t="shared" ref="U1285:U1348" si="282">J1285*L1285/N1285</f>
        <v>38743.248175182482</v>
      </c>
      <c r="V1285" s="55">
        <f t="shared" ref="V1285:V1348" si="283">U1285-T1285</f>
        <v>-399.08759124087373</v>
      </c>
      <c r="W1285" s="55">
        <f t="shared" ref="W1285:W1348" si="284">J1285*L1285/O1285</f>
        <v>39074.094522968197</v>
      </c>
      <c r="X1285" s="55">
        <f t="shared" ref="X1285:X1348" si="285">W1285-U1285</f>
        <v>330.8463477857149</v>
      </c>
      <c r="Y1285" s="55">
        <f t="shared" ref="Y1285:Y1348" si="286">J1285*P1285</f>
        <v>32760.000000000004</v>
      </c>
      <c r="Z1285" s="55">
        <f t="shared" ref="Z1285:Z1348" si="287">J1285*Q1285</f>
        <v>32760.000000000004</v>
      </c>
      <c r="AA1285" s="55">
        <f t="shared" ref="AA1285:AA1348" si="288">Y1285-Z1285</f>
        <v>0</v>
      </c>
      <c r="AB1285" s="55">
        <f t="shared" ref="AB1285:AB1348" si="289">W1285-Z1285</f>
        <v>6314.0945229681929</v>
      </c>
      <c r="AC1285" s="54">
        <f t="shared" ref="AC1285:AC1348" si="290">IF(W1285=0,0,AB1285/W1285)</f>
        <v>0.16159285583077801</v>
      </c>
      <c r="AD1285" s="56">
        <f>INDEX(Assumptions!$B$14:$B$16,MATCH($R1285,Assumptions!$A$14:$A$16,0))</f>
        <v>0.12</v>
      </c>
      <c r="AE1285" s="56">
        <f>INDEX(Assumptions!$C$14:$C$16,MATCH($R1285,Assumptions!$A$14:$A$16,0))</f>
        <v>0.08</v>
      </c>
      <c r="AF1285" s="49">
        <f t="shared" ref="AF1285:AF1348" si="291">IF(AC1285&lt;AE1285,1,0)</f>
        <v>0</v>
      </c>
      <c r="AG1285" s="49">
        <f t="shared" ref="AG1285:AG1348" si="292">IF(AND(AF1285=1,M1285="N"),1,0)</f>
        <v>0</v>
      </c>
      <c r="AH1285" s="55">
        <f t="shared" ref="AH1285:AH1348" si="293">MAX(0,W1285*AD1285-AB1285)</f>
        <v>0</v>
      </c>
    </row>
    <row r="1286" spans="1:34" x14ac:dyDescent="0.2">
      <c r="A1286" s="48" t="s">
        <v>1122</v>
      </c>
      <c r="B1286" s="48">
        <v>2</v>
      </c>
      <c r="C1286" s="48" t="s">
        <v>1069</v>
      </c>
      <c r="D1286" s="48" t="s">
        <v>1051</v>
      </c>
      <c r="E1286" s="48" t="s">
        <v>360</v>
      </c>
      <c r="F1286" s="48" t="s">
        <v>280</v>
      </c>
      <c r="G1286" s="48" t="s">
        <v>275</v>
      </c>
      <c r="H1286" s="48" t="s">
        <v>68</v>
      </c>
      <c r="I1286" s="48" t="s">
        <v>144</v>
      </c>
      <c r="J1286" s="49">
        <v>29</v>
      </c>
      <c r="K1286" s="50">
        <v>540</v>
      </c>
      <c r="L1286" s="50">
        <v>524.61</v>
      </c>
      <c r="M1286" s="48" t="s">
        <v>276</v>
      </c>
      <c r="N1286" s="51">
        <v>1.37</v>
      </c>
      <c r="O1286" s="51">
        <v>1.3584000000000001</v>
      </c>
      <c r="P1286" s="52">
        <v>304.60000000000002</v>
      </c>
      <c r="Q1286" s="52">
        <v>304.60000000000002</v>
      </c>
      <c r="R1286" s="53" t="str">
        <f>INDEX(SKU_Master!$D$5:$D$34,MATCH($I1286,SKU_Master!$A$5:$A$34,0))</f>
        <v>Monitor</v>
      </c>
      <c r="S1286" s="54">
        <f t="shared" si="280"/>
        <v>2.849999999999997E-2</v>
      </c>
      <c r="T1286" s="55">
        <f t="shared" si="281"/>
        <v>11430.656934306568</v>
      </c>
      <c r="U1286" s="55">
        <f t="shared" si="282"/>
        <v>11104.883211678831</v>
      </c>
      <c r="V1286" s="55">
        <f t="shared" si="283"/>
        <v>-325.77372262773679</v>
      </c>
      <c r="W1286" s="55">
        <f t="shared" si="284"/>
        <v>11199.712897526502</v>
      </c>
      <c r="X1286" s="55">
        <f t="shared" si="285"/>
        <v>94.829685847671499</v>
      </c>
      <c r="Y1286" s="55">
        <f t="shared" si="286"/>
        <v>8833.4000000000015</v>
      </c>
      <c r="Z1286" s="55">
        <f t="shared" si="287"/>
        <v>8833.4000000000015</v>
      </c>
      <c r="AA1286" s="55">
        <f t="shared" si="288"/>
        <v>0</v>
      </c>
      <c r="AB1286" s="55">
        <f t="shared" si="289"/>
        <v>2366.3128975265008</v>
      </c>
      <c r="AC1286" s="54">
        <f t="shared" si="290"/>
        <v>0.21128335334820142</v>
      </c>
      <c r="AD1286" s="56">
        <f>INDEX(Assumptions!$B$14:$B$16,MATCH($R1286,Assumptions!$A$14:$A$16,0))</f>
        <v>0.18</v>
      </c>
      <c r="AE1286" s="56">
        <f>INDEX(Assumptions!$C$14:$C$16,MATCH($R1286,Assumptions!$A$14:$A$16,0))</f>
        <v>0.12</v>
      </c>
      <c r="AF1286" s="49">
        <f t="shared" si="291"/>
        <v>0</v>
      </c>
      <c r="AG1286" s="49">
        <f t="shared" si="292"/>
        <v>0</v>
      </c>
      <c r="AH1286" s="55">
        <f t="shared" si="293"/>
        <v>0</v>
      </c>
    </row>
    <row r="1287" spans="1:34" x14ac:dyDescent="0.2">
      <c r="A1287" s="48" t="s">
        <v>1122</v>
      </c>
      <c r="B1287" s="48">
        <v>3</v>
      </c>
      <c r="C1287" s="48" t="s">
        <v>1069</v>
      </c>
      <c r="D1287" s="48" t="s">
        <v>1051</v>
      </c>
      <c r="E1287" s="48" t="s">
        <v>360</v>
      </c>
      <c r="F1287" s="48" t="s">
        <v>280</v>
      </c>
      <c r="G1287" s="48" t="s">
        <v>275</v>
      </c>
      <c r="H1287" s="48" t="s">
        <v>68</v>
      </c>
      <c r="I1287" s="48" t="s">
        <v>161</v>
      </c>
      <c r="J1287" s="49">
        <v>17</v>
      </c>
      <c r="K1287" s="50">
        <v>175</v>
      </c>
      <c r="L1287" s="50">
        <v>172.66</v>
      </c>
      <c r="M1287" s="48" t="s">
        <v>276</v>
      </c>
      <c r="N1287" s="51">
        <v>1.37</v>
      </c>
      <c r="O1287" s="51">
        <v>1.3584000000000001</v>
      </c>
      <c r="P1287" s="52">
        <v>79</v>
      </c>
      <c r="Q1287" s="52">
        <v>79</v>
      </c>
      <c r="R1287" s="53" t="str">
        <f>INDEX(SKU_Master!$D$5:$D$34,MATCH($I1287,SKU_Master!$A$5:$A$34,0))</f>
        <v>Accessory</v>
      </c>
      <c r="S1287" s="54">
        <f t="shared" si="280"/>
        <v>1.337142857142859E-2</v>
      </c>
      <c r="T1287" s="55">
        <f t="shared" si="281"/>
        <v>2171.5328467153281</v>
      </c>
      <c r="U1287" s="55">
        <f t="shared" si="282"/>
        <v>2142.4963503649633</v>
      </c>
      <c r="V1287" s="55">
        <f t="shared" si="283"/>
        <v>-29.036496350364814</v>
      </c>
      <c r="W1287" s="55">
        <f t="shared" si="284"/>
        <v>2160.7921083627793</v>
      </c>
      <c r="X1287" s="55">
        <f t="shared" si="285"/>
        <v>18.295757997816054</v>
      </c>
      <c r="Y1287" s="55">
        <f t="shared" si="286"/>
        <v>1343</v>
      </c>
      <c r="Z1287" s="55">
        <f t="shared" si="287"/>
        <v>1343</v>
      </c>
      <c r="AA1287" s="55">
        <f t="shared" si="288"/>
        <v>0</v>
      </c>
      <c r="AB1287" s="55">
        <f t="shared" si="289"/>
        <v>817.79210836277935</v>
      </c>
      <c r="AC1287" s="54">
        <f t="shared" si="290"/>
        <v>0.37846866674388963</v>
      </c>
      <c r="AD1287" s="56">
        <f>INDEX(Assumptions!$B$14:$B$16,MATCH($R1287,Assumptions!$A$14:$A$16,0))</f>
        <v>0.32</v>
      </c>
      <c r="AE1287" s="56">
        <f>INDEX(Assumptions!$C$14:$C$16,MATCH($R1287,Assumptions!$A$14:$A$16,0))</f>
        <v>0.22</v>
      </c>
      <c r="AF1287" s="49">
        <f t="shared" si="291"/>
        <v>0</v>
      </c>
      <c r="AG1287" s="49">
        <f t="shared" si="292"/>
        <v>0</v>
      </c>
      <c r="AH1287" s="55">
        <f t="shared" si="293"/>
        <v>0</v>
      </c>
    </row>
    <row r="1288" spans="1:34" x14ac:dyDescent="0.2">
      <c r="A1288" s="48" t="s">
        <v>1123</v>
      </c>
      <c r="B1288" s="48">
        <v>1</v>
      </c>
      <c r="C1288" s="48" t="s">
        <v>1053</v>
      </c>
      <c r="D1288" s="48" t="s">
        <v>1051</v>
      </c>
      <c r="E1288" s="48" t="s">
        <v>417</v>
      </c>
      <c r="F1288" s="48" t="s">
        <v>280</v>
      </c>
      <c r="G1288" s="48" t="s">
        <v>298</v>
      </c>
      <c r="H1288" s="48" t="s">
        <v>62</v>
      </c>
      <c r="I1288" s="48" t="s">
        <v>108</v>
      </c>
      <c r="J1288" s="49">
        <v>11</v>
      </c>
      <c r="K1288" s="50">
        <v>1345</v>
      </c>
      <c r="L1288" s="50">
        <v>1291.58</v>
      </c>
      <c r="M1288" s="48" t="s">
        <v>276</v>
      </c>
      <c r="N1288" s="51">
        <v>1</v>
      </c>
      <c r="O1288" s="51">
        <v>1</v>
      </c>
      <c r="P1288" s="52">
        <v>1145</v>
      </c>
      <c r="Q1288" s="52">
        <v>1212.6199999999999</v>
      </c>
      <c r="R1288" s="53" t="str">
        <f>INDEX(SKU_Master!$D$5:$D$34,MATCH($I1288,SKU_Master!$A$5:$A$34,0))</f>
        <v>Laptop</v>
      </c>
      <c r="S1288" s="54">
        <f t="shared" si="280"/>
        <v>3.9717472118959152E-2</v>
      </c>
      <c r="T1288" s="55">
        <f t="shared" si="281"/>
        <v>14795</v>
      </c>
      <c r="U1288" s="55">
        <f t="shared" si="282"/>
        <v>14207.38</v>
      </c>
      <c r="V1288" s="55">
        <f t="shared" si="283"/>
        <v>-587.6200000000008</v>
      </c>
      <c r="W1288" s="55">
        <f t="shared" si="284"/>
        <v>14207.38</v>
      </c>
      <c r="X1288" s="55">
        <f t="shared" si="285"/>
        <v>0</v>
      </c>
      <c r="Y1288" s="55">
        <f t="shared" si="286"/>
        <v>12595</v>
      </c>
      <c r="Z1288" s="55">
        <f t="shared" si="287"/>
        <v>13338.82</v>
      </c>
      <c r="AA1288" s="55">
        <f t="shared" si="288"/>
        <v>-743.81999999999971</v>
      </c>
      <c r="AB1288" s="55">
        <f t="shared" si="289"/>
        <v>868.55999999999949</v>
      </c>
      <c r="AC1288" s="54">
        <f t="shared" si="290"/>
        <v>6.1134424503321481E-2</v>
      </c>
      <c r="AD1288" s="56">
        <f>INDEX(Assumptions!$B$14:$B$16,MATCH($R1288,Assumptions!$A$14:$A$16,0))</f>
        <v>0.12</v>
      </c>
      <c r="AE1288" s="56">
        <f>INDEX(Assumptions!$C$14:$C$16,MATCH($R1288,Assumptions!$A$14:$A$16,0))</f>
        <v>0.08</v>
      </c>
      <c r="AF1288" s="49">
        <f t="shared" si="291"/>
        <v>1</v>
      </c>
      <c r="AG1288" s="49">
        <f t="shared" si="292"/>
        <v>1</v>
      </c>
      <c r="AH1288" s="55">
        <f t="shared" si="293"/>
        <v>836.32560000000035</v>
      </c>
    </row>
    <row r="1289" spans="1:34" x14ac:dyDescent="0.2">
      <c r="A1289" s="48" t="s">
        <v>1123</v>
      </c>
      <c r="B1289" s="48">
        <v>2</v>
      </c>
      <c r="C1289" s="48" t="s">
        <v>1053</v>
      </c>
      <c r="D1289" s="48" t="s">
        <v>1051</v>
      </c>
      <c r="E1289" s="48" t="s">
        <v>417</v>
      </c>
      <c r="F1289" s="48" t="s">
        <v>280</v>
      </c>
      <c r="G1289" s="48" t="s">
        <v>298</v>
      </c>
      <c r="H1289" s="48" t="s">
        <v>62</v>
      </c>
      <c r="I1289" s="48" t="s">
        <v>135</v>
      </c>
      <c r="J1289" s="49">
        <v>4</v>
      </c>
      <c r="K1289" s="50">
        <v>240</v>
      </c>
      <c r="L1289" s="50">
        <v>237.28</v>
      </c>
      <c r="M1289" s="48" t="s">
        <v>276</v>
      </c>
      <c r="N1289" s="51">
        <v>1</v>
      </c>
      <c r="O1289" s="51">
        <v>1</v>
      </c>
      <c r="P1289" s="52">
        <v>186.7</v>
      </c>
      <c r="Q1289" s="52">
        <v>186.7</v>
      </c>
      <c r="R1289" s="53" t="str">
        <f>INDEX(SKU_Master!$D$5:$D$34,MATCH($I1289,SKU_Master!$A$5:$A$34,0))</f>
        <v>Monitor</v>
      </c>
      <c r="S1289" s="54">
        <f t="shared" si="280"/>
        <v>1.1333333333333306E-2</v>
      </c>
      <c r="T1289" s="55">
        <f t="shared" si="281"/>
        <v>960</v>
      </c>
      <c r="U1289" s="55">
        <f t="shared" si="282"/>
        <v>949.12</v>
      </c>
      <c r="V1289" s="55">
        <f t="shared" si="283"/>
        <v>-10.879999999999995</v>
      </c>
      <c r="W1289" s="55">
        <f t="shared" si="284"/>
        <v>949.12</v>
      </c>
      <c r="X1289" s="55">
        <f t="shared" si="285"/>
        <v>0</v>
      </c>
      <c r="Y1289" s="55">
        <f t="shared" si="286"/>
        <v>746.8</v>
      </c>
      <c r="Z1289" s="55">
        <f t="shared" si="287"/>
        <v>746.8</v>
      </c>
      <c r="AA1289" s="55">
        <f t="shared" si="288"/>
        <v>0</v>
      </c>
      <c r="AB1289" s="55">
        <f t="shared" si="289"/>
        <v>202.32000000000005</v>
      </c>
      <c r="AC1289" s="54">
        <f t="shared" si="290"/>
        <v>0.21316587997302769</v>
      </c>
      <c r="AD1289" s="56">
        <f>INDEX(Assumptions!$B$14:$B$16,MATCH($R1289,Assumptions!$A$14:$A$16,0))</f>
        <v>0.18</v>
      </c>
      <c r="AE1289" s="56">
        <f>INDEX(Assumptions!$C$14:$C$16,MATCH($R1289,Assumptions!$A$14:$A$16,0))</f>
        <v>0.12</v>
      </c>
      <c r="AF1289" s="49">
        <f t="shared" si="291"/>
        <v>0</v>
      </c>
      <c r="AG1289" s="49">
        <f t="shared" si="292"/>
        <v>0</v>
      </c>
      <c r="AH1289" s="55">
        <f t="shared" si="293"/>
        <v>0</v>
      </c>
    </row>
    <row r="1290" spans="1:34" x14ac:dyDescent="0.2">
      <c r="A1290" s="48" t="s">
        <v>1123</v>
      </c>
      <c r="B1290" s="48">
        <v>3</v>
      </c>
      <c r="C1290" s="48" t="s">
        <v>1053</v>
      </c>
      <c r="D1290" s="48" t="s">
        <v>1051</v>
      </c>
      <c r="E1290" s="48" t="s">
        <v>417</v>
      </c>
      <c r="F1290" s="48" t="s">
        <v>280</v>
      </c>
      <c r="G1290" s="48" t="s">
        <v>298</v>
      </c>
      <c r="H1290" s="48" t="s">
        <v>62</v>
      </c>
      <c r="I1290" s="48" t="s">
        <v>151</v>
      </c>
      <c r="J1290" s="49">
        <v>9</v>
      </c>
      <c r="K1290" s="50">
        <v>335</v>
      </c>
      <c r="L1290" s="50">
        <v>322.17</v>
      </c>
      <c r="M1290" s="48" t="s">
        <v>276</v>
      </c>
      <c r="N1290" s="51">
        <v>1</v>
      </c>
      <c r="O1290" s="51">
        <v>1</v>
      </c>
      <c r="P1290" s="52">
        <v>216.7</v>
      </c>
      <c r="Q1290" s="52">
        <v>216.7</v>
      </c>
      <c r="R1290" s="53" t="str">
        <f>INDEX(SKU_Master!$D$5:$D$34,MATCH($I1290,SKU_Master!$A$5:$A$34,0))</f>
        <v>Accessory</v>
      </c>
      <c r="S1290" s="54">
        <f t="shared" si="280"/>
        <v>3.8298507462686482E-2</v>
      </c>
      <c r="T1290" s="55">
        <f t="shared" si="281"/>
        <v>3015</v>
      </c>
      <c r="U1290" s="55">
        <f t="shared" si="282"/>
        <v>2899.53</v>
      </c>
      <c r="V1290" s="55">
        <f t="shared" si="283"/>
        <v>-115.4699999999998</v>
      </c>
      <c r="W1290" s="55">
        <f t="shared" si="284"/>
        <v>2899.53</v>
      </c>
      <c r="X1290" s="55">
        <f t="shared" si="285"/>
        <v>0</v>
      </c>
      <c r="Y1290" s="55">
        <f t="shared" si="286"/>
        <v>1950.3</v>
      </c>
      <c r="Z1290" s="55">
        <f t="shared" si="287"/>
        <v>1950.3</v>
      </c>
      <c r="AA1290" s="55">
        <f t="shared" si="288"/>
        <v>0</v>
      </c>
      <c r="AB1290" s="55">
        <f t="shared" si="289"/>
        <v>949.23000000000025</v>
      </c>
      <c r="AC1290" s="54">
        <f t="shared" si="290"/>
        <v>0.32737374677965053</v>
      </c>
      <c r="AD1290" s="56">
        <f>INDEX(Assumptions!$B$14:$B$16,MATCH($R1290,Assumptions!$A$14:$A$16,0))</f>
        <v>0.32</v>
      </c>
      <c r="AE1290" s="56">
        <f>INDEX(Assumptions!$C$14:$C$16,MATCH($R1290,Assumptions!$A$14:$A$16,0))</f>
        <v>0.22</v>
      </c>
      <c r="AF1290" s="49">
        <f t="shared" si="291"/>
        <v>0</v>
      </c>
      <c r="AG1290" s="49">
        <f t="shared" si="292"/>
        <v>0</v>
      </c>
      <c r="AH1290" s="55">
        <f t="shared" si="293"/>
        <v>0</v>
      </c>
    </row>
    <row r="1291" spans="1:34" x14ac:dyDescent="0.2">
      <c r="A1291" s="48" t="s">
        <v>1124</v>
      </c>
      <c r="B1291" s="48">
        <v>1</v>
      </c>
      <c r="C1291" s="48" t="s">
        <v>1084</v>
      </c>
      <c r="D1291" s="48" t="s">
        <v>1051</v>
      </c>
      <c r="E1291" s="48" t="s">
        <v>346</v>
      </c>
      <c r="F1291" s="48" t="s">
        <v>297</v>
      </c>
      <c r="G1291" s="48" t="s">
        <v>302</v>
      </c>
      <c r="H1291" s="48" t="s">
        <v>62</v>
      </c>
      <c r="I1291" s="48" t="s">
        <v>103</v>
      </c>
      <c r="J1291" s="49">
        <v>33</v>
      </c>
      <c r="K1291" s="50">
        <v>1135</v>
      </c>
      <c r="L1291" s="50">
        <v>1102.8699999999999</v>
      </c>
      <c r="M1291" s="48" t="s">
        <v>276</v>
      </c>
      <c r="N1291" s="51">
        <v>1</v>
      </c>
      <c r="O1291" s="51">
        <v>1</v>
      </c>
      <c r="P1291" s="52">
        <v>968.6</v>
      </c>
      <c r="Q1291" s="52">
        <v>968.6</v>
      </c>
      <c r="R1291" s="53" t="str">
        <f>INDEX(SKU_Master!$D$5:$D$34,MATCH($I1291,SKU_Master!$A$5:$A$34,0))</f>
        <v>Laptop</v>
      </c>
      <c r="S1291" s="54">
        <f t="shared" si="280"/>
        <v>2.8308370044052955E-2</v>
      </c>
      <c r="T1291" s="55">
        <f t="shared" si="281"/>
        <v>37455</v>
      </c>
      <c r="U1291" s="55">
        <f t="shared" si="282"/>
        <v>36394.71</v>
      </c>
      <c r="V1291" s="55">
        <f t="shared" si="283"/>
        <v>-1060.2900000000009</v>
      </c>
      <c r="W1291" s="55">
        <f t="shared" si="284"/>
        <v>36394.71</v>
      </c>
      <c r="X1291" s="55">
        <f t="shared" si="285"/>
        <v>0</v>
      </c>
      <c r="Y1291" s="55">
        <f t="shared" si="286"/>
        <v>31963.8</v>
      </c>
      <c r="Z1291" s="55">
        <f t="shared" si="287"/>
        <v>31963.8</v>
      </c>
      <c r="AA1291" s="55">
        <f t="shared" si="288"/>
        <v>0</v>
      </c>
      <c r="AB1291" s="55">
        <f t="shared" si="289"/>
        <v>4430.91</v>
      </c>
      <c r="AC1291" s="54">
        <f t="shared" si="290"/>
        <v>0.12174599000788851</v>
      </c>
      <c r="AD1291" s="56">
        <f>INDEX(Assumptions!$B$14:$B$16,MATCH($R1291,Assumptions!$A$14:$A$16,0))</f>
        <v>0.12</v>
      </c>
      <c r="AE1291" s="56">
        <f>INDEX(Assumptions!$C$14:$C$16,MATCH($R1291,Assumptions!$A$14:$A$16,0))</f>
        <v>0.08</v>
      </c>
      <c r="AF1291" s="49">
        <f t="shared" si="291"/>
        <v>0</v>
      </c>
      <c r="AG1291" s="49">
        <f t="shared" si="292"/>
        <v>0</v>
      </c>
      <c r="AH1291" s="55">
        <f t="shared" si="293"/>
        <v>0</v>
      </c>
    </row>
    <row r="1292" spans="1:34" x14ac:dyDescent="0.2">
      <c r="A1292" s="48" t="s">
        <v>1124</v>
      </c>
      <c r="B1292" s="48">
        <v>2</v>
      </c>
      <c r="C1292" s="48" t="s">
        <v>1084</v>
      </c>
      <c r="D1292" s="48" t="s">
        <v>1051</v>
      </c>
      <c r="E1292" s="48" t="s">
        <v>346</v>
      </c>
      <c r="F1292" s="48" t="s">
        <v>297</v>
      </c>
      <c r="G1292" s="48" t="s">
        <v>302</v>
      </c>
      <c r="H1292" s="48" t="s">
        <v>62</v>
      </c>
      <c r="I1292" s="48" t="s">
        <v>161</v>
      </c>
      <c r="J1292" s="49">
        <v>19</v>
      </c>
      <c r="K1292" s="50">
        <v>120</v>
      </c>
      <c r="L1292" s="50">
        <v>111.03</v>
      </c>
      <c r="M1292" s="48" t="s">
        <v>276</v>
      </c>
      <c r="N1292" s="51">
        <v>1</v>
      </c>
      <c r="O1292" s="51">
        <v>1</v>
      </c>
      <c r="P1292" s="52">
        <v>76</v>
      </c>
      <c r="Q1292" s="52">
        <v>76</v>
      </c>
      <c r="R1292" s="53" t="str">
        <f>INDEX(SKU_Master!$D$5:$D$34,MATCH($I1292,SKU_Master!$A$5:$A$34,0))</f>
        <v>Accessory</v>
      </c>
      <c r="S1292" s="54">
        <f t="shared" si="280"/>
        <v>7.4749999999999983E-2</v>
      </c>
      <c r="T1292" s="55">
        <f t="shared" si="281"/>
        <v>2280</v>
      </c>
      <c r="U1292" s="55">
        <f t="shared" si="282"/>
        <v>2109.5700000000002</v>
      </c>
      <c r="V1292" s="55">
        <f t="shared" si="283"/>
        <v>-170.42999999999984</v>
      </c>
      <c r="W1292" s="55">
        <f t="shared" si="284"/>
        <v>2109.5700000000002</v>
      </c>
      <c r="X1292" s="55">
        <f t="shared" si="285"/>
        <v>0</v>
      </c>
      <c r="Y1292" s="55">
        <f t="shared" si="286"/>
        <v>1444</v>
      </c>
      <c r="Z1292" s="55">
        <f t="shared" si="287"/>
        <v>1444</v>
      </c>
      <c r="AA1292" s="55">
        <f t="shared" si="288"/>
        <v>0</v>
      </c>
      <c r="AB1292" s="55">
        <f t="shared" si="289"/>
        <v>665.57000000000016</v>
      </c>
      <c r="AC1292" s="54">
        <f t="shared" si="290"/>
        <v>0.31550031523011807</v>
      </c>
      <c r="AD1292" s="56">
        <f>INDEX(Assumptions!$B$14:$B$16,MATCH($R1292,Assumptions!$A$14:$A$16,0))</f>
        <v>0.32</v>
      </c>
      <c r="AE1292" s="56">
        <f>INDEX(Assumptions!$C$14:$C$16,MATCH($R1292,Assumptions!$A$14:$A$16,0))</f>
        <v>0.22</v>
      </c>
      <c r="AF1292" s="49">
        <f t="shared" si="291"/>
        <v>0</v>
      </c>
      <c r="AG1292" s="49">
        <f t="shared" si="292"/>
        <v>0</v>
      </c>
      <c r="AH1292" s="55">
        <f t="shared" si="293"/>
        <v>9.4923999999998614</v>
      </c>
    </row>
    <row r="1293" spans="1:34" x14ac:dyDescent="0.2">
      <c r="A1293" s="48" t="s">
        <v>1125</v>
      </c>
      <c r="B1293" s="48">
        <v>1</v>
      </c>
      <c r="C1293" s="48" t="s">
        <v>1065</v>
      </c>
      <c r="D1293" s="48" t="s">
        <v>1051</v>
      </c>
      <c r="E1293" s="48" t="s">
        <v>293</v>
      </c>
      <c r="F1293" s="48" t="s">
        <v>274</v>
      </c>
      <c r="G1293" s="48" t="s">
        <v>275</v>
      </c>
      <c r="H1293" s="48" t="s">
        <v>66</v>
      </c>
      <c r="I1293" s="48" t="s">
        <v>113</v>
      </c>
      <c r="J1293" s="49">
        <v>2</v>
      </c>
      <c r="K1293" s="50">
        <v>1655</v>
      </c>
      <c r="L1293" s="50">
        <v>1637.67</v>
      </c>
      <c r="M1293" s="48" t="s">
        <v>276</v>
      </c>
      <c r="N1293" s="51">
        <v>0.92</v>
      </c>
      <c r="O1293" s="51">
        <v>0.92859999999999998</v>
      </c>
      <c r="P1293" s="52">
        <v>1504.8</v>
      </c>
      <c r="Q1293" s="52">
        <v>1504.8</v>
      </c>
      <c r="R1293" s="53" t="str">
        <f>INDEX(SKU_Master!$D$5:$D$34,MATCH($I1293,SKU_Master!$A$5:$A$34,0))</f>
        <v>Laptop</v>
      </c>
      <c r="S1293" s="54">
        <f t="shared" si="280"/>
        <v>1.0471299093655517E-2</v>
      </c>
      <c r="T1293" s="55">
        <f t="shared" si="281"/>
        <v>3597.8260869565215</v>
      </c>
      <c r="U1293" s="55">
        <f t="shared" si="282"/>
        <v>3560.1521739130435</v>
      </c>
      <c r="V1293" s="55">
        <f t="shared" si="283"/>
        <v>-37.673913043478024</v>
      </c>
      <c r="W1293" s="55">
        <f t="shared" si="284"/>
        <v>3527.1807021322425</v>
      </c>
      <c r="X1293" s="55">
        <f t="shared" si="285"/>
        <v>-32.971471780801039</v>
      </c>
      <c r="Y1293" s="55">
        <f t="shared" si="286"/>
        <v>3009.6</v>
      </c>
      <c r="Z1293" s="55">
        <f t="shared" si="287"/>
        <v>3009.6</v>
      </c>
      <c r="AA1293" s="55">
        <f t="shared" si="288"/>
        <v>0</v>
      </c>
      <c r="AB1293" s="55">
        <f t="shared" si="289"/>
        <v>517.58070213224255</v>
      </c>
      <c r="AC1293" s="54">
        <f t="shared" si="290"/>
        <v>0.14674062540072189</v>
      </c>
      <c r="AD1293" s="56">
        <f>INDEX(Assumptions!$B$14:$B$16,MATCH($R1293,Assumptions!$A$14:$A$16,0))</f>
        <v>0.12</v>
      </c>
      <c r="AE1293" s="56">
        <f>INDEX(Assumptions!$C$14:$C$16,MATCH($R1293,Assumptions!$A$14:$A$16,0))</f>
        <v>0.08</v>
      </c>
      <c r="AF1293" s="49">
        <f t="shared" si="291"/>
        <v>0</v>
      </c>
      <c r="AG1293" s="49">
        <f t="shared" si="292"/>
        <v>0</v>
      </c>
      <c r="AH1293" s="55">
        <f t="shared" si="293"/>
        <v>0</v>
      </c>
    </row>
    <row r="1294" spans="1:34" x14ac:dyDescent="0.2">
      <c r="A1294" s="48" t="s">
        <v>1125</v>
      </c>
      <c r="B1294" s="48">
        <v>2</v>
      </c>
      <c r="C1294" s="48" t="s">
        <v>1065</v>
      </c>
      <c r="D1294" s="48" t="s">
        <v>1051</v>
      </c>
      <c r="E1294" s="48" t="s">
        <v>293</v>
      </c>
      <c r="F1294" s="48" t="s">
        <v>274</v>
      </c>
      <c r="G1294" s="48" t="s">
        <v>275</v>
      </c>
      <c r="H1294" s="48" t="s">
        <v>66</v>
      </c>
      <c r="I1294" s="48" t="s">
        <v>141</v>
      </c>
      <c r="J1294" s="49">
        <v>1</v>
      </c>
      <c r="K1294" s="50">
        <v>450</v>
      </c>
      <c r="L1294" s="50">
        <v>449.38</v>
      </c>
      <c r="M1294" s="48" t="s">
        <v>276</v>
      </c>
      <c r="N1294" s="51">
        <v>0.92</v>
      </c>
      <c r="O1294" s="51">
        <v>0.92859999999999998</v>
      </c>
      <c r="P1294" s="52">
        <v>376.7</v>
      </c>
      <c r="Q1294" s="52">
        <v>376.7</v>
      </c>
      <c r="R1294" s="53" t="str">
        <f>INDEX(SKU_Master!$D$5:$D$34,MATCH($I1294,SKU_Master!$A$5:$A$34,0))</f>
        <v>Monitor</v>
      </c>
      <c r="S1294" s="54">
        <f t="shared" si="280"/>
        <v>1.3777777777778111E-3</v>
      </c>
      <c r="T1294" s="55">
        <f t="shared" si="281"/>
        <v>489.13043478260869</v>
      </c>
      <c r="U1294" s="55">
        <f t="shared" si="282"/>
        <v>488.45652173913038</v>
      </c>
      <c r="V1294" s="55">
        <f t="shared" si="283"/>
        <v>-0.67391304347830783</v>
      </c>
      <c r="W1294" s="55">
        <f t="shared" si="284"/>
        <v>483.9328020676287</v>
      </c>
      <c r="X1294" s="55">
        <f t="shared" si="285"/>
        <v>-4.5237196715016808</v>
      </c>
      <c r="Y1294" s="55">
        <f t="shared" si="286"/>
        <v>376.7</v>
      </c>
      <c r="Z1294" s="55">
        <f t="shared" si="287"/>
        <v>376.7</v>
      </c>
      <c r="AA1294" s="55">
        <f t="shared" si="288"/>
        <v>0</v>
      </c>
      <c r="AB1294" s="55">
        <f t="shared" si="289"/>
        <v>107.23280206762871</v>
      </c>
      <c r="AC1294" s="54">
        <f t="shared" si="290"/>
        <v>0.22158614090524728</v>
      </c>
      <c r="AD1294" s="56">
        <f>INDEX(Assumptions!$B$14:$B$16,MATCH($R1294,Assumptions!$A$14:$A$16,0))</f>
        <v>0.18</v>
      </c>
      <c r="AE1294" s="56">
        <f>INDEX(Assumptions!$C$14:$C$16,MATCH($R1294,Assumptions!$A$14:$A$16,0))</f>
        <v>0.12</v>
      </c>
      <c r="AF1294" s="49">
        <f t="shared" si="291"/>
        <v>0</v>
      </c>
      <c r="AG1294" s="49">
        <f t="shared" si="292"/>
        <v>0</v>
      </c>
      <c r="AH1294" s="55">
        <f t="shared" si="293"/>
        <v>0</v>
      </c>
    </row>
    <row r="1295" spans="1:34" x14ac:dyDescent="0.2">
      <c r="A1295" s="48" t="s">
        <v>1125</v>
      </c>
      <c r="B1295" s="48">
        <v>3</v>
      </c>
      <c r="C1295" s="48" t="s">
        <v>1065</v>
      </c>
      <c r="D1295" s="48" t="s">
        <v>1051</v>
      </c>
      <c r="E1295" s="48" t="s">
        <v>293</v>
      </c>
      <c r="F1295" s="48" t="s">
        <v>274</v>
      </c>
      <c r="G1295" s="48" t="s">
        <v>275</v>
      </c>
      <c r="H1295" s="48" t="s">
        <v>66</v>
      </c>
      <c r="I1295" s="48" t="s">
        <v>173</v>
      </c>
      <c r="J1295" s="49">
        <v>1</v>
      </c>
      <c r="K1295" s="50">
        <v>60</v>
      </c>
      <c r="L1295" s="50">
        <v>59.96</v>
      </c>
      <c r="M1295" s="48" t="s">
        <v>276</v>
      </c>
      <c r="N1295" s="51">
        <v>0.92</v>
      </c>
      <c r="O1295" s="51">
        <v>0.92859999999999998</v>
      </c>
      <c r="P1295" s="52">
        <v>39</v>
      </c>
      <c r="Q1295" s="52">
        <v>39</v>
      </c>
      <c r="R1295" s="53" t="str">
        <f>INDEX(SKU_Master!$D$5:$D$34,MATCH($I1295,SKU_Master!$A$5:$A$34,0))</f>
        <v>Accessory</v>
      </c>
      <c r="S1295" s="54">
        <f t="shared" si="280"/>
        <v>6.6666666666670427E-4</v>
      </c>
      <c r="T1295" s="55">
        <f t="shared" si="281"/>
        <v>65.217391304347828</v>
      </c>
      <c r="U1295" s="55">
        <f t="shared" si="282"/>
        <v>65.173913043478265</v>
      </c>
      <c r="V1295" s="55">
        <f t="shared" si="283"/>
        <v>-4.3478260869562746E-2</v>
      </c>
      <c r="W1295" s="55">
        <f t="shared" si="284"/>
        <v>64.570320913202679</v>
      </c>
      <c r="X1295" s="55">
        <f t="shared" si="285"/>
        <v>-0.60359213027558667</v>
      </c>
      <c r="Y1295" s="55">
        <f t="shared" si="286"/>
        <v>39</v>
      </c>
      <c r="Z1295" s="55">
        <f t="shared" si="287"/>
        <v>39</v>
      </c>
      <c r="AA1295" s="55">
        <f t="shared" si="288"/>
        <v>0</v>
      </c>
      <c r="AB1295" s="55">
        <f t="shared" si="289"/>
        <v>25.570320913202679</v>
      </c>
      <c r="AC1295" s="54">
        <f t="shared" si="290"/>
        <v>0.39600733822548373</v>
      </c>
      <c r="AD1295" s="56">
        <f>INDEX(Assumptions!$B$14:$B$16,MATCH($R1295,Assumptions!$A$14:$A$16,0))</f>
        <v>0.32</v>
      </c>
      <c r="AE1295" s="56">
        <f>INDEX(Assumptions!$C$14:$C$16,MATCH($R1295,Assumptions!$A$14:$A$16,0))</f>
        <v>0.22</v>
      </c>
      <c r="AF1295" s="49">
        <f t="shared" si="291"/>
        <v>0</v>
      </c>
      <c r="AG1295" s="49">
        <f t="shared" si="292"/>
        <v>0</v>
      </c>
      <c r="AH1295" s="55">
        <f t="shared" si="293"/>
        <v>0</v>
      </c>
    </row>
    <row r="1296" spans="1:34" x14ac:dyDescent="0.2">
      <c r="A1296" s="48" t="s">
        <v>1126</v>
      </c>
      <c r="B1296" s="48">
        <v>1</v>
      </c>
      <c r="C1296" s="48" t="s">
        <v>1050</v>
      </c>
      <c r="D1296" s="48" t="s">
        <v>1051</v>
      </c>
      <c r="E1296" s="48" t="s">
        <v>346</v>
      </c>
      <c r="F1296" s="48" t="s">
        <v>297</v>
      </c>
      <c r="G1296" s="48" t="s">
        <v>302</v>
      </c>
      <c r="H1296" s="48" t="s">
        <v>62</v>
      </c>
      <c r="I1296" s="48" t="s">
        <v>106</v>
      </c>
      <c r="J1296" s="49">
        <v>59</v>
      </c>
      <c r="K1296" s="50">
        <v>1520</v>
      </c>
      <c r="L1296" s="50">
        <v>1416.77</v>
      </c>
      <c r="M1296" s="48" t="s">
        <v>276</v>
      </c>
      <c r="N1296" s="51">
        <v>1</v>
      </c>
      <c r="O1296" s="51">
        <v>1</v>
      </c>
      <c r="P1296" s="52">
        <v>1298.4000000000001</v>
      </c>
      <c r="Q1296" s="52">
        <v>1298.4000000000001</v>
      </c>
      <c r="R1296" s="53" t="str">
        <f>INDEX(SKU_Master!$D$5:$D$34,MATCH($I1296,SKU_Master!$A$5:$A$34,0))</f>
        <v>Laptop</v>
      </c>
      <c r="S1296" s="54">
        <f t="shared" si="280"/>
        <v>6.7914473684210552E-2</v>
      </c>
      <c r="T1296" s="55">
        <f t="shared" si="281"/>
        <v>89680</v>
      </c>
      <c r="U1296" s="55">
        <f t="shared" si="282"/>
        <v>83589.429999999993</v>
      </c>
      <c r="V1296" s="55">
        <f t="shared" si="283"/>
        <v>-6090.570000000007</v>
      </c>
      <c r="W1296" s="55">
        <f t="shared" si="284"/>
        <v>83589.429999999993</v>
      </c>
      <c r="X1296" s="55">
        <f t="shared" si="285"/>
        <v>0</v>
      </c>
      <c r="Y1296" s="55">
        <f t="shared" si="286"/>
        <v>76605.600000000006</v>
      </c>
      <c r="Z1296" s="55">
        <f t="shared" si="287"/>
        <v>76605.600000000006</v>
      </c>
      <c r="AA1296" s="55">
        <f t="shared" si="288"/>
        <v>0</v>
      </c>
      <c r="AB1296" s="55">
        <f t="shared" si="289"/>
        <v>6983.8299999999872</v>
      </c>
      <c r="AC1296" s="54">
        <f t="shared" si="290"/>
        <v>8.3549199940710056E-2</v>
      </c>
      <c r="AD1296" s="56">
        <f>INDEX(Assumptions!$B$14:$B$16,MATCH($R1296,Assumptions!$A$14:$A$16,0))</f>
        <v>0.12</v>
      </c>
      <c r="AE1296" s="56">
        <f>INDEX(Assumptions!$C$14:$C$16,MATCH($R1296,Assumptions!$A$14:$A$16,0))</f>
        <v>0.08</v>
      </c>
      <c r="AF1296" s="49">
        <f t="shared" si="291"/>
        <v>0</v>
      </c>
      <c r="AG1296" s="49">
        <f t="shared" si="292"/>
        <v>0</v>
      </c>
      <c r="AH1296" s="55">
        <f t="shared" si="293"/>
        <v>3046.901600000012</v>
      </c>
    </row>
    <row r="1297" spans="1:34" x14ac:dyDescent="0.2">
      <c r="A1297" s="48" t="s">
        <v>1126</v>
      </c>
      <c r="B1297" s="48">
        <v>2</v>
      </c>
      <c r="C1297" s="48" t="s">
        <v>1050</v>
      </c>
      <c r="D1297" s="48" t="s">
        <v>1051</v>
      </c>
      <c r="E1297" s="48" t="s">
        <v>346</v>
      </c>
      <c r="F1297" s="48" t="s">
        <v>297</v>
      </c>
      <c r="G1297" s="48" t="s">
        <v>302</v>
      </c>
      <c r="H1297" s="48" t="s">
        <v>62</v>
      </c>
      <c r="I1297" s="48" t="s">
        <v>135</v>
      </c>
      <c r="J1297" s="49">
        <v>29</v>
      </c>
      <c r="K1297" s="50">
        <v>240</v>
      </c>
      <c r="L1297" s="50">
        <v>231.5</v>
      </c>
      <c r="M1297" s="48" t="s">
        <v>276</v>
      </c>
      <c r="N1297" s="51">
        <v>1</v>
      </c>
      <c r="O1297" s="51">
        <v>1</v>
      </c>
      <c r="P1297" s="52">
        <v>186.7</v>
      </c>
      <c r="Q1297" s="52">
        <v>186.7</v>
      </c>
      <c r="R1297" s="53" t="str">
        <f>INDEX(SKU_Master!$D$5:$D$34,MATCH($I1297,SKU_Master!$A$5:$A$34,0))</f>
        <v>Monitor</v>
      </c>
      <c r="S1297" s="54">
        <f t="shared" si="280"/>
        <v>3.5416666666666652E-2</v>
      </c>
      <c r="T1297" s="55">
        <f t="shared" si="281"/>
        <v>6960</v>
      </c>
      <c r="U1297" s="55">
        <f t="shared" si="282"/>
        <v>6713.5</v>
      </c>
      <c r="V1297" s="55">
        <f t="shared" si="283"/>
        <v>-246.5</v>
      </c>
      <c r="W1297" s="55">
        <f t="shared" si="284"/>
        <v>6713.5</v>
      </c>
      <c r="X1297" s="55">
        <f t="shared" si="285"/>
        <v>0</v>
      </c>
      <c r="Y1297" s="55">
        <f t="shared" si="286"/>
        <v>5414.2999999999993</v>
      </c>
      <c r="Z1297" s="55">
        <f t="shared" si="287"/>
        <v>5414.2999999999993</v>
      </c>
      <c r="AA1297" s="55">
        <f t="shared" si="288"/>
        <v>0</v>
      </c>
      <c r="AB1297" s="55">
        <f t="shared" si="289"/>
        <v>1299.2000000000007</v>
      </c>
      <c r="AC1297" s="54">
        <f t="shared" si="290"/>
        <v>0.19352051835853143</v>
      </c>
      <c r="AD1297" s="56">
        <f>INDEX(Assumptions!$B$14:$B$16,MATCH($R1297,Assumptions!$A$14:$A$16,0))</f>
        <v>0.18</v>
      </c>
      <c r="AE1297" s="56">
        <f>INDEX(Assumptions!$C$14:$C$16,MATCH($R1297,Assumptions!$A$14:$A$16,0))</f>
        <v>0.12</v>
      </c>
      <c r="AF1297" s="49">
        <f t="shared" si="291"/>
        <v>0</v>
      </c>
      <c r="AG1297" s="49">
        <f t="shared" si="292"/>
        <v>0</v>
      </c>
      <c r="AH1297" s="55">
        <f t="shared" si="293"/>
        <v>0</v>
      </c>
    </row>
    <row r="1298" spans="1:34" x14ac:dyDescent="0.2">
      <c r="A1298" s="48" t="s">
        <v>1126</v>
      </c>
      <c r="B1298" s="48">
        <v>3</v>
      </c>
      <c r="C1298" s="48" t="s">
        <v>1050</v>
      </c>
      <c r="D1298" s="48" t="s">
        <v>1051</v>
      </c>
      <c r="E1298" s="48" t="s">
        <v>346</v>
      </c>
      <c r="F1298" s="48" t="s">
        <v>297</v>
      </c>
      <c r="G1298" s="48" t="s">
        <v>302</v>
      </c>
      <c r="H1298" s="48" t="s">
        <v>62</v>
      </c>
      <c r="I1298" s="48" t="s">
        <v>177</v>
      </c>
      <c r="J1298" s="49">
        <v>41</v>
      </c>
      <c r="K1298" s="50">
        <v>70</v>
      </c>
      <c r="L1298" s="50">
        <v>65.75</v>
      </c>
      <c r="M1298" s="48" t="s">
        <v>276</v>
      </c>
      <c r="N1298" s="51">
        <v>1</v>
      </c>
      <c r="O1298" s="51">
        <v>1</v>
      </c>
      <c r="P1298" s="52">
        <v>44</v>
      </c>
      <c r="Q1298" s="52">
        <v>44</v>
      </c>
      <c r="R1298" s="53" t="str">
        <f>INDEX(SKU_Master!$D$5:$D$34,MATCH($I1298,SKU_Master!$A$5:$A$34,0))</f>
        <v>Accessory</v>
      </c>
      <c r="S1298" s="54">
        <f t="shared" si="280"/>
        <v>6.0714285714285721E-2</v>
      </c>
      <c r="T1298" s="55">
        <f t="shared" si="281"/>
        <v>2870</v>
      </c>
      <c r="U1298" s="55">
        <f t="shared" si="282"/>
        <v>2695.75</v>
      </c>
      <c r="V1298" s="55">
        <f t="shared" si="283"/>
        <v>-174.25</v>
      </c>
      <c r="W1298" s="55">
        <f t="shared" si="284"/>
        <v>2695.75</v>
      </c>
      <c r="X1298" s="55">
        <f t="shared" si="285"/>
        <v>0</v>
      </c>
      <c r="Y1298" s="55">
        <f t="shared" si="286"/>
        <v>1804</v>
      </c>
      <c r="Z1298" s="55">
        <f t="shared" si="287"/>
        <v>1804</v>
      </c>
      <c r="AA1298" s="55">
        <f t="shared" si="288"/>
        <v>0</v>
      </c>
      <c r="AB1298" s="55">
        <f t="shared" si="289"/>
        <v>891.75</v>
      </c>
      <c r="AC1298" s="54">
        <f t="shared" si="290"/>
        <v>0.33079847908745247</v>
      </c>
      <c r="AD1298" s="56">
        <f>INDEX(Assumptions!$B$14:$B$16,MATCH($R1298,Assumptions!$A$14:$A$16,0))</f>
        <v>0.32</v>
      </c>
      <c r="AE1298" s="56">
        <f>INDEX(Assumptions!$C$14:$C$16,MATCH($R1298,Assumptions!$A$14:$A$16,0))</f>
        <v>0.22</v>
      </c>
      <c r="AF1298" s="49">
        <f t="shared" si="291"/>
        <v>0</v>
      </c>
      <c r="AG1298" s="49">
        <f t="shared" si="292"/>
        <v>0</v>
      </c>
      <c r="AH1298" s="55">
        <f t="shared" si="293"/>
        <v>0</v>
      </c>
    </row>
    <row r="1299" spans="1:34" x14ac:dyDescent="0.2">
      <c r="A1299" s="48" t="s">
        <v>1127</v>
      </c>
      <c r="B1299" s="48">
        <v>1</v>
      </c>
      <c r="C1299" s="48" t="s">
        <v>1117</v>
      </c>
      <c r="D1299" s="48" t="s">
        <v>1051</v>
      </c>
      <c r="E1299" s="48" t="s">
        <v>322</v>
      </c>
      <c r="F1299" s="48" t="s">
        <v>274</v>
      </c>
      <c r="G1299" s="48" t="s">
        <v>288</v>
      </c>
      <c r="H1299" s="48" t="s">
        <v>62</v>
      </c>
      <c r="I1299" s="48" t="s">
        <v>115</v>
      </c>
      <c r="J1299" s="49">
        <v>3</v>
      </c>
      <c r="K1299" s="50">
        <v>850</v>
      </c>
      <c r="L1299" s="50">
        <v>835.8</v>
      </c>
      <c r="M1299" s="48" t="s">
        <v>276</v>
      </c>
      <c r="N1299" s="51">
        <v>1</v>
      </c>
      <c r="O1299" s="51">
        <v>1</v>
      </c>
      <c r="P1299" s="52">
        <v>723.6</v>
      </c>
      <c r="Q1299" s="52">
        <v>723.6</v>
      </c>
      <c r="R1299" s="53" t="str">
        <f>INDEX(SKU_Master!$D$5:$D$34,MATCH($I1299,SKU_Master!$A$5:$A$34,0))</f>
        <v>Laptop</v>
      </c>
      <c r="S1299" s="54">
        <f t="shared" si="280"/>
        <v>1.6705882352941237E-2</v>
      </c>
      <c r="T1299" s="55">
        <f t="shared" si="281"/>
        <v>2550</v>
      </c>
      <c r="U1299" s="55">
        <f t="shared" si="282"/>
        <v>2507.3999999999996</v>
      </c>
      <c r="V1299" s="55">
        <f t="shared" si="283"/>
        <v>-42.600000000000364</v>
      </c>
      <c r="W1299" s="55">
        <f t="shared" si="284"/>
        <v>2507.3999999999996</v>
      </c>
      <c r="X1299" s="55">
        <f t="shared" si="285"/>
        <v>0</v>
      </c>
      <c r="Y1299" s="55">
        <f t="shared" si="286"/>
        <v>2170.8000000000002</v>
      </c>
      <c r="Z1299" s="55">
        <f t="shared" si="287"/>
        <v>2170.8000000000002</v>
      </c>
      <c r="AA1299" s="55">
        <f t="shared" si="288"/>
        <v>0</v>
      </c>
      <c r="AB1299" s="55">
        <f t="shared" si="289"/>
        <v>336.59999999999945</v>
      </c>
      <c r="AC1299" s="54">
        <f t="shared" si="290"/>
        <v>0.13424264178033002</v>
      </c>
      <c r="AD1299" s="56">
        <f>INDEX(Assumptions!$B$14:$B$16,MATCH($R1299,Assumptions!$A$14:$A$16,0))</f>
        <v>0.12</v>
      </c>
      <c r="AE1299" s="56">
        <f>INDEX(Assumptions!$C$14:$C$16,MATCH($R1299,Assumptions!$A$14:$A$16,0))</f>
        <v>0.08</v>
      </c>
      <c r="AF1299" s="49">
        <f t="shared" si="291"/>
        <v>0</v>
      </c>
      <c r="AG1299" s="49">
        <f t="shared" si="292"/>
        <v>0</v>
      </c>
      <c r="AH1299" s="55">
        <f t="shared" si="293"/>
        <v>0</v>
      </c>
    </row>
    <row r="1300" spans="1:34" x14ac:dyDescent="0.2">
      <c r="A1300" s="48" t="s">
        <v>1127</v>
      </c>
      <c r="B1300" s="48">
        <v>2</v>
      </c>
      <c r="C1300" s="48" t="s">
        <v>1117</v>
      </c>
      <c r="D1300" s="48" t="s">
        <v>1051</v>
      </c>
      <c r="E1300" s="48" t="s">
        <v>322</v>
      </c>
      <c r="F1300" s="48" t="s">
        <v>274</v>
      </c>
      <c r="G1300" s="48" t="s">
        <v>288</v>
      </c>
      <c r="H1300" s="48" t="s">
        <v>62</v>
      </c>
      <c r="I1300" s="48" t="s">
        <v>161</v>
      </c>
      <c r="J1300" s="49">
        <v>3</v>
      </c>
      <c r="K1300" s="50">
        <v>120</v>
      </c>
      <c r="L1300" s="50">
        <v>117.65</v>
      </c>
      <c r="M1300" s="48" t="s">
        <v>276</v>
      </c>
      <c r="N1300" s="51">
        <v>1</v>
      </c>
      <c r="O1300" s="51">
        <v>1</v>
      </c>
      <c r="P1300" s="52">
        <v>76</v>
      </c>
      <c r="Q1300" s="52">
        <v>76</v>
      </c>
      <c r="R1300" s="53" t="str">
        <f>INDEX(SKU_Master!$D$5:$D$34,MATCH($I1300,SKU_Master!$A$5:$A$34,0))</f>
        <v>Accessory</v>
      </c>
      <c r="S1300" s="54">
        <f t="shared" si="280"/>
        <v>1.9583333333333286E-2</v>
      </c>
      <c r="T1300" s="55">
        <f t="shared" si="281"/>
        <v>360</v>
      </c>
      <c r="U1300" s="55">
        <f t="shared" si="282"/>
        <v>352.95000000000005</v>
      </c>
      <c r="V1300" s="55">
        <f t="shared" si="283"/>
        <v>-7.0499999999999545</v>
      </c>
      <c r="W1300" s="55">
        <f t="shared" si="284"/>
        <v>352.95000000000005</v>
      </c>
      <c r="X1300" s="55">
        <f t="shared" si="285"/>
        <v>0</v>
      </c>
      <c r="Y1300" s="55">
        <f t="shared" si="286"/>
        <v>228</v>
      </c>
      <c r="Z1300" s="55">
        <f t="shared" si="287"/>
        <v>228</v>
      </c>
      <c r="AA1300" s="55">
        <f t="shared" si="288"/>
        <v>0</v>
      </c>
      <c r="AB1300" s="55">
        <f t="shared" si="289"/>
        <v>124.95000000000005</v>
      </c>
      <c r="AC1300" s="54">
        <f t="shared" si="290"/>
        <v>0.35401614959626015</v>
      </c>
      <c r="AD1300" s="56">
        <f>INDEX(Assumptions!$B$14:$B$16,MATCH($R1300,Assumptions!$A$14:$A$16,0))</f>
        <v>0.32</v>
      </c>
      <c r="AE1300" s="56">
        <f>INDEX(Assumptions!$C$14:$C$16,MATCH($R1300,Assumptions!$A$14:$A$16,0))</f>
        <v>0.22</v>
      </c>
      <c r="AF1300" s="49">
        <f t="shared" si="291"/>
        <v>0</v>
      </c>
      <c r="AG1300" s="49">
        <f t="shared" si="292"/>
        <v>0</v>
      </c>
      <c r="AH1300" s="55">
        <f t="shared" si="293"/>
        <v>0</v>
      </c>
    </row>
    <row r="1301" spans="1:34" x14ac:dyDescent="0.2">
      <c r="A1301" s="48" t="s">
        <v>1128</v>
      </c>
      <c r="B1301" s="48">
        <v>1</v>
      </c>
      <c r="C1301" s="48" t="s">
        <v>1108</v>
      </c>
      <c r="D1301" s="48" t="s">
        <v>1051</v>
      </c>
      <c r="E1301" s="48" t="s">
        <v>349</v>
      </c>
      <c r="F1301" s="48" t="s">
        <v>274</v>
      </c>
      <c r="G1301" s="48" t="s">
        <v>275</v>
      </c>
      <c r="H1301" s="48" t="s">
        <v>66</v>
      </c>
      <c r="I1301" s="48" t="s">
        <v>103</v>
      </c>
      <c r="J1301" s="49">
        <v>6</v>
      </c>
      <c r="K1301" s="50">
        <v>1090</v>
      </c>
      <c r="L1301" s="50">
        <v>1084.31</v>
      </c>
      <c r="M1301" s="48" t="s">
        <v>276</v>
      </c>
      <c r="N1301" s="51">
        <v>0.92</v>
      </c>
      <c r="O1301" s="51">
        <v>0.92859999999999998</v>
      </c>
      <c r="P1301" s="52">
        <v>988.6</v>
      </c>
      <c r="Q1301" s="52">
        <v>988.6</v>
      </c>
      <c r="R1301" s="53" t="str">
        <f>INDEX(SKU_Master!$D$5:$D$34,MATCH($I1301,SKU_Master!$A$5:$A$34,0))</f>
        <v>Laptop</v>
      </c>
      <c r="S1301" s="54">
        <f t="shared" si="280"/>
        <v>5.2201834862385388E-3</v>
      </c>
      <c r="T1301" s="55">
        <f t="shared" si="281"/>
        <v>7108.695652173913</v>
      </c>
      <c r="U1301" s="55">
        <f t="shared" si="282"/>
        <v>7071.5869565217381</v>
      </c>
      <c r="V1301" s="55">
        <f t="shared" si="283"/>
        <v>-37.108695652174902</v>
      </c>
      <c r="W1301" s="55">
        <f t="shared" si="284"/>
        <v>7006.0951970708593</v>
      </c>
      <c r="X1301" s="55">
        <f t="shared" si="285"/>
        <v>-65.491759450878817</v>
      </c>
      <c r="Y1301" s="55">
        <f t="shared" si="286"/>
        <v>5931.6</v>
      </c>
      <c r="Z1301" s="55">
        <f t="shared" si="287"/>
        <v>5931.6</v>
      </c>
      <c r="AA1301" s="55">
        <f t="shared" si="288"/>
        <v>0</v>
      </c>
      <c r="AB1301" s="55">
        <f t="shared" si="289"/>
        <v>1074.4951970708589</v>
      </c>
      <c r="AC1301" s="54">
        <f t="shared" si="290"/>
        <v>0.15336577178113264</v>
      </c>
      <c r="AD1301" s="56">
        <f>INDEX(Assumptions!$B$14:$B$16,MATCH($R1301,Assumptions!$A$14:$A$16,0))</f>
        <v>0.12</v>
      </c>
      <c r="AE1301" s="56">
        <f>INDEX(Assumptions!$C$14:$C$16,MATCH($R1301,Assumptions!$A$14:$A$16,0))</f>
        <v>0.08</v>
      </c>
      <c r="AF1301" s="49">
        <f t="shared" si="291"/>
        <v>0</v>
      </c>
      <c r="AG1301" s="49">
        <f t="shared" si="292"/>
        <v>0</v>
      </c>
      <c r="AH1301" s="55">
        <f t="shared" si="293"/>
        <v>0</v>
      </c>
    </row>
    <row r="1302" spans="1:34" x14ac:dyDescent="0.2">
      <c r="A1302" s="48" t="s">
        <v>1128</v>
      </c>
      <c r="B1302" s="48">
        <v>2</v>
      </c>
      <c r="C1302" s="48" t="s">
        <v>1108</v>
      </c>
      <c r="D1302" s="48" t="s">
        <v>1051</v>
      </c>
      <c r="E1302" s="48" t="s">
        <v>349</v>
      </c>
      <c r="F1302" s="48" t="s">
        <v>274</v>
      </c>
      <c r="G1302" s="48" t="s">
        <v>275</v>
      </c>
      <c r="H1302" s="48" t="s">
        <v>66</v>
      </c>
      <c r="I1302" s="48" t="s">
        <v>146</v>
      </c>
      <c r="J1302" s="49">
        <v>4</v>
      </c>
      <c r="K1302" s="50">
        <v>250</v>
      </c>
      <c r="L1302" s="50">
        <v>246.19</v>
      </c>
      <c r="M1302" s="48" t="s">
        <v>276</v>
      </c>
      <c r="N1302" s="51">
        <v>0.92</v>
      </c>
      <c r="O1302" s="51">
        <v>0.92859999999999998</v>
      </c>
      <c r="P1302" s="52">
        <v>206.8</v>
      </c>
      <c r="Q1302" s="52">
        <v>206.8</v>
      </c>
      <c r="R1302" s="53" t="str">
        <f>INDEX(SKU_Master!$D$5:$D$34,MATCH($I1302,SKU_Master!$A$5:$A$34,0))</f>
        <v>Monitor</v>
      </c>
      <c r="S1302" s="54">
        <f t="shared" si="280"/>
        <v>1.5240000000000031E-2</v>
      </c>
      <c r="T1302" s="55">
        <f t="shared" si="281"/>
        <v>1086.9565217391305</v>
      </c>
      <c r="U1302" s="55">
        <f t="shared" si="282"/>
        <v>1070.391304347826</v>
      </c>
      <c r="V1302" s="55">
        <f t="shared" si="283"/>
        <v>-16.565217391304486</v>
      </c>
      <c r="W1302" s="55">
        <f t="shared" si="284"/>
        <v>1060.4781391341805</v>
      </c>
      <c r="X1302" s="55">
        <f t="shared" si="285"/>
        <v>-9.9131652136454704</v>
      </c>
      <c r="Y1302" s="55">
        <f t="shared" si="286"/>
        <v>827.2</v>
      </c>
      <c r="Z1302" s="55">
        <f t="shared" si="287"/>
        <v>827.2</v>
      </c>
      <c r="AA1302" s="55">
        <f t="shared" si="288"/>
        <v>0</v>
      </c>
      <c r="AB1302" s="55">
        <f t="shared" si="289"/>
        <v>233.27813913418049</v>
      </c>
      <c r="AC1302" s="54">
        <f t="shared" si="290"/>
        <v>0.21997449124659815</v>
      </c>
      <c r="AD1302" s="56">
        <f>INDEX(Assumptions!$B$14:$B$16,MATCH($R1302,Assumptions!$A$14:$A$16,0))</f>
        <v>0.18</v>
      </c>
      <c r="AE1302" s="56">
        <f>INDEX(Assumptions!$C$14:$C$16,MATCH($R1302,Assumptions!$A$14:$A$16,0))</f>
        <v>0.12</v>
      </c>
      <c r="AF1302" s="49">
        <f t="shared" si="291"/>
        <v>0</v>
      </c>
      <c r="AG1302" s="49">
        <f t="shared" si="292"/>
        <v>0</v>
      </c>
      <c r="AH1302" s="55">
        <f t="shared" si="293"/>
        <v>0</v>
      </c>
    </row>
    <row r="1303" spans="1:34" x14ac:dyDescent="0.2">
      <c r="A1303" s="48" t="s">
        <v>1128</v>
      </c>
      <c r="B1303" s="48">
        <v>3</v>
      </c>
      <c r="C1303" s="48" t="s">
        <v>1108</v>
      </c>
      <c r="D1303" s="48" t="s">
        <v>1051</v>
      </c>
      <c r="E1303" s="48" t="s">
        <v>349</v>
      </c>
      <c r="F1303" s="48" t="s">
        <v>274</v>
      </c>
      <c r="G1303" s="48" t="s">
        <v>275</v>
      </c>
      <c r="H1303" s="48" t="s">
        <v>66</v>
      </c>
      <c r="I1303" s="48" t="s">
        <v>161</v>
      </c>
      <c r="J1303" s="49">
        <v>3</v>
      </c>
      <c r="K1303" s="50">
        <v>120</v>
      </c>
      <c r="L1303" s="50">
        <v>117.93</v>
      </c>
      <c r="M1303" s="48" t="s">
        <v>276</v>
      </c>
      <c r="N1303" s="51">
        <v>0.92</v>
      </c>
      <c r="O1303" s="51">
        <v>0.92859999999999998</v>
      </c>
      <c r="P1303" s="52">
        <v>81</v>
      </c>
      <c r="Q1303" s="52">
        <v>81</v>
      </c>
      <c r="R1303" s="53" t="str">
        <f>INDEX(SKU_Master!$D$5:$D$34,MATCH($I1303,SKU_Master!$A$5:$A$34,0))</f>
        <v>Accessory</v>
      </c>
      <c r="S1303" s="54">
        <f t="shared" si="280"/>
        <v>1.7249999999999988E-2</v>
      </c>
      <c r="T1303" s="55">
        <f t="shared" si="281"/>
        <v>391.30434782608694</v>
      </c>
      <c r="U1303" s="55">
        <f t="shared" si="282"/>
        <v>384.55434782608694</v>
      </c>
      <c r="V1303" s="55">
        <f t="shared" si="283"/>
        <v>-6.75</v>
      </c>
      <c r="W1303" s="55">
        <f t="shared" si="284"/>
        <v>380.99289252638386</v>
      </c>
      <c r="X1303" s="55">
        <f t="shared" si="285"/>
        <v>-3.5614552997030842</v>
      </c>
      <c r="Y1303" s="55">
        <f t="shared" si="286"/>
        <v>243</v>
      </c>
      <c r="Z1303" s="55">
        <f t="shared" si="287"/>
        <v>243</v>
      </c>
      <c r="AA1303" s="55">
        <f t="shared" si="288"/>
        <v>0</v>
      </c>
      <c r="AB1303" s="55">
        <f t="shared" si="289"/>
        <v>137.99289252638386</v>
      </c>
      <c r="AC1303" s="54">
        <f t="shared" si="290"/>
        <v>0.36219282625286198</v>
      </c>
      <c r="AD1303" s="56">
        <f>INDEX(Assumptions!$B$14:$B$16,MATCH($R1303,Assumptions!$A$14:$A$16,0))</f>
        <v>0.32</v>
      </c>
      <c r="AE1303" s="56">
        <f>INDEX(Assumptions!$C$14:$C$16,MATCH($R1303,Assumptions!$A$14:$A$16,0))</f>
        <v>0.22</v>
      </c>
      <c r="AF1303" s="49">
        <f t="shared" si="291"/>
        <v>0</v>
      </c>
      <c r="AG1303" s="49">
        <f t="shared" si="292"/>
        <v>0</v>
      </c>
      <c r="AH1303" s="55">
        <f t="shared" si="293"/>
        <v>0</v>
      </c>
    </row>
    <row r="1304" spans="1:34" x14ac:dyDescent="0.2">
      <c r="A1304" s="48" t="s">
        <v>1129</v>
      </c>
      <c r="B1304" s="48">
        <v>1</v>
      </c>
      <c r="C1304" s="48" t="s">
        <v>1130</v>
      </c>
      <c r="D1304" s="48" t="s">
        <v>1051</v>
      </c>
      <c r="E1304" s="48" t="s">
        <v>498</v>
      </c>
      <c r="F1304" s="48" t="s">
        <v>280</v>
      </c>
      <c r="G1304" s="48" t="s">
        <v>302</v>
      </c>
      <c r="H1304" s="48" t="s">
        <v>66</v>
      </c>
      <c r="I1304" s="48" t="s">
        <v>110</v>
      </c>
      <c r="J1304" s="49">
        <v>5</v>
      </c>
      <c r="K1304" s="50">
        <v>1115</v>
      </c>
      <c r="L1304" s="50">
        <v>1057.58</v>
      </c>
      <c r="M1304" s="48" t="s">
        <v>276</v>
      </c>
      <c r="N1304" s="51">
        <v>0.92</v>
      </c>
      <c r="O1304" s="51">
        <v>0.92859999999999998</v>
      </c>
      <c r="P1304" s="52">
        <v>1012.65</v>
      </c>
      <c r="Q1304" s="52">
        <v>1012.65</v>
      </c>
      <c r="R1304" s="53" t="str">
        <f>INDEX(SKU_Master!$D$5:$D$34,MATCH($I1304,SKU_Master!$A$5:$A$34,0))</f>
        <v>Laptop</v>
      </c>
      <c r="S1304" s="54">
        <f t="shared" si="280"/>
        <v>5.1497757847533743E-2</v>
      </c>
      <c r="T1304" s="55">
        <f t="shared" si="281"/>
        <v>6059.782608695652</v>
      </c>
      <c r="U1304" s="55">
        <f t="shared" si="282"/>
        <v>5747.7173913043471</v>
      </c>
      <c r="V1304" s="55">
        <f t="shared" si="283"/>
        <v>-312.06521739130494</v>
      </c>
      <c r="W1304" s="55">
        <f t="shared" si="284"/>
        <v>5694.4863234977383</v>
      </c>
      <c r="X1304" s="55">
        <f t="shared" si="285"/>
        <v>-53.231067806608735</v>
      </c>
      <c r="Y1304" s="55">
        <f t="shared" si="286"/>
        <v>5063.25</v>
      </c>
      <c r="Z1304" s="55">
        <f t="shared" si="287"/>
        <v>5063.25</v>
      </c>
      <c r="AA1304" s="55">
        <f t="shared" si="288"/>
        <v>0</v>
      </c>
      <c r="AB1304" s="55">
        <f t="shared" si="289"/>
        <v>631.23632349773834</v>
      </c>
      <c r="AC1304" s="54">
        <f t="shared" si="290"/>
        <v>0.11085044157415984</v>
      </c>
      <c r="AD1304" s="56">
        <f>INDEX(Assumptions!$B$14:$B$16,MATCH($R1304,Assumptions!$A$14:$A$16,0))</f>
        <v>0.12</v>
      </c>
      <c r="AE1304" s="56">
        <f>INDEX(Assumptions!$C$14:$C$16,MATCH($R1304,Assumptions!$A$14:$A$16,0))</f>
        <v>0.08</v>
      </c>
      <c r="AF1304" s="49">
        <f t="shared" si="291"/>
        <v>0</v>
      </c>
      <c r="AG1304" s="49">
        <f t="shared" si="292"/>
        <v>0</v>
      </c>
      <c r="AH1304" s="55">
        <f t="shared" si="293"/>
        <v>52.102035321990229</v>
      </c>
    </row>
    <row r="1305" spans="1:34" x14ac:dyDescent="0.2">
      <c r="A1305" s="48" t="s">
        <v>1129</v>
      </c>
      <c r="B1305" s="48">
        <v>2</v>
      </c>
      <c r="C1305" s="48" t="s">
        <v>1130</v>
      </c>
      <c r="D1305" s="48" t="s">
        <v>1051</v>
      </c>
      <c r="E1305" s="48" t="s">
        <v>498</v>
      </c>
      <c r="F1305" s="48" t="s">
        <v>280</v>
      </c>
      <c r="G1305" s="48" t="s">
        <v>302</v>
      </c>
      <c r="H1305" s="48" t="s">
        <v>66</v>
      </c>
      <c r="I1305" s="48" t="s">
        <v>135</v>
      </c>
      <c r="J1305" s="49">
        <v>2</v>
      </c>
      <c r="K1305" s="50">
        <v>255</v>
      </c>
      <c r="L1305" s="50">
        <v>240.38</v>
      </c>
      <c r="M1305" s="48" t="s">
        <v>276</v>
      </c>
      <c r="N1305" s="51">
        <v>0.92</v>
      </c>
      <c r="O1305" s="51">
        <v>0.92859999999999998</v>
      </c>
      <c r="P1305" s="52">
        <v>211.7</v>
      </c>
      <c r="Q1305" s="52">
        <v>211.7</v>
      </c>
      <c r="R1305" s="53" t="str">
        <f>INDEX(SKU_Master!$D$5:$D$34,MATCH($I1305,SKU_Master!$A$5:$A$34,0))</f>
        <v>Monitor</v>
      </c>
      <c r="S1305" s="54">
        <f t="shared" si="280"/>
        <v>5.7333333333333347E-2</v>
      </c>
      <c r="T1305" s="55">
        <f t="shared" si="281"/>
        <v>554.3478260869565</v>
      </c>
      <c r="U1305" s="55">
        <f t="shared" si="282"/>
        <v>522.56521739130426</v>
      </c>
      <c r="V1305" s="55">
        <f t="shared" si="283"/>
        <v>-31.782608695652243</v>
      </c>
      <c r="W1305" s="55">
        <f t="shared" si="284"/>
        <v>517.72560844281713</v>
      </c>
      <c r="X1305" s="55">
        <f t="shared" si="285"/>
        <v>-4.8396089484871254</v>
      </c>
      <c r="Y1305" s="55">
        <f t="shared" si="286"/>
        <v>423.4</v>
      </c>
      <c r="Z1305" s="55">
        <f t="shared" si="287"/>
        <v>423.4</v>
      </c>
      <c r="AA1305" s="55">
        <f t="shared" si="288"/>
        <v>0</v>
      </c>
      <c r="AB1305" s="55">
        <f t="shared" si="289"/>
        <v>94.325608442817156</v>
      </c>
      <c r="AC1305" s="54">
        <f t="shared" si="290"/>
        <v>0.18219227889175474</v>
      </c>
      <c r="AD1305" s="56">
        <f>INDEX(Assumptions!$B$14:$B$16,MATCH($R1305,Assumptions!$A$14:$A$16,0))</f>
        <v>0.18</v>
      </c>
      <c r="AE1305" s="56">
        <f>INDEX(Assumptions!$C$14:$C$16,MATCH($R1305,Assumptions!$A$14:$A$16,0))</f>
        <v>0.12</v>
      </c>
      <c r="AF1305" s="49">
        <f t="shared" si="291"/>
        <v>0</v>
      </c>
      <c r="AG1305" s="49">
        <f t="shared" si="292"/>
        <v>0</v>
      </c>
      <c r="AH1305" s="55">
        <f t="shared" si="293"/>
        <v>0</v>
      </c>
    </row>
    <row r="1306" spans="1:34" x14ac:dyDescent="0.2">
      <c r="A1306" s="48" t="s">
        <v>1129</v>
      </c>
      <c r="B1306" s="48">
        <v>3</v>
      </c>
      <c r="C1306" s="48" t="s">
        <v>1130</v>
      </c>
      <c r="D1306" s="48" t="s">
        <v>1051</v>
      </c>
      <c r="E1306" s="48" t="s">
        <v>498</v>
      </c>
      <c r="F1306" s="48" t="s">
        <v>280</v>
      </c>
      <c r="G1306" s="48" t="s">
        <v>302</v>
      </c>
      <c r="H1306" s="48" t="s">
        <v>66</v>
      </c>
      <c r="I1306" s="48" t="s">
        <v>164</v>
      </c>
      <c r="J1306" s="49">
        <v>4</v>
      </c>
      <c r="K1306" s="50">
        <v>185</v>
      </c>
      <c r="L1306" s="50">
        <v>176.37</v>
      </c>
      <c r="M1306" s="48" t="s">
        <v>276</v>
      </c>
      <c r="N1306" s="51">
        <v>0.92</v>
      </c>
      <c r="O1306" s="51">
        <v>0.92859999999999998</v>
      </c>
      <c r="P1306" s="52">
        <v>126</v>
      </c>
      <c r="Q1306" s="52">
        <v>126</v>
      </c>
      <c r="R1306" s="53" t="str">
        <f>INDEX(SKU_Master!$D$5:$D$34,MATCH($I1306,SKU_Master!$A$5:$A$34,0))</f>
        <v>Accessory</v>
      </c>
      <c r="S1306" s="54">
        <f t="shared" si="280"/>
        <v>4.6648648648648594E-2</v>
      </c>
      <c r="T1306" s="55">
        <f t="shared" si="281"/>
        <v>804.3478260869565</v>
      </c>
      <c r="U1306" s="55">
        <f t="shared" si="282"/>
        <v>766.82608695652175</v>
      </c>
      <c r="V1306" s="55">
        <f t="shared" si="283"/>
        <v>-37.521739130434753</v>
      </c>
      <c r="W1306" s="55">
        <f t="shared" si="284"/>
        <v>759.72431617488701</v>
      </c>
      <c r="X1306" s="55">
        <f t="shared" si="285"/>
        <v>-7.1017707816347411</v>
      </c>
      <c r="Y1306" s="55">
        <f t="shared" si="286"/>
        <v>504</v>
      </c>
      <c r="Z1306" s="55">
        <f t="shared" si="287"/>
        <v>504</v>
      </c>
      <c r="AA1306" s="55">
        <f t="shared" si="288"/>
        <v>0</v>
      </c>
      <c r="AB1306" s="55">
        <f t="shared" si="289"/>
        <v>255.72431617488701</v>
      </c>
      <c r="AC1306" s="54">
        <f t="shared" si="290"/>
        <v>0.33660146283381537</v>
      </c>
      <c r="AD1306" s="56">
        <f>INDEX(Assumptions!$B$14:$B$16,MATCH($R1306,Assumptions!$A$14:$A$16,0))</f>
        <v>0.32</v>
      </c>
      <c r="AE1306" s="56">
        <f>INDEX(Assumptions!$C$14:$C$16,MATCH($R1306,Assumptions!$A$14:$A$16,0))</f>
        <v>0.22</v>
      </c>
      <c r="AF1306" s="49">
        <f t="shared" si="291"/>
        <v>0</v>
      </c>
      <c r="AG1306" s="49">
        <f t="shared" si="292"/>
        <v>0</v>
      </c>
      <c r="AH1306" s="55">
        <f t="shared" si="293"/>
        <v>0</v>
      </c>
    </row>
    <row r="1307" spans="1:34" x14ac:dyDescent="0.2">
      <c r="A1307" s="48" t="s">
        <v>1131</v>
      </c>
      <c r="B1307" s="48">
        <v>1</v>
      </c>
      <c r="C1307" s="48" t="s">
        <v>1132</v>
      </c>
      <c r="D1307" s="48" t="s">
        <v>1051</v>
      </c>
      <c r="E1307" s="48" t="s">
        <v>317</v>
      </c>
      <c r="F1307" s="48" t="s">
        <v>280</v>
      </c>
      <c r="G1307" s="48" t="s">
        <v>306</v>
      </c>
      <c r="H1307" s="48" t="s">
        <v>62</v>
      </c>
      <c r="I1307" s="48" t="s">
        <v>98</v>
      </c>
      <c r="J1307" s="49">
        <v>9</v>
      </c>
      <c r="K1307" s="50">
        <v>2085</v>
      </c>
      <c r="L1307" s="50">
        <v>2052.71</v>
      </c>
      <c r="M1307" s="48" t="s">
        <v>276</v>
      </c>
      <c r="N1307" s="51">
        <v>1</v>
      </c>
      <c r="O1307" s="51">
        <v>1</v>
      </c>
      <c r="P1307" s="52">
        <v>1780.2</v>
      </c>
      <c r="Q1307" s="52">
        <v>1780.2</v>
      </c>
      <c r="R1307" s="53" t="str">
        <f>INDEX(SKU_Master!$D$5:$D$34,MATCH($I1307,SKU_Master!$A$5:$A$34,0))</f>
        <v>Laptop</v>
      </c>
      <c r="S1307" s="54">
        <f t="shared" si="280"/>
        <v>1.5486810551558761E-2</v>
      </c>
      <c r="T1307" s="55">
        <f t="shared" si="281"/>
        <v>18765</v>
      </c>
      <c r="U1307" s="55">
        <f t="shared" si="282"/>
        <v>18474.39</v>
      </c>
      <c r="V1307" s="55">
        <f t="shared" si="283"/>
        <v>-290.61000000000058</v>
      </c>
      <c r="W1307" s="55">
        <f t="shared" si="284"/>
        <v>18474.39</v>
      </c>
      <c r="X1307" s="55">
        <f t="shared" si="285"/>
        <v>0</v>
      </c>
      <c r="Y1307" s="55">
        <f t="shared" si="286"/>
        <v>16021.800000000001</v>
      </c>
      <c r="Z1307" s="55">
        <f t="shared" si="287"/>
        <v>16021.800000000001</v>
      </c>
      <c r="AA1307" s="55">
        <f t="shared" si="288"/>
        <v>0</v>
      </c>
      <c r="AB1307" s="55">
        <f t="shared" si="289"/>
        <v>2452.5899999999983</v>
      </c>
      <c r="AC1307" s="54">
        <f t="shared" si="290"/>
        <v>0.13275621008325569</v>
      </c>
      <c r="AD1307" s="56">
        <f>INDEX(Assumptions!$B$14:$B$16,MATCH($R1307,Assumptions!$A$14:$A$16,0))</f>
        <v>0.12</v>
      </c>
      <c r="AE1307" s="56">
        <f>INDEX(Assumptions!$C$14:$C$16,MATCH($R1307,Assumptions!$A$14:$A$16,0))</f>
        <v>0.08</v>
      </c>
      <c r="AF1307" s="49">
        <f t="shared" si="291"/>
        <v>0</v>
      </c>
      <c r="AG1307" s="49">
        <f t="shared" si="292"/>
        <v>0</v>
      </c>
      <c r="AH1307" s="55">
        <f t="shared" si="293"/>
        <v>0</v>
      </c>
    </row>
    <row r="1308" spans="1:34" x14ac:dyDescent="0.2">
      <c r="A1308" s="48" t="s">
        <v>1131</v>
      </c>
      <c r="B1308" s="48">
        <v>2</v>
      </c>
      <c r="C1308" s="48" t="s">
        <v>1132</v>
      </c>
      <c r="D1308" s="48" t="s">
        <v>1051</v>
      </c>
      <c r="E1308" s="48" t="s">
        <v>317</v>
      </c>
      <c r="F1308" s="48" t="s">
        <v>280</v>
      </c>
      <c r="G1308" s="48" t="s">
        <v>306</v>
      </c>
      <c r="H1308" s="48" t="s">
        <v>62</v>
      </c>
      <c r="I1308" s="48" t="s">
        <v>135</v>
      </c>
      <c r="J1308" s="49">
        <v>8</v>
      </c>
      <c r="K1308" s="50">
        <v>240</v>
      </c>
      <c r="L1308" s="50">
        <v>232.46</v>
      </c>
      <c r="M1308" s="48" t="s">
        <v>276</v>
      </c>
      <c r="N1308" s="51">
        <v>1</v>
      </c>
      <c r="O1308" s="51">
        <v>1</v>
      </c>
      <c r="P1308" s="52">
        <v>186.7</v>
      </c>
      <c r="Q1308" s="52">
        <v>186.7</v>
      </c>
      <c r="R1308" s="53" t="str">
        <f>INDEX(SKU_Master!$D$5:$D$34,MATCH($I1308,SKU_Master!$A$5:$A$34,0))</f>
        <v>Monitor</v>
      </c>
      <c r="S1308" s="54">
        <f t="shared" si="280"/>
        <v>3.1416666666666648E-2</v>
      </c>
      <c r="T1308" s="55">
        <f t="shared" si="281"/>
        <v>1920</v>
      </c>
      <c r="U1308" s="55">
        <f t="shared" si="282"/>
        <v>1859.68</v>
      </c>
      <c r="V1308" s="55">
        <f t="shared" si="283"/>
        <v>-60.319999999999936</v>
      </c>
      <c r="W1308" s="55">
        <f t="shared" si="284"/>
        <v>1859.68</v>
      </c>
      <c r="X1308" s="55">
        <f t="shared" si="285"/>
        <v>0</v>
      </c>
      <c r="Y1308" s="55">
        <f t="shared" si="286"/>
        <v>1493.6</v>
      </c>
      <c r="Z1308" s="55">
        <f t="shared" si="287"/>
        <v>1493.6</v>
      </c>
      <c r="AA1308" s="55">
        <f t="shared" si="288"/>
        <v>0</v>
      </c>
      <c r="AB1308" s="55">
        <f t="shared" si="289"/>
        <v>366.08000000000015</v>
      </c>
      <c r="AC1308" s="54">
        <f t="shared" si="290"/>
        <v>0.19685107115202624</v>
      </c>
      <c r="AD1308" s="56">
        <f>INDEX(Assumptions!$B$14:$B$16,MATCH($R1308,Assumptions!$A$14:$A$16,0))</f>
        <v>0.18</v>
      </c>
      <c r="AE1308" s="56">
        <f>INDEX(Assumptions!$C$14:$C$16,MATCH($R1308,Assumptions!$A$14:$A$16,0))</f>
        <v>0.12</v>
      </c>
      <c r="AF1308" s="49">
        <f t="shared" si="291"/>
        <v>0</v>
      </c>
      <c r="AG1308" s="49">
        <f t="shared" si="292"/>
        <v>0</v>
      </c>
      <c r="AH1308" s="55">
        <f t="shared" si="293"/>
        <v>0</v>
      </c>
    </row>
    <row r="1309" spans="1:34" x14ac:dyDescent="0.2">
      <c r="A1309" s="48" t="s">
        <v>1131</v>
      </c>
      <c r="B1309" s="48">
        <v>3</v>
      </c>
      <c r="C1309" s="48" t="s">
        <v>1132</v>
      </c>
      <c r="D1309" s="48" t="s">
        <v>1051</v>
      </c>
      <c r="E1309" s="48" t="s">
        <v>317</v>
      </c>
      <c r="F1309" s="48" t="s">
        <v>280</v>
      </c>
      <c r="G1309" s="48" t="s">
        <v>306</v>
      </c>
      <c r="H1309" s="48" t="s">
        <v>62</v>
      </c>
      <c r="I1309" s="48" t="s">
        <v>164</v>
      </c>
      <c r="J1309" s="49">
        <v>9</v>
      </c>
      <c r="K1309" s="50">
        <v>190</v>
      </c>
      <c r="L1309" s="50">
        <v>185.93</v>
      </c>
      <c r="M1309" s="48" t="s">
        <v>276</v>
      </c>
      <c r="N1309" s="51">
        <v>1</v>
      </c>
      <c r="O1309" s="51">
        <v>1</v>
      </c>
      <c r="P1309" s="52">
        <v>121</v>
      </c>
      <c r="Q1309" s="52">
        <v>121</v>
      </c>
      <c r="R1309" s="53" t="str">
        <f>INDEX(SKU_Master!$D$5:$D$34,MATCH($I1309,SKU_Master!$A$5:$A$34,0))</f>
        <v>Accessory</v>
      </c>
      <c r="S1309" s="54">
        <f t="shared" si="280"/>
        <v>2.1421052631578896E-2</v>
      </c>
      <c r="T1309" s="55">
        <f t="shared" si="281"/>
        <v>1710</v>
      </c>
      <c r="U1309" s="55">
        <f t="shared" si="282"/>
        <v>1673.3700000000001</v>
      </c>
      <c r="V1309" s="55">
        <f t="shared" si="283"/>
        <v>-36.629999999999882</v>
      </c>
      <c r="W1309" s="55">
        <f t="shared" si="284"/>
        <v>1673.3700000000001</v>
      </c>
      <c r="X1309" s="55">
        <f t="shared" si="285"/>
        <v>0</v>
      </c>
      <c r="Y1309" s="55">
        <f t="shared" si="286"/>
        <v>1089</v>
      </c>
      <c r="Z1309" s="55">
        <f t="shared" si="287"/>
        <v>1089</v>
      </c>
      <c r="AA1309" s="55">
        <f t="shared" si="288"/>
        <v>0</v>
      </c>
      <c r="AB1309" s="55">
        <f t="shared" si="289"/>
        <v>584.37000000000012</v>
      </c>
      <c r="AC1309" s="54">
        <f t="shared" si="290"/>
        <v>0.34921744742645083</v>
      </c>
      <c r="AD1309" s="56">
        <f>INDEX(Assumptions!$B$14:$B$16,MATCH($R1309,Assumptions!$A$14:$A$16,0))</f>
        <v>0.32</v>
      </c>
      <c r="AE1309" s="56">
        <f>INDEX(Assumptions!$C$14:$C$16,MATCH($R1309,Assumptions!$A$14:$A$16,0))</f>
        <v>0.22</v>
      </c>
      <c r="AF1309" s="49">
        <f t="shared" si="291"/>
        <v>0</v>
      </c>
      <c r="AG1309" s="49">
        <f t="shared" si="292"/>
        <v>0</v>
      </c>
      <c r="AH1309" s="55">
        <f t="shared" si="293"/>
        <v>0</v>
      </c>
    </row>
    <row r="1310" spans="1:34" x14ac:dyDescent="0.2">
      <c r="A1310" s="48" t="s">
        <v>1133</v>
      </c>
      <c r="B1310" s="48">
        <v>1</v>
      </c>
      <c r="C1310" s="48" t="s">
        <v>1055</v>
      </c>
      <c r="D1310" s="48" t="s">
        <v>1051</v>
      </c>
      <c r="E1310" s="48" t="s">
        <v>417</v>
      </c>
      <c r="F1310" s="48" t="s">
        <v>280</v>
      </c>
      <c r="G1310" s="48" t="s">
        <v>298</v>
      </c>
      <c r="H1310" s="48" t="s">
        <v>62</v>
      </c>
      <c r="I1310" s="48" t="s">
        <v>113</v>
      </c>
      <c r="J1310" s="49">
        <v>27</v>
      </c>
      <c r="K1310" s="50">
        <v>1740</v>
      </c>
      <c r="L1310" s="50">
        <v>1700.77</v>
      </c>
      <c r="M1310" s="48" t="s">
        <v>276</v>
      </c>
      <c r="N1310" s="51">
        <v>1</v>
      </c>
      <c r="O1310" s="51">
        <v>1</v>
      </c>
      <c r="P1310" s="52">
        <v>1484.8</v>
      </c>
      <c r="Q1310" s="52">
        <v>1484.8</v>
      </c>
      <c r="R1310" s="53" t="str">
        <f>INDEX(SKU_Master!$D$5:$D$34,MATCH($I1310,SKU_Master!$A$5:$A$34,0))</f>
        <v>Laptop</v>
      </c>
      <c r="S1310" s="54">
        <f t="shared" si="280"/>
        <v>2.25459770114943E-2</v>
      </c>
      <c r="T1310" s="55">
        <f t="shared" si="281"/>
        <v>46980</v>
      </c>
      <c r="U1310" s="55">
        <f t="shared" si="282"/>
        <v>45920.79</v>
      </c>
      <c r="V1310" s="55">
        <f t="shared" si="283"/>
        <v>-1059.2099999999991</v>
      </c>
      <c r="W1310" s="55">
        <f t="shared" si="284"/>
        <v>45920.79</v>
      </c>
      <c r="X1310" s="55">
        <f t="shared" si="285"/>
        <v>0</v>
      </c>
      <c r="Y1310" s="55">
        <f t="shared" si="286"/>
        <v>40089.599999999999</v>
      </c>
      <c r="Z1310" s="55">
        <f t="shared" si="287"/>
        <v>40089.599999999999</v>
      </c>
      <c r="AA1310" s="55">
        <f t="shared" si="288"/>
        <v>0</v>
      </c>
      <c r="AB1310" s="55">
        <f t="shared" si="289"/>
        <v>5831.1900000000023</v>
      </c>
      <c r="AC1310" s="54">
        <f t="shared" si="290"/>
        <v>0.12698366034208039</v>
      </c>
      <c r="AD1310" s="56">
        <f>INDEX(Assumptions!$B$14:$B$16,MATCH($R1310,Assumptions!$A$14:$A$16,0))</f>
        <v>0.12</v>
      </c>
      <c r="AE1310" s="56">
        <f>INDEX(Assumptions!$C$14:$C$16,MATCH($R1310,Assumptions!$A$14:$A$16,0))</f>
        <v>0.08</v>
      </c>
      <c r="AF1310" s="49">
        <f t="shared" si="291"/>
        <v>0</v>
      </c>
      <c r="AG1310" s="49">
        <f t="shared" si="292"/>
        <v>0</v>
      </c>
      <c r="AH1310" s="55">
        <f t="shared" si="293"/>
        <v>0</v>
      </c>
    </row>
    <row r="1311" spans="1:34" x14ac:dyDescent="0.2">
      <c r="A1311" s="48" t="s">
        <v>1134</v>
      </c>
      <c r="B1311" s="48">
        <v>1</v>
      </c>
      <c r="C1311" s="48" t="s">
        <v>1135</v>
      </c>
      <c r="D1311" s="48" t="s">
        <v>1051</v>
      </c>
      <c r="E1311" s="48" t="s">
        <v>374</v>
      </c>
      <c r="F1311" s="48" t="s">
        <v>274</v>
      </c>
      <c r="G1311" s="48" t="s">
        <v>281</v>
      </c>
      <c r="H1311" s="48" t="s">
        <v>62</v>
      </c>
      <c r="I1311" s="48" t="s">
        <v>93</v>
      </c>
      <c r="J1311" s="49">
        <v>6</v>
      </c>
      <c r="K1311" s="50">
        <v>1390</v>
      </c>
      <c r="L1311" s="50">
        <v>1389.89</v>
      </c>
      <c r="M1311" s="48" t="s">
        <v>276</v>
      </c>
      <c r="N1311" s="51">
        <v>1</v>
      </c>
      <c r="O1311" s="51">
        <v>1</v>
      </c>
      <c r="P1311" s="52">
        <v>1186.2</v>
      </c>
      <c r="Q1311" s="52">
        <v>1186.2</v>
      </c>
      <c r="R1311" s="53" t="str">
        <f>INDEX(SKU_Master!$D$5:$D$34,MATCH($I1311,SKU_Master!$A$5:$A$34,0))</f>
        <v>Laptop</v>
      </c>
      <c r="S1311" s="54">
        <f t="shared" si="280"/>
        <v>7.9136690647407804E-5</v>
      </c>
      <c r="T1311" s="55">
        <f t="shared" si="281"/>
        <v>8340</v>
      </c>
      <c r="U1311" s="55">
        <f t="shared" si="282"/>
        <v>8339.34</v>
      </c>
      <c r="V1311" s="55">
        <f t="shared" si="283"/>
        <v>-0.65999999999985448</v>
      </c>
      <c r="W1311" s="55">
        <f t="shared" si="284"/>
        <v>8339.34</v>
      </c>
      <c r="X1311" s="55">
        <f t="shared" si="285"/>
        <v>0</v>
      </c>
      <c r="Y1311" s="55">
        <f t="shared" si="286"/>
        <v>7117.2000000000007</v>
      </c>
      <c r="Z1311" s="55">
        <f t="shared" si="287"/>
        <v>7117.2000000000007</v>
      </c>
      <c r="AA1311" s="55">
        <f t="shared" si="288"/>
        <v>0</v>
      </c>
      <c r="AB1311" s="55">
        <f t="shared" si="289"/>
        <v>1222.1399999999994</v>
      </c>
      <c r="AC1311" s="54">
        <f t="shared" si="290"/>
        <v>0.14655116591960507</v>
      </c>
      <c r="AD1311" s="56">
        <f>INDEX(Assumptions!$B$14:$B$16,MATCH($R1311,Assumptions!$A$14:$A$16,0))</f>
        <v>0.12</v>
      </c>
      <c r="AE1311" s="56">
        <f>INDEX(Assumptions!$C$14:$C$16,MATCH($R1311,Assumptions!$A$14:$A$16,0))</f>
        <v>0.08</v>
      </c>
      <c r="AF1311" s="49">
        <f t="shared" si="291"/>
        <v>0</v>
      </c>
      <c r="AG1311" s="49">
        <f t="shared" si="292"/>
        <v>0</v>
      </c>
      <c r="AH1311" s="55">
        <f t="shared" si="293"/>
        <v>0</v>
      </c>
    </row>
    <row r="1312" spans="1:34" x14ac:dyDescent="0.2">
      <c r="A1312" s="48" t="s">
        <v>1134</v>
      </c>
      <c r="B1312" s="48">
        <v>2</v>
      </c>
      <c r="C1312" s="48" t="s">
        <v>1135</v>
      </c>
      <c r="D1312" s="48" t="s">
        <v>1051</v>
      </c>
      <c r="E1312" s="48" t="s">
        <v>374</v>
      </c>
      <c r="F1312" s="48" t="s">
        <v>274</v>
      </c>
      <c r="G1312" s="48" t="s">
        <v>281</v>
      </c>
      <c r="H1312" s="48" t="s">
        <v>62</v>
      </c>
      <c r="I1312" s="48" t="s">
        <v>146</v>
      </c>
      <c r="J1312" s="49">
        <v>5</v>
      </c>
      <c r="K1312" s="50">
        <v>235</v>
      </c>
      <c r="L1312" s="50">
        <v>232.36</v>
      </c>
      <c r="M1312" s="48" t="s">
        <v>276</v>
      </c>
      <c r="N1312" s="51">
        <v>1</v>
      </c>
      <c r="O1312" s="51">
        <v>1</v>
      </c>
      <c r="P1312" s="52">
        <v>181.8</v>
      </c>
      <c r="Q1312" s="52">
        <v>181.8</v>
      </c>
      <c r="R1312" s="53" t="str">
        <f>INDEX(SKU_Master!$D$5:$D$34,MATCH($I1312,SKU_Master!$A$5:$A$34,0))</f>
        <v>Monitor</v>
      </c>
      <c r="S1312" s="54">
        <f t="shared" si="280"/>
        <v>1.1234042553191381E-2</v>
      </c>
      <c r="T1312" s="55">
        <f t="shared" si="281"/>
        <v>1175</v>
      </c>
      <c r="U1312" s="55">
        <f t="shared" si="282"/>
        <v>1161.8000000000002</v>
      </c>
      <c r="V1312" s="55">
        <f t="shared" si="283"/>
        <v>-13.199999999999818</v>
      </c>
      <c r="W1312" s="55">
        <f t="shared" si="284"/>
        <v>1161.8000000000002</v>
      </c>
      <c r="X1312" s="55">
        <f t="shared" si="285"/>
        <v>0</v>
      </c>
      <c r="Y1312" s="55">
        <f t="shared" si="286"/>
        <v>909</v>
      </c>
      <c r="Z1312" s="55">
        <f t="shared" si="287"/>
        <v>909</v>
      </c>
      <c r="AA1312" s="55">
        <f t="shared" si="288"/>
        <v>0</v>
      </c>
      <c r="AB1312" s="55">
        <f t="shared" si="289"/>
        <v>252.80000000000018</v>
      </c>
      <c r="AC1312" s="54">
        <f t="shared" si="290"/>
        <v>0.21759338956791199</v>
      </c>
      <c r="AD1312" s="56">
        <f>INDEX(Assumptions!$B$14:$B$16,MATCH($R1312,Assumptions!$A$14:$A$16,0))</f>
        <v>0.18</v>
      </c>
      <c r="AE1312" s="56">
        <f>INDEX(Assumptions!$C$14:$C$16,MATCH($R1312,Assumptions!$A$14:$A$16,0))</f>
        <v>0.12</v>
      </c>
      <c r="AF1312" s="49">
        <f t="shared" si="291"/>
        <v>0</v>
      </c>
      <c r="AG1312" s="49">
        <f t="shared" si="292"/>
        <v>0</v>
      </c>
      <c r="AH1312" s="55">
        <f t="shared" si="293"/>
        <v>0</v>
      </c>
    </row>
    <row r="1313" spans="1:34" x14ac:dyDescent="0.2">
      <c r="A1313" s="48" t="s">
        <v>1134</v>
      </c>
      <c r="B1313" s="48">
        <v>3</v>
      </c>
      <c r="C1313" s="48" t="s">
        <v>1135</v>
      </c>
      <c r="D1313" s="48" t="s">
        <v>1051</v>
      </c>
      <c r="E1313" s="48" t="s">
        <v>374</v>
      </c>
      <c r="F1313" s="48" t="s">
        <v>274</v>
      </c>
      <c r="G1313" s="48" t="s">
        <v>281</v>
      </c>
      <c r="H1313" s="48" t="s">
        <v>62</v>
      </c>
      <c r="I1313" s="48" t="s">
        <v>157</v>
      </c>
      <c r="J1313" s="49">
        <v>5</v>
      </c>
      <c r="K1313" s="50">
        <v>135</v>
      </c>
      <c r="L1313" s="50">
        <v>132.59</v>
      </c>
      <c r="M1313" s="48" t="s">
        <v>276</v>
      </c>
      <c r="N1313" s="51">
        <v>1</v>
      </c>
      <c r="O1313" s="51">
        <v>1</v>
      </c>
      <c r="P1313" s="52">
        <v>86</v>
      </c>
      <c r="Q1313" s="52">
        <v>86</v>
      </c>
      <c r="R1313" s="53" t="str">
        <f>INDEX(SKU_Master!$D$5:$D$34,MATCH($I1313,SKU_Master!$A$5:$A$34,0))</f>
        <v>Accessory</v>
      </c>
      <c r="S1313" s="54">
        <f t="shared" si="280"/>
        <v>1.7851851851851785E-2</v>
      </c>
      <c r="T1313" s="55">
        <f t="shared" si="281"/>
        <v>675</v>
      </c>
      <c r="U1313" s="55">
        <f t="shared" si="282"/>
        <v>662.95</v>
      </c>
      <c r="V1313" s="55">
        <f t="shared" si="283"/>
        <v>-12.049999999999955</v>
      </c>
      <c r="W1313" s="55">
        <f t="shared" si="284"/>
        <v>662.95</v>
      </c>
      <c r="X1313" s="55">
        <f t="shared" si="285"/>
        <v>0</v>
      </c>
      <c r="Y1313" s="55">
        <f t="shared" si="286"/>
        <v>430</v>
      </c>
      <c r="Z1313" s="55">
        <f t="shared" si="287"/>
        <v>430</v>
      </c>
      <c r="AA1313" s="55">
        <f t="shared" si="288"/>
        <v>0</v>
      </c>
      <c r="AB1313" s="55">
        <f t="shared" si="289"/>
        <v>232.95000000000005</v>
      </c>
      <c r="AC1313" s="54">
        <f t="shared" si="290"/>
        <v>0.35138396560826612</v>
      </c>
      <c r="AD1313" s="56">
        <f>INDEX(Assumptions!$B$14:$B$16,MATCH($R1313,Assumptions!$A$14:$A$16,0))</f>
        <v>0.32</v>
      </c>
      <c r="AE1313" s="56">
        <f>INDEX(Assumptions!$C$14:$C$16,MATCH($R1313,Assumptions!$A$14:$A$16,0))</f>
        <v>0.22</v>
      </c>
      <c r="AF1313" s="49">
        <f t="shared" si="291"/>
        <v>0</v>
      </c>
      <c r="AG1313" s="49">
        <f t="shared" si="292"/>
        <v>0</v>
      </c>
      <c r="AH1313" s="55">
        <f t="shared" si="293"/>
        <v>0</v>
      </c>
    </row>
    <row r="1314" spans="1:34" x14ac:dyDescent="0.2">
      <c r="A1314" s="48" t="s">
        <v>1136</v>
      </c>
      <c r="B1314" s="48">
        <v>1</v>
      </c>
      <c r="C1314" s="48" t="s">
        <v>1075</v>
      </c>
      <c r="D1314" s="48" t="s">
        <v>1051</v>
      </c>
      <c r="E1314" s="48" t="s">
        <v>360</v>
      </c>
      <c r="F1314" s="48" t="s">
        <v>280</v>
      </c>
      <c r="G1314" s="48" t="s">
        <v>275</v>
      </c>
      <c r="H1314" s="48" t="s">
        <v>68</v>
      </c>
      <c r="I1314" s="48" t="s">
        <v>103</v>
      </c>
      <c r="J1314" s="49">
        <v>21</v>
      </c>
      <c r="K1314" s="50">
        <v>1605</v>
      </c>
      <c r="L1314" s="50">
        <v>1549.71</v>
      </c>
      <c r="M1314" s="48" t="s">
        <v>276</v>
      </c>
      <c r="N1314" s="51">
        <v>1.37</v>
      </c>
      <c r="O1314" s="51">
        <v>1.3584000000000001</v>
      </c>
      <c r="P1314" s="52">
        <v>980.6</v>
      </c>
      <c r="Q1314" s="52">
        <v>980.6</v>
      </c>
      <c r="R1314" s="53" t="str">
        <f>INDEX(SKU_Master!$D$5:$D$34,MATCH($I1314,SKU_Master!$A$5:$A$34,0))</f>
        <v>Laptop</v>
      </c>
      <c r="S1314" s="54">
        <f t="shared" si="280"/>
        <v>3.4448598130841113E-2</v>
      </c>
      <c r="T1314" s="55">
        <f t="shared" si="281"/>
        <v>24602.189781021894</v>
      </c>
      <c r="U1314" s="55">
        <f t="shared" si="282"/>
        <v>23754.678832116788</v>
      </c>
      <c r="V1314" s="55">
        <f t="shared" si="283"/>
        <v>-847.51094890510649</v>
      </c>
      <c r="W1314" s="55">
        <f t="shared" si="284"/>
        <v>23957.530918727913</v>
      </c>
      <c r="X1314" s="55">
        <f t="shared" si="285"/>
        <v>202.85208661112483</v>
      </c>
      <c r="Y1314" s="55">
        <f t="shared" si="286"/>
        <v>20592.600000000002</v>
      </c>
      <c r="Z1314" s="55">
        <f t="shared" si="287"/>
        <v>20592.600000000002</v>
      </c>
      <c r="AA1314" s="55">
        <f t="shared" si="288"/>
        <v>0</v>
      </c>
      <c r="AB1314" s="55">
        <f t="shared" si="289"/>
        <v>3364.9309187279105</v>
      </c>
      <c r="AC1314" s="54">
        <f t="shared" si="290"/>
        <v>0.14045399461834776</v>
      </c>
      <c r="AD1314" s="56">
        <f>INDEX(Assumptions!$B$14:$B$16,MATCH($R1314,Assumptions!$A$14:$A$16,0))</f>
        <v>0.12</v>
      </c>
      <c r="AE1314" s="56">
        <f>INDEX(Assumptions!$C$14:$C$16,MATCH($R1314,Assumptions!$A$14:$A$16,0))</f>
        <v>0.08</v>
      </c>
      <c r="AF1314" s="49">
        <f t="shared" si="291"/>
        <v>0</v>
      </c>
      <c r="AG1314" s="49">
        <f t="shared" si="292"/>
        <v>0</v>
      </c>
      <c r="AH1314" s="55">
        <f t="shared" si="293"/>
        <v>0</v>
      </c>
    </row>
    <row r="1315" spans="1:34" x14ac:dyDescent="0.2">
      <c r="A1315" s="48" t="s">
        <v>1136</v>
      </c>
      <c r="B1315" s="48">
        <v>2</v>
      </c>
      <c r="C1315" s="48" t="s">
        <v>1075</v>
      </c>
      <c r="D1315" s="48" t="s">
        <v>1051</v>
      </c>
      <c r="E1315" s="48" t="s">
        <v>360</v>
      </c>
      <c r="F1315" s="48" t="s">
        <v>280</v>
      </c>
      <c r="G1315" s="48" t="s">
        <v>275</v>
      </c>
      <c r="H1315" s="48" t="s">
        <v>68</v>
      </c>
      <c r="I1315" s="48" t="s">
        <v>177</v>
      </c>
      <c r="J1315" s="49">
        <v>15</v>
      </c>
      <c r="K1315" s="50">
        <v>105</v>
      </c>
      <c r="L1315" s="50">
        <v>102.51</v>
      </c>
      <c r="M1315" s="48" t="s">
        <v>276</v>
      </c>
      <c r="N1315" s="51">
        <v>1.37</v>
      </c>
      <c r="O1315" s="51">
        <v>1.3584000000000001</v>
      </c>
      <c r="P1315" s="52">
        <v>47</v>
      </c>
      <c r="Q1315" s="52">
        <v>47</v>
      </c>
      <c r="R1315" s="53" t="str">
        <f>INDEX(SKU_Master!$D$5:$D$34,MATCH($I1315,SKU_Master!$A$5:$A$34,0))</f>
        <v>Accessory</v>
      </c>
      <c r="S1315" s="54">
        <f t="shared" si="280"/>
        <v>2.3714285714285688E-2</v>
      </c>
      <c r="T1315" s="55">
        <f t="shared" si="281"/>
        <v>1149.6350364963503</v>
      </c>
      <c r="U1315" s="55">
        <f t="shared" si="282"/>
        <v>1122.3722627737227</v>
      </c>
      <c r="V1315" s="55">
        <f t="shared" si="283"/>
        <v>-27.262773722627571</v>
      </c>
      <c r="W1315" s="55">
        <f t="shared" si="284"/>
        <v>1131.9567137809188</v>
      </c>
      <c r="X1315" s="55">
        <f t="shared" si="285"/>
        <v>9.584451007196094</v>
      </c>
      <c r="Y1315" s="55">
        <f t="shared" si="286"/>
        <v>705</v>
      </c>
      <c r="Z1315" s="55">
        <f t="shared" si="287"/>
        <v>705</v>
      </c>
      <c r="AA1315" s="55">
        <f t="shared" si="288"/>
        <v>0</v>
      </c>
      <c r="AB1315" s="55">
        <f t="shared" si="289"/>
        <v>426.95671378091879</v>
      </c>
      <c r="AC1315" s="54">
        <f t="shared" si="290"/>
        <v>0.37718466491074043</v>
      </c>
      <c r="AD1315" s="56">
        <f>INDEX(Assumptions!$B$14:$B$16,MATCH($R1315,Assumptions!$A$14:$A$16,0))</f>
        <v>0.32</v>
      </c>
      <c r="AE1315" s="56">
        <f>INDEX(Assumptions!$C$14:$C$16,MATCH($R1315,Assumptions!$A$14:$A$16,0))</f>
        <v>0.22</v>
      </c>
      <c r="AF1315" s="49">
        <f t="shared" si="291"/>
        <v>0</v>
      </c>
      <c r="AG1315" s="49">
        <f t="shared" si="292"/>
        <v>0</v>
      </c>
      <c r="AH1315" s="55">
        <f t="shared" si="293"/>
        <v>0</v>
      </c>
    </row>
    <row r="1316" spans="1:34" x14ac:dyDescent="0.2">
      <c r="A1316" s="48" t="s">
        <v>1137</v>
      </c>
      <c r="B1316" s="48">
        <v>1</v>
      </c>
      <c r="C1316" s="48" t="s">
        <v>1138</v>
      </c>
      <c r="D1316" s="48" t="s">
        <v>1051</v>
      </c>
      <c r="E1316" s="48" t="s">
        <v>384</v>
      </c>
      <c r="F1316" s="48" t="s">
        <v>297</v>
      </c>
      <c r="G1316" s="48" t="s">
        <v>281</v>
      </c>
      <c r="H1316" s="48" t="s">
        <v>70</v>
      </c>
      <c r="I1316" s="48" t="s">
        <v>103</v>
      </c>
      <c r="J1316" s="49">
        <v>49</v>
      </c>
      <c r="K1316" s="50">
        <v>110670</v>
      </c>
      <c r="L1316" s="50">
        <v>107428.75</v>
      </c>
      <c r="M1316" s="48" t="s">
        <v>276</v>
      </c>
      <c r="N1316" s="51">
        <v>83.5</v>
      </c>
      <c r="O1316" s="51">
        <v>84.621399999999994</v>
      </c>
      <c r="P1316" s="52">
        <v>1110.17</v>
      </c>
      <c r="Q1316" s="52">
        <v>1130.17</v>
      </c>
      <c r="R1316" s="53" t="str">
        <f>INDEX(SKU_Master!$D$5:$D$34,MATCH($I1316,SKU_Master!$A$5:$A$34,0))</f>
        <v>Laptop</v>
      </c>
      <c r="S1316" s="54">
        <f t="shared" si="280"/>
        <v>2.9287521460196975E-2</v>
      </c>
      <c r="T1316" s="55">
        <f t="shared" si="281"/>
        <v>64944.071856287424</v>
      </c>
      <c r="U1316" s="55">
        <f t="shared" si="282"/>
        <v>63042.020958083835</v>
      </c>
      <c r="V1316" s="55">
        <f t="shared" si="283"/>
        <v>-1902.0508982035899</v>
      </c>
      <c r="W1316" s="55">
        <f t="shared" si="284"/>
        <v>62206.590176952879</v>
      </c>
      <c r="X1316" s="55">
        <f t="shared" si="285"/>
        <v>-835.43078113095544</v>
      </c>
      <c r="Y1316" s="55">
        <f t="shared" si="286"/>
        <v>54398.33</v>
      </c>
      <c r="Z1316" s="55">
        <f t="shared" si="287"/>
        <v>55378.33</v>
      </c>
      <c r="AA1316" s="55">
        <f t="shared" si="288"/>
        <v>-980</v>
      </c>
      <c r="AB1316" s="55">
        <f t="shared" si="289"/>
        <v>6828.2601769528774</v>
      </c>
      <c r="AC1316" s="54">
        <f t="shared" si="290"/>
        <v>0.10976747250619601</v>
      </c>
      <c r="AD1316" s="56">
        <f>INDEX(Assumptions!$B$14:$B$16,MATCH($R1316,Assumptions!$A$14:$A$16,0))</f>
        <v>0.12</v>
      </c>
      <c r="AE1316" s="56">
        <f>INDEX(Assumptions!$C$14:$C$16,MATCH($R1316,Assumptions!$A$14:$A$16,0))</f>
        <v>0.08</v>
      </c>
      <c r="AF1316" s="49">
        <f t="shared" si="291"/>
        <v>0</v>
      </c>
      <c r="AG1316" s="49">
        <f t="shared" si="292"/>
        <v>0</v>
      </c>
      <c r="AH1316" s="55">
        <f t="shared" si="293"/>
        <v>636.53064428146808</v>
      </c>
    </row>
    <row r="1317" spans="1:34" x14ac:dyDescent="0.2">
      <c r="A1317" s="48" t="s">
        <v>1137</v>
      </c>
      <c r="B1317" s="48">
        <v>2</v>
      </c>
      <c r="C1317" s="48" t="s">
        <v>1138</v>
      </c>
      <c r="D1317" s="48" t="s">
        <v>1051</v>
      </c>
      <c r="E1317" s="48" t="s">
        <v>384</v>
      </c>
      <c r="F1317" s="48" t="s">
        <v>297</v>
      </c>
      <c r="G1317" s="48" t="s">
        <v>281</v>
      </c>
      <c r="H1317" s="48" t="s">
        <v>70</v>
      </c>
      <c r="I1317" s="48" t="s">
        <v>138</v>
      </c>
      <c r="J1317" s="49">
        <v>21</v>
      </c>
      <c r="K1317" s="50">
        <v>47515</v>
      </c>
      <c r="L1317" s="50">
        <v>45937.72</v>
      </c>
      <c r="M1317" s="48" t="s">
        <v>276</v>
      </c>
      <c r="N1317" s="51">
        <v>83.5</v>
      </c>
      <c r="O1317" s="51">
        <v>84.621399999999994</v>
      </c>
      <c r="P1317" s="52">
        <v>439.85</v>
      </c>
      <c r="Q1317" s="52">
        <v>459.85</v>
      </c>
      <c r="R1317" s="53" t="str">
        <f>INDEX(SKU_Master!$D$5:$D$34,MATCH($I1317,SKU_Master!$A$5:$A$34,0))</f>
        <v>Monitor</v>
      </c>
      <c r="S1317" s="54">
        <f t="shared" si="280"/>
        <v>3.3195411975165734E-2</v>
      </c>
      <c r="T1317" s="55">
        <f t="shared" si="281"/>
        <v>11949.880239520959</v>
      </c>
      <c r="U1317" s="55">
        <f t="shared" si="282"/>
        <v>11553.199041916168</v>
      </c>
      <c r="V1317" s="55">
        <f t="shared" si="283"/>
        <v>-396.68119760479021</v>
      </c>
      <c r="W1317" s="55">
        <f t="shared" si="284"/>
        <v>11400.096429508376</v>
      </c>
      <c r="X1317" s="55">
        <f t="shared" si="285"/>
        <v>-153.10261240779255</v>
      </c>
      <c r="Y1317" s="55">
        <f t="shared" si="286"/>
        <v>9236.85</v>
      </c>
      <c r="Z1317" s="55">
        <f t="shared" si="287"/>
        <v>9656.85</v>
      </c>
      <c r="AA1317" s="55">
        <f t="shared" si="288"/>
        <v>-420</v>
      </c>
      <c r="AB1317" s="55">
        <f t="shared" si="289"/>
        <v>1743.2464295083755</v>
      </c>
      <c r="AC1317" s="54">
        <f t="shared" si="290"/>
        <v>0.15291505999862426</v>
      </c>
      <c r="AD1317" s="56">
        <f>INDEX(Assumptions!$B$14:$B$16,MATCH($R1317,Assumptions!$A$14:$A$16,0))</f>
        <v>0.18</v>
      </c>
      <c r="AE1317" s="56">
        <f>INDEX(Assumptions!$C$14:$C$16,MATCH($R1317,Assumptions!$A$14:$A$16,0))</f>
        <v>0.12</v>
      </c>
      <c r="AF1317" s="49">
        <f t="shared" si="291"/>
        <v>0</v>
      </c>
      <c r="AG1317" s="49">
        <f t="shared" si="292"/>
        <v>0</v>
      </c>
      <c r="AH1317" s="55">
        <f t="shared" si="293"/>
        <v>308.77092780313205</v>
      </c>
    </row>
    <row r="1318" spans="1:34" x14ac:dyDescent="0.2">
      <c r="A1318" s="48" t="s">
        <v>1139</v>
      </c>
      <c r="B1318" s="48">
        <v>1</v>
      </c>
      <c r="C1318" s="48" t="s">
        <v>1140</v>
      </c>
      <c r="D1318" s="48" t="s">
        <v>1051</v>
      </c>
      <c r="E1318" s="48" t="s">
        <v>311</v>
      </c>
      <c r="F1318" s="48" t="s">
        <v>297</v>
      </c>
      <c r="G1318" s="48" t="s">
        <v>302</v>
      </c>
      <c r="H1318" s="48" t="s">
        <v>62</v>
      </c>
      <c r="I1318" s="48" t="s">
        <v>113</v>
      </c>
      <c r="J1318" s="49">
        <v>67</v>
      </c>
      <c r="K1318" s="50">
        <v>1740</v>
      </c>
      <c r="L1318" s="50">
        <v>1606.59</v>
      </c>
      <c r="M1318" s="48" t="s">
        <v>276</v>
      </c>
      <c r="N1318" s="51">
        <v>1</v>
      </c>
      <c r="O1318" s="51">
        <v>1</v>
      </c>
      <c r="P1318" s="52">
        <v>1484.8</v>
      </c>
      <c r="Q1318" s="52">
        <v>1484.8</v>
      </c>
      <c r="R1318" s="53" t="str">
        <f>INDEX(SKU_Master!$D$5:$D$34,MATCH($I1318,SKU_Master!$A$5:$A$34,0))</f>
        <v>Laptop</v>
      </c>
      <c r="S1318" s="54">
        <f t="shared" si="280"/>
        <v>7.6672413793103522E-2</v>
      </c>
      <c r="T1318" s="55">
        <f t="shared" si="281"/>
        <v>116580</v>
      </c>
      <c r="U1318" s="55">
        <f t="shared" si="282"/>
        <v>107641.53</v>
      </c>
      <c r="V1318" s="55">
        <f t="shared" si="283"/>
        <v>-8938.4700000000012</v>
      </c>
      <c r="W1318" s="55">
        <f t="shared" si="284"/>
        <v>107641.53</v>
      </c>
      <c r="X1318" s="55">
        <f t="shared" si="285"/>
        <v>0</v>
      </c>
      <c r="Y1318" s="55">
        <f t="shared" si="286"/>
        <v>99481.599999999991</v>
      </c>
      <c r="Z1318" s="55">
        <f t="shared" si="287"/>
        <v>99481.599999999991</v>
      </c>
      <c r="AA1318" s="55">
        <f t="shared" si="288"/>
        <v>0</v>
      </c>
      <c r="AB1318" s="55">
        <f t="shared" si="289"/>
        <v>8159.9300000000076</v>
      </c>
      <c r="AC1318" s="54">
        <f t="shared" si="290"/>
        <v>7.5806521887973974E-2</v>
      </c>
      <c r="AD1318" s="56">
        <f>INDEX(Assumptions!$B$14:$B$16,MATCH($R1318,Assumptions!$A$14:$A$16,0))</f>
        <v>0.12</v>
      </c>
      <c r="AE1318" s="56">
        <f>INDEX(Assumptions!$C$14:$C$16,MATCH($R1318,Assumptions!$A$14:$A$16,0))</f>
        <v>0.08</v>
      </c>
      <c r="AF1318" s="49">
        <f t="shared" si="291"/>
        <v>1</v>
      </c>
      <c r="AG1318" s="49">
        <f t="shared" si="292"/>
        <v>1</v>
      </c>
      <c r="AH1318" s="55">
        <f t="shared" si="293"/>
        <v>4757.053599999992</v>
      </c>
    </row>
    <row r="1319" spans="1:34" x14ac:dyDescent="0.2">
      <c r="A1319" s="48" t="s">
        <v>1139</v>
      </c>
      <c r="B1319" s="48">
        <v>2</v>
      </c>
      <c r="C1319" s="48" t="s">
        <v>1140</v>
      </c>
      <c r="D1319" s="48" t="s">
        <v>1051</v>
      </c>
      <c r="E1319" s="48" t="s">
        <v>311</v>
      </c>
      <c r="F1319" s="48" t="s">
        <v>297</v>
      </c>
      <c r="G1319" s="48" t="s">
        <v>302</v>
      </c>
      <c r="H1319" s="48" t="s">
        <v>62</v>
      </c>
      <c r="I1319" s="48" t="s">
        <v>173</v>
      </c>
      <c r="J1319" s="49">
        <v>34</v>
      </c>
      <c r="K1319" s="50">
        <v>55</v>
      </c>
      <c r="L1319" s="50">
        <v>52.46</v>
      </c>
      <c r="M1319" s="48" t="s">
        <v>276</v>
      </c>
      <c r="N1319" s="51">
        <v>1</v>
      </c>
      <c r="O1319" s="51">
        <v>1</v>
      </c>
      <c r="P1319" s="52">
        <v>34</v>
      </c>
      <c r="Q1319" s="52">
        <v>34</v>
      </c>
      <c r="R1319" s="53" t="str">
        <f>INDEX(SKU_Master!$D$5:$D$34,MATCH($I1319,SKU_Master!$A$5:$A$34,0))</f>
        <v>Accessory</v>
      </c>
      <c r="S1319" s="54">
        <f t="shared" si="280"/>
        <v>4.6181818181818213E-2</v>
      </c>
      <c r="T1319" s="55">
        <f t="shared" si="281"/>
        <v>1870</v>
      </c>
      <c r="U1319" s="55">
        <f t="shared" si="282"/>
        <v>1783.64</v>
      </c>
      <c r="V1319" s="55">
        <f t="shared" si="283"/>
        <v>-86.3599999999999</v>
      </c>
      <c r="W1319" s="55">
        <f t="shared" si="284"/>
        <v>1783.64</v>
      </c>
      <c r="X1319" s="55">
        <f t="shared" si="285"/>
        <v>0</v>
      </c>
      <c r="Y1319" s="55">
        <f t="shared" si="286"/>
        <v>1156</v>
      </c>
      <c r="Z1319" s="55">
        <f t="shared" si="287"/>
        <v>1156</v>
      </c>
      <c r="AA1319" s="55">
        <f t="shared" si="288"/>
        <v>0</v>
      </c>
      <c r="AB1319" s="55">
        <f t="shared" si="289"/>
        <v>627.6400000000001</v>
      </c>
      <c r="AC1319" s="54">
        <f t="shared" si="290"/>
        <v>0.35188715211589788</v>
      </c>
      <c r="AD1319" s="56">
        <f>INDEX(Assumptions!$B$14:$B$16,MATCH($R1319,Assumptions!$A$14:$A$16,0))</f>
        <v>0.32</v>
      </c>
      <c r="AE1319" s="56">
        <f>INDEX(Assumptions!$C$14:$C$16,MATCH($R1319,Assumptions!$A$14:$A$16,0))</f>
        <v>0.22</v>
      </c>
      <c r="AF1319" s="49">
        <f t="shared" si="291"/>
        <v>0</v>
      </c>
      <c r="AG1319" s="49">
        <f t="shared" si="292"/>
        <v>0</v>
      </c>
      <c r="AH1319" s="55">
        <f t="shared" si="293"/>
        <v>0</v>
      </c>
    </row>
    <row r="1320" spans="1:34" x14ac:dyDescent="0.2">
      <c r="A1320" s="48" t="s">
        <v>1141</v>
      </c>
      <c r="B1320" s="48">
        <v>1</v>
      </c>
      <c r="C1320" s="48" t="s">
        <v>1140</v>
      </c>
      <c r="D1320" s="48" t="s">
        <v>1051</v>
      </c>
      <c r="E1320" s="48" t="s">
        <v>346</v>
      </c>
      <c r="F1320" s="48" t="s">
        <v>297</v>
      </c>
      <c r="G1320" s="48" t="s">
        <v>302</v>
      </c>
      <c r="H1320" s="48" t="s">
        <v>62</v>
      </c>
      <c r="I1320" s="48" t="s">
        <v>123</v>
      </c>
      <c r="J1320" s="49">
        <v>78</v>
      </c>
      <c r="K1320" s="50">
        <v>1465</v>
      </c>
      <c r="L1320" s="50">
        <v>1363.31</v>
      </c>
      <c r="M1320" s="48" t="s">
        <v>276</v>
      </c>
      <c r="N1320" s="51">
        <v>1</v>
      </c>
      <c r="O1320" s="51">
        <v>1</v>
      </c>
      <c r="P1320" s="52">
        <v>1249.25</v>
      </c>
      <c r="Q1320" s="52">
        <v>1249.25</v>
      </c>
      <c r="R1320" s="53" t="str">
        <f>INDEX(SKU_Master!$D$5:$D$34,MATCH($I1320,SKU_Master!$A$5:$A$34,0))</f>
        <v>Laptop</v>
      </c>
      <c r="S1320" s="54">
        <f t="shared" si="280"/>
        <v>6.9412969283276449E-2</v>
      </c>
      <c r="T1320" s="55">
        <f t="shared" si="281"/>
        <v>114270</v>
      </c>
      <c r="U1320" s="55">
        <f t="shared" si="282"/>
        <v>106338.18</v>
      </c>
      <c r="V1320" s="55">
        <f t="shared" si="283"/>
        <v>-7931.820000000007</v>
      </c>
      <c r="W1320" s="55">
        <f t="shared" si="284"/>
        <v>106338.18</v>
      </c>
      <c r="X1320" s="55">
        <f t="shared" si="285"/>
        <v>0</v>
      </c>
      <c r="Y1320" s="55">
        <f t="shared" si="286"/>
        <v>97441.5</v>
      </c>
      <c r="Z1320" s="55">
        <f t="shared" si="287"/>
        <v>97441.5</v>
      </c>
      <c r="AA1320" s="55">
        <f t="shared" si="288"/>
        <v>0</v>
      </c>
      <c r="AB1320" s="55">
        <f t="shared" si="289"/>
        <v>8896.679999999993</v>
      </c>
      <c r="AC1320" s="54">
        <f t="shared" si="290"/>
        <v>8.3664023589645725E-2</v>
      </c>
      <c r="AD1320" s="56">
        <f>INDEX(Assumptions!$B$14:$B$16,MATCH($R1320,Assumptions!$A$14:$A$16,0))</f>
        <v>0.12</v>
      </c>
      <c r="AE1320" s="56">
        <f>INDEX(Assumptions!$C$14:$C$16,MATCH($R1320,Assumptions!$A$14:$A$16,0))</f>
        <v>0.08</v>
      </c>
      <c r="AF1320" s="49">
        <f t="shared" si="291"/>
        <v>0</v>
      </c>
      <c r="AG1320" s="49">
        <f t="shared" si="292"/>
        <v>0</v>
      </c>
      <c r="AH1320" s="55">
        <f t="shared" si="293"/>
        <v>3863.9016000000065</v>
      </c>
    </row>
    <row r="1321" spans="1:34" x14ac:dyDescent="0.2">
      <c r="A1321" s="48" t="s">
        <v>1141</v>
      </c>
      <c r="B1321" s="48">
        <v>2</v>
      </c>
      <c r="C1321" s="48" t="s">
        <v>1140</v>
      </c>
      <c r="D1321" s="48" t="s">
        <v>1051</v>
      </c>
      <c r="E1321" s="48" t="s">
        <v>346</v>
      </c>
      <c r="F1321" s="48" t="s">
        <v>297</v>
      </c>
      <c r="G1321" s="48" t="s">
        <v>302</v>
      </c>
      <c r="H1321" s="48" t="s">
        <v>62</v>
      </c>
      <c r="I1321" s="48" t="s">
        <v>151</v>
      </c>
      <c r="J1321" s="49">
        <v>40</v>
      </c>
      <c r="K1321" s="50">
        <v>335</v>
      </c>
      <c r="L1321" s="50">
        <v>313.01</v>
      </c>
      <c r="M1321" s="48" t="s">
        <v>276</v>
      </c>
      <c r="N1321" s="51">
        <v>1</v>
      </c>
      <c r="O1321" s="51">
        <v>1</v>
      </c>
      <c r="P1321" s="52">
        <v>216.7</v>
      </c>
      <c r="Q1321" s="52">
        <v>216.7</v>
      </c>
      <c r="R1321" s="53" t="str">
        <f>INDEX(SKU_Master!$D$5:$D$34,MATCH($I1321,SKU_Master!$A$5:$A$34,0))</f>
        <v>Accessory</v>
      </c>
      <c r="S1321" s="54">
        <f t="shared" si="280"/>
        <v>6.5641791044776188E-2</v>
      </c>
      <c r="T1321" s="55">
        <f t="shared" si="281"/>
        <v>13400</v>
      </c>
      <c r="U1321" s="55">
        <f t="shared" si="282"/>
        <v>12520.4</v>
      </c>
      <c r="V1321" s="55">
        <f t="shared" si="283"/>
        <v>-879.60000000000036</v>
      </c>
      <c r="W1321" s="55">
        <f t="shared" si="284"/>
        <v>12520.4</v>
      </c>
      <c r="X1321" s="55">
        <f t="shared" si="285"/>
        <v>0</v>
      </c>
      <c r="Y1321" s="55">
        <f t="shared" si="286"/>
        <v>8668</v>
      </c>
      <c r="Z1321" s="55">
        <f t="shared" si="287"/>
        <v>8668</v>
      </c>
      <c r="AA1321" s="55">
        <f t="shared" si="288"/>
        <v>0</v>
      </c>
      <c r="AB1321" s="55">
        <f t="shared" si="289"/>
        <v>3852.3999999999996</v>
      </c>
      <c r="AC1321" s="54">
        <f t="shared" si="290"/>
        <v>0.30768985016453149</v>
      </c>
      <c r="AD1321" s="56">
        <f>INDEX(Assumptions!$B$14:$B$16,MATCH($R1321,Assumptions!$A$14:$A$16,0))</f>
        <v>0.32</v>
      </c>
      <c r="AE1321" s="56">
        <f>INDEX(Assumptions!$C$14:$C$16,MATCH($R1321,Assumptions!$A$14:$A$16,0))</f>
        <v>0.22</v>
      </c>
      <c r="AF1321" s="49">
        <f t="shared" si="291"/>
        <v>0</v>
      </c>
      <c r="AG1321" s="49">
        <f t="shared" si="292"/>
        <v>0</v>
      </c>
      <c r="AH1321" s="55">
        <f t="shared" si="293"/>
        <v>154.12800000000016</v>
      </c>
    </row>
    <row r="1322" spans="1:34" x14ac:dyDescent="0.2">
      <c r="A1322" s="48" t="s">
        <v>1142</v>
      </c>
      <c r="B1322" s="48">
        <v>1</v>
      </c>
      <c r="C1322" s="48" t="s">
        <v>1069</v>
      </c>
      <c r="D1322" s="48" t="s">
        <v>1051</v>
      </c>
      <c r="E1322" s="48" t="s">
        <v>360</v>
      </c>
      <c r="F1322" s="48" t="s">
        <v>280</v>
      </c>
      <c r="G1322" s="48" t="s">
        <v>275</v>
      </c>
      <c r="H1322" s="48" t="s">
        <v>68</v>
      </c>
      <c r="I1322" s="48" t="s">
        <v>113</v>
      </c>
      <c r="J1322" s="49">
        <v>5</v>
      </c>
      <c r="K1322" s="50">
        <v>2450</v>
      </c>
      <c r="L1322" s="50">
        <v>2392.7399999999998</v>
      </c>
      <c r="M1322" s="48" t="s">
        <v>276</v>
      </c>
      <c r="N1322" s="51">
        <v>1.37</v>
      </c>
      <c r="O1322" s="51">
        <v>1.3584000000000001</v>
      </c>
      <c r="P1322" s="52">
        <v>1496.8</v>
      </c>
      <c r="Q1322" s="52">
        <v>1496.8</v>
      </c>
      <c r="R1322" s="53" t="str">
        <f>INDEX(SKU_Master!$D$5:$D$34,MATCH($I1322,SKU_Master!$A$5:$A$34,0))</f>
        <v>Laptop</v>
      </c>
      <c r="S1322" s="54">
        <f t="shared" si="280"/>
        <v>2.337142857142871E-2</v>
      </c>
      <c r="T1322" s="55">
        <f t="shared" si="281"/>
        <v>8941.6058394160573</v>
      </c>
      <c r="U1322" s="55">
        <f t="shared" si="282"/>
        <v>8732.6277372262757</v>
      </c>
      <c r="V1322" s="55">
        <f t="shared" si="283"/>
        <v>-208.97810218978157</v>
      </c>
      <c r="W1322" s="55">
        <f t="shared" si="284"/>
        <v>8807.1996466431083</v>
      </c>
      <c r="X1322" s="55">
        <f t="shared" si="285"/>
        <v>74.571909416832568</v>
      </c>
      <c r="Y1322" s="55">
        <f t="shared" si="286"/>
        <v>7484</v>
      </c>
      <c r="Z1322" s="55">
        <f t="shared" si="287"/>
        <v>7484</v>
      </c>
      <c r="AA1322" s="55">
        <f t="shared" si="288"/>
        <v>0</v>
      </c>
      <c r="AB1322" s="55">
        <f t="shared" si="289"/>
        <v>1323.1996466431083</v>
      </c>
      <c r="AC1322" s="54">
        <f t="shared" si="290"/>
        <v>0.15024067805110447</v>
      </c>
      <c r="AD1322" s="56">
        <f>INDEX(Assumptions!$B$14:$B$16,MATCH($R1322,Assumptions!$A$14:$A$16,0))</f>
        <v>0.12</v>
      </c>
      <c r="AE1322" s="56">
        <f>INDEX(Assumptions!$C$14:$C$16,MATCH($R1322,Assumptions!$A$14:$A$16,0))</f>
        <v>0.08</v>
      </c>
      <c r="AF1322" s="49">
        <f t="shared" si="291"/>
        <v>0</v>
      </c>
      <c r="AG1322" s="49">
        <f t="shared" si="292"/>
        <v>0</v>
      </c>
      <c r="AH1322" s="55">
        <f t="shared" si="293"/>
        <v>0</v>
      </c>
    </row>
    <row r="1323" spans="1:34" x14ac:dyDescent="0.2">
      <c r="A1323" s="48" t="s">
        <v>1142</v>
      </c>
      <c r="B1323" s="48">
        <v>2</v>
      </c>
      <c r="C1323" s="48" t="s">
        <v>1069</v>
      </c>
      <c r="D1323" s="48" t="s">
        <v>1051</v>
      </c>
      <c r="E1323" s="48" t="s">
        <v>360</v>
      </c>
      <c r="F1323" s="48" t="s">
        <v>280</v>
      </c>
      <c r="G1323" s="48" t="s">
        <v>275</v>
      </c>
      <c r="H1323" s="48" t="s">
        <v>68</v>
      </c>
      <c r="I1323" s="48" t="s">
        <v>164</v>
      </c>
      <c r="J1323" s="49">
        <v>2</v>
      </c>
      <c r="K1323" s="50">
        <v>270</v>
      </c>
      <c r="L1323" s="50">
        <v>265.83</v>
      </c>
      <c r="M1323" s="48" t="s">
        <v>276</v>
      </c>
      <c r="N1323" s="51">
        <v>1.37</v>
      </c>
      <c r="O1323" s="51">
        <v>1.3584000000000001</v>
      </c>
      <c r="P1323" s="52">
        <v>124</v>
      </c>
      <c r="Q1323" s="52">
        <v>124</v>
      </c>
      <c r="R1323" s="53" t="str">
        <f>INDEX(SKU_Master!$D$5:$D$34,MATCH($I1323,SKU_Master!$A$5:$A$34,0))</f>
        <v>Accessory</v>
      </c>
      <c r="S1323" s="54">
        <f t="shared" si="280"/>
        <v>1.5444444444444483E-2</v>
      </c>
      <c r="T1323" s="55">
        <f t="shared" si="281"/>
        <v>394.16058394160581</v>
      </c>
      <c r="U1323" s="55">
        <f t="shared" si="282"/>
        <v>388.07299270072986</v>
      </c>
      <c r="V1323" s="55">
        <f t="shared" si="283"/>
        <v>-6.0875912408759518</v>
      </c>
      <c r="W1323" s="55">
        <f t="shared" si="284"/>
        <v>391.38692579505295</v>
      </c>
      <c r="X1323" s="55">
        <f t="shared" si="285"/>
        <v>3.3139330943230902</v>
      </c>
      <c r="Y1323" s="55">
        <f t="shared" si="286"/>
        <v>248</v>
      </c>
      <c r="Z1323" s="55">
        <f t="shared" si="287"/>
        <v>248</v>
      </c>
      <c r="AA1323" s="55">
        <f t="shared" si="288"/>
        <v>0</v>
      </c>
      <c r="AB1323" s="55">
        <f t="shared" si="289"/>
        <v>143.38692579505295</v>
      </c>
      <c r="AC1323" s="54">
        <f t="shared" si="290"/>
        <v>0.3663559417672948</v>
      </c>
      <c r="AD1323" s="56">
        <f>INDEX(Assumptions!$B$14:$B$16,MATCH($R1323,Assumptions!$A$14:$A$16,0))</f>
        <v>0.32</v>
      </c>
      <c r="AE1323" s="56">
        <f>INDEX(Assumptions!$C$14:$C$16,MATCH($R1323,Assumptions!$A$14:$A$16,0))</f>
        <v>0.22</v>
      </c>
      <c r="AF1323" s="49">
        <f t="shared" si="291"/>
        <v>0</v>
      </c>
      <c r="AG1323" s="49">
        <f t="shared" si="292"/>
        <v>0</v>
      </c>
      <c r="AH1323" s="55">
        <f t="shared" si="293"/>
        <v>0</v>
      </c>
    </row>
    <row r="1324" spans="1:34" x14ac:dyDescent="0.2">
      <c r="A1324" s="48" t="s">
        <v>1143</v>
      </c>
      <c r="B1324" s="48">
        <v>1</v>
      </c>
      <c r="C1324" s="48" t="s">
        <v>1077</v>
      </c>
      <c r="D1324" s="48" t="s">
        <v>1051</v>
      </c>
      <c r="E1324" s="48" t="s">
        <v>287</v>
      </c>
      <c r="F1324" s="48" t="s">
        <v>274</v>
      </c>
      <c r="G1324" s="48" t="s">
        <v>288</v>
      </c>
      <c r="H1324" s="48" t="s">
        <v>62</v>
      </c>
      <c r="I1324" s="48" t="s">
        <v>106</v>
      </c>
      <c r="J1324" s="49">
        <v>6</v>
      </c>
      <c r="K1324" s="50">
        <v>1520</v>
      </c>
      <c r="L1324" s="50">
        <v>1513.43</v>
      </c>
      <c r="M1324" s="48" t="s">
        <v>276</v>
      </c>
      <c r="N1324" s="51">
        <v>1</v>
      </c>
      <c r="O1324" s="51">
        <v>1</v>
      </c>
      <c r="P1324" s="52">
        <v>1298.4000000000001</v>
      </c>
      <c r="Q1324" s="52">
        <v>1298.4000000000001</v>
      </c>
      <c r="R1324" s="53" t="str">
        <f>INDEX(SKU_Master!$D$5:$D$34,MATCH($I1324,SKU_Master!$A$5:$A$34,0))</f>
        <v>Laptop</v>
      </c>
      <c r="S1324" s="54">
        <f t="shared" si="280"/>
        <v>4.3223684210526025E-3</v>
      </c>
      <c r="T1324" s="55">
        <f t="shared" si="281"/>
        <v>9120</v>
      </c>
      <c r="U1324" s="55">
        <f t="shared" si="282"/>
        <v>9080.58</v>
      </c>
      <c r="V1324" s="55">
        <f t="shared" si="283"/>
        <v>-39.420000000000073</v>
      </c>
      <c r="W1324" s="55">
        <f t="shared" si="284"/>
        <v>9080.58</v>
      </c>
      <c r="X1324" s="55">
        <f t="shared" si="285"/>
        <v>0</v>
      </c>
      <c r="Y1324" s="55">
        <f t="shared" si="286"/>
        <v>7790.4000000000005</v>
      </c>
      <c r="Z1324" s="55">
        <f t="shared" si="287"/>
        <v>7790.4000000000005</v>
      </c>
      <c r="AA1324" s="55">
        <f t="shared" si="288"/>
        <v>0</v>
      </c>
      <c r="AB1324" s="55">
        <f t="shared" si="289"/>
        <v>1290.1799999999994</v>
      </c>
      <c r="AC1324" s="54">
        <f t="shared" si="290"/>
        <v>0.14208123269658979</v>
      </c>
      <c r="AD1324" s="56">
        <f>INDEX(Assumptions!$B$14:$B$16,MATCH($R1324,Assumptions!$A$14:$A$16,0))</f>
        <v>0.12</v>
      </c>
      <c r="AE1324" s="56">
        <f>INDEX(Assumptions!$C$14:$C$16,MATCH($R1324,Assumptions!$A$14:$A$16,0))</f>
        <v>0.08</v>
      </c>
      <c r="AF1324" s="49">
        <f t="shared" si="291"/>
        <v>0</v>
      </c>
      <c r="AG1324" s="49">
        <f t="shared" si="292"/>
        <v>0</v>
      </c>
      <c r="AH1324" s="55">
        <f t="shared" si="293"/>
        <v>0</v>
      </c>
    </row>
    <row r="1325" spans="1:34" x14ac:dyDescent="0.2">
      <c r="A1325" s="48" t="s">
        <v>1143</v>
      </c>
      <c r="B1325" s="48">
        <v>2</v>
      </c>
      <c r="C1325" s="48" t="s">
        <v>1077</v>
      </c>
      <c r="D1325" s="48" t="s">
        <v>1051</v>
      </c>
      <c r="E1325" s="48" t="s">
        <v>287</v>
      </c>
      <c r="F1325" s="48" t="s">
        <v>274</v>
      </c>
      <c r="G1325" s="48" t="s">
        <v>288</v>
      </c>
      <c r="H1325" s="48" t="s">
        <v>62</v>
      </c>
      <c r="I1325" s="48" t="s">
        <v>161</v>
      </c>
      <c r="J1325" s="49">
        <v>3</v>
      </c>
      <c r="K1325" s="50">
        <v>120</v>
      </c>
      <c r="L1325" s="50">
        <v>118.78</v>
      </c>
      <c r="M1325" s="48" t="s">
        <v>276</v>
      </c>
      <c r="N1325" s="51">
        <v>1</v>
      </c>
      <c r="O1325" s="51">
        <v>1</v>
      </c>
      <c r="P1325" s="52">
        <v>76</v>
      </c>
      <c r="Q1325" s="52">
        <v>76</v>
      </c>
      <c r="R1325" s="53" t="str">
        <f>INDEX(SKU_Master!$D$5:$D$34,MATCH($I1325,SKU_Master!$A$5:$A$34,0))</f>
        <v>Accessory</v>
      </c>
      <c r="S1325" s="54">
        <f t="shared" si="280"/>
        <v>1.0166666666666657E-2</v>
      </c>
      <c r="T1325" s="55">
        <f t="shared" si="281"/>
        <v>360</v>
      </c>
      <c r="U1325" s="55">
        <f t="shared" si="282"/>
        <v>356.34000000000003</v>
      </c>
      <c r="V1325" s="55">
        <f t="shared" si="283"/>
        <v>-3.6599999999999682</v>
      </c>
      <c r="W1325" s="55">
        <f t="shared" si="284"/>
        <v>356.34000000000003</v>
      </c>
      <c r="X1325" s="55">
        <f t="shared" si="285"/>
        <v>0</v>
      </c>
      <c r="Y1325" s="55">
        <f t="shared" si="286"/>
        <v>228</v>
      </c>
      <c r="Z1325" s="55">
        <f t="shared" si="287"/>
        <v>228</v>
      </c>
      <c r="AA1325" s="55">
        <f t="shared" si="288"/>
        <v>0</v>
      </c>
      <c r="AB1325" s="55">
        <f t="shared" si="289"/>
        <v>128.34000000000003</v>
      </c>
      <c r="AC1325" s="54">
        <f t="shared" si="290"/>
        <v>0.36016164337430551</v>
      </c>
      <c r="AD1325" s="56">
        <f>INDEX(Assumptions!$B$14:$B$16,MATCH($R1325,Assumptions!$A$14:$A$16,0))</f>
        <v>0.32</v>
      </c>
      <c r="AE1325" s="56">
        <f>INDEX(Assumptions!$C$14:$C$16,MATCH($R1325,Assumptions!$A$14:$A$16,0))</f>
        <v>0.22</v>
      </c>
      <c r="AF1325" s="49">
        <f t="shared" si="291"/>
        <v>0</v>
      </c>
      <c r="AG1325" s="49">
        <f t="shared" si="292"/>
        <v>0</v>
      </c>
      <c r="AH1325" s="55">
        <f t="shared" si="293"/>
        <v>0</v>
      </c>
    </row>
    <row r="1326" spans="1:34" x14ac:dyDescent="0.2">
      <c r="A1326" s="48" t="s">
        <v>1144</v>
      </c>
      <c r="B1326" s="48">
        <v>1</v>
      </c>
      <c r="C1326" s="48" t="s">
        <v>1094</v>
      </c>
      <c r="D1326" s="48" t="s">
        <v>1051</v>
      </c>
      <c r="E1326" s="48" t="s">
        <v>417</v>
      </c>
      <c r="F1326" s="48" t="s">
        <v>280</v>
      </c>
      <c r="G1326" s="48" t="s">
        <v>298</v>
      </c>
      <c r="H1326" s="48" t="s">
        <v>62</v>
      </c>
      <c r="I1326" s="48" t="s">
        <v>106</v>
      </c>
      <c r="J1326" s="49">
        <v>7</v>
      </c>
      <c r="K1326" s="50">
        <v>1520</v>
      </c>
      <c r="L1326" s="50">
        <v>1481.72</v>
      </c>
      <c r="M1326" s="48" t="s">
        <v>276</v>
      </c>
      <c r="N1326" s="51">
        <v>1</v>
      </c>
      <c r="O1326" s="51">
        <v>1</v>
      </c>
      <c r="P1326" s="52">
        <v>1298.4000000000001</v>
      </c>
      <c r="Q1326" s="52">
        <v>1298.4000000000001</v>
      </c>
      <c r="R1326" s="53" t="str">
        <f>INDEX(SKU_Master!$D$5:$D$34,MATCH($I1326,SKU_Master!$A$5:$A$34,0))</f>
        <v>Laptop</v>
      </c>
      <c r="S1326" s="54">
        <f t="shared" si="280"/>
        <v>2.5184210526315809E-2</v>
      </c>
      <c r="T1326" s="55">
        <f t="shared" si="281"/>
        <v>10640</v>
      </c>
      <c r="U1326" s="55">
        <f t="shared" si="282"/>
        <v>10372.040000000001</v>
      </c>
      <c r="V1326" s="55">
        <f t="shared" si="283"/>
        <v>-267.95999999999913</v>
      </c>
      <c r="W1326" s="55">
        <f t="shared" si="284"/>
        <v>10372.040000000001</v>
      </c>
      <c r="X1326" s="55">
        <f t="shared" si="285"/>
        <v>0</v>
      </c>
      <c r="Y1326" s="55">
        <f t="shared" si="286"/>
        <v>9088.8000000000011</v>
      </c>
      <c r="Z1326" s="55">
        <f t="shared" si="287"/>
        <v>9088.8000000000011</v>
      </c>
      <c r="AA1326" s="55">
        <f t="shared" si="288"/>
        <v>0</v>
      </c>
      <c r="AB1326" s="55">
        <f t="shared" si="289"/>
        <v>1283.2399999999998</v>
      </c>
      <c r="AC1326" s="54">
        <f t="shared" si="290"/>
        <v>0.12372108090597411</v>
      </c>
      <c r="AD1326" s="56">
        <f>INDEX(Assumptions!$B$14:$B$16,MATCH($R1326,Assumptions!$A$14:$A$16,0))</f>
        <v>0.12</v>
      </c>
      <c r="AE1326" s="56">
        <f>INDEX(Assumptions!$C$14:$C$16,MATCH($R1326,Assumptions!$A$14:$A$16,0))</f>
        <v>0.08</v>
      </c>
      <c r="AF1326" s="49">
        <f t="shared" si="291"/>
        <v>0</v>
      </c>
      <c r="AG1326" s="49">
        <f t="shared" si="292"/>
        <v>0</v>
      </c>
      <c r="AH1326" s="55">
        <f t="shared" si="293"/>
        <v>0</v>
      </c>
    </row>
    <row r="1327" spans="1:34" x14ac:dyDescent="0.2">
      <c r="A1327" s="48" t="s">
        <v>1144</v>
      </c>
      <c r="B1327" s="48">
        <v>2</v>
      </c>
      <c r="C1327" s="48" t="s">
        <v>1094</v>
      </c>
      <c r="D1327" s="48" t="s">
        <v>1051</v>
      </c>
      <c r="E1327" s="48" t="s">
        <v>417</v>
      </c>
      <c r="F1327" s="48" t="s">
        <v>280</v>
      </c>
      <c r="G1327" s="48" t="s">
        <v>298</v>
      </c>
      <c r="H1327" s="48" t="s">
        <v>62</v>
      </c>
      <c r="I1327" s="48" t="s">
        <v>146</v>
      </c>
      <c r="J1327" s="49">
        <v>5</v>
      </c>
      <c r="K1327" s="50">
        <v>235</v>
      </c>
      <c r="L1327" s="50">
        <v>225.92</v>
      </c>
      <c r="M1327" s="48" t="s">
        <v>276</v>
      </c>
      <c r="N1327" s="51">
        <v>1</v>
      </c>
      <c r="O1327" s="51">
        <v>1</v>
      </c>
      <c r="P1327" s="52">
        <v>181.8</v>
      </c>
      <c r="Q1327" s="52">
        <v>181.8</v>
      </c>
      <c r="R1327" s="53" t="str">
        <f>INDEX(SKU_Master!$D$5:$D$34,MATCH($I1327,SKU_Master!$A$5:$A$34,0))</f>
        <v>Monitor</v>
      </c>
      <c r="S1327" s="54">
        <f t="shared" si="280"/>
        <v>3.8638297872340521E-2</v>
      </c>
      <c r="T1327" s="55">
        <f t="shared" si="281"/>
        <v>1175</v>
      </c>
      <c r="U1327" s="55">
        <f t="shared" si="282"/>
        <v>1129.5999999999999</v>
      </c>
      <c r="V1327" s="55">
        <f t="shared" si="283"/>
        <v>-45.400000000000091</v>
      </c>
      <c r="W1327" s="55">
        <f t="shared" si="284"/>
        <v>1129.5999999999999</v>
      </c>
      <c r="X1327" s="55">
        <f t="shared" si="285"/>
        <v>0</v>
      </c>
      <c r="Y1327" s="55">
        <f t="shared" si="286"/>
        <v>909</v>
      </c>
      <c r="Z1327" s="55">
        <f t="shared" si="287"/>
        <v>909</v>
      </c>
      <c r="AA1327" s="55">
        <f t="shared" si="288"/>
        <v>0</v>
      </c>
      <c r="AB1327" s="55">
        <f t="shared" si="289"/>
        <v>220.59999999999991</v>
      </c>
      <c r="AC1327" s="54">
        <f t="shared" si="290"/>
        <v>0.19529036827195462</v>
      </c>
      <c r="AD1327" s="56">
        <f>INDEX(Assumptions!$B$14:$B$16,MATCH($R1327,Assumptions!$A$14:$A$16,0))</f>
        <v>0.18</v>
      </c>
      <c r="AE1327" s="56">
        <f>INDEX(Assumptions!$C$14:$C$16,MATCH($R1327,Assumptions!$A$14:$A$16,0))</f>
        <v>0.12</v>
      </c>
      <c r="AF1327" s="49">
        <f t="shared" si="291"/>
        <v>0</v>
      </c>
      <c r="AG1327" s="49">
        <f t="shared" si="292"/>
        <v>0</v>
      </c>
      <c r="AH1327" s="55">
        <f t="shared" si="293"/>
        <v>0</v>
      </c>
    </row>
    <row r="1328" spans="1:34" x14ac:dyDescent="0.2">
      <c r="A1328" s="48" t="s">
        <v>1144</v>
      </c>
      <c r="B1328" s="48">
        <v>3</v>
      </c>
      <c r="C1328" s="48" t="s">
        <v>1094</v>
      </c>
      <c r="D1328" s="48" t="s">
        <v>1051</v>
      </c>
      <c r="E1328" s="48" t="s">
        <v>417</v>
      </c>
      <c r="F1328" s="48" t="s">
        <v>280</v>
      </c>
      <c r="G1328" s="48" t="s">
        <v>298</v>
      </c>
      <c r="H1328" s="48" t="s">
        <v>62</v>
      </c>
      <c r="I1328" s="48" t="s">
        <v>157</v>
      </c>
      <c r="J1328" s="49">
        <v>4</v>
      </c>
      <c r="K1328" s="50">
        <v>135</v>
      </c>
      <c r="L1328" s="50">
        <v>133.30000000000001</v>
      </c>
      <c r="M1328" s="48" t="s">
        <v>276</v>
      </c>
      <c r="N1328" s="51">
        <v>1</v>
      </c>
      <c r="O1328" s="51">
        <v>1</v>
      </c>
      <c r="P1328" s="52">
        <v>86</v>
      </c>
      <c r="Q1328" s="52">
        <v>86</v>
      </c>
      <c r="R1328" s="53" t="str">
        <f>INDEX(SKU_Master!$D$5:$D$34,MATCH($I1328,SKU_Master!$A$5:$A$34,0))</f>
        <v>Accessory</v>
      </c>
      <c r="S1328" s="54">
        <f t="shared" si="280"/>
        <v>1.2592592592592489E-2</v>
      </c>
      <c r="T1328" s="55">
        <f t="shared" si="281"/>
        <v>540</v>
      </c>
      <c r="U1328" s="55">
        <f t="shared" si="282"/>
        <v>533.20000000000005</v>
      </c>
      <c r="V1328" s="55">
        <f t="shared" si="283"/>
        <v>-6.7999999999999545</v>
      </c>
      <c r="W1328" s="55">
        <f t="shared" si="284"/>
        <v>533.20000000000005</v>
      </c>
      <c r="X1328" s="55">
        <f t="shared" si="285"/>
        <v>0</v>
      </c>
      <c r="Y1328" s="55">
        <f t="shared" si="286"/>
        <v>344</v>
      </c>
      <c r="Z1328" s="55">
        <f t="shared" si="287"/>
        <v>344</v>
      </c>
      <c r="AA1328" s="55">
        <f t="shared" si="288"/>
        <v>0</v>
      </c>
      <c r="AB1328" s="55">
        <f t="shared" si="289"/>
        <v>189.20000000000005</v>
      </c>
      <c r="AC1328" s="54">
        <f t="shared" si="290"/>
        <v>0.35483870967741943</v>
      </c>
      <c r="AD1328" s="56">
        <f>INDEX(Assumptions!$B$14:$B$16,MATCH($R1328,Assumptions!$A$14:$A$16,0))</f>
        <v>0.32</v>
      </c>
      <c r="AE1328" s="56">
        <f>INDEX(Assumptions!$C$14:$C$16,MATCH($R1328,Assumptions!$A$14:$A$16,0))</f>
        <v>0.22</v>
      </c>
      <c r="AF1328" s="49">
        <f t="shared" si="291"/>
        <v>0</v>
      </c>
      <c r="AG1328" s="49">
        <f t="shared" si="292"/>
        <v>0</v>
      </c>
      <c r="AH1328" s="55">
        <f t="shared" si="293"/>
        <v>0</v>
      </c>
    </row>
    <row r="1329" spans="1:34" x14ac:dyDescent="0.2">
      <c r="A1329" s="48" t="s">
        <v>1145</v>
      </c>
      <c r="B1329" s="48">
        <v>1</v>
      </c>
      <c r="C1329" s="48" t="s">
        <v>1138</v>
      </c>
      <c r="D1329" s="48" t="s">
        <v>1051</v>
      </c>
      <c r="E1329" s="48" t="s">
        <v>273</v>
      </c>
      <c r="F1329" s="48" t="s">
        <v>274</v>
      </c>
      <c r="G1329" s="48" t="s">
        <v>275</v>
      </c>
      <c r="H1329" s="48" t="s">
        <v>66</v>
      </c>
      <c r="I1329" s="48" t="s">
        <v>110</v>
      </c>
      <c r="J1329" s="49">
        <v>5</v>
      </c>
      <c r="K1329" s="50">
        <v>1115</v>
      </c>
      <c r="L1329" s="50">
        <v>1111.05</v>
      </c>
      <c r="M1329" s="48" t="s">
        <v>276</v>
      </c>
      <c r="N1329" s="51">
        <v>0.92</v>
      </c>
      <c r="O1329" s="51">
        <v>0.92859999999999998</v>
      </c>
      <c r="P1329" s="52">
        <v>1012.65</v>
      </c>
      <c r="Q1329" s="52">
        <v>1012.65</v>
      </c>
      <c r="R1329" s="53" t="str">
        <f>INDEX(SKU_Master!$D$5:$D$34,MATCH($I1329,SKU_Master!$A$5:$A$34,0))</f>
        <v>Laptop</v>
      </c>
      <c r="S1329" s="54">
        <f t="shared" si="280"/>
        <v>3.5426008968609812E-3</v>
      </c>
      <c r="T1329" s="55">
        <f t="shared" si="281"/>
        <v>6059.782608695652</v>
      </c>
      <c r="U1329" s="55">
        <f t="shared" si="282"/>
        <v>6038.315217391304</v>
      </c>
      <c r="V1329" s="55">
        <f t="shared" si="283"/>
        <v>-21.467391304347984</v>
      </c>
      <c r="W1329" s="55">
        <f t="shared" si="284"/>
        <v>5982.3928494507863</v>
      </c>
      <c r="X1329" s="55">
        <f t="shared" si="285"/>
        <v>-55.922367940517688</v>
      </c>
      <c r="Y1329" s="55">
        <f t="shared" si="286"/>
        <v>5063.25</v>
      </c>
      <c r="Z1329" s="55">
        <f t="shared" si="287"/>
        <v>5063.25</v>
      </c>
      <c r="AA1329" s="55">
        <f t="shared" si="288"/>
        <v>0</v>
      </c>
      <c r="AB1329" s="55">
        <f t="shared" si="289"/>
        <v>919.14284945078634</v>
      </c>
      <c r="AC1329" s="54">
        <f t="shared" si="290"/>
        <v>0.15364133927366008</v>
      </c>
      <c r="AD1329" s="56">
        <f>INDEX(Assumptions!$B$14:$B$16,MATCH($R1329,Assumptions!$A$14:$A$16,0))</f>
        <v>0.12</v>
      </c>
      <c r="AE1329" s="56">
        <f>INDEX(Assumptions!$C$14:$C$16,MATCH($R1329,Assumptions!$A$14:$A$16,0))</f>
        <v>0.08</v>
      </c>
      <c r="AF1329" s="49">
        <f t="shared" si="291"/>
        <v>0</v>
      </c>
      <c r="AG1329" s="49">
        <f t="shared" si="292"/>
        <v>0</v>
      </c>
      <c r="AH1329" s="55">
        <f t="shared" si="293"/>
        <v>0</v>
      </c>
    </row>
    <row r="1330" spans="1:34" x14ac:dyDescent="0.2">
      <c r="A1330" s="48" t="s">
        <v>1146</v>
      </c>
      <c r="B1330" s="48">
        <v>1</v>
      </c>
      <c r="C1330" s="48" t="s">
        <v>1138</v>
      </c>
      <c r="D1330" s="48" t="s">
        <v>1051</v>
      </c>
      <c r="E1330" s="48" t="s">
        <v>397</v>
      </c>
      <c r="F1330" s="48" t="s">
        <v>280</v>
      </c>
      <c r="G1330" s="48" t="s">
        <v>306</v>
      </c>
      <c r="H1330" s="48" t="s">
        <v>70</v>
      </c>
      <c r="I1330" s="48" t="s">
        <v>93</v>
      </c>
      <c r="J1330" s="49">
        <v>5</v>
      </c>
      <c r="K1330" s="50">
        <v>134750</v>
      </c>
      <c r="L1330" s="50">
        <v>128980.72</v>
      </c>
      <c r="M1330" s="48" t="s">
        <v>276</v>
      </c>
      <c r="N1330" s="51">
        <v>83.5</v>
      </c>
      <c r="O1330" s="51">
        <v>84.621399999999994</v>
      </c>
      <c r="P1330" s="52">
        <v>1351.7</v>
      </c>
      <c r="Q1330" s="52">
        <v>1371.7</v>
      </c>
      <c r="R1330" s="53" t="str">
        <f>INDEX(SKU_Master!$D$5:$D$34,MATCH($I1330,SKU_Master!$A$5:$A$34,0))</f>
        <v>Laptop</v>
      </c>
      <c r="S1330" s="54">
        <f t="shared" si="280"/>
        <v>4.2814693877550991E-2</v>
      </c>
      <c r="T1330" s="55">
        <f t="shared" si="281"/>
        <v>8068.8622754491016</v>
      </c>
      <c r="U1330" s="55">
        <f t="shared" si="282"/>
        <v>7723.396407185628</v>
      </c>
      <c r="V1330" s="55">
        <f t="shared" si="283"/>
        <v>-345.46586826347357</v>
      </c>
      <c r="W1330" s="55">
        <f t="shared" si="284"/>
        <v>7621.0462128965019</v>
      </c>
      <c r="X1330" s="55">
        <f t="shared" si="285"/>
        <v>-102.35019428912619</v>
      </c>
      <c r="Y1330" s="55">
        <f t="shared" si="286"/>
        <v>6758.5</v>
      </c>
      <c r="Z1330" s="55">
        <f t="shared" si="287"/>
        <v>6858.5</v>
      </c>
      <c r="AA1330" s="55">
        <f t="shared" si="288"/>
        <v>-100</v>
      </c>
      <c r="AB1330" s="55">
        <f t="shared" si="289"/>
        <v>762.54621289650186</v>
      </c>
      <c r="AC1330" s="54">
        <f t="shared" si="290"/>
        <v>0.10005794369887226</v>
      </c>
      <c r="AD1330" s="56">
        <f>INDEX(Assumptions!$B$14:$B$16,MATCH($R1330,Assumptions!$A$14:$A$16,0))</f>
        <v>0.12</v>
      </c>
      <c r="AE1330" s="56">
        <f>INDEX(Assumptions!$C$14:$C$16,MATCH($R1330,Assumptions!$A$14:$A$16,0))</f>
        <v>0.08</v>
      </c>
      <c r="AF1330" s="49">
        <f t="shared" si="291"/>
        <v>0</v>
      </c>
      <c r="AG1330" s="49">
        <f t="shared" si="292"/>
        <v>0</v>
      </c>
      <c r="AH1330" s="55">
        <f t="shared" si="293"/>
        <v>151.97933265107838</v>
      </c>
    </row>
    <row r="1331" spans="1:34" x14ac:dyDescent="0.2">
      <c r="A1331" s="48" t="s">
        <v>1146</v>
      </c>
      <c r="B1331" s="48">
        <v>2</v>
      </c>
      <c r="C1331" s="48" t="s">
        <v>1138</v>
      </c>
      <c r="D1331" s="48" t="s">
        <v>1051</v>
      </c>
      <c r="E1331" s="48" t="s">
        <v>397</v>
      </c>
      <c r="F1331" s="48" t="s">
        <v>280</v>
      </c>
      <c r="G1331" s="48" t="s">
        <v>306</v>
      </c>
      <c r="H1331" s="48" t="s">
        <v>70</v>
      </c>
      <c r="I1331" s="48" t="s">
        <v>177</v>
      </c>
      <c r="J1331" s="49">
        <v>4</v>
      </c>
      <c r="K1331" s="50">
        <v>7520</v>
      </c>
      <c r="L1331" s="50">
        <v>7345.14</v>
      </c>
      <c r="M1331" s="48" t="s">
        <v>276</v>
      </c>
      <c r="N1331" s="51">
        <v>83.5</v>
      </c>
      <c r="O1331" s="51">
        <v>84.621399999999994</v>
      </c>
      <c r="P1331" s="52">
        <v>57.18</v>
      </c>
      <c r="Q1331" s="52">
        <v>62.18</v>
      </c>
      <c r="R1331" s="53" t="str">
        <f>INDEX(SKU_Master!$D$5:$D$34,MATCH($I1331,SKU_Master!$A$5:$A$34,0))</f>
        <v>Accessory</v>
      </c>
      <c r="S1331" s="54">
        <f t="shared" si="280"/>
        <v>2.3252659574468093E-2</v>
      </c>
      <c r="T1331" s="55">
        <f t="shared" si="281"/>
        <v>360.23952095808386</v>
      </c>
      <c r="U1331" s="55">
        <f t="shared" si="282"/>
        <v>351.86299401197607</v>
      </c>
      <c r="V1331" s="55">
        <f t="shared" si="283"/>
        <v>-8.3765269461077878</v>
      </c>
      <c r="W1331" s="55">
        <f t="shared" si="284"/>
        <v>347.20011722802985</v>
      </c>
      <c r="X1331" s="55">
        <f t="shared" si="285"/>
        <v>-4.6628767839462171</v>
      </c>
      <c r="Y1331" s="55">
        <f t="shared" si="286"/>
        <v>228.72</v>
      </c>
      <c r="Z1331" s="55">
        <f t="shared" si="287"/>
        <v>248.72</v>
      </c>
      <c r="AA1331" s="55">
        <f t="shared" si="288"/>
        <v>-20</v>
      </c>
      <c r="AB1331" s="55">
        <f t="shared" si="289"/>
        <v>98.480117228029854</v>
      </c>
      <c r="AC1331" s="54">
        <f t="shared" si="290"/>
        <v>0.28364079486572086</v>
      </c>
      <c r="AD1331" s="56">
        <f>INDEX(Assumptions!$B$14:$B$16,MATCH($R1331,Assumptions!$A$14:$A$16,0))</f>
        <v>0.32</v>
      </c>
      <c r="AE1331" s="56">
        <f>INDEX(Assumptions!$C$14:$C$16,MATCH($R1331,Assumptions!$A$14:$A$16,0))</f>
        <v>0.22</v>
      </c>
      <c r="AF1331" s="49">
        <f t="shared" si="291"/>
        <v>0</v>
      </c>
      <c r="AG1331" s="49">
        <f t="shared" si="292"/>
        <v>0</v>
      </c>
      <c r="AH1331" s="55">
        <f t="shared" si="293"/>
        <v>12.6239202849397</v>
      </c>
    </row>
    <row r="1332" spans="1:34" x14ac:dyDescent="0.2">
      <c r="A1332" s="48" t="s">
        <v>1147</v>
      </c>
      <c r="B1332" s="48">
        <v>1</v>
      </c>
      <c r="C1332" s="48" t="s">
        <v>1063</v>
      </c>
      <c r="D1332" s="48" t="s">
        <v>1051</v>
      </c>
      <c r="E1332" s="48" t="s">
        <v>293</v>
      </c>
      <c r="F1332" s="48" t="s">
        <v>274</v>
      </c>
      <c r="G1332" s="48" t="s">
        <v>275</v>
      </c>
      <c r="H1332" s="48" t="s">
        <v>66</v>
      </c>
      <c r="I1332" s="48" t="s">
        <v>118</v>
      </c>
      <c r="J1332" s="49">
        <v>4</v>
      </c>
      <c r="K1332" s="50">
        <v>1300</v>
      </c>
      <c r="L1332" s="50">
        <v>1276.0899999999999</v>
      </c>
      <c r="M1332" s="48" t="s">
        <v>276</v>
      </c>
      <c r="N1332" s="51">
        <v>0.92</v>
      </c>
      <c r="O1332" s="51">
        <v>0.92859999999999998</v>
      </c>
      <c r="P1332" s="52">
        <v>1182.5999999999999</v>
      </c>
      <c r="Q1332" s="52">
        <v>1251.28</v>
      </c>
      <c r="R1332" s="53" t="str">
        <f>INDEX(SKU_Master!$D$5:$D$34,MATCH($I1332,SKU_Master!$A$5:$A$34,0))</f>
        <v>Laptop</v>
      </c>
      <c r="S1332" s="54">
        <f t="shared" si="280"/>
        <v>1.8392307692307708E-2</v>
      </c>
      <c r="T1332" s="55">
        <f t="shared" si="281"/>
        <v>5652.173913043478</v>
      </c>
      <c r="U1332" s="55">
        <f t="shared" si="282"/>
        <v>5548.2173913043471</v>
      </c>
      <c r="V1332" s="55">
        <f t="shared" si="283"/>
        <v>-103.95652173913095</v>
      </c>
      <c r="W1332" s="55">
        <f t="shared" si="284"/>
        <v>5496.8339435709668</v>
      </c>
      <c r="X1332" s="55">
        <f t="shared" si="285"/>
        <v>-51.383447733380308</v>
      </c>
      <c r="Y1332" s="55">
        <f t="shared" si="286"/>
        <v>4730.3999999999996</v>
      </c>
      <c r="Z1332" s="55">
        <f t="shared" si="287"/>
        <v>5005.12</v>
      </c>
      <c r="AA1332" s="55">
        <f t="shared" si="288"/>
        <v>-274.72000000000025</v>
      </c>
      <c r="AB1332" s="55">
        <f t="shared" si="289"/>
        <v>491.71394357096688</v>
      </c>
      <c r="AC1332" s="54">
        <f t="shared" si="290"/>
        <v>8.9454029104530222E-2</v>
      </c>
      <c r="AD1332" s="56">
        <f>INDEX(Assumptions!$B$14:$B$16,MATCH($R1332,Assumptions!$A$14:$A$16,0))</f>
        <v>0.12</v>
      </c>
      <c r="AE1332" s="56">
        <f>INDEX(Assumptions!$C$14:$C$16,MATCH($R1332,Assumptions!$A$14:$A$16,0))</f>
        <v>0.08</v>
      </c>
      <c r="AF1332" s="49">
        <f t="shared" si="291"/>
        <v>0</v>
      </c>
      <c r="AG1332" s="49">
        <f t="shared" si="292"/>
        <v>0</v>
      </c>
      <c r="AH1332" s="55">
        <f t="shared" si="293"/>
        <v>167.90612965754906</v>
      </c>
    </row>
    <row r="1333" spans="1:34" x14ac:dyDescent="0.2">
      <c r="A1333" s="48" t="s">
        <v>1147</v>
      </c>
      <c r="B1333" s="48">
        <v>2</v>
      </c>
      <c r="C1333" s="48" t="s">
        <v>1063</v>
      </c>
      <c r="D1333" s="48" t="s">
        <v>1051</v>
      </c>
      <c r="E1333" s="48" t="s">
        <v>293</v>
      </c>
      <c r="F1333" s="48" t="s">
        <v>274</v>
      </c>
      <c r="G1333" s="48" t="s">
        <v>275</v>
      </c>
      <c r="H1333" s="48" t="s">
        <v>66</v>
      </c>
      <c r="I1333" s="48" t="s">
        <v>141</v>
      </c>
      <c r="J1333" s="49">
        <v>1</v>
      </c>
      <c r="K1333" s="50">
        <v>450</v>
      </c>
      <c r="L1333" s="50">
        <v>445.66</v>
      </c>
      <c r="M1333" s="48" t="s">
        <v>276</v>
      </c>
      <c r="N1333" s="51">
        <v>0.92</v>
      </c>
      <c r="O1333" s="51">
        <v>0.92859999999999998</v>
      </c>
      <c r="P1333" s="52">
        <v>376.7</v>
      </c>
      <c r="Q1333" s="52">
        <v>376.7</v>
      </c>
      <c r="R1333" s="53" t="str">
        <f>INDEX(SKU_Master!$D$5:$D$34,MATCH($I1333,SKU_Master!$A$5:$A$34,0))</f>
        <v>Monitor</v>
      </c>
      <c r="S1333" s="54">
        <f t="shared" si="280"/>
        <v>9.6444444444443445E-3</v>
      </c>
      <c r="T1333" s="55">
        <f t="shared" si="281"/>
        <v>489.13043478260869</v>
      </c>
      <c r="U1333" s="55">
        <f t="shared" si="282"/>
        <v>484.41304347826087</v>
      </c>
      <c r="V1333" s="55">
        <f t="shared" si="283"/>
        <v>-4.7173913043478137</v>
      </c>
      <c r="W1333" s="55">
        <f t="shared" si="284"/>
        <v>479.92677148395438</v>
      </c>
      <c r="X1333" s="55">
        <f t="shared" si="285"/>
        <v>-4.4862719943064917</v>
      </c>
      <c r="Y1333" s="55">
        <f t="shared" si="286"/>
        <v>376.7</v>
      </c>
      <c r="Z1333" s="55">
        <f t="shared" si="287"/>
        <v>376.7</v>
      </c>
      <c r="AA1333" s="55">
        <f t="shared" si="288"/>
        <v>0</v>
      </c>
      <c r="AB1333" s="55">
        <f t="shared" si="289"/>
        <v>103.22677148395439</v>
      </c>
      <c r="AC1333" s="54">
        <f t="shared" si="290"/>
        <v>0.21508858771260611</v>
      </c>
      <c r="AD1333" s="56">
        <f>INDEX(Assumptions!$B$14:$B$16,MATCH($R1333,Assumptions!$A$14:$A$16,0))</f>
        <v>0.18</v>
      </c>
      <c r="AE1333" s="56">
        <f>INDEX(Assumptions!$C$14:$C$16,MATCH($R1333,Assumptions!$A$14:$A$16,0))</f>
        <v>0.12</v>
      </c>
      <c r="AF1333" s="49">
        <f t="shared" si="291"/>
        <v>0</v>
      </c>
      <c r="AG1333" s="49">
        <f t="shared" si="292"/>
        <v>0</v>
      </c>
      <c r="AH1333" s="55">
        <f t="shared" si="293"/>
        <v>0</v>
      </c>
    </row>
    <row r="1334" spans="1:34" x14ac:dyDescent="0.2">
      <c r="A1334" s="48" t="s">
        <v>1147</v>
      </c>
      <c r="B1334" s="48">
        <v>3</v>
      </c>
      <c r="C1334" s="48" t="s">
        <v>1063</v>
      </c>
      <c r="D1334" s="48" t="s">
        <v>1051</v>
      </c>
      <c r="E1334" s="48" t="s">
        <v>293</v>
      </c>
      <c r="F1334" s="48" t="s">
        <v>274</v>
      </c>
      <c r="G1334" s="48" t="s">
        <v>275</v>
      </c>
      <c r="H1334" s="48" t="s">
        <v>66</v>
      </c>
      <c r="I1334" s="48" t="s">
        <v>157</v>
      </c>
      <c r="J1334" s="49">
        <v>4</v>
      </c>
      <c r="K1334" s="50">
        <v>135</v>
      </c>
      <c r="L1334" s="50">
        <v>134.63</v>
      </c>
      <c r="M1334" s="48" t="s">
        <v>276</v>
      </c>
      <c r="N1334" s="51">
        <v>0.92</v>
      </c>
      <c r="O1334" s="51">
        <v>0.92859999999999998</v>
      </c>
      <c r="P1334" s="52">
        <v>91</v>
      </c>
      <c r="Q1334" s="52">
        <v>91</v>
      </c>
      <c r="R1334" s="53" t="str">
        <f>INDEX(SKU_Master!$D$5:$D$34,MATCH($I1334,SKU_Master!$A$5:$A$34,0))</f>
        <v>Accessory</v>
      </c>
      <c r="S1334" s="54">
        <f t="shared" si="280"/>
        <v>2.7407407407408213E-3</v>
      </c>
      <c r="T1334" s="55">
        <f t="shared" si="281"/>
        <v>586.95652173913038</v>
      </c>
      <c r="U1334" s="55">
        <f t="shared" si="282"/>
        <v>585.3478260869565</v>
      </c>
      <c r="V1334" s="55">
        <f t="shared" si="283"/>
        <v>-1.6086956521738784</v>
      </c>
      <c r="W1334" s="55">
        <f t="shared" si="284"/>
        <v>579.92677148395433</v>
      </c>
      <c r="X1334" s="55">
        <f t="shared" si="285"/>
        <v>-5.421054603002176</v>
      </c>
      <c r="Y1334" s="55">
        <f t="shared" si="286"/>
        <v>364</v>
      </c>
      <c r="Z1334" s="55">
        <f t="shared" si="287"/>
        <v>364</v>
      </c>
      <c r="AA1334" s="55">
        <f t="shared" si="288"/>
        <v>0</v>
      </c>
      <c r="AB1334" s="55">
        <f t="shared" si="289"/>
        <v>215.92677148395433</v>
      </c>
      <c r="AC1334" s="54">
        <f t="shared" si="290"/>
        <v>0.37233454653494763</v>
      </c>
      <c r="AD1334" s="56">
        <f>INDEX(Assumptions!$B$14:$B$16,MATCH($R1334,Assumptions!$A$14:$A$16,0))</f>
        <v>0.32</v>
      </c>
      <c r="AE1334" s="56">
        <f>INDEX(Assumptions!$C$14:$C$16,MATCH($R1334,Assumptions!$A$14:$A$16,0))</f>
        <v>0.22</v>
      </c>
      <c r="AF1334" s="49">
        <f t="shared" si="291"/>
        <v>0</v>
      </c>
      <c r="AG1334" s="49">
        <f t="shared" si="292"/>
        <v>0</v>
      </c>
      <c r="AH1334" s="55">
        <f t="shared" si="293"/>
        <v>0</v>
      </c>
    </row>
    <row r="1335" spans="1:34" x14ac:dyDescent="0.2">
      <c r="A1335" s="48" t="s">
        <v>1148</v>
      </c>
      <c r="B1335" s="48">
        <v>1</v>
      </c>
      <c r="C1335" s="48" t="s">
        <v>1094</v>
      </c>
      <c r="D1335" s="48" t="s">
        <v>1051</v>
      </c>
      <c r="E1335" s="48" t="s">
        <v>358</v>
      </c>
      <c r="F1335" s="48" t="s">
        <v>274</v>
      </c>
      <c r="G1335" s="48" t="s">
        <v>288</v>
      </c>
      <c r="H1335" s="48" t="s">
        <v>62</v>
      </c>
      <c r="I1335" s="48" t="s">
        <v>115</v>
      </c>
      <c r="J1335" s="49">
        <v>2</v>
      </c>
      <c r="K1335" s="50">
        <v>850</v>
      </c>
      <c r="L1335" s="50">
        <v>848.73</v>
      </c>
      <c r="M1335" s="48" t="s">
        <v>276</v>
      </c>
      <c r="N1335" s="51">
        <v>1</v>
      </c>
      <c r="O1335" s="51">
        <v>1</v>
      </c>
      <c r="P1335" s="52">
        <v>723.6</v>
      </c>
      <c r="Q1335" s="52">
        <v>723.6</v>
      </c>
      <c r="R1335" s="53" t="str">
        <f>INDEX(SKU_Master!$D$5:$D$34,MATCH($I1335,SKU_Master!$A$5:$A$34,0))</f>
        <v>Laptop</v>
      </c>
      <c r="S1335" s="54">
        <f t="shared" si="280"/>
        <v>1.4941176470587569E-3</v>
      </c>
      <c r="T1335" s="55">
        <f t="shared" si="281"/>
        <v>1700</v>
      </c>
      <c r="U1335" s="55">
        <f t="shared" si="282"/>
        <v>1697.46</v>
      </c>
      <c r="V1335" s="55">
        <f t="shared" si="283"/>
        <v>-2.5399999999999636</v>
      </c>
      <c r="W1335" s="55">
        <f t="shared" si="284"/>
        <v>1697.46</v>
      </c>
      <c r="X1335" s="55">
        <f t="shared" si="285"/>
        <v>0</v>
      </c>
      <c r="Y1335" s="55">
        <f t="shared" si="286"/>
        <v>1447.2</v>
      </c>
      <c r="Z1335" s="55">
        <f t="shared" si="287"/>
        <v>1447.2</v>
      </c>
      <c r="AA1335" s="55">
        <f t="shared" si="288"/>
        <v>0</v>
      </c>
      <c r="AB1335" s="55">
        <f t="shared" si="289"/>
        <v>250.26</v>
      </c>
      <c r="AC1335" s="54">
        <f t="shared" si="290"/>
        <v>0.147432045526846</v>
      </c>
      <c r="AD1335" s="56">
        <f>INDEX(Assumptions!$B$14:$B$16,MATCH($R1335,Assumptions!$A$14:$A$16,0))</f>
        <v>0.12</v>
      </c>
      <c r="AE1335" s="56">
        <f>INDEX(Assumptions!$C$14:$C$16,MATCH($R1335,Assumptions!$A$14:$A$16,0))</f>
        <v>0.08</v>
      </c>
      <c r="AF1335" s="49">
        <f t="shared" si="291"/>
        <v>0</v>
      </c>
      <c r="AG1335" s="49">
        <f t="shared" si="292"/>
        <v>0</v>
      </c>
      <c r="AH1335" s="55">
        <f t="shared" si="293"/>
        <v>0</v>
      </c>
    </row>
    <row r="1336" spans="1:34" x14ac:dyDescent="0.2">
      <c r="A1336" s="48" t="s">
        <v>1148</v>
      </c>
      <c r="B1336" s="48">
        <v>2</v>
      </c>
      <c r="C1336" s="48" t="s">
        <v>1094</v>
      </c>
      <c r="D1336" s="48" t="s">
        <v>1051</v>
      </c>
      <c r="E1336" s="48" t="s">
        <v>358</v>
      </c>
      <c r="F1336" s="48" t="s">
        <v>274</v>
      </c>
      <c r="G1336" s="48" t="s">
        <v>288</v>
      </c>
      <c r="H1336" s="48" t="s">
        <v>62</v>
      </c>
      <c r="I1336" s="48" t="s">
        <v>170</v>
      </c>
      <c r="J1336" s="49">
        <v>1</v>
      </c>
      <c r="K1336" s="50">
        <v>195</v>
      </c>
      <c r="L1336" s="50">
        <v>194.89</v>
      </c>
      <c r="M1336" s="48" t="s">
        <v>276</v>
      </c>
      <c r="N1336" s="51">
        <v>1</v>
      </c>
      <c r="O1336" s="51">
        <v>1</v>
      </c>
      <c r="P1336" s="52">
        <v>126</v>
      </c>
      <c r="Q1336" s="52">
        <v>126</v>
      </c>
      <c r="R1336" s="53" t="str">
        <f>INDEX(SKU_Master!$D$5:$D$34,MATCH($I1336,SKU_Master!$A$5:$A$34,0))</f>
        <v>Accessory</v>
      </c>
      <c r="S1336" s="54">
        <f t="shared" si="280"/>
        <v>5.6410256410266424E-4</v>
      </c>
      <c r="T1336" s="55">
        <f t="shared" si="281"/>
        <v>195</v>
      </c>
      <c r="U1336" s="55">
        <f t="shared" si="282"/>
        <v>194.89</v>
      </c>
      <c r="V1336" s="55">
        <f t="shared" si="283"/>
        <v>-0.11000000000001364</v>
      </c>
      <c r="W1336" s="55">
        <f t="shared" si="284"/>
        <v>194.89</v>
      </c>
      <c r="X1336" s="55">
        <f t="shared" si="285"/>
        <v>0</v>
      </c>
      <c r="Y1336" s="55">
        <f t="shared" si="286"/>
        <v>126</v>
      </c>
      <c r="Z1336" s="55">
        <f t="shared" si="287"/>
        <v>126</v>
      </c>
      <c r="AA1336" s="55">
        <f t="shared" si="288"/>
        <v>0</v>
      </c>
      <c r="AB1336" s="55">
        <f t="shared" si="289"/>
        <v>68.889999999999986</v>
      </c>
      <c r="AC1336" s="54">
        <f t="shared" si="290"/>
        <v>0.35348145107496531</v>
      </c>
      <c r="AD1336" s="56">
        <f>INDEX(Assumptions!$B$14:$B$16,MATCH($R1336,Assumptions!$A$14:$A$16,0))</f>
        <v>0.32</v>
      </c>
      <c r="AE1336" s="56">
        <f>INDEX(Assumptions!$C$14:$C$16,MATCH($R1336,Assumptions!$A$14:$A$16,0))</f>
        <v>0.22</v>
      </c>
      <c r="AF1336" s="49">
        <f t="shared" si="291"/>
        <v>0</v>
      </c>
      <c r="AG1336" s="49">
        <f t="shared" si="292"/>
        <v>0</v>
      </c>
      <c r="AH1336" s="55">
        <f t="shared" si="293"/>
        <v>0</v>
      </c>
    </row>
    <row r="1337" spans="1:34" x14ac:dyDescent="0.2">
      <c r="A1337" s="48" t="s">
        <v>1149</v>
      </c>
      <c r="B1337" s="48">
        <v>1</v>
      </c>
      <c r="C1337" s="48" t="s">
        <v>1130</v>
      </c>
      <c r="D1337" s="48" t="s">
        <v>1051</v>
      </c>
      <c r="E1337" s="48" t="s">
        <v>322</v>
      </c>
      <c r="F1337" s="48" t="s">
        <v>274</v>
      </c>
      <c r="G1337" s="48" t="s">
        <v>288</v>
      </c>
      <c r="H1337" s="48" t="s">
        <v>62</v>
      </c>
      <c r="I1337" s="48" t="s">
        <v>93</v>
      </c>
      <c r="J1337" s="49">
        <v>8</v>
      </c>
      <c r="K1337" s="50">
        <v>1390</v>
      </c>
      <c r="L1337" s="50">
        <v>1369.79</v>
      </c>
      <c r="M1337" s="48" t="s">
        <v>276</v>
      </c>
      <c r="N1337" s="51">
        <v>1</v>
      </c>
      <c r="O1337" s="51">
        <v>1</v>
      </c>
      <c r="P1337" s="52">
        <v>1186.2</v>
      </c>
      <c r="Q1337" s="52">
        <v>1186.2</v>
      </c>
      <c r="R1337" s="53" t="str">
        <f>INDEX(SKU_Master!$D$5:$D$34,MATCH($I1337,SKU_Master!$A$5:$A$34,0))</f>
        <v>Laptop</v>
      </c>
      <c r="S1337" s="54">
        <f t="shared" si="280"/>
        <v>1.4539568345323772E-2</v>
      </c>
      <c r="T1337" s="55">
        <f t="shared" si="281"/>
        <v>11120</v>
      </c>
      <c r="U1337" s="55">
        <f t="shared" si="282"/>
        <v>10958.32</v>
      </c>
      <c r="V1337" s="55">
        <f t="shared" si="283"/>
        <v>-161.68000000000029</v>
      </c>
      <c r="W1337" s="55">
        <f t="shared" si="284"/>
        <v>10958.32</v>
      </c>
      <c r="X1337" s="55">
        <f t="shared" si="285"/>
        <v>0</v>
      </c>
      <c r="Y1337" s="55">
        <f t="shared" si="286"/>
        <v>9489.6</v>
      </c>
      <c r="Z1337" s="55">
        <f t="shared" si="287"/>
        <v>9489.6</v>
      </c>
      <c r="AA1337" s="55">
        <f t="shared" si="288"/>
        <v>0</v>
      </c>
      <c r="AB1337" s="55">
        <f t="shared" si="289"/>
        <v>1468.7199999999993</v>
      </c>
      <c r="AC1337" s="54">
        <f t="shared" si="290"/>
        <v>0.13402784368406831</v>
      </c>
      <c r="AD1337" s="56">
        <f>INDEX(Assumptions!$B$14:$B$16,MATCH($R1337,Assumptions!$A$14:$A$16,0))</f>
        <v>0.12</v>
      </c>
      <c r="AE1337" s="56">
        <f>INDEX(Assumptions!$C$14:$C$16,MATCH($R1337,Assumptions!$A$14:$A$16,0))</f>
        <v>0.08</v>
      </c>
      <c r="AF1337" s="49">
        <f t="shared" si="291"/>
        <v>0</v>
      </c>
      <c r="AG1337" s="49">
        <f t="shared" si="292"/>
        <v>0</v>
      </c>
      <c r="AH1337" s="55">
        <f t="shared" si="293"/>
        <v>0</v>
      </c>
    </row>
    <row r="1338" spans="1:34" x14ac:dyDescent="0.2">
      <c r="A1338" s="48" t="s">
        <v>1149</v>
      </c>
      <c r="B1338" s="48">
        <v>2</v>
      </c>
      <c r="C1338" s="48" t="s">
        <v>1130</v>
      </c>
      <c r="D1338" s="48" t="s">
        <v>1051</v>
      </c>
      <c r="E1338" s="48" t="s">
        <v>322</v>
      </c>
      <c r="F1338" s="48" t="s">
        <v>274</v>
      </c>
      <c r="G1338" s="48" t="s">
        <v>288</v>
      </c>
      <c r="H1338" s="48" t="s">
        <v>62</v>
      </c>
      <c r="I1338" s="48" t="s">
        <v>135</v>
      </c>
      <c r="J1338" s="49">
        <v>7</v>
      </c>
      <c r="K1338" s="50">
        <v>240</v>
      </c>
      <c r="L1338" s="50">
        <v>236.4</v>
      </c>
      <c r="M1338" s="48" t="s">
        <v>276</v>
      </c>
      <c r="N1338" s="51">
        <v>1</v>
      </c>
      <c r="O1338" s="51">
        <v>1</v>
      </c>
      <c r="P1338" s="52">
        <v>186.7</v>
      </c>
      <c r="Q1338" s="52">
        <v>186.7</v>
      </c>
      <c r="R1338" s="53" t="str">
        <f>INDEX(SKU_Master!$D$5:$D$34,MATCH($I1338,SKU_Master!$A$5:$A$34,0))</f>
        <v>Monitor</v>
      </c>
      <c r="S1338" s="54">
        <f t="shared" si="280"/>
        <v>1.5000000000000013E-2</v>
      </c>
      <c r="T1338" s="55">
        <f t="shared" si="281"/>
        <v>1680</v>
      </c>
      <c r="U1338" s="55">
        <f t="shared" si="282"/>
        <v>1654.8</v>
      </c>
      <c r="V1338" s="55">
        <f t="shared" si="283"/>
        <v>-25.200000000000045</v>
      </c>
      <c r="W1338" s="55">
        <f t="shared" si="284"/>
        <v>1654.8</v>
      </c>
      <c r="X1338" s="55">
        <f t="shared" si="285"/>
        <v>0</v>
      </c>
      <c r="Y1338" s="55">
        <f t="shared" si="286"/>
        <v>1306.8999999999999</v>
      </c>
      <c r="Z1338" s="55">
        <f t="shared" si="287"/>
        <v>1306.8999999999999</v>
      </c>
      <c r="AA1338" s="55">
        <f t="shared" si="288"/>
        <v>0</v>
      </c>
      <c r="AB1338" s="55">
        <f t="shared" si="289"/>
        <v>347.90000000000009</v>
      </c>
      <c r="AC1338" s="54">
        <f t="shared" si="290"/>
        <v>0.21023688663282578</v>
      </c>
      <c r="AD1338" s="56">
        <f>INDEX(Assumptions!$B$14:$B$16,MATCH($R1338,Assumptions!$A$14:$A$16,0))</f>
        <v>0.18</v>
      </c>
      <c r="AE1338" s="56">
        <f>INDEX(Assumptions!$C$14:$C$16,MATCH($R1338,Assumptions!$A$14:$A$16,0))</f>
        <v>0.12</v>
      </c>
      <c r="AF1338" s="49">
        <f t="shared" si="291"/>
        <v>0</v>
      </c>
      <c r="AG1338" s="49">
        <f t="shared" si="292"/>
        <v>0</v>
      </c>
      <c r="AH1338" s="55">
        <f t="shared" si="293"/>
        <v>0</v>
      </c>
    </row>
    <row r="1339" spans="1:34" x14ac:dyDescent="0.2">
      <c r="A1339" s="48" t="s">
        <v>1149</v>
      </c>
      <c r="B1339" s="48">
        <v>3</v>
      </c>
      <c r="C1339" s="48" t="s">
        <v>1130</v>
      </c>
      <c r="D1339" s="48" t="s">
        <v>1051</v>
      </c>
      <c r="E1339" s="48" t="s">
        <v>322</v>
      </c>
      <c r="F1339" s="48" t="s">
        <v>274</v>
      </c>
      <c r="G1339" s="48" t="s">
        <v>288</v>
      </c>
      <c r="H1339" s="48" t="s">
        <v>62</v>
      </c>
      <c r="I1339" s="48" t="s">
        <v>151</v>
      </c>
      <c r="J1339" s="49">
        <v>8</v>
      </c>
      <c r="K1339" s="50">
        <v>335</v>
      </c>
      <c r="L1339" s="50">
        <v>333.2</v>
      </c>
      <c r="M1339" s="48" t="s">
        <v>276</v>
      </c>
      <c r="N1339" s="51">
        <v>1</v>
      </c>
      <c r="O1339" s="51">
        <v>1</v>
      </c>
      <c r="P1339" s="52">
        <v>216.7</v>
      </c>
      <c r="Q1339" s="52">
        <v>216.7</v>
      </c>
      <c r="R1339" s="53" t="str">
        <f>INDEX(SKU_Master!$D$5:$D$34,MATCH($I1339,SKU_Master!$A$5:$A$34,0))</f>
        <v>Accessory</v>
      </c>
      <c r="S1339" s="54">
        <f t="shared" si="280"/>
        <v>5.3731343283582866E-3</v>
      </c>
      <c r="T1339" s="55">
        <f t="shared" si="281"/>
        <v>2680</v>
      </c>
      <c r="U1339" s="55">
        <f t="shared" si="282"/>
        <v>2665.6</v>
      </c>
      <c r="V1339" s="55">
        <f t="shared" si="283"/>
        <v>-14.400000000000091</v>
      </c>
      <c r="W1339" s="55">
        <f t="shared" si="284"/>
        <v>2665.6</v>
      </c>
      <c r="X1339" s="55">
        <f t="shared" si="285"/>
        <v>0</v>
      </c>
      <c r="Y1339" s="55">
        <f t="shared" si="286"/>
        <v>1733.6</v>
      </c>
      <c r="Z1339" s="55">
        <f t="shared" si="287"/>
        <v>1733.6</v>
      </c>
      <c r="AA1339" s="55">
        <f t="shared" si="288"/>
        <v>0</v>
      </c>
      <c r="AB1339" s="55">
        <f t="shared" si="289"/>
        <v>932</v>
      </c>
      <c r="AC1339" s="54">
        <f t="shared" si="290"/>
        <v>0.34963985594237695</v>
      </c>
      <c r="AD1339" s="56">
        <f>INDEX(Assumptions!$B$14:$B$16,MATCH($R1339,Assumptions!$A$14:$A$16,0))</f>
        <v>0.32</v>
      </c>
      <c r="AE1339" s="56">
        <f>INDEX(Assumptions!$C$14:$C$16,MATCH($R1339,Assumptions!$A$14:$A$16,0))</f>
        <v>0.22</v>
      </c>
      <c r="AF1339" s="49">
        <f t="shared" si="291"/>
        <v>0</v>
      </c>
      <c r="AG1339" s="49">
        <f t="shared" si="292"/>
        <v>0</v>
      </c>
      <c r="AH1339" s="55">
        <f t="shared" si="293"/>
        <v>0</v>
      </c>
    </row>
    <row r="1340" spans="1:34" x14ac:dyDescent="0.2">
      <c r="A1340" s="48" t="s">
        <v>1150</v>
      </c>
      <c r="B1340" s="48">
        <v>1</v>
      </c>
      <c r="C1340" s="48" t="s">
        <v>1080</v>
      </c>
      <c r="D1340" s="48" t="s">
        <v>1051</v>
      </c>
      <c r="E1340" s="48" t="s">
        <v>588</v>
      </c>
      <c r="F1340" s="48" t="s">
        <v>274</v>
      </c>
      <c r="G1340" s="48" t="s">
        <v>281</v>
      </c>
      <c r="H1340" s="48" t="s">
        <v>62</v>
      </c>
      <c r="I1340" s="48" t="s">
        <v>108</v>
      </c>
      <c r="J1340" s="49">
        <v>5</v>
      </c>
      <c r="K1340" s="50">
        <v>1345</v>
      </c>
      <c r="L1340" s="50">
        <v>1331.42</v>
      </c>
      <c r="M1340" s="48" t="s">
        <v>276</v>
      </c>
      <c r="N1340" s="51">
        <v>1</v>
      </c>
      <c r="O1340" s="51">
        <v>1</v>
      </c>
      <c r="P1340" s="52">
        <v>1145</v>
      </c>
      <c r="Q1340" s="52">
        <v>1212.6199999999999</v>
      </c>
      <c r="R1340" s="53" t="str">
        <f>INDEX(SKU_Master!$D$5:$D$34,MATCH($I1340,SKU_Master!$A$5:$A$34,0))</f>
        <v>Laptop</v>
      </c>
      <c r="S1340" s="54">
        <f t="shared" si="280"/>
        <v>1.0096654275092876E-2</v>
      </c>
      <c r="T1340" s="55">
        <f t="shared" si="281"/>
        <v>6725</v>
      </c>
      <c r="U1340" s="55">
        <f t="shared" si="282"/>
        <v>6657.1</v>
      </c>
      <c r="V1340" s="55">
        <f t="shared" si="283"/>
        <v>-67.899999999999636</v>
      </c>
      <c r="W1340" s="55">
        <f t="shared" si="284"/>
        <v>6657.1</v>
      </c>
      <c r="X1340" s="55">
        <f t="shared" si="285"/>
        <v>0</v>
      </c>
      <c r="Y1340" s="55">
        <f t="shared" si="286"/>
        <v>5725</v>
      </c>
      <c r="Z1340" s="55">
        <f t="shared" si="287"/>
        <v>6063.0999999999995</v>
      </c>
      <c r="AA1340" s="55">
        <f t="shared" si="288"/>
        <v>-338.09999999999945</v>
      </c>
      <c r="AB1340" s="55">
        <f t="shared" si="289"/>
        <v>594.00000000000091</v>
      </c>
      <c r="AC1340" s="54">
        <f t="shared" si="290"/>
        <v>8.922804224061541E-2</v>
      </c>
      <c r="AD1340" s="56">
        <f>INDEX(Assumptions!$B$14:$B$16,MATCH($R1340,Assumptions!$A$14:$A$16,0))</f>
        <v>0.12</v>
      </c>
      <c r="AE1340" s="56">
        <f>INDEX(Assumptions!$C$14:$C$16,MATCH($R1340,Assumptions!$A$14:$A$16,0))</f>
        <v>0.08</v>
      </c>
      <c r="AF1340" s="49">
        <f t="shared" si="291"/>
        <v>0</v>
      </c>
      <c r="AG1340" s="49">
        <f t="shared" si="292"/>
        <v>0</v>
      </c>
      <c r="AH1340" s="55">
        <f t="shared" si="293"/>
        <v>204.85199999999907</v>
      </c>
    </row>
    <row r="1341" spans="1:34" x14ac:dyDescent="0.2">
      <c r="A1341" s="48" t="s">
        <v>1150</v>
      </c>
      <c r="B1341" s="48">
        <v>2</v>
      </c>
      <c r="C1341" s="48" t="s">
        <v>1080</v>
      </c>
      <c r="D1341" s="48" t="s">
        <v>1051</v>
      </c>
      <c r="E1341" s="48" t="s">
        <v>588</v>
      </c>
      <c r="F1341" s="48" t="s">
        <v>274</v>
      </c>
      <c r="G1341" s="48" t="s">
        <v>281</v>
      </c>
      <c r="H1341" s="48" t="s">
        <v>62</v>
      </c>
      <c r="I1341" s="48" t="s">
        <v>146</v>
      </c>
      <c r="J1341" s="49">
        <v>3</v>
      </c>
      <c r="K1341" s="50">
        <v>235</v>
      </c>
      <c r="L1341" s="50">
        <v>230.81</v>
      </c>
      <c r="M1341" s="48" t="s">
        <v>276</v>
      </c>
      <c r="N1341" s="51">
        <v>1</v>
      </c>
      <c r="O1341" s="51">
        <v>1</v>
      </c>
      <c r="P1341" s="52">
        <v>181.8</v>
      </c>
      <c r="Q1341" s="52">
        <v>181.8</v>
      </c>
      <c r="R1341" s="53" t="str">
        <f>INDEX(SKU_Master!$D$5:$D$34,MATCH($I1341,SKU_Master!$A$5:$A$34,0))</f>
        <v>Monitor</v>
      </c>
      <c r="S1341" s="54">
        <f t="shared" si="280"/>
        <v>1.7829787234042493E-2</v>
      </c>
      <c r="T1341" s="55">
        <f t="shared" si="281"/>
        <v>705</v>
      </c>
      <c r="U1341" s="55">
        <f t="shared" si="282"/>
        <v>692.43000000000006</v>
      </c>
      <c r="V1341" s="55">
        <f t="shared" si="283"/>
        <v>-12.569999999999936</v>
      </c>
      <c r="W1341" s="55">
        <f t="shared" si="284"/>
        <v>692.43000000000006</v>
      </c>
      <c r="X1341" s="55">
        <f t="shared" si="285"/>
        <v>0</v>
      </c>
      <c r="Y1341" s="55">
        <f t="shared" si="286"/>
        <v>545.40000000000009</v>
      </c>
      <c r="Z1341" s="55">
        <f t="shared" si="287"/>
        <v>545.40000000000009</v>
      </c>
      <c r="AA1341" s="55">
        <f t="shared" si="288"/>
        <v>0</v>
      </c>
      <c r="AB1341" s="55">
        <f t="shared" si="289"/>
        <v>147.02999999999997</v>
      </c>
      <c r="AC1341" s="54">
        <f t="shared" si="290"/>
        <v>0.21233915341622975</v>
      </c>
      <c r="AD1341" s="56">
        <f>INDEX(Assumptions!$B$14:$B$16,MATCH($R1341,Assumptions!$A$14:$A$16,0))</f>
        <v>0.18</v>
      </c>
      <c r="AE1341" s="56">
        <f>INDEX(Assumptions!$C$14:$C$16,MATCH($R1341,Assumptions!$A$14:$A$16,0))</f>
        <v>0.12</v>
      </c>
      <c r="AF1341" s="49">
        <f t="shared" si="291"/>
        <v>0</v>
      </c>
      <c r="AG1341" s="49">
        <f t="shared" si="292"/>
        <v>0</v>
      </c>
      <c r="AH1341" s="55">
        <f t="shared" si="293"/>
        <v>0</v>
      </c>
    </row>
    <row r="1342" spans="1:34" x14ac:dyDescent="0.2">
      <c r="A1342" s="48" t="s">
        <v>1151</v>
      </c>
      <c r="B1342" s="48">
        <v>1</v>
      </c>
      <c r="C1342" s="48" t="s">
        <v>1055</v>
      </c>
      <c r="D1342" s="48" t="s">
        <v>1051</v>
      </c>
      <c r="E1342" s="48" t="s">
        <v>366</v>
      </c>
      <c r="F1342" s="48" t="s">
        <v>297</v>
      </c>
      <c r="G1342" s="48" t="s">
        <v>302</v>
      </c>
      <c r="H1342" s="48" t="s">
        <v>66</v>
      </c>
      <c r="I1342" s="48" t="s">
        <v>93</v>
      </c>
      <c r="J1342" s="49">
        <v>76</v>
      </c>
      <c r="K1342" s="50">
        <v>1325</v>
      </c>
      <c r="L1342" s="50">
        <v>1272.1300000000001</v>
      </c>
      <c r="M1342" s="48" t="s">
        <v>276</v>
      </c>
      <c r="N1342" s="51">
        <v>0.92</v>
      </c>
      <c r="O1342" s="51">
        <v>0.92859999999999998</v>
      </c>
      <c r="P1342" s="52">
        <v>1206.2</v>
      </c>
      <c r="Q1342" s="52">
        <v>1206.2</v>
      </c>
      <c r="R1342" s="53" t="str">
        <f>INDEX(SKU_Master!$D$5:$D$34,MATCH($I1342,SKU_Master!$A$5:$A$34,0))</f>
        <v>Laptop</v>
      </c>
      <c r="S1342" s="54">
        <f t="shared" si="280"/>
        <v>3.9901886792452768E-2</v>
      </c>
      <c r="T1342" s="55">
        <f t="shared" si="281"/>
        <v>109456.52173913043</v>
      </c>
      <c r="U1342" s="55">
        <f t="shared" si="282"/>
        <v>105089</v>
      </c>
      <c r="V1342" s="55">
        <f t="shared" si="283"/>
        <v>-4367.5217391304323</v>
      </c>
      <c r="W1342" s="55">
        <f t="shared" si="284"/>
        <v>104115.74413094982</v>
      </c>
      <c r="X1342" s="55">
        <f t="shared" si="285"/>
        <v>-973.25586905017553</v>
      </c>
      <c r="Y1342" s="55">
        <f t="shared" si="286"/>
        <v>91671.2</v>
      </c>
      <c r="Z1342" s="55">
        <f t="shared" si="287"/>
        <v>91671.2</v>
      </c>
      <c r="AA1342" s="55">
        <f t="shared" si="288"/>
        <v>0</v>
      </c>
      <c r="AB1342" s="55">
        <f t="shared" si="289"/>
        <v>12444.544130949827</v>
      </c>
      <c r="AC1342" s="54">
        <f t="shared" si="290"/>
        <v>0.11952605472711131</v>
      </c>
      <c r="AD1342" s="56">
        <f>INDEX(Assumptions!$B$14:$B$16,MATCH($R1342,Assumptions!$A$14:$A$16,0))</f>
        <v>0.12</v>
      </c>
      <c r="AE1342" s="56">
        <f>INDEX(Assumptions!$C$14:$C$16,MATCH($R1342,Assumptions!$A$14:$A$16,0))</f>
        <v>0.08</v>
      </c>
      <c r="AF1342" s="49">
        <f t="shared" si="291"/>
        <v>0</v>
      </c>
      <c r="AG1342" s="49">
        <f t="shared" si="292"/>
        <v>0</v>
      </c>
      <c r="AH1342" s="55">
        <f t="shared" si="293"/>
        <v>49.345164764150468</v>
      </c>
    </row>
    <row r="1343" spans="1:34" x14ac:dyDescent="0.2">
      <c r="A1343" s="48" t="s">
        <v>1152</v>
      </c>
      <c r="B1343" s="48">
        <v>1</v>
      </c>
      <c r="C1343" s="48" t="s">
        <v>1153</v>
      </c>
      <c r="D1343" s="48" t="s">
        <v>1154</v>
      </c>
      <c r="E1343" s="48" t="s">
        <v>427</v>
      </c>
      <c r="F1343" s="48" t="s">
        <v>297</v>
      </c>
      <c r="G1343" s="48" t="s">
        <v>302</v>
      </c>
      <c r="H1343" s="48" t="s">
        <v>66</v>
      </c>
      <c r="I1343" s="48" t="s">
        <v>108</v>
      </c>
      <c r="J1343" s="49">
        <v>77</v>
      </c>
      <c r="K1343" s="50">
        <v>1280</v>
      </c>
      <c r="L1343" s="50">
        <v>1249.22</v>
      </c>
      <c r="M1343" s="48" t="s">
        <v>276</v>
      </c>
      <c r="N1343" s="51">
        <v>0.92</v>
      </c>
      <c r="O1343" s="51">
        <v>0.92830000000000001</v>
      </c>
      <c r="P1343" s="52">
        <v>1165</v>
      </c>
      <c r="Q1343" s="52">
        <v>1232.6199999999999</v>
      </c>
      <c r="R1343" s="53" t="str">
        <f>INDEX(SKU_Master!$D$5:$D$34,MATCH($I1343,SKU_Master!$A$5:$A$34,0))</f>
        <v>Laptop</v>
      </c>
      <c r="S1343" s="54">
        <f t="shared" si="280"/>
        <v>2.4046875000000023E-2</v>
      </c>
      <c r="T1343" s="55">
        <f t="shared" si="281"/>
        <v>107130.43478260869</v>
      </c>
      <c r="U1343" s="55">
        <f t="shared" si="282"/>
        <v>104554.28260869565</v>
      </c>
      <c r="V1343" s="55">
        <f t="shared" si="283"/>
        <v>-2576.1521739130403</v>
      </c>
      <c r="W1343" s="55">
        <f t="shared" si="284"/>
        <v>103619.4549175913</v>
      </c>
      <c r="X1343" s="55">
        <f t="shared" si="285"/>
        <v>-934.82769110435038</v>
      </c>
      <c r="Y1343" s="55">
        <f t="shared" si="286"/>
        <v>89705</v>
      </c>
      <c r="Z1343" s="55">
        <f t="shared" si="287"/>
        <v>94911.739999999991</v>
      </c>
      <c r="AA1343" s="55">
        <f t="shared" si="288"/>
        <v>-5206.7399999999907</v>
      </c>
      <c r="AB1343" s="55">
        <f t="shared" si="289"/>
        <v>8707.7149175913073</v>
      </c>
      <c r="AC1343" s="54">
        <f t="shared" si="290"/>
        <v>8.4035521365332072E-2</v>
      </c>
      <c r="AD1343" s="56">
        <f>INDEX(Assumptions!$B$14:$B$16,MATCH($R1343,Assumptions!$A$14:$A$16,0))</f>
        <v>0.12</v>
      </c>
      <c r="AE1343" s="56">
        <f>INDEX(Assumptions!$C$14:$C$16,MATCH($R1343,Assumptions!$A$14:$A$16,0))</f>
        <v>0.08</v>
      </c>
      <c r="AF1343" s="49">
        <f t="shared" si="291"/>
        <v>0</v>
      </c>
      <c r="AG1343" s="49">
        <f t="shared" si="292"/>
        <v>0</v>
      </c>
      <c r="AH1343" s="55">
        <f t="shared" si="293"/>
        <v>3726.6196725196478</v>
      </c>
    </row>
    <row r="1344" spans="1:34" x14ac:dyDescent="0.2">
      <c r="A1344" s="48" t="s">
        <v>1152</v>
      </c>
      <c r="B1344" s="48">
        <v>2</v>
      </c>
      <c r="C1344" s="48" t="s">
        <v>1153</v>
      </c>
      <c r="D1344" s="48" t="s">
        <v>1154</v>
      </c>
      <c r="E1344" s="48" t="s">
        <v>427</v>
      </c>
      <c r="F1344" s="48" t="s">
        <v>297</v>
      </c>
      <c r="G1344" s="48" t="s">
        <v>302</v>
      </c>
      <c r="H1344" s="48" t="s">
        <v>66</v>
      </c>
      <c r="I1344" s="48" t="s">
        <v>135</v>
      </c>
      <c r="J1344" s="49">
        <v>73</v>
      </c>
      <c r="K1344" s="50">
        <v>255</v>
      </c>
      <c r="L1344" s="50">
        <v>233.96</v>
      </c>
      <c r="M1344" s="48" t="s">
        <v>276</v>
      </c>
      <c r="N1344" s="51">
        <v>0.92</v>
      </c>
      <c r="O1344" s="51">
        <v>0.92830000000000001</v>
      </c>
      <c r="P1344" s="52">
        <v>211.7</v>
      </c>
      <c r="Q1344" s="52">
        <v>211.7</v>
      </c>
      <c r="R1344" s="53" t="str">
        <f>INDEX(SKU_Master!$D$5:$D$34,MATCH($I1344,SKU_Master!$A$5:$A$34,0))</f>
        <v>Monitor</v>
      </c>
      <c r="S1344" s="54">
        <f t="shared" si="280"/>
        <v>8.2509803921568592E-2</v>
      </c>
      <c r="T1344" s="55">
        <f t="shared" si="281"/>
        <v>20233.695652173912</v>
      </c>
      <c r="U1344" s="55">
        <f t="shared" si="282"/>
        <v>18564.217391304348</v>
      </c>
      <c r="V1344" s="55">
        <f t="shared" si="283"/>
        <v>-1669.4782608695641</v>
      </c>
      <c r="W1344" s="55">
        <f t="shared" si="284"/>
        <v>18398.233329742543</v>
      </c>
      <c r="X1344" s="55">
        <f t="shared" si="285"/>
        <v>-165.98406156180499</v>
      </c>
      <c r="Y1344" s="55">
        <f t="shared" si="286"/>
        <v>15454.099999999999</v>
      </c>
      <c r="Z1344" s="55">
        <f t="shared" si="287"/>
        <v>15454.099999999999</v>
      </c>
      <c r="AA1344" s="55">
        <f t="shared" si="288"/>
        <v>0</v>
      </c>
      <c r="AB1344" s="55">
        <f t="shared" si="289"/>
        <v>2944.1333297425444</v>
      </c>
      <c r="AC1344" s="54">
        <f t="shared" si="290"/>
        <v>0.16002261070268442</v>
      </c>
      <c r="AD1344" s="56">
        <f>INDEX(Assumptions!$B$14:$B$16,MATCH($R1344,Assumptions!$A$14:$A$16,0))</f>
        <v>0.18</v>
      </c>
      <c r="AE1344" s="56">
        <f>INDEX(Assumptions!$C$14:$C$16,MATCH($R1344,Assumptions!$A$14:$A$16,0))</f>
        <v>0.12</v>
      </c>
      <c r="AF1344" s="49">
        <f t="shared" si="291"/>
        <v>0</v>
      </c>
      <c r="AG1344" s="49">
        <f t="shared" si="292"/>
        <v>0</v>
      </c>
      <c r="AH1344" s="55">
        <f t="shared" si="293"/>
        <v>367.54866961111338</v>
      </c>
    </row>
    <row r="1345" spans="1:34" x14ac:dyDescent="0.2">
      <c r="A1345" s="48" t="s">
        <v>1152</v>
      </c>
      <c r="B1345" s="48">
        <v>3</v>
      </c>
      <c r="C1345" s="48" t="s">
        <v>1153</v>
      </c>
      <c r="D1345" s="48" t="s">
        <v>1154</v>
      </c>
      <c r="E1345" s="48" t="s">
        <v>427</v>
      </c>
      <c r="F1345" s="48" t="s">
        <v>297</v>
      </c>
      <c r="G1345" s="48" t="s">
        <v>302</v>
      </c>
      <c r="H1345" s="48" t="s">
        <v>66</v>
      </c>
      <c r="I1345" s="48" t="s">
        <v>151</v>
      </c>
      <c r="J1345" s="49">
        <v>82</v>
      </c>
      <c r="K1345" s="50">
        <v>325</v>
      </c>
      <c r="L1345" s="50">
        <v>297.52</v>
      </c>
      <c r="M1345" s="48" t="s">
        <v>276</v>
      </c>
      <c r="N1345" s="51">
        <v>0.92</v>
      </c>
      <c r="O1345" s="51">
        <v>0.92830000000000001</v>
      </c>
      <c r="P1345" s="52">
        <v>221.7</v>
      </c>
      <c r="Q1345" s="52">
        <v>221.7</v>
      </c>
      <c r="R1345" s="53" t="str">
        <f>INDEX(SKU_Master!$D$5:$D$34,MATCH($I1345,SKU_Master!$A$5:$A$34,0))</f>
        <v>Accessory</v>
      </c>
      <c r="S1345" s="54">
        <f t="shared" si="280"/>
        <v>8.4553846153846202E-2</v>
      </c>
      <c r="T1345" s="55">
        <f t="shared" si="281"/>
        <v>28967.391304347824</v>
      </c>
      <c r="U1345" s="55">
        <f t="shared" si="282"/>
        <v>26518.086956521736</v>
      </c>
      <c r="V1345" s="55">
        <f t="shared" si="283"/>
        <v>-2449.3043478260879</v>
      </c>
      <c r="W1345" s="55">
        <f t="shared" si="284"/>
        <v>26280.986749973068</v>
      </c>
      <c r="X1345" s="55">
        <f t="shared" si="285"/>
        <v>-237.10020654866821</v>
      </c>
      <c r="Y1345" s="55">
        <f t="shared" si="286"/>
        <v>18179.399999999998</v>
      </c>
      <c r="Z1345" s="55">
        <f t="shared" si="287"/>
        <v>18179.399999999998</v>
      </c>
      <c r="AA1345" s="55">
        <f t="shared" si="288"/>
        <v>0</v>
      </c>
      <c r="AB1345" s="55">
        <f t="shared" si="289"/>
        <v>8101.5867499730703</v>
      </c>
      <c r="AC1345" s="54">
        <f t="shared" si="290"/>
        <v>0.30826798198440447</v>
      </c>
      <c r="AD1345" s="56">
        <f>INDEX(Assumptions!$B$14:$B$16,MATCH($R1345,Assumptions!$A$14:$A$16,0))</f>
        <v>0.32</v>
      </c>
      <c r="AE1345" s="56">
        <f>INDEX(Assumptions!$C$14:$C$16,MATCH($R1345,Assumptions!$A$14:$A$16,0))</f>
        <v>0.22</v>
      </c>
      <c r="AF1345" s="49">
        <f t="shared" si="291"/>
        <v>0</v>
      </c>
      <c r="AG1345" s="49">
        <f t="shared" si="292"/>
        <v>0</v>
      </c>
      <c r="AH1345" s="55">
        <f t="shared" si="293"/>
        <v>308.32901001831124</v>
      </c>
    </row>
    <row r="1346" spans="1:34" x14ac:dyDescent="0.2">
      <c r="A1346" s="48" t="s">
        <v>1155</v>
      </c>
      <c r="B1346" s="48">
        <v>1</v>
      </c>
      <c r="C1346" s="48" t="s">
        <v>1156</v>
      </c>
      <c r="D1346" s="48" t="s">
        <v>1154</v>
      </c>
      <c r="E1346" s="48" t="s">
        <v>349</v>
      </c>
      <c r="F1346" s="48" t="s">
        <v>274</v>
      </c>
      <c r="G1346" s="48" t="s">
        <v>275</v>
      </c>
      <c r="H1346" s="48" t="s">
        <v>66</v>
      </c>
      <c r="I1346" s="48" t="s">
        <v>110</v>
      </c>
      <c r="J1346" s="49">
        <v>9</v>
      </c>
      <c r="K1346" s="50">
        <v>1115</v>
      </c>
      <c r="L1346" s="50">
        <v>1109.8499999999999</v>
      </c>
      <c r="M1346" s="48" t="s">
        <v>276</v>
      </c>
      <c r="N1346" s="51">
        <v>0.92</v>
      </c>
      <c r="O1346" s="51">
        <v>0.92830000000000001</v>
      </c>
      <c r="P1346" s="52">
        <v>1012.65</v>
      </c>
      <c r="Q1346" s="52">
        <v>1012.65</v>
      </c>
      <c r="R1346" s="53" t="str">
        <f>INDEX(SKU_Master!$D$5:$D$34,MATCH($I1346,SKU_Master!$A$5:$A$34,0))</f>
        <v>Laptop</v>
      </c>
      <c r="S1346" s="54">
        <f t="shared" si="280"/>
        <v>4.6188340807176154E-3</v>
      </c>
      <c r="T1346" s="55">
        <f t="shared" si="281"/>
        <v>10907.608695652174</v>
      </c>
      <c r="U1346" s="55">
        <f t="shared" si="282"/>
        <v>10857.228260869564</v>
      </c>
      <c r="V1346" s="55">
        <f t="shared" si="283"/>
        <v>-50.380434782609882</v>
      </c>
      <c r="W1346" s="55">
        <f t="shared" si="284"/>
        <v>10760.152967790584</v>
      </c>
      <c r="X1346" s="55">
        <f t="shared" si="285"/>
        <v>-97.075293078980394</v>
      </c>
      <c r="Y1346" s="55">
        <f t="shared" si="286"/>
        <v>9113.85</v>
      </c>
      <c r="Z1346" s="55">
        <f t="shared" si="287"/>
        <v>9113.85</v>
      </c>
      <c r="AA1346" s="55">
        <f t="shared" si="288"/>
        <v>0</v>
      </c>
      <c r="AB1346" s="55">
        <f t="shared" si="289"/>
        <v>1646.3029677905834</v>
      </c>
      <c r="AC1346" s="54">
        <f t="shared" si="290"/>
        <v>0.15299995945398015</v>
      </c>
      <c r="AD1346" s="56">
        <f>INDEX(Assumptions!$B$14:$B$16,MATCH($R1346,Assumptions!$A$14:$A$16,0))</f>
        <v>0.12</v>
      </c>
      <c r="AE1346" s="56">
        <f>INDEX(Assumptions!$C$14:$C$16,MATCH($R1346,Assumptions!$A$14:$A$16,0))</f>
        <v>0.08</v>
      </c>
      <c r="AF1346" s="49">
        <f t="shared" si="291"/>
        <v>0</v>
      </c>
      <c r="AG1346" s="49">
        <f t="shared" si="292"/>
        <v>0</v>
      </c>
      <c r="AH1346" s="55">
        <f t="shared" si="293"/>
        <v>0</v>
      </c>
    </row>
    <row r="1347" spans="1:34" x14ac:dyDescent="0.2">
      <c r="A1347" s="48" t="s">
        <v>1155</v>
      </c>
      <c r="B1347" s="48">
        <v>2</v>
      </c>
      <c r="C1347" s="48" t="s">
        <v>1156</v>
      </c>
      <c r="D1347" s="48" t="s">
        <v>1154</v>
      </c>
      <c r="E1347" s="48" t="s">
        <v>349</v>
      </c>
      <c r="F1347" s="48" t="s">
        <v>274</v>
      </c>
      <c r="G1347" s="48" t="s">
        <v>275</v>
      </c>
      <c r="H1347" s="48" t="s">
        <v>66</v>
      </c>
      <c r="I1347" s="48" t="s">
        <v>138</v>
      </c>
      <c r="J1347" s="49">
        <v>9</v>
      </c>
      <c r="K1347" s="50">
        <v>460</v>
      </c>
      <c r="L1347" s="50">
        <v>458.99</v>
      </c>
      <c r="M1347" s="48" t="s">
        <v>276</v>
      </c>
      <c r="N1347" s="51">
        <v>0.92</v>
      </c>
      <c r="O1347" s="51">
        <v>0.92830000000000001</v>
      </c>
      <c r="P1347" s="52">
        <v>383.2</v>
      </c>
      <c r="Q1347" s="52">
        <v>383.2</v>
      </c>
      <c r="R1347" s="53" t="str">
        <f>INDEX(SKU_Master!$D$5:$D$34,MATCH($I1347,SKU_Master!$A$5:$A$34,0))</f>
        <v>Monitor</v>
      </c>
      <c r="S1347" s="54">
        <f t="shared" si="280"/>
        <v>2.195652173913043E-3</v>
      </c>
      <c r="T1347" s="55">
        <f t="shared" si="281"/>
        <v>4500</v>
      </c>
      <c r="U1347" s="55">
        <f t="shared" si="282"/>
        <v>4490.119565217391</v>
      </c>
      <c r="V1347" s="55">
        <f t="shared" si="283"/>
        <v>-9.8804347826089725</v>
      </c>
      <c r="W1347" s="55">
        <f t="shared" si="284"/>
        <v>4449.9730690509532</v>
      </c>
      <c r="X1347" s="55">
        <f t="shared" si="285"/>
        <v>-40.146496166437828</v>
      </c>
      <c r="Y1347" s="55">
        <f t="shared" si="286"/>
        <v>3448.7999999999997</v>
      </c>
      <c r="Z1347" s="55">
        <f t="shared" si="287"/>
        <v>3448.7999999999997</v>
      </c>
      <c r="AA1347" s="55">
        <f t="shared" si="288"/>
        <v>0</v>
      </c>
      <c r="AB1347" s="55">
        <f t="shared" si="289"/>
        <v>1001.1730690509535</v>
      </c>
      <c r="AC1347" s="54">
        <f t="shared" si="290"/>
        <v>0.22498407372709647</v>
      </c>
      <c r="AD1347" s="56">
        <f>INDEX(Assumptions!$B$14:$B$16,MATCH($R1347,Assumptions!$A$14:$A$16,0))</f>
        <v>0.18</v>
      </c>
      <c r="AE1347" s="56">
        <f>INDEX(Assumptions!$C$14:$C$16,MATCH($R1347,Assumptions!$A$14:$A$16,0))</f>
        <v>0.12</v>
      </c>
      <c r="AF1347" s="49">
        <f t="shared" si="291"/>
        <v>0</v>
      </c>
      <c r="AG1347" s="49">
        <f t="shared" si="292"/>
        <v>0</v>
      </c>
      <c r="AH1347" s="55">
        <f t="shared" si="293"/>
        <v>0</v>
      </c>
    </row>
    <row r="1348" spans="1:34" x14ac:dyDescent="0.2">
      <c r="A1348" s="48" t="s">
        <v>1157</v>
      </c>
      <c r="B1348" s="48">
        <v>1</v>
      </c>
      <c r="C1348" s="48" t="s">
        <v>1158</v>
      </c>
      <c r="D1348" s="48" t="s">
        <v>1154</v>
      </c>
      <c r="E1348" s="48" t="s">
        <v>279</v>
      </c>
      <c r="F1348" s="48" t="s">
        <v>280</v>
      </c>
      <c r="G1348" s="48" t="s">
        <v>281</v>
      </c>
      <c r="H1348" s="48" t="s">
        <v>64</v>
      </c>
      <c r="I1348" s="48" t="s">
        <v>108</v>
      </c>
      <c r="J1348" s="49">
        <v>19</v>
      </c>
      <c r="K1348" s="50">
        <v>1105</v>
      </c>
      <c r="L1348" s="50">
        <v>1078.3599999999999</v>
      </c>
      <c r="M1348" s="48" t="s">
        <v>276</v>
      </c>
      <c r="N1348" s="51">
        <v>0.79</v>
      </c>
      <c r="O1348" s="51">
        <v>0.81530000000000002</v>
      </c>
      <c r="P1348" s="52">
        <v>1169</v>
      </c>
      <c r="Q1348" s="52">
        <v>1236.6199999999999</v>
      </c>
      <c r="R1348" s="53" t="str">
        <f>INDEX(SKU_Master!$D$5:$D$34,MATCH($I1348,SKU_Master!$A$5:$A$34,0))</f>
        <v>Laptop</v>
      </c>
      <c r="S1348" s="54">
        <f t="shared" si="280"/>
        <v>2.4108597285067979E-2</v>
      </c>
      <c r="T1348" s="55">
        <f t="shared" si="281"/>
        <v>26575.949367088608</v>
      </c>
      <c r="U1348" s="55">
        <f t="shared" si="282"/>
        <v>25935.240506329108</v>
      </c>
      <c r="V1348" s="55">
        <f t="shared" si="283"/>
        <v>-640.70886075949966</v>
      </c>
      <c r="W1348" s="55">
        <f t="shared" si="284"/>
        <v>25130.430516374337</v>
      </c>
      <c r="X1348" s="55">
        <f t="shared" si="285"/>
        <v>-804.80998995477057</v>
      </c>
      <c r="Y1348" s="55">
        <f t="shared" si="286"/>
        <v>22211</v>
      </c>
      <c r="Z1348" s="55">
        <f t="shared" si="287"/>
        <v>23495.78</v>
      </c>
      <c r="AA1348" s="55">
        <f t="shared" si="288"/>
        <v>-1284.7799999999988</v>
      </c>
      <c r="AB1348" s="55">
        <f t="shared" si="289"/>
        <v>1634.6505163743386</v>
      </c>
      <c r="AC1348" s="54">
        <f t="shared" si="290"/>
        <v>6.5046657887903772E-2</v>
      </c>
      <c r="AD1348" s="56">
        <f>INDEX(Assumptions!$B$14:$B$16,MATCH($R1348,Assumptions!$A$14:$A$16,0))</f>
        <v>0.12</v>
      </c>
      <c r="AE1348" s="56">
        <f>INDEX(Assumptions!$C$14:$C$16,MATCH($R1348,Assumptions!$A$14:$A$16,0))</f>
        <v>0.08</v>
      </c>
      <c r="AF1348" s="49">
        <f t="shared" si="291"/>
        <v>1</v>
      </c>
      <c r="AG1348" s="49">
        <f t="shared" si="292"/>
        <v>1</v>
      </c>
      <c r="AH1348" s="55">
        <f t="shared" si="293"/>
        <v>1381.0011455905819</v>
      </c>
    </row>
    <row r="1349" spans="1:34" x14ac:dyDescent="0.2">
      <c r="A1349" s="48" t="s">
        <v>1157</v>
      </c>
      <c r="B1349" s="48">
        <v>2</v>
      </c>
      <c r="C1349" s="48" t="s">
        <v>1158</v>
      </c>
      <c r="D1349" s="48" t="s">
        <v>1154</v>
      </c>
      <c r="E1349" s="48" t="s">
        <v>279</v>
      </c>
      <c r="F1349" s="48" t="s">
        <v>280</v>
      </c>
      <c r="G1349" s="48" t="s">
        <v>281</v>
      </c>
      <c r="H1349" s="48" t="s">
        <v>64</v>
      </c>
      <c r="I1349" s="48" t="s">
        <v>135</v>
      </c>
      <c r="J1349" s="49">
        <v>14</v>
      </c>
      <c r="K1349" s="50">
        <v>225</v>
      </c>
      <c r="L1349" s="50">
        <v>215.21</v>
      </c>
      <c r="M1349" s="48" t="s">
        <v>276</v>
      </c>
      <c r="N1349" s="51">
        <v>0.79</v>
      </c>
      <c r="O1349" s="51">
        <v>0.81530000000000002</v>
      </c>
      <c r="P1349" s="52">
        <v>216.7</v>
      </c>
      <c r="Q1349" s="52">
        <v>216.7</v>
      </c>
      <c r="R1349" s="53" t="str">
        <f>INDEX(SKU_Master!$D$5:$D$34,MATCH($I1349,SKU_Master!$A$5:$A$34,0))</f>
        <v>Monitor</v>
      </c>
      <c r="S1349" s="54">
        <f t="shared" ref="S1349:S1412" si="294">IF(K1349=0,0,1-L1349/K1349)</f>
        <v>4.3511111111111056E-2</v>
      </c>
      <c r="T1349" s="55">
        <f t="shared" ref="T1349:T1412" si="295">J1349*K1349/N1349</f>
        <v>3987.3417721518986</v>
      </c>
      <c r="U1349" s="55">
        <f t="shared" ref="U1349:U1412" si="296">J1349*L1349/N1349</f>
        <v>3813.8481012658226</v>
      </c>
      <c r="V1349" s="55">
        <f t="shared" ref="V1349:V1412" si="297">U1349-T1349</f>
        <v>-173.49367088607596</v>
      </c>
      <c r="W1349" s="55">
        <f t="shared" ref="W1349:W1412" si="298">J1349*L1349/O1349</f>
        <v>3695.4985894762663</v>
      </c>
      <c r="X1349" s="55">
        <f t="shared" ref="X1349:X1412" si="299">W1349-U1349</f>
        <v>-118.34951178955635</v>
      </c>
      <c r="Y1349" s="55">
        <f t="shared" ref="Y1349:Y1412" si="300">J1349*P1349</f>
        <v>3033.7999999999997</v>
      </c>
      <c r="Z1349" s="55">
        <f t="shared" ref="Z1349:Z1412" si="301">J1349*Q1349</f>
        <v>3033.7999999999997</v>
      </c>
      <c r="AA1349" s="55">
        <f t="shared" ref="AA1349:AA1412" si="302">Y1349-Z1349</f>
        <v>0</v>
      </c>
      <c r="AB1349" s="55">
        <f t="shared" ref="AB1349:AB1412" si="303">W1349-Z1349</f>
        <v>661.69858947626653</v>
      </c>
      <c r="AC1349" s="54">
        <f t="shared" ref="AC1349:AC1412" si="304">IF(W1349=0,0,AB1349/W1349)</f>
        <v>0.17905529482830729</v>
      </c>
      <c r="AD1349" s="56">
        <f>INDEX(Assumptions!$B$14:$B$16,MATCH($R1349,Assumptions!$A$14:$A$16,0))</f>
        <v>0.18</v>
      </c>
      <c r="AE1349" s="56">
        <f>INDEX(Assumptions!$C$14:$C$16,MATCH($R1349,Assumptions!$A$14:$A$16,0))</f>
        <v>0.12</v>
      </c>
      <c r="AF1349" s="49">
        <f t="shared" ref="AF1349:AF1412" si="305">IF(AC1349&lt;AE1349,1,0)</f>
        <v>0</v>
      </c>
      <c r="AG1349" s="49">
        <f t="shared" ref="AG1349:AG1412" si="306">IF(AND(AF1349=1,M1349="N"),1,0)</f>
        <v>0</v>
      </c>
      <c r="AH1349" s="55">
        <f t="shared" ref="AH1349:AH1412" si="307">MAX(0,W1349*AD1349-AB1349)</f>
        <v>3.4911566294613294</v>
      </c>
    </row>
    <row r="1350" spans="1:34" x14ac:dyDescent="0.2">
      <c r="A1350" s="48" t="s">
        <v>1159</v>
      </c>
      <c r="B1350" s="48">
        <v>1</v>
      </c>
      <c r="C1350" s="48" t="s">
        <v>1156</v>
      </c>
      <c r="D1350" s="48" t="s">
        <v>1154</v>
      </c>
      <c r="E1350" s="48" t="s">
        <v>317</v>
      </c>
      <c r="F1350" s="48" t="s">
        <v>280</v>
      </c>
      <c r="G1350" s="48" t="s">
        <v>306</v>
      </c>
      <c r="H1350" s="48" t="s">
        <v>62</v>
      </c>
      <c r="I1350" s="48" t="s">
        <v>103</v>
      </c>
      <c r="J1350" s="49">
        <v>26</v>
      </c>
      <c r="K1350" s="50">
        <v>1135</v>
      </c>
      <c r="L1350" s="50">
        <v>1110.26</v>
      </c>
      <c r="M1350" s="48" t="s">
        <v>276</v>
      </c>
      <c r="N1350" s="51">
        <v>1</v>
      </c>
      <c r="O1350" s="51">
        <v>1</v>
      </c>
      <c r="P1350" s="52">
        <v>968.6</v>
      </c>
      <c r="Q1350" s="52">
        <v>968.6</v>
      </c>
      <c r="R1350" s="53" t="str">
        <f>INDEX(SKU_Master!$D$5:$D$34,MATCH($I1350,SKU_Master!$A$5:$A$34,0))</f>
        <v>Laptop</v>
      </c>
      <c r="S1350" s="54">
        <f t="shared" si="294"/>
        <v>2.1797356828193837E-2</v>
      </c>
      <c r="T1350" s="55">
        <f t="shared" si="295"/>
        <v>29510</v>
      </c>
      <c r="U1350" s="55">
        <f t="shared" si="296"/>
        <v>28866.76</v>
      </c>
      <c r="V1350" s="55">
        <f t="shared" si="297"/>
        <v>-643.2400000000016</v>
      </c>
      <c r="W1350" s="55">
        <f t="shared" si="298"/>
        <v>28866.76</v>
      </c>
      <c r="X1350" s="55">
        <f t="shared" si="299"/>
        <v>0</v>
      </c>
      <c r="Y1350" s="55">
        <f t="shared" si="300"/>
        <v>25183.600000000002</v>
      </c>
      <c r="Z1350" s="55">
        <f t="shared" si="301"/>
        <v>25183.600000000002</v>
      </c>
      <c r="AA1350" s="55">
        <f t="shared" si="302"/>
        <v>0</v>
      </c>
      <c r="AB1350" s="55">
        <f t="shared" si="303"/>
        <v>3683.1599999999962</v>
      </c>
      <c r="AC1350" s="54">
        <f t="shared" si="304"/>
        <v>0.12759173526921611</v>
      </c>
      <c r="AD1350" s="56">
        <f>INDEX(Assumptions!$B$14:$B$16,MATCH($R1350,Assumptions!$A$14:$A$16,0))</f>
        <v>0.12</v>
      </c>
      <c r="AE1350" s="56">
        <f>INDEX(Assumptions!$C$14:$C$16,MATCH($R1350,Assumptions!$A$14:$A$16,0))</f>
        <v>0.08</v>
      </c>
      <c r="AF1350" s="49">
        <f t="shared" si="305"/>
        <v>0</v>
      </c>
      <c r="AG1350" s="49">
        <f t="shared" si="306"/>
        <v>0</v>
      </c>
      <c r="AH1350" s="55">
        <f t="shared" si="307"/>
        <v>0</v>
      </c>
    </row>
    <row r="1351" spans="1:34" x14ac:dyDescent="0.2">
      <c r="A1351" s="48" t="s">
        <v>1159</v>
      </c>
      <c r="B1351" s="48">
        <v>2</v>
      </c>
      <c r="C1351" s="48" t="s">
        <v>1156</v>
      </c>
      <c r="D1351" s="48" t="s">
        <v>1154</v>
      </c>
      <c r="E1351" s="48" t="s">
        <v>317</v>
      </c>
      <c r="F1351" s="48" t="s">
        <v>280</v>
      </c>
      <c r="G1351" s="48" t="s">
        <v>306</v>
      </c>
      <c r="H1351" s="48" t="s">
        <v>62</v>
      </c>
      <c r="I1351" s="48" t="s">
        <v>135</v>
      </c>
      <c r="J1351" s="49">
        <v>25</v>
      </c>
      <c r="K1351" s="50">
        <v>240</v>
      </c>
      <c r="L1351" s="50">
        <v>230.27</v>
      </c>
      <c r="M1351" s="48" t="s">
        <v>276</v>
      </c>
      <c r="N1351" s="51">
        <v>1</v>
      </c>
      <c r="O1351" s="51">
        <v>1</v>
      </c>
      <c r="P1351" s="52">
        <v>186.7</v>
      </c>
      <c r="Q1351" s="52">
        <v>186.7</v>
      </c>
      <c r="R1351" s="53" t="str">
        <f>INDEX(SKU_Master!$D$5:$D$34,MATCH($I1351,SKU_Master!$A$5:$A$34,0))</f>
        <v>Monitor</v>
      </c>
      <c r="S1351" s="54">
        <f t="shared" si="294"/>
        <v>4.0541666666666587E-2</v>
      </c>
      <c r="T1351" s="55">
        <f t="shared" si="295"/>
        <v>6000</v>
      </c>
      <c r="U1351" s="55">
        <f t="shared" si="296"/>
        <v>5756.75</v>
      </c>
      <c r="V1351" s="55">
        <f t="shared" si="297"/>
        <v>-243.25</v>
      </c>
      <c r="W1351" s="55">
        <f t="shared" si="298"/>
        <v>5756.75</v>
      </c>
      <c r="X1351" s="55">
        <f t="shared" si="299"/>
        <v>0</v>
      </c>
      <c r="Y1351" s="55">
        <f t="shared" si="300"/>
        <v>4667.5</v>
      </c>
      <c r="Z1351" s="55">
        <f t="shared" si="301"/>
        <v>4667.5</v>
      </c>
      <c r="AA1351" s="55">
        <f t="shared" si="302"/>
        <v>0</v>
      </c>
      <c r="AB1351" s="55">
        <f t="shared" si="303"/>
        <v>1089.25</v>
      </c>
      <c r="AC1351" s="54">
        <f t="shared" si="304"/>
        <v>0.18921266339514484</v>
      </c>
      <c r="AD1351" s="56">
        <f>INDEX(Assumptions!$B$14:$B$16,MATCH($R1351,Assumptions!$A$14:$A$16,0))</f>
        <v>0.18</v>
      </c>
      <c r="AE1351" s="56">
        <f>INDEX(Assumptions!$C$14:$C$16,MATCH($R1351,Assumptions!$A$14:$A$16,0))</f>
        <v>0.12</v>
      </c>
      <c r="AF1351" s="49">
        <f t="shared" si="305"/>
        <v>0</v>
      </c>
      <c r="AG1351" s="49">
        <f t="shared" si="306"/>
        <v>0</v>
      </c>
      <c r="AH1351" s="55">
        <f t="shared" si="307"/>
        <v>0</v>
      </c>
    </row>
    <row r="1352" spans="1:34" x14ac:dyDescent="0.2">
      <c r="A1352" s="48" t="s">
        <v>1160</v>
      </c>
      <c r="B1352" s="48">
        <v>1</v>
      </c>
      <c r="C1352" s="48" t="s">
        <v>1161</v>
      </c>
      <c r="D1352" s="48" t="s">
        <v>1154</v>
      </c>
      <c r="E1352" s="48" t="s">
        <v>407</v>
      </c>
      <c r="F1352" s="48" t="s">
        <v>274</v>
      </c>
      <c r="G1352" s="48" t="s">
        <v>302</v>
      </c>
      <c r="H1352" s="48" t="s">
        <v>62</v>
      </c>
      <c r="I1352" s="48" t="s">
        <v>98</v>
      </c>
      <c r="J1352" s="49">
        <v>9</v>
      </c>
      <c r="K1352" s="50">
        <v>2085</v>
      </c>
      <c r="L1352" s="50">
        <v>2058.4</v>
      </c>
      <c r="M1352" s="48" t="s">
        <v>276</v>
      </c>
      <c r="N1352" s="51">
        <v>1</v>
      </c>
      <c r="O1352" s="51">
        <v>1</v>
      </c>
      <c r="P1352" s="52">
        <v>1780.2</v>
      </c>
      <c r="Q1352" s="52">
        <v>1780.2</v>
      </c>
      <c r="R1352" s="53" t="str">
        <f>INDEX(SKU_Master!$D$5:$D$34,MATCH($I1352,SKU_Master!$A$5:$A$34,0))</f>
        <v>Laptop</v>
      </c>
      <c r="S1352" s="54">
        <f t="shared" si="294"/>
        <v>1.2757793764987979E-2</v>
      </c>
      <c r="T1352" s="55">
        <f t="shared" si="295"/>
        <v>18765</v>
      </c>
      <c r="U1352" s="55">
        <f t="shared" si="296"/>
        <v>18525.600000000002</v>
      </c>
      <c r="V1352" s="55">
        <f t="shared" si="297"/>
        <v>-239.39999999999782</v>
      </c>
      <c r="W1352" s="55">
        <f t="shared" si="298"/>
        <v>18525.600000000002</v>
      </c>
      <c r="X1352" s="55">
        <f t="shared" si="299"/>
        <v>0</v>
      </c>
      <c r="Y1352" s="55">
        <f t="shared" si="300"/>
        <v>16021.800000000001</v>
      </c>
      <c r="Z1352" s="55">
        <f t="shared" si="301"/>
        <v>16021.800000000001</v>
      </c>
      <c r="AA1352" s="55">
        <f t="shared" si="302"/>
        <v>0</v>
      </c>
      <c r="AB1352" s="55">
        <f t="shared" si="303"/>
        <v>2503.8000000000011</v>
      </c>
      <c r="AC1352" s="54">
        <f t="shared" si="304"/>
        <v>0.13515351729498645</v>
      </c>
      <c r="AD1352" s="56">
        <f>INDEX(Assumptions!$B$14:$B$16,MATCH($R1352,Assumptions!$A$14:$A$16,0))</f>
        <v>0.12</v>
      </c>
      <c r="AE1352" s="56">
        <f>INDEX(Assumptions!$C$14:$C$16,MATCH($R1352,Assumptions!$A$14:$A$16,0))</f>
        <v>0.08</v>
      </c>
      <c r="AF1352" s="49">
        <f t="shared" si="305"/>
        <v>0</v>
      </c>
      <c r="AG1352" s="49">
        <f t="shared" si="306"/>
        <v>0</v>
      </c>
      <c r="AH1352" s="55">
        <f t="shared" si="307"/>
        <v>0</v>
      </c>
    </row>
    <row r="1353" spans="1:34" x14ac:dyDescent="0.2">
      <c r="A1353" s="48" t="s">
        <v>1160</v>
      </c>
      <c r="B1353" s="48">
        <v>2</v>
      </c>
      <c r="C1353" s="48" t="s">
        <v>1161</v>
      </c>
      <c r="D1353" s="48" t="s">
        <v>1154</v>
      </c>
      <c r="E1353" s="48" t="s">
        <v>407</v>
      </c>
      <c r="F1353" s="48" t="s">
        <v>274</v>
      </c>
      <c r="G1353" s="48" t="s">
        <v>302</v>
      </c>
      <c r="H1353" s="48" t="s">
        <v>62</v>
      </c>
      <c r="I1353" s="48" t="s">
        <v>166</v>
      </c>
      <c r="J1353" s="49">
        <v>7</v>
      </c>
      <c r="K1353" s="50">
        <v>265</v>
      </c>
      <c r="L1353" s="50">
        <v>261.35000000000002</v>
      </c>
      <c r="M1353" s="48" t="s">
        <v>276</v>
      </c>
      <c r="N1353" s="51">
        <v>1</v>
      </c>
      <c r="O1353" s="51">
        <v>1</v>
      </c>
      <c r="P1353" s="52">
        <v>169.35</v>
      </c>
      <c r="Q1353" s="52">
        <v>169.35</v>
      </c>
      <c r="R1353" s="53" t="str">
        <f>INDEX(SKU_Master!$D$5:$D$34,MATCH($I1353,SKU_Master!$A$5:$A$34,0))</f>
        <v>Accessory</v>
      </c>
      <c r="S1353" s="54">
        <f t="shared" si="294"/>
        <v>1.3773584905660274E-2</v>
      </c>
      <c r="T1353" s="55">
        <f t="shared" si="295"/>
        <v>1855</v>
      </c>
      <c r="U1353" s="55">
        <f t="shared" si="296"/>
        <v>1829.4500000000003</v>
      </c>
      <c r="V1353" s="55">
        <f t="shared" si="297"/>
        <v>-25.549999999999727</v>
      </c>
      <c r="W1353" s="55">
        <f t="shared" si="298"/>
        <v>1829.4500000000003</v>
      </c>
      <c r="X1353" s="55">
        <f t="shared" si="299"/>
        <v>0</v>
      </c>
      <c r="Y1353" s="55">
        <f t="shared" si="300"/>
        <v>1185.45</v>
      </c>
      <c r="Z1353" s="55">
        <f t="shared" si="301"/>
        <v>1185.45</v>
      </c>
      <c r="AA1353" s="55">
        <f t="shared" si="302"/>
        <v>0</v>
      </c>
      <c r="AB1353" s="55">
        <f t="shared" si="303"/>
        <v>644.00000000000023</v>
      </c>
      <c r="AC1353" s="54">
        <f t="shared" si="304"/>
        <v>0.35201836617562665</v>
      </c>
      <c r="AD1353" s="56">
        <f>INDEX(Assumptions!$B$14:$B$16,MATCH($R1353,Assumptions!$A$14:$A$16,0))</f>
        <v>0.32</v>
      </c>
      <c r="AE1353" s="56">
        <f>INDEX(Assumptions!$C$14:$C$16,MATCH($R1353,Assumptions!$A$14:$A$16,0))</f>
        <v>0.22</v>
      </c>
      <c r="AF1353" s="49">
        <f t="shared" si="305"/>
        <v>0</v>
      </c>
      <c r="AG1353" s="49">
        <f t="shared" si="306"/>
        <v>0</v>
      </c>
      <c r="AH1353" s="55">
        <f t="shared" si="307"/>
        <v>0</v>
      </c>
    </row>
    <row r="1354" spans="1:34" x14ac:dyDescent="0.2">
      <c r="A1354" s="48" t="s">
        <v>1162</v>
      </c>
      <c r="B1354" s="48">
        <v>1</v>
      </c>
      <c r="C1354" s="48" t="s">
        <v>1163</v>
      </c>
      <c r="D1354" s="48" t="s">
        <v>1154</v>
      </c>
      <c r="E1354" s="48" t="s">
        <v>273</v>
      </c>
      <c r="F1354" s="48" t="s">
        <v>274</v>
      </c>
      <c r="G1354" s="48" t="s">
        <v>275</v>
      </c>
      <c r="H1354" s="48" t="s">
        <v>66</v>
      </c>
      <c r="I1354" s="48" t="s">
        <v>106</v>
      </c>
      <c r="J1354" s="49">
        <v>8</v>
      </c>
      <c r="K1354" s="50">
        <v>1450</v>
      </c>
      <c r="L1354" s="50">
        <v>1440.48</v>
      </c>
      <c r="M1354" s="48" t="s">
        <v>276</v>
      </c>
      <c r="N1354" s="51">
        <v>0.92</v>
      </c>
      <c r="O1354" s="51">
        <v>0.92830000000000001</v>
      </c>
      <c r="P1354" s="52">
        <v>1318.4</v>
      </c>
      <c r="Q1354" s="52">
        <v>1318.4</v>
      </c>
      <c r="R1354" s="53" t="str">
        <f>INDEX(SKU_Master!$D$5:$D$34,MATCH($I1354,SKU_Master!$A$5:$A$34,0))</f>
        <v>Laptop</v>
      </c>
      <c r="S1354" s="54">
        <f t="shared" si="294"/>
        <v>6.5655172413793261E-3</v>
      </c>
      <c r="T1354" s="55">
        <f t="shared" si="295"/>
        <v>12608.695652173912</v>
      </c>
      <c r="U1354" s="55">
        <f t="shared" si="296"/>
        <v>12525.91304347826</v>
      </c>
      <c r="V1354" s="55">
        <f t="shared" si="297"/>
        <v>-82.782608695652016</v>
      </c>
      <c r="W1354" s="55">
        <f t="shared" si="298"/>
        <v>12413.917914467305</v>
      </c>
      <c r="X1354" s="55">
        <f t="shared" si="299"/>
        <v>-111.99512901095477</v>
      </c>
      <c r="Y1354" s="55">
        <f t="shared" si="300"/>
        <v>10547.2</v>
      </c>
      <c r="Z1354" s="55">
        <f t="shared" si="301"/>
        <v>10547.2</v>
      </c>
      <c r="AA1354" s="55">
        <f t="shared" si="302"/>
        <v>0</v>
      </c>
      <c r="AB1354" s="55">
        <f t="shared" si="303"/>
        <v>1866.7179144673046</v>
      </c>
      <c r="AC1354" s="54">
        <f t="shared" si="304"/>
        <v>0.15037298678218361</v>
      </c>
      <c r="AD1354" s="56">
        <f>INDEX(Assumptions!$B$14:$B$16,MATCH($R1354,Assumptions!$A$14:$A$16,0))</f>
        <v>0.12</v>
      </c>
      <c r="AE1354" s="56">
        <f>INDEX(Assumptions!$C$14:$C$16,MATCH($R1354,Assumptions!$A$14:$A$16,0))</f>
        <v>0.08</v>
      </c>
      <c r="AF1354" s="49">
        <f t="shared" si="305"/>
        <v>0</v>
      </c>
      <c r="AG1354" s="49">
        <f t="shared" si="306"/>
        <v>0</v>
      </c>
      <c r="AH1354" s="55">
        <f t="shared" si="307"/>
        <v>0</v>
      </c>
    </row>
    <row r="1355" spans="1:34" x14ac:dyDescent="0.2">
      <c r="A1355" s="48" t="s">
        <v>1162</v>
      </c>
      <c r="B1355" s="48">
        <v>2</v>
      </c>
      <c r="C1355" s="48" t="s">
        <v>1163</v>
      </c>
      <c r="D1355" s="48" t="s">
        <v>1154</v>
      </c>
      <c r="E1355" s="48" t="s">
        <v>273</v>
      </c>
      <c r="F1355" s="48" t="s">
        <v>274</v>
      </c>
      <c r="G1355" s="48" t="s">
        <v>275</v>
      </c>
      <c r="H1355" s="48" t="s">
        <v>66</v>
      </c>
      <c r="I1355" s="48" t="s">
        <v>177</v>
      </c>
      <c r="J1355" s="49">
        <v>6</v>
      </c>
      <c r="K1355" s="50">
        <v>75</v>
      </c>
      <c r="L1355" s="50">
        <v>74.290000000000006</v>
      </c>
      <c r="M1355" s="48" t="s">
        <v>276</v>
      </c>
      <c r="N1355" s="51">
        <v>0.92</v>
      </c>
      <c r="O1355" s="51">
        <v>0.92830000000000001</v>
      </c>
      <c r="P1355" s="52">
        <v>49</v>
      </c>
      <c r="Q1355" s="52">
        <v>49</v>
      </c>
      <c r="R1355" s="53" t="str">
        <f>INDEX(SKU_Master!$D$5:$D$34,MATCH($I1355,SKU_Master!$A$5:$A$34,0))</f>
        <v>Accessory</v>
      </c>
      <c r="S1355" s="54">
        <f t="shared" si="294"/>
        <v>9.4666666666666233E-3</v>
      </c>
      <c r="T1355" s="55">
        <f t="shared" si="295"/>
        <v>489.13043478260869</v>
      </c>
      <c r="U1355" s="55">
        <f t="shared" si="296"/>
        <v>484.5</v>
      </c>
      <c r="V1355" s="55">
        <f t="shared" si="297"/>
        <v>-4.6304347826086882</v>
      </c>
      <c r="W1355" s="55">
        <f t="shared" si="298"/>
        <v>480.16804912205106</v>
      </c>
      <c r="X1355" s="55">
        <f t="shared" si="299"/>
        <v>-4.3319508779489411</v>
      </c>
      <c r="Y1355" s="55">
        <f t="shared" si="300"/>
        <v>294</v>
      </c>
      <c r="Z1355" s="55">
        <f t="shared" si="301"/>
        <v>294</v>
      </c>
      <c r="AA1355" s="55">
        <f t="shared" si="302"/>
        <v>0</v>
      </c>
      <c r="AB1355" s="55">
        <f t="shared" si="303"/>
        <v>186.16804912205106</v>
      </c>
      <c r="AC1355" s="54">
        <f t="shared" si="304"/>
        <v>0.38771436263292502</v>
      </c>
      <c r="AD1355" s="56">
        <f>INDEX(Assumptions!$B$14:$B$16,MATCH($R1355,Assumptions!$A$14:$A$16,0))</f>
        <v>0.32</v>
      </c>
      <c r="AE1355" s="56">
        <f>INDEX(Assumptions!$C$14:$C$16,MATCH($R1355,Assumptions!$A$14:$A$16,0))</f>
        <v>0.22</v>
      </c>
      <c r="AF1355" s="49">
        <f t="shared" si="305"/>
        <v>0</v>
      </c>
      <c r="AG1355" s="49">
        <f t="shared" si="306"/>
        <v>0</v>
      </c>
      <c r="AH1355" s="55">
        <f t="shared" si="307"/>
        <v>0</v>
      </c>
    </row>
    <row r="1356" spans="1:34" x14ac:dyDescent="0.2">
      <c r="A1356" s="48" t="s">
        <v>1164</v>
      </c>
      <c r="B1356" s="48">
        <v>1</v>
      </c>
      <c r="C1356" s="48" t="s">
        <v>1165</v>
      </c>
      <c r="D1356" s="48" t="s">
        <v>1154</v>
      </c>
      <c r="E1356" s="48" t="s">
        <v>317</v>
      </c>
      <c r="F1356" s="48" t="s">
        <v>280</v>
      </c>
      <c r="G1356" s="48" t="s">
        <v>306</v>
      </c>
      <c r="H1356" s="48" t="s">
        <v>62</v>
      </c>
      <c r="I1356" s="48" t="s">
        <v>93</v>
      </c>
      <c r="J1356" s="49">
        <v>13</v>
      </c>
      <c r="K1356" s="50">
        <v>1390</v>
      </c>
      <c r="L1356" s="50">
        <v>1333.81</v>
      </c>
      <c r="M1356" s="48" t="s">
        <v>276</v>
      </c>
      <c r="N1356" s="51">
        <v>1</v>
      </c>
      <c r="O1356" s="51">
        <v>1</v>
      </c>
      <c r="P1356" s="52">
        <v>1186.2</v>
      </c>
      <c r="Q1356" s="52">
        <v>1186.2</v>
      </c>
      <c r="R1356" s="53" t="str">
        <f>INDEX(SKU_Master!$D$5:$D$34,MATCH($I1356,SKU_Master!$A$5:$A$34,0))</f>
        <v>Laptop</v>
      </c>
      <c r="S1356" s="54">
        <f t="shared" si="294"/>
        <v>4.0424460431654707E-2</v>
      </c>
      <c r="T1356" s="55">
        <f t="shared" si="295"/>
        <v>18070</v>
      </c>
      <c r="U1356" s="55">
        <f t="shared" si="296"/>
        <v>17339.53</v>
      </c>
      <c r="V1356" s="55">
        <f t="shared" si="297"/>
        <v>-730.47000000000116</v>
      </c>
      <c r="W1356" s="55">
        <f t="shared" si="298"/>
        <v>17339.53</v>
      </c>
      <c r="X1356" s="55">
        <f t="shared" si="299"/>
        <v>0</v>
      </c>
      <c r="Y1356" s="55">
        <f t="shared" si="300"/>
        <v>15420.6</v>
      </c>
      <c r="Z1356" s="55">
        <f t="shared" si="301"/>
        <v>15420.6</v>
      </c>
      <c r="AA1356" s="55">
        <f t="shared" si="302"/>
        <v>0</v>
      </c>
      <c r="AB1356" s="55">
        <f t="shared" si="303"/>
        <v>1918.9299999999985</v>
      </c>
      <c r="AC1356" s="54">
        <f t="shared" si="304"/>
        <v>0.11066793621280384</v>
      </c>
      <c r="AD1356" s="56">
        <f>INDEX(Assumptions!$B$14:$B$16,MATCH($R1356,Assumptions!$A$14:$A$16,0))</f>
        <v>0.12</v>
      </c>
      <c r="AE1356" s="56">
        <f>INDEX(Assumptions!$C$14:$C$16,MATCH($R1356,Assumptions!$A$14:$A$16,0))</f>
        <v>0.08</v>
      </c>
      <c r="AF1356" s="49">
        <f t="shared" si="305"/>
        <v>0</v>
      </c>
      <c r="AG1356" s="49">
        <f t="shared" si="306"/>
        <v>0</v>
      </c>
      <c r="AH1356" s="55">
        <f t="shared" si="307"/>
        <v>161.81360000000132</v>
      </c>
    </row>
    <row r="1357" spans="1:34" x14ac:dyDescent="0.2">
      <c r="A1357" s="48" t="s">
        <v>1164</v>
      </c>
      <c r="B1357" s="48">
        <v>2</v>
      </c>
      <c r="C1357" s="48" t="s">
        <v>1165</v>
      </c>
      <c r="D1357" s="48" t="s">
        <v>1154</v>
      </c>
      <c r="E1357" s="48" t="s">
        <v>317</v>
      </c>
      <c r="F1357" s="48" t="s">
        <v>280</v>
      </c>
      <c r="G1357" s="48" t="s">
        <v>306</v>
      </c>
      <c r="H1357" s="48" t="s">
        <v>62</v>
      </c>
      <c r="I1357" s="48" t="s">
        <v>157</v>
      </c>
      <c r="J1357" s="49">
        <v>9</v>
      </c>
      <c r="K1357" s="50">
        <v>135</v>
      </c>
      <c r="L1357" s="50">
        <v>132.68</v>
      </c>
      <c r="M1357" s="48" t="s">
        <v>276</v>
      </c>
      <c r="N1357" s="51">
        <v>1</v>
      </c>
      <c r="O1357" s="51">
        <v>1</v>
      </c>
      <c r="P1357" s="52">
        <v>86</v>
      </c>
      <c r="Q1357" s="52">
        <v>86</v>
      </c>
      <c r="R1357" s="53" t="str">
        <f>INDEX(SKU_Master!$D$5:$D$34,MATCH($I1357,SKU_Master!$A$5:$A$34,0))</f>
        <v>Accessory</v>
      </c>
      <c r="S1357" s="54">
        <f t="shared" si="294"/>
        <v>1.7185185185185081E-2</v>
      </c>
      <c r="T1357" s="55">
        <f t="shared" si="295"/>
        <v>1215</v>
      </c>
      <c r="U1357" s="55">
        <f t="shared" si="296"/>
        <v>1194.1200000000001</v>
      </c>
      <c r="V1357" s="55">
        <f t="shared" si="297"/>
        <v>-20.879999999999882</v>
      </c>
      <c r="W1357" s="55">
        <f t="shared" si="298"/>
        <v>1194.1200000000001</v>
      </c>
      <c r="X1357" s="55">
        <f t="shared" si="299"/>
        <v>0</v>
      </c>
      <c r="Y1357" s="55">
        <f t="shared" si="300"/>
        <v>774</v>
      </c>
      <c r="Z1357" s="55">
        <f t="shared" si="301"/>
        <v>774</v>
      </c>
      <c r="AA1357" s="55">
        <f t="shared" si="302"/>
        <v>0</v>
      </c>
      <c r="AB1357" s="55">
        <f t="shared" si="303"/>
        <v>420.12000000000012</v>
      </c>
      <c r="AC1357" s="54">
        <f t="shared" si="304"/>
        <v>0.35182393729273448</v>
      </c>
      <c r="AD1357" s="56">
        <f>INDEX(Assumptions!$B$14:$B$16,MATCH($R1357,Assumptions!$A$14:$A$16,0))</f>
        <v>0.32</v>
      </c>
      <c r="AE1357" s="56">
        <f>INDEX(Assumptions!$C$14:$C$16,MATCH($R1357,Assumptions!$A$14:$A$16,0))</f>
        <v>0.22</v>
      </c>
      <c r="AF1357" s="49">
        <f t="shared" si="305"/>
        <v>0</v>
      </c>
      <c r="AG1357" s="49">
        <f t="shared" si="306"/>
        <v>0</v>
      </c>
      <c r="AH1357" s="55">
        <f t="shared" si="307"/>
        <v>0</v>
      </c>
    </row>
    <row r="1358" spans="1:34" x14ac:dyDescent="0.2">
      <c r="A1358" s="48" t="s">
        <v>1166</v>
      </c>
      <c r="B1358" s="48">
        <v>1</v>
      </c>
      <c r="C1358" s="48" t="s">
        <v>1165</v>
      </c>
      <c r="D1358" s="48" t="s">
        <v>1154</v>
      </c>
      <c r="E1358" s="48" t="s">
        <v>407</v>
      </c>
      <c r="F1358" s="48" t="s">
        <v>274</v>
      </c>
      <c r="G1358" s="48" t="s">
        <v>302</v>
      </c>
      <c r="H1358" s="48" t="s">
        <v>62</v>
      </c>
      <c r="I1358" s="48" t="s">
        <v>123</v>
      </c>
      <c r="J1358" s="49">
        <v>4</v>
      </c>
      <c r="K1358" s="50">
        <v>1465</v>
      </c>
      <c r="L1358" s="50">
        <v>1406.09</v>
      </c>
      <c r="M1358" s="48" t="s">
        <v>276</v>
      </c>
      <c r="N1358" s="51">
        <v>1</v>
      </c>
      <c r="O1358" s="51">
        <v>1</v>
      </c>
      <c r="P1358" s="52">
        <v>1249.25</v>
      </c>
      <c r="Q1358" s="52">
        <v>1249.25</v>
      </c>
      <c r="R1358" s="53" t="str">
        <f>INDEX(SKU_Master!$D$5:$D$34,MATCH($I1358,SKU_Master!$A$5:$A$34,0))</f>
        <v>Laptop</v>
      </c>
      <c r="S1358" s="54">
        <f t="shared" si="294"/>
        <v>4.0211604095563236E-2</v>
      </c>
      <c r="T1358" s="55">
        <f t="shared" si="295"/>
        <v>5860</v>
      </c>
      <c r="U1358" s="55">
        <f t="shared" si="296"/>
        <v>5624.36</v>
      </c>
      <c r="V1358" s="55">
        <f t="shared" si="297"/>
        <v>-235.64000000000033</v>
      </c>
      <c r="W1358" s="55">
        <f t="shared" si="298"/>
        <v>5624.36</v>
      </c>
      <c r="X1358" s="55">
        <f t="shared" si="299"/>
        <v>0</v>
      </c>
      <c r="Y1358" s="55">
        <f t="shared" si="300"/>
        <v>4997</v>
      </c>
      <c r="Z1358" s="55">
        <f t="shared" si="301"/>
        <v>4997</v>
      </c>
      <c r="AA1358" s="55">
        <f t="shared" si="302"/>
        <v>0</v>
      </c>
      <c r="AB1358" s="55">
        <f t="shared" si="303"/>
        <v>627.35999999999967</v>
      </c>
      <c r="AC1358" s="54">
        <f t="shared" si="304"/>
        <v>0.11154335782204548</v>
      </c>
      <c r="AD1358" s="56">
        <f>INDEX(Assumptions!$B$14:$B$16,MATCH($R1358,Assumptions!$A$14:$A$16,0))</f>
        <v>0.12</v>
      </c>
      <c r="AE1358" s="56">
        <f>INDEX(Assumptions!$C$14:$C$16,MATCH($R1358,Assumptions!$A$14:$A$16,0))</f>
        <v>0.08</v>
      </c>
      <c r="AF1358" s="49">
        <f t="shared" si="305"/>
        <v>0</v>
      </c>
      <c r="AG1358" s="49">
        <f t="shared" si="306"/>
        <v>0</v>
      </c>
      <c r="AH1358" s="55">
        <f t="shared" si="307"/>
        <v>47.563200000000279</v>
      </c>
    </row>
    <row r="1359" spans="1:34" x14ac:dyDescent="0.2">
      <c r="A1359" s="48" t="s">
        <v>1167</v>
      </c>
      <c r="B1359" s="48">
        <v>1</v>
      </c>
      <c r="C1359" s="48" t="s">
        <v>1168</v>
      </c>
      <c r="D1359" s="48" t="s">
        <v>1154</v>
      </c>
      <c r="E1359" s="48" t="s">
        <v>368</v>
      </c>
      <c r="F1359" s="48" t="s">
        <v>274</v>
      </c>
      <c r="G1359" s="48" t="s">
        <v>288</v>
      </c>
      <c r="H1359" s="48" t="s">
        <v>68</v>
      </c>
      <c r="I1359" s="48" t="s">
        <v>106</v>
      </c>
      <c r="J1359" s="49">
        <v>4</v>
      </c>
      <c r="K1359" s="50">
        <v>2145</v>
      </c>
      <c r="L1359" s="50">
        <v>2114.7199999999998</v>
      </c>
      <c r="M1359" s="48" t="s">
        <v>276</v>
      </c>
      <c r="N1359" s="51">
        <v>1.37</v>
      </c>
      <c r="O1359" s="51">
        <v>1.3706</v>
      </c>
      <c r="P1359" s="52">
        <v>1310.4000000000001</v>
      </c>
      <c r="Q1359" s="52">
        <v>1310.4000000000001</v>
      </c>
      <c r="R1359" s="53" t="str">
        <f>INDEX(SKU_Master!$D$5:$D$34,MATCH($I1359,SKU_Master!$A$5:$A$34,0))</f>
        <v>Laptop</v>
      </c>
      <c r="S1359" s="54">
        <f t="shared" si="294"/>
        <v>1.4116550116550219E-2</v>
      </c>
      <c r="T1359" s="55">
        <f t="shared" si="295"/>
        <v>6262.7737226277368</v>
      </c>
      <c r="U1359" s="55">
        <f t="shared" si="296"/>
        <v>6174.3649635036481</v>
      </c>
      <c r="V1359" s="55">
        <f t="shared" si="297"/>
        <v>-88.408759124088647</v>
      </c>
      <c r="W1359" s="55">
        <f t="shared" si="298"/>
        <v>6171.6620458193484</v>
      </c>
      <c r="X1359" s="55">
        <f t="shared" si="299"/>
        <v>-2.7029176842997913</v>
      </c>
      <c r="Y1359" s="55">
        <f t="shared" si="300"/>
        <v>5241.6000000000004</v>
      </c>
      <c r="Z1359" s="55">
        <f t="shared" si="301"/>
        <v>5241.6000000000004</v>
      </c>
      <c r="AA1359" s="55">
        <f t="shared" si="302"/>
        <v>0</v>
      </c>
      <c r="AB1359" s="55">
        <f t="shared" si="303"/>
        <v>930.06204581934799</v>
      </c>
      <c r="AC1359" s="54">
        <f t="shared" si="304"/>
        <v>0.15069879700385849</v>
      </c>
      <c r="AD1359" s="56">
        <f>INDEX(Assumptions!$B$14:$B$16,MATCH($R1359,Assumptions!$A$14:$A$16,0))</f>
        <v>0.12</v>
      </c>
      <c r="AE1359" s="56">
        <f>INDEX(Assumptions!$C$14:$C$16,MATCH($R1359,Assumptions!$A$14:$A$16,0))</f>
        <v>0.08</v>
      </c>
      <c r="AF1359" s="49">
        <f t="shared" si="305"/>
        <v>0</v>
      </c>
      <c r="AG1359" s="49">
        <f t="shared" si="306"/>
        <v>0</v>
      </c>
      <c r="AH1359" s="55">
        <f t="shared" si="307"/>
        <v>0</v>
      </c>
    </row>
    <row r="1360" spans="1:34" x14ac:dyDescent="0.2">
      <c r="A1360" s="48" t="s">
        <v>1167</v>
      </c>
      <c r="B1360" s="48">
        <v>2</v>
      </c>
      <c r="C1360" s="48" t="s">
        <v>1168</v>
      </c>
      <c r="D1360" s="48" t="s">
        <v>1154</v>
      </c>
      <c r="E1360" s="48" t="s">
        <v>368</v>
      </c>
      <c r="F1360" s="48" t="s">
        <v>274</v>
      </c>
      <c r="G1360" s="48" t="s">
        <v>288</v>
      </c>
      <c r="H1360" s="48" t="s">
        <v>68</v>
      </c>
      <c r="I1360" s="48" t="s">
        <v>173</v>
      </c>
      <c r="J1360" s="49">
        <v>3</v>
      </c>
      <c r="K1360" s="50">
        <v>80</v>
      </c>
      <c r="L1360" s="50">
        <v>78.8</v>
      </c>
      <c r="M1360" s="48" t="s">
        <v>276</v>
      </c>
      <c r="N1360" s="51">
        <v>1.37</v>
      </c>
      <c r="O1360" s="51">
        <v>1.3706</v>
      </c>
      <c r="P1360" s="52">
        <v>37</v>
      </c>
      <c r="Q1360" s="52">
        <v>37</v>
      </c>
      <c r="R1360" s="53" t="str">
        <f>INDEX(SKU_Master!$D$5:$D$34,MATCH($I1360,SKU_Master!$A$5:$A$34,0))</f>
        <v>Accessory</v>
      </c>
      <c r="S1360" s="54">
        <f t="shared" si="294"/>
        <v>1.5000000000000013E-2</v>
      </c>
      <c r="T1360" s="55">
        <f t="shared" si="295"/>
        <v>175.18248175182481</v>
      </c>
      <c r="U1360" s="55">
        <f t="shared" si="296"/>
        <v>172.55474452554742</v>
      </c>
      <c r="V1360" s="55">
        <f t="shared" si="297"/>
        <v>-2.6277372262773895</v>
      </c>
      <c r="W1360" s="55">
        <f t="shared" si="298"/>
        <v>172.47920618707133</v>
      </c>
      <c r="X1360" s="55">
        <f t="shared" si="299"/>
        <v>-7.5538338476093259E-2</v>
      </c>
      <c r="Y1360" s="55">
        <f t="shared" si="300"/>
        <v>111</v>
      </c>
      <c r="Z1360" s="55">
        <f t="shared" si="301"/>
        <v>111</v>
      </c>
      <c r="AA1360" s="55">
        <f t="shared" si="302"/>
        <v>0</v>
      </c>
      <c r="AB1360" s="55">
        <f t="shared" si="303"/>
        <v>61.479206187071327</v>
      </c>
      <c r="AC1360" s="54">
        <f t="shared" si="304"/>
        <v>0.35644416243654814</v>
      </c>
      <c r="AD1360" s="56">
        <f>INDEX(Assumptions!$B$14:$B$16,MATCH($R1360,Assumptions!$A$14:$A$16,0))</f>
        <v>0.32</v>
      </c>
      <c r="AE1360" s="56">
        <f>INDEX(Assumptions!$C$14:$C$16,MATCH($R1360,Assumptions!$A$14:$A$16,0))</f>
        <v>0.22</v>
      </c>
      <c r="AF1360" s="49">
        <f t="shared" si="305"/>
        <v>0</v>
      </c>
      <c r="AG1360" s="49">
        <f t="shared" si="306"/>
        <v>0</v>
      </c>
      <c r="AH1360" s="55">
        <f t="shared" si="307"/>
        <v>0</v>
      </c>
    </row>
    <row r="1361" spans="1:34" x14ac:dyDescent="0.2">
      <c r="A1361" s="48" t="s">
        <v>1169</v>
      </c>
      <c r="B1361" s="48">
        <v>1</v>
      </c>
      <c r="C1361" s="48" t="s">
        <v>1170</v>
      </c>
      <c r="D1361" s="48" t="s">
        <v>1154</v>
      </c>
      <c r="E1361" s="48" t="s">
        <v>273</v>
      </c>
      <c r="F1361" s="48" t="s">
        <v>274</v>
      </c>
      <c r="G1361" s="48" t="s">
        <v>275</v>
      </c>
      <c r="H1361" s="48" t="s">
        <v>66</v>
      </c>
      <c r="I1361" s="48" t="s">
        <v>123</v>
      </c>
      <c r="J1361" s="49">
        <v>3</v>
      </c>
      <c r="K1361" s="50">
        <v>1395</v>
      </c>
      <c r="L1361" s="50">
        <v>1389.37</v>
      </c>
      <c r="M1361" s="48" t="s">
        <v>276</v>
      </c>
      <c r="N1361" s="51">
        <v>0.92</v>
      </c>
      <c r="O1361" s="51">
        <v>0.92830000000000001</v>
      </c>
      <c r="P1361" s="52">
        <v>1269.25</v>
      </c>
      <c r="Q1361" s="52">
        <v>1269.25</v>
      </c>
      <c r="R1361" s="53" t="str">
        <f>INDEX(SKU_Master!$D$5:$D$34,MATCH($I1361,SKU_Master!$A$5:$A$34,0))</f>
        <v>Laptop</v>
      </c>
      <c r="S1361" s="54">
        <f t="shared" si="294"/>
        <v>4.035842293906855E-3</v>
      </c>
      <c r="T1361" s="55">
        <f t="shared" si="295"/>
        <v>4548.913043478261</v>
      </c>
      <c r="U1361" s="55">
        <f t="shared" si="296"/>
        <v>4530.5543478260861</v>
      </c>
      <c r="V1361" s="55">
        <f t="shared" si="297"/>
        <v>-18.358695652174902</v>
      </c>
      <c r="W1361" s="55">
        <f t="shared" si="298"/>
        <v>4490.0463212323602</v>
      </c>
      <c r="X1361" s="55">
        <f t="shared" si="299"/>
        <v>-40.508026593725845</v>
      </c>
      <c r="Y1361" s="55">
        <f t="shared" si="300"/>
        <v>3807.75</v>
      </c>
      <c r="Z1361" s="55">
        <f t="shared" si="301"/>
        <v>3807.75</v>
      </c>
      <c r="AA1361" s="55">
        <f t="shared" si="302"/>
        <v>0</v>
      </c>
      <c r="AB1361" s="55">
        <f t="shared" si="303"/>
        <v>682.29632123236024</v>
      </c>
      <c r="AC1361" s="54">
        <f t="shared" si="304"/>
        <v>0.15195752391371628</v>
      </c>
      <c r="AD1361" s="56">
        <f>INDEX(Assumptions!$B$14:$B$16,MATCH($R1361,Assumptions!$A$14:$A$16,0))</f>
        <v>0.12</v>
      </c>
      <c r="AE1361" s="56">
        <f>INDEX(Assumptions!$C$14:$C$16,MATCH($R1361,Assumptions!$A$14:$A$16,0))</f>
        <v>0.08</v>
      </c>
      <c r="AF1361" s="49">
        <f t="shared" si="305"/>
        <v>0</v>
      </c>
      <c r="AG1361" s="49">
        <f t="shared" si="306"/>
        <v>0</v>
      </c>
      <c r="AH1361" s="55">
        <f t="shared" si="307"/>
        <v>0</v>
      </c>
    </row>
    <row r="1362" spans="1:34" x14ac:dyDescent="0.2">
      <c r="A1362" s="48" t="s">
        <v>1169</v>
      </c>
      <c r="B1362" s="48">
        <v>2</v>
      </c>
      <c r="C1362" s="48" t="s">
        <v>1170</v>
      </c>
      <c r="D1362" s="48" t="s">
        <v>1154</v>
      </c>
      <c r="E1362" s="48" t="s">
        <v>273</v>
      </c>
      <c r="F1362" s="48" t="s">
        <v>274</v>
      </c>
      <c r="G1362" s="48" t="s">
        <v>275</v>
      </c>
      <c r="H1362" s="48" t="s">
        <v>66</v>
      </c>
      <c r="I1362" s="48" t="s">
        <v>151</v>
      </c>
      <c r="J1362" s="49">
        <v>2</v>
      </c>
      <c r="K1362" s="50">
        <v>325</v>
      </c>
      <c r="L1362" s="50">
        <v>322.93</v>
      </c>
      <c r="M1362" s="48" t="s">
        <v>276</v>
      </c>
      <c r="N1362" s="51">
        <v>0.92</v>
      </c>
      <c r="O1362" s="51">
        <v>0.92830000000000001</v>
      </c>
      <c r="P1362" s="52">
        <v>221.7</v>
      </c>
      <c r="Q1362" s="52">
        <v>221.7</v>
      </c>
      <c r="R1362" s="53" t="str">
        <f>INDEX(SKU_Master!$D$5:$D$34,MATCH($I1362,SKU_Master!$A$5:$A$34,0))</f>
        <v>Accessory</v>
      </c>
      <c r="S1362" s="54">
        <f t="shared" si="294"/>
        <v>6.3692307692307937E-3</v>
      </c>
      <c r="T1362" s="55">
        <f t="shared" si="295"/>
        <v>706.52173913043475</v>
      </c>
      <c r="U1362" s="55">
        <f t="shared" si="296"/>
        <v>702.02173913043475</v>
      </c>
      <c r="V1362" s="55">
        <f t="shared" si="297"/>
        <v>-4.5</v>
      </c>
      <c r="W1362" s="55">
        <f t="shared" si="298"/>
        <v>695.74491005063021</v>
      </c>
      <c r="X1362" s="55">
        <f t="shared" si="299"/>
        <v>-6.2768290798045427</v>
      </c>
      <c r="Y1362" s="55">
        <f t="shared" si="300"/>
        <v>443.4</v>
      </c>
      <c r="Z1362" s="55">
        <f t="shared" si="301"/>
        <v>443.4</v>
      </c>
      <c r="AA1362" s="55">
        <f t="shared" si="302"/>
        <v>0</v>
      </c>
      <c r="AB1362" s="55">
        <f t="shared" si="303"/>
        <v>252.34491005063023</v>
      </c>
      <c r="AC1362" s="54">
        <f t="shared" si="304"/>
        <v>0.36269745765336148</v>
      </c>
      <c r="AD1362" s="56">
        <f>INDEX(Assumptions!$B$14:$B$16,MATCH($R1362,Assumptions!$A$14:$A$16,0))</f>
        <v>0.32</v>
      </c>
      <c r="AE1362" s="56">
        <f>INDEX(Assumptions!$C$14:$C$16,MATCH($R1362,Assumptions!$A$14:$A$16,0))</f>
        <v>0.22</v>
      </c>
      <c r="AF1362" s="49">
        <f t="shared" si="305"/>
        <v>0</v>
      </c>
      <c r="AG1362" s="49">
        <f t="shared" si="306"/>
        <v>0</v>
      </c>
      <c r="AH1362" s="55">
        <f t="shared" si="307"/>
        <v>0</v>
      </c>
    </row>
    <row r="1363" spans="1:34" x14ac:dyDescent="0.2">
      <c r="A1363" s="48" t="s">
        <v>1171</v>
      </c>
      <c r="B1363" s="48">
        <v>1</v>
      </c>
      <c r="C1363" s="48" t="s">
        <v>1170</v>
      </c>
      <c r="D1363" s="48" t="s">
        <v>1154</v>
      </c>
      <c r="E1363" s="48" t="s">
        <v>309</v>
      </c>
      <c r="F1363" s="48" t="s">
        <v>280</v>
      </c>
      <c r="G1363" s="48" t="s">
        <v>298</v>
      </c>
      <c r="H1363" s="48" t="s">
        <v>70</v>
      </c>
      <c r="I1363" s="48" t="s">
        <v>113</v>
      </c>
      <c r="J1363" s="49">
        <v>8</v>
      </c>
      <c r="K1363" s="50">
        <v>167790</v>
      </c>
      <c r="L1363" s="50">
        <v>165198.82999999999</v>
      </c>
      <c r="M1363" s="48" t="s">
        <v>276</v>
      </c>
      <c r="N1363" s="51">
        <v>83.5</v>
      </c>
      <c r="O1363" s="51">
        <v>84.992699999999999</v>
      </c>
      <c r="P1363" s="52">
        <v>1683.15</v>
      </c>
      <c r="Q1363" s="52">
        <v>1703.15</v>
      </c>
      <c r="R1363" s="53" t="str">
        <f>INDEX(SKU_Master!$D$5:$D$34,MATCH($I1363,SKU_Master!$A$5:$A$34,0))</f>
        <v>Laptop</v>
      </c>
      <c r="S1363" s="54">
        <f t="shared" si="294"/>
        <v>1.5442934620656823E-2</v>
      </c>
      <c r="T1363" s="55">
        <f t="shared" si="295"/>
        <v>16075.688622754491</v>
      </c>
      <c r="U1363" s="55">
        <f t="shared" si="296"/>
        <v>15827.432814371256</v>
      </c>
      <c r="V1363" s="55">
        <f t="shared" si="297"/>
        <v>-248.25580838323549</v>
      </c>
      <c r="W1363" s="55">
        <f t="shared" si="298"/>
        <v>15549.460600733944</v>
      </c>
      <c r="X1363" s="55">
        <f t="shared" si="299"/>
        <v>-277.97221363731114</v>
      </c>
      <c r="Y1363" s="55">
        <f t="shared" si="300"/>
        <v>13465.2</v>
      </c>
      <c r="Z1363" s="55">
        <f t="shared" si="301"/>
        <v>13625.2</v>
      </c>
      <c r="AA1363" s="55">
        <f t="shared" si="302"/>
        <v>-160</v>
      </c>
      <c r="AB1363" s="55">
        <f t="shared" si="303"/>
        <v>1924.2606007339436</v>
      </c>
      <c r="AC1363" s="54">
        <f t="shared" si="304"/>
        <v>0.1237509551066432</v>
      </c>
      <c r="AD1363" s="56">
        <f>INDEX(Assumptions!$B$14:$B$16,MATCH($R1363,Assumptions!$A$14:$A$16,0))</f>
        <v>0.12</v>
      </c>
      <c r="AE1363" s="56">
        <f>INDEX(Assumptions!$C$14:$C$16,MATCH($R1363,Assumptions!$A$14:$A$16,0))</f>
        <v>0.08</v>
      </c>
      <c r="AF1363" s="49">
        <f t="shared" si="305"/>
        <v>0</v>
      </c>
      <c r="AG1363" s="49">
        <f t="shared" si="306"/>
        <v>0</v>
      </c>
      <c r="AH1363" s="55">
        <f t="shared" si="307"/>
        <v>0</v>
      </c>
    </row>
    <row r="1364" spans="1:34" x14ac:dyDescent="0.2">
      <c r="A1364" s="48" t="s">
        <v>1172</v>
      </c>
      <c r="B1364" s="48">
        <v>1</v>
      </c>
      <c r="C1364" s="48" t="s">
        <v>1165</v>
      </c>
      <c r="D1364" s="48" t="s">
        <v>1154</v>
      </c>
      <c r="E1364" s="48" t="s">
        <v>349</v>
      </c>
      <c r="F1364" s="48" t="s">
        <v>274</v>
      </c>
      <c r="G1364" s="48" t="s">
        <v>275</v>
      </c>
      <c r="H1364" s="48" t="s">
        <v>66</v>
      </c>
      <c r="I1364" s="48" t="s">
        <v>93</v>
      </c>
      <c r="J1364" s="49">
        <v>4</v>
      </c>
      <c r="K1364" s="50">
        <v>1325</v>
      </c>
      <c r="L1364" s="50">
        <v>1311.1</v>
      </c>
      <c r="M1364" s="48" t="s">
        <v>276</v>
      </c>
      <c r="N1364" s="51">
        <v>0.92</v>
      </c>
      <c r="O1364" s="51">
        <v>0.92830000000000001</v>
      </c>
      <c r="P1364" s="52">
        <v>1206.2</v>
      </c>
      <c r="Q1364" s="52">
        <v>1206.2</v>
      </c>
      <c r="R1364" s="53" t="str">
        <f>INDEX(SKU_Master!$D$5:$D$34,MATCH($I1364,SKU_Master!$A$5:$A$34,0))</f>
        <v>Laptop</v>
      </c>
      <c r="S1364" s="54">
        <f t="shared" si="294"/>
        <v>1.0490566037735904E-2</v>
      </c>
      <c r="T1364" s="55">
        <f t="shared" si="295"/>
        <v>5760.869565217391</v>
      </c>
      <c r="U1364" s="55">
        <f t="shared" si="296"/>
        <v>5700.4347826086951</v>
      </c>
      <c r="V1364" s="55">
        <f t="shared" si="297"/>
        <v>-60.434782608695969</v>
      </c>
      <c r="W1364" s="55">
        <f t="shared" si="298"/>
        <v>5649.4667672088763</v>
      </c>
      <c r="X1364" s="55">
        <f t="shared" si="299"/>
        <v>-50.968015399818796</v>
      </c>
      <c r="Y1364" s="55">
        <f t="shared" si="300"/>
        <v>4824.8</v>
      </c>
      <c r="Z1364" s="55">
        <f t="shared" si="301"/>
        <v>4824.8</v>
      </c>
      <c r="AA1364" s="55">
        <f t="shared" si="302"/>
        <v>0</v>
      </c>
      <c r="AB1364" s="55">
        <f t="shared" si="303"/>
        <v>824.66676720887608</v>
      </c>
      <c r="AC1364" s="54">
        <f t="shared" si="304"/>
        <v>0.1459724963770879</v>
      </c>
      <c r="AD1364" s="56">
        <f>INDEX(Assumptions!$B$14:$B$16,MATCH($R1364,Assumptions!$A$14:$A$16,0))</f>
        <v>0.12</v>
      </c>
      <c r="AE1364" s="56">
        <f>INDEX(Assumptions!$C$14:$C$16,MATCH($R1364,Assumptions!$A$14:$A$16,0))</f>
        <v>0.08</v>
      </c>
      <c r="AF1364" s="49">
        <f t="shared" si="305"/>
        <v>0</v>
      </c>
      <c r="AG1364" s="49">
        <f t="shared" si="306"/>
        <v>0</v>
      </c>
      <c r="AH1364" s="55">
        <f t="shared" si="307"/>
        <v>0</v>
      </c>
    </row>
    <row r="1365" spans="1:34" x14ac:dyDescent="0.2">
      <c r="A1365" s="48" t="s">
        <v>1172</v>
      </c>
      <c r="B1365" s="48">
        <v>2</v>
      </c>
      <c r="C1365" s="48" t="s">
        <v>1165</v>
      </c>
      <c r="D1365" s="48" t="s">
        <v>1154</v>
      </c>
      <c r="E1365" s="48" t="s">
        <v>349</v>
      </c>
      <c r="F1365" s="48" t="s">
        <v>274</v>
      </c>
      <c r="G1365" s="48" t="s">
        <v>275</v>
      </c>
      <c r="H1365" s="48" t="s">
        <v>66</v>
      </c>
      <c r="I1365" s="48" t="s">
        <v>151</v>
      </c>
      <c r="J1365" s="49">
        <v>3</v>
      </c>
      <c r="K1365" s="50">
        <v>325</v>
      </c>
      <c r="L1365" s="50">
        <v>318.75</v>
      </c>
      <c r="M1365" s="48" t="s">
        <v>276</v>
      </c>
      <c r="N1365" s="51">
        <v>0.92</v>
      </c>
      <c r="O1365" s="51">
        <v>0.92830000000000001</v>
      </c>
      <c r="P1365" s="52">
        <v>221.7</v>
      </c>
      <c r="Q1365" s="52">
        <v>221.7</v>
      </c>
      <c r="R1365" s="53" t="str">
        <f>INDEX(SKU_Master!$D$5:$D$34,MATCH($I1365,SKU_Master!$A$5:$A$34,0))</f>
        <v>Accessory</v>
      </c>
      <c r="S1365" s="54">
        <f t="shared" si="294"/>
        <v>1.9230769230769273E-2</v>
      </c>
      <c r="T1365" s="55">
        <f t="shared" si="295"/>
        <v>1059.782608695652</v>
      </c>
      <c r="U1365" s="55">
        <f t="shared" si="296"/>
        <v>1039.4021739130435</v>
      </c>
      <c r="V1365" s="55">
        <f t="shared" si="297"/>
        <v>-20.380434782608518</v>
      </c>
      <c r="W1365" s="55">
        <f t="shared" si="298"/>
        <v>1030.1088010341484</v>
      </c>
      <c r="X1365" s="55">
        <f t="shared" si="299"/>
        <v>-9.2933728788950702</v>
      </c>
      <c r="Y1365" s="55">
        <f t="shared" si="300"/>
        <v>665.09999999999991</v>
      </c>
      <c r="Z1365" s="55">
        <f t="shared" si="301"/>
        <v>665.09999999999991</v>
      </c>
      <c r="AA1365" s="55">
        <f t="shared" si="302"/>
        <v>0</v>
      </c>
      <c r="AB1365" s="55">
        <f t="shared" si="303"/>
        <v>365.00880103414852</v>
      </c>
      <c r="AC1365" s="54">
        <f t="shared" si="304"/>
        <v>0.3543400470588236</v>
      </c>
      <c r="AD1365" s="56">
        <f>INDEX(Assumptions!$B$14:$B$16,MATCH($R1365,Assumptions!$A$14:$A$16,0))</f>
        <v>0.32</v>
      </c>
      <c r="AE1365" s="56">
        <f>INDEX(Assumptions!$C$14:$C$16,MATCH($R1365,Assumptions!$A$14:$A$16,0))</f>
        <v>0.22</v>
      </c>
      <c r="AF1365" s="49">
        <f t="shared" si="305"/>
        <v>0</v>
      </c>
      <c r="AG1365" s="49">
        <f t="shared" si="306"/>
        <v>0</v>
      </c>
      <c r="AH1365" s="55">
        <f t="shared" si="307"/>
        <v>0</v>
      </c>
    </row>
    <row r="1366" spans="1:34" x14ac:dyDescent="0.2">
      <c r="A1366" s="48" t="s">
        <v>1173</v>
      </c>
      <c r="B1366" s="48">
        <v>1</v>
      </c>
      <c r="C1366" s="48" t="s">
        <v>1174</v>
      </c>
      <c r="D1366" s="48" t="s">
        <v>1154</v>
      </c>
      <c r="E1366" s="48" t="s">
        <v>558</v>
      </c>
      <c r="F1366" s="48" t="s">
        <v>280</v>
      </c>
      <c r="G1366" s="48" t="s">
        <v>288</v>
      </c>
      <c r="H1366" s="48" t="s">
        <v>62</v>
      </c>
      <c r="I1366" s="48" t="s">
        <v>93</v>
      </c>
      <c r="J1366" s="49">
        <v>10</v>
      </c>
      <c r="K1366" s="50">
        <v>1390</v>
      </c>
      <c r="L1366" s="50">
        <v>1339.2</v>
      </c>
      <c r="M1366" s="48" t="s">
        <v>276</v>
      </c>
      <c r="N1366" s="51">
        <v>1</v>
      </c>
      <c r="O1366" s="51">
        <v>1</v>
      </c>
      <c r="P1366" s="52">
        <v>1186.2</v>
      </c>
      <c r="Q1366" s="52">
        <v>1186.2</v>
      </c>
      <c r="R1366" s="53" t="str">
        <f>INDEX(SKU_Master!$D$5:$D$34,MATCH($I1366,SKU_Master!$A$5:$A$34,0))</f>
        <v>Laptop</v>
      </c>
      <c r="S1366" s="54">
        <f t="shared" si="294"/>
        <v>3.6546762589928061E-2</v>
      </c>
      <c r="T1366" s="55">
        <f t="shared" si="295"/>
        <v>13900</v>
      </c>
      <c r="U1366" s="55">
        <f t="shared" si="296"/>
        <v>13392</v>
      </c>
      <c r="V1366" s="55">
        <f t="shared" si="297"/>
        <v>-508</v>
      </c>
      <c r="W1366" s="55">
        <f t="shared" si="298"/>
        <v>13392</v>
      </c>
      <c r="X1366" s="55">
        <f t="shared" si="299"/>
        <v>0</v>
      </c>
      <c r="Y1366" s="55">
        <f t="shared" si="300"/>
        <v>11862</v>
      </c>
      <c r="Z1366" s="55">
        <f t="shared" si="301"/>
        <v>11862</v>
      </c>
      <c r="AA1366" s="55">
        <f t="shared" si="302"/>
        <v>0</v>
      </c>
      <c r="AB1366" s="55">
        <f t="shared" si="303"/>
        <v>1530</v>
      </c>
      <c r="AC1366" s="54">
        <f t="shared" si="304"/>
        <v>0.11424731182795698</v>
      </c>
      <c r="AD1366" s="56">
        <f>INDEX(Assumptions!$B$14:$B$16,MATCH($R1366,Assumptions!$A$14:$A$16,0))</f>
        <v>0.12</v>
      </c>
      <c r="AE1366" s="56">
        <f>INDEX(Assumptions!$C$14:$C$16,MATCH($R1366,Assumptions!$A$14:$A$16,0))</f>
        <v>0.08</v>
      </c>
      <c r="AF1366" s="49">
        <f t="shared" si="305"/>
        <v>0</v>
      </c>
      <c r="AG1366" s="49">
        <f t="shared" si="306"/>
        <v>0</v>
      </c>
      <c r="AH1366" s="55">
        <f t="shared" si="307"/>
        <v>77.039999999999964</v>
      </c>
    </row>
    <row r="1367" spans="1:34" x14ac:dyDescent="0.2">
      <c r="A1367" s="48" t="s">
        <v>1173</v>
      </c>
      <c r="B1367" s="48">
        <v>2</v>
      </c>
      <c r="C1367" s="48" t="s">
        <v>1174</v>
      </c>
      <c r="D1367" s="48" t="s">
        <v>1154</v>
      </c>
      <c r="E1367" s="48" t="s">
        <v>558</v>
      </c>
      <c r="F1367" s="48" t="s">
        <v>280</v>
      </c>
      <c r="G1367" s="48" t="s">
        <v>288</v>
      </c>
      <c r="H1367" s="48" t="s">
        <v>62</v>
      </c>
      <c r="I1367" s="48" t="s">
        <v>161</v>
      </c>
      <c r="J1367" s="49">
        <v>11</v>
      </c>
      <c r="K1367" s="50">
        <v>120</v>
      </c>
      <c r="L1367" s="50">
        <v>116.56</v>
      </c>
      <c r="M1367" s="48" t="s">
        <v>276</v>
      </c>
      <c r="N1367" s="51">
        <v>1</v>
      </c>
      <c r="O1367" s="51">
        <v>1</v>
      </c>
      <c r="P1367" s="52">
        <v>76</v>
      </c>
      <c r="Q1367" s="52">
        <v>76</v>
      </c>
      <c r="R1367" s="53" t="str">
        <f>INDEX(SKU_Master!$D$5:$D$34,MATCH($I1367,SKU_Master!$A$5:$A$34,0))</f>
        <v>Accessory</v>
      </c>
      <c r="S1367" s="54">
        <f t="shared" si="294"/>
        <v>2.8666666666666618E-2</v>
      </c>
      <c r="T1367" s="55">
        <f t="shared" si="295"/>
        <v>1320</v>
      </c>
      <c r="U1367" s="55">
        <f t="shared" si="296"/>
        <v>1282.1600000000001</v>
      </c>
      <c r="V1367" s="55">
        <f t="shared" si="297"/>
        <v>-37.839999999999918</v>
      </c>
      <c r="W1367" s="55">
        <f t="shared" si="298"/>
        <v>1282.1600000000001</v>
      </c>
      <c r="X1367" s="55">
        <f t="shared" si="299"/>
        <v>0</v>
      </c>
      <c r="Y1367" s="55">
        <f t="shared" si="300"/>
        <v>836</v>
      </c>
      <c r="Z1367" s="55">
        <f t="shared" si="301"/>
        <v>836</v>
      </c>
      <c r="AA1367" s="55">
        <f t="shared" si="302"/>
        <v>0</v>
      </c>
      <c r="AB1367" s="55">
        <f t="shared" si="303"/>
        <v>446.16000000000008</v>
      </c>
      <c r="AC1367" s="54">
        <f t="shared" si="304"/>
        <v>0.34797529169526431</v>
      </c>
      <c r="AD1367" s="56">
        <f>INDEX(Assumptions!$B$14:$B$16,MATCH($R1367,Assumptions!$A$14:$A$16,0))</f>
        <v>0.32</v>
      </c>
      <c r="AE1367" s="56">
        <f>INDEX(Assumptions!$C$14:$C$16,MATCH($R1367,Assumptions!$A$14:$A$16,0))</f>
        <v>0.22</v>
      </c>
      <c r="AF1367" s="49">
        <f t="shared" si="305"/>
        <v>0</v>
      </c>
      <c r="AG1367" s="49">
        <f t="shared" si="306"/>
        <v>0</v>
      </c>
      <c r="AH1367" s="55">
        <f t="shared" si="307"/>
        <v>0</v>
      </c>
    </row>
    <row r="1368" spans="1:34" x14ac:dyDescent="0.2">
      <c r="A1368" s="48" t="s">
        <v>1175</v>
      </c>
      <c r="B1368" s="48">
        <v>1</v>
      </c>
      <c r="C1368" s="48" t="s">
        <v>1176</v>
      </c>
      <c r="D1368" s="48" t="s">
        <v>1154</v>
      </c>
      <c r="E1368" s="48" t="s">
        <v>374</v>
      </c>
      <c r="F1368" s="48" t="s">
        <v>274</v>
      </c>
      <c r="G1368" s="48" t="s">
        <v>281</v>
      </c>
      <c r="H1368" s="48" t="s">
        <v>62</v>
      </c>
      <c r="I1368" s="48" t="s">
        <v>110</v>
      </c>
      <c r="J1368" s="49">
        <v>2</v>
      </c>
      <c r="K1368" s="50">
        <v>1165</v>
      </c>
      <c r="L1368" s="50">
        <v>1157.05</v>
      </c>
      <c r="M1368" s="48" t="s">
        <v>276</v>
      </c>
      <c r="N1368" s="51">
        <v>1</v>
      </c>
      <c r="O1368" s="51">
        <v>1</v>
      </c>
      <c r="P1368" s="52">
        <v>992.65</v>
      </c>
      <c r="Q1368" s="52">
        <v>992.65</v>
      </c>
      <c r="R1368" s="53" t="str">
        <f>INDEX(SKU_Master!$D$5:$D$34,MATCH($I1368,SKU_Master!$A$5:$A$34,0))</f>
        <v>Laptop</v>
      </c>
      <c r="S1368" s="54">
        <f t="shared" si="294"/>
        <v>6.8240343347639731E-3</v>
      </c>
      <c r="T1368" s="55">
        <f t="shared" si="295"/>
        <v>2330</v>
      </c>
      <c r="U1368" s="55">
        <f t="shared" si="296"/>
        <v>2314.1</v>
      </c>
      <c r="V1368" s="55">
        <f t="shared" si="297"/>
        <v>-15.900000000000091</v>
      </c>
      <c r="W1368" s="55">
        <f t="shared" si="298"/>
        <v>2314.1</v>
      </c>
      <c r="X1368" s="55">
        <f t="shared" si="299"/>
        <v>0</v>
      </c>
      <c r="Y1368" s="55">
        <f t="shared" si="300"/>
        <v>1985.3</v>
      </c>
      <c r="Z1368" s="55">
        <f t="shared" si="301"/>
        <v>1985.3</v>
      </c>
      <c r="AA1368" s="55">
        <f t="shared" si="302"/>
        <v>0</v>
      </c>
      <c r="AB1368" s="55">
        <f t="shared" si="303"/>
        <v>328.79999999999995</v>
      </c>
      <c r="AC1368" s="54">
        <f t="shared" si="304"/>
        <v>0.14208547599498725</v>
      </c>
      <c r="AD1368" s="56">
        <f>INDEX(Assumptions!$B$14:$B$16,MATCH($R1368,Assumptions!$A$14:$A$16,0))</f>
        <v>0.12</v>
      </c>
      <c r="AE1368" s="56">
        <f>INDEX(Assumptions!$C$14:$C$16,MATCH($R1368,Assumptions!$A$14:$A$16,0))</f>
        <v>0.08</v>
      </c>
      <c r="AF1368" s="49">
        <f t="shared" si="305"/>
        <v>0</v>
      </c>
      <c r="AG1368" s="49">
        <f t="shared" si="306"/>
        <v>0</v>
      </c>
      <c r="AH1368" s="55">
        <f t="shared" si="307"/>
        <v>0</v>
      </c>
    </row>
    <row r="1369" spans="1:34" x14ac:dyDescent="0.2">
      <c r="A1369" s="48" t="s">
        <v>1175</v>
      </c>
      <c r="B1369" s="48">
        <v>2</v>
      </c>
      <c r="C1369" s="48" t="s">
        <v>1176</v>
      </c>
      <c r="D1369" s="48" t="s">
        <v>1154</v>
      </c>
      <c r="E1369" s="48" t="s">
        <v>374</v>
      </c>
      <c r="F1369" s="48" t="s">
        <v>274</v>
      </c>
      <c r="G1369" s="48" t="s">
        <v>281</v>
      </c>
      <c r="H1369" s="48" t="s">
        <v>62</v>
      </c>
      <c r="I1369" s="48" t="s">
        <v>138</v>
      </c>
      <c r="J1369" s="49">
        <v>1</v>
      </c>
      <c r="K1369" s="50">
        <v>455</v>
      </c>
      <c r="L1369" s="50">
        <v>447.88</v>
      </c>
      <c r="M1369" s="48" t="s">
        <v>276</v>
      </c>
      <c r="N1369" s="51">
        <v>1</v>
      </c>
      <c r="O1369" s="51">
        <v>1</v>
      </c>
      <c r="P1369" s="52">
        <v>358.2</v>
      </c>
      <c r="Q1369" s="52">
        <v>358.2</v>
      </c>
      <c r="R1369" s="53" t="str">
        <f>INDEX(SKU_Master!$D$5:$D$34,MATCH($I1369,SKU_Master!$A$5:$A$34,0))</f>
        <v>Monitor</v>
      </c>
      <c r="S1369" s="54">
        <f t="shared" si="294"/>
        <v>1.5648351648351655E-2</v>
      </c>
      <c r="T1369" s="55">
        <f t="shared" si="295"/>
        <v>455</v>
      </c>
      <c r="U1369" s="55">
        <f t="shared" si="296"/>
        <v>447.88</v>
      </c>
      <c r="V1369" s="55">
        <f t="shared" si="297"/>
        <v>-7.1200000000000045</v>
      </c>
      <c r="W1369" s="55">
        <f t="shared" si="298"/>
        <v>447.88</v>
      </c>
      <c r="X1369" s="55">
        <f t="shared" si="299"/>
        <v>0</v>
      </c>
      <c r="Y1369" s="55">
        <f t="shared" si="300"/>
        <v>358.2</v>
      </c>
      <c r="Z1369" s="55">
        <f t="shared" si="301"/>
        <v>358.2</v>
      </c>
      <c r="AA1369" s="55">
        <f t="shared" si="302"/>
        <v>0</v>
      </c>
      <c r="AB1369" s="55">
        <f t="shared" si="303"/>
        <v>89.68</v>
      </c>
      <c r="AC1369" s="54">
        <f t="shared" si="304"/>
        <v>0.20023220505492545</v>
      </c>
      <c r="AD1369" s="56">
        <f>INDEX(Assumptions!$B$14:$B$16,MATCH($R1369,Assumptions!$A$14:$A$16,0))</f>
        <v>0.18</v>
      </c>
      <c r="AE1369" s="56">
        <f>INDEX(Assumptions!$C$14:$C$16,MATCH($R1369,Assumptions!$A$14:$A$16,0))</f>
        <v>0.12</v>
      </c>
      <c r="AF1369" s="49">
        <f t="shared" si="305"/>
        <v>0</v>
      </c>
      <c r="AG1369" s="49">
        <f t="shared" si="306"/>
        <v>0</v>
      </c>
      <c r="AH1369" s="55">
        <f t="shared" si="307"/>
        <v>0</v>
      </c>
    </row>
    <row r="1370" spans="1:34" x14ac:dyDescent="0.2">
      <c r="A1370" s="48" t="s">
        <v>1175</v>
      </c>
      <c r="B1370" s="48">
        <v>3</v>
      </c>
      <c r="C1370" s="48" t="s">
        <v>1176</v>
      </c>
      <c r="D1370" s="48" t="s">
        <v>1154</v>
      </c>
      <c r="E1370" s="48" t="s">
        <v>374</v>
      </c>
      <c r="F1370" s="48" t="s">
        <v>274</v>
      </c>
      <c r="G1370" s="48" t="s">
        <v>281</v>
      </c>
      <c r="H1370" s="48" t="s">
        <v>62</v>
      </c>
      <c r="I1370" s="48" t="s">
        <v>151</v>
      </c>
      <c r="J1370" s="49">
        <v>1</v>
      </c>
      <c r="K1370" s="50">
        <v>335</v>
      </c>
      <c r="L1370" s="50">
        <v>334.23</v>
      </c>
      <c r="M1370" s="48" t="s">
        <v>276</v>
      </c>
      <c r="N1370" s="51">
        <v>1</v>
      </c>
      <c r="O1370" s="51">
        <v>1</v>
      </c>
      <c r="P1370" s="52">
        <v>216.7</v>
      </c>
      <c r="Q1370" s="52">
        <v>216.7</v>
      </c>
      <c r="R1370" s="53" t="str">
        <f>INDEX(SKU_Master!$D$5:$D$34,MATCH($I1370,SKU_Master!$A$5:$A$34,0))</f>
        <v>Accessory</v>
      </c>
      <c r="S1370" s="54">
        <f t="shared" si="294"/>
        <v>2.2985074626865609E-3</v>
      </c>
      <c r="T1370" s="55">
        <f t="shared" si="295"/>
        <v>335</v>
      </c>
      <c r="U1370" s="55">
        <f t="shared" si="296"/>
        <v>334.23</v>
      </c>
      <c r="V1370" s="55">
        <f t="shared" si="297"/>
        <v>-0.76999999999998181</v>
      </c>
      <c r="W1370" s="55">
        <f t="shared" si="298"/>
        <v>334.23</v>
      </c>
      <c r="X1370" s="55">
        <f t="shared" si="299"/>
        <v>0</v>
      </c>
      <c r="Y1370" s="55">
        <f t="shared" si="300"/>
        <v>216.7</v>
      </c>
      <c r="Z1370" s="55">
        <f t="shared" si="301"/>
        <v>216.7</v>
      </c>
      <c r="AA1370" s="55">
        <f t="shared" si="302"/>
        <v>0</v>
      </c>
      <c r="AB1370" s="55">
        <f t="shared" si="303"/>
        <v>117.53000000000003</v>
      </c>
      <c r="AC1370" s="54">
        <f t="shared" si="304"/>
        <v>0.35164407743170878</v>
      </c>
      <c r="AD1370" s="56">
        <f>INDEX(Assumptions!$B$14:$B$16,MATCH($R1370,Assumptions!$A$14:$A$16,0))</f>
        <v>0.32</v>
      </c>
      <c r="AE1370" s="56">
        <f>INDEX(Assumptions!$C$14:$C$16,MATCH($R1370,Assumptions!$A$14:$A$16,0))</f>
        <v>0.22</v>
      </c>
      <c r="AF1370" s="49">
        <f t="shared" si="305"/>
        <v>0</v>
      </c>
      <c r="AG1370" s="49">
        <f t="shared" si="306"/>
        <v>0</v>
      </c>
      <c r="AH1370" s="55">
        <f t="shared" si="307"/>
        <v>0</v>
      </c>
    </row>
    <row r="1371" spans="1:34" x14ac:dyDescent="0.2">
      <c r="A1371" s="48" t="s">
        <v>1177</v>
      </c>
      <c r="B1371" s="48">
        <v>1</v>
      </c>
      <c r="C1371" s="48" t="s">
        <v>1178</v>
      </c>
      <c r="D1371" s="48" t="s">
        <v>1154</v>
      </c>
      <c r="E1371" s="48" t="s">
        <v>325</v>
      </c>
      <c r="F1371" s="48" t="s">
        <v>274</v>
      </c>
      <c r="G1371" s="48" t="s">
        <v>298</v>
      </c>
      <c r="H1371" s="48" t="s">
        <v>62</v>
      </c>
      <c r="I1371" s="48" t="s">
        <v>103</v>
      </c>
      <c r="J1371" s="49">
        <v>5</v>
      </c>
      <c r="K1371" s="50">
        <v>1135</v>
      </c>
      <c r="L1371" s="50">
        <v>1124.98</v>
      </c>
      <c r="M1371" s="48" t="s">
        <v>276</v>
      </c>
      <c r="N1371" s="51">
        <v>1</v>
      </c>
      <c r="O1371" s="51">
        <v>1</v>
      </c>
      <c r="P1371" s="52">
        <v>968.6</v>
      </c>
      <c r="Q1371" s="52">
        <v>968.6</v>
      </c>
      <c r="R1371" s="53" t="str">
        <f>INDEX(SKU_Master!$D$5:$D$34,MATCH($I1371,SKU_Master!$A$5:$A$34,0))</f>
        <v>Laptop</v>
      </c>
      <c r="S1371" s="54">
        <f t="shared" si="294"/>
        <v>8.8281938325991405E-3</v>
      </c>
      <c r="T1371" s="55">
        <f t="shared" si="295"/>
        <v>5675</v>
      </c>
      <c r="U1371" s="55">
        <f t="shared" si="296"/>
        <v>5624.9</v>
      </c>
      <c r="V1371" s="55">
        <f t="shared" si="297"/>
        <v>-50.100000000000364</v>
      </c>
      <c r="W1371" s="55">
        <f t="shared" si="298"/>
        <v>5624.9</v>
      </c>
      <c r="X1371" s="55">
        <f t="shared" si="299"/>
        <v>0</v>
      </c>
      <c r="Y1371" s="55">
        <f t="shared" si="300"/>
        <v>4843</v>
      </c>
      <c r="Z1371" s="55">
        <f t="shared" si="301"/>
        <v>4843</v>
      </c>
      <c r="AA1371" s="55">
        <f t="shared" si="302"/>
        <v>0</v>
      </c>
      <c r="AB1371" s="55">
        <f t="shared" si="303"/>
        <v>781.89999999999964</v>
      </c>
      <c r="AC1371" s="54">
        <f t="shared" si="304"/>
        <v>0.1390069156785009</v>
      </c>
      <c r="AD1371" s="56">
        <f>INDEX(Assumptions!$B$14:$B$16,MATCH($R1371,Assumptions!$A$14:$A$16,0))</f>
        <v>0.12</v>
      </c>
      <c r="AE1371" s="56">
        <f>INDEX(Assumptions!$C$14:$C$16,MATCH($R1371,Assumptions!$A$14:$A$16,0))</f>
        <v>0.08</v>
      </c>
      <c r="AF1371" s="49">
        <f t="shared" si="305"/>
        <v>0</v>
      </c>
      <c r="AG1371" s="49">
        <f t="shared" si="306"/>
        <v>0</v>
      </c>
      <c r="AH1371" s="55">
        <f t="shared" si="307"/>
        <v>0</v>
      </c>
    </row>
    <row r="1372" spans="1:34" x14ac:dyDescent="0.2">
      <c r="A1372" s="48" t="s">
        <v>1177</v>
      </c>
      <c r="B1372" s="48">
        <v>2</v>
      </c>
      <c r="C1372" s="48" t="s">
        <v>1178</v>
      </c>
      <c r="D1372" s="48" t="s">
        <v>1154</v>
      </c>
      <c r="E1372" s="48" t="s">
        <v>325</v>
      </c>
      <c r="F1372" s="48" t="s">
        <v>274</v>
      </c>
      <c r="G1372" s="48" t="s">
        <v>298</v>
      </c>
      <c r="H1372" s="48" t="s">
        <v>62</v>
      </c>
      <c r="I1372" s="48" t="s">
        <v>135</v>
      </c>
      <c r="J1372" s="49">
        <v>5</v>
      </c>
      <c r="K1372" s="50">
        <v>240</v>
      </c>
      <c r="L1372" s="50">
        <v>237.12</v>
      </c>
      <c r="M1372" s="48" t="s">
        <v>276</v>
      </c>
      <c r="N1372" s="51">
        <v>1</v>
      </c>
      <c r="O1372" s="51">
        <v>1</v>
      </c>
      <c r="P1372" s="52">
        <v>186.7</v>
      </c>
      <c r="Q1372" s="52">
        <v>186.7</v>
      </c>
      <c r="R1372" s="53" t="str">
        <f>INDEX(SKU_Master!$D$5:$D$34,MATCH($I1372,SKU_Master!$A$5:$A$34,0))</f>
        <v>Monitor</v>
      </c>
      <c r="S1372" s="54">
        <f t="shared" si="294"/>
        <v>1.2000000000000011E-2</v>
      </c>
      <c r="T1372" s="55">
        <f t="shared" si="295"/>
        <v>1200</v>
      </c>
      <c r="U1372" s="55">
        <f t="shared" si="296"/>
        <v>1185.5999999999999</v>
      </c>
      <c r="V1372" s="55">
        <f t="shared" si="297"/>
        <v>-14.400000000000091</v>
      </c>
      <c r="W1372" s="55">
        <f t="shared" si="298"/>
        <v>1185.5999999999999</v>
      </c>
      <c r="X1372" s="55">
        <f t="shared" si="299"/>
        <v>0</v>
      </c>
      <c r="Y1372" s="55">
        <f t="shared" si="300"/>
        <v>933.5</v>
      </c>
      <c r="Z1372" s="55">
        <f t="shared" si="301"/>
        <v>933.5</v>
      </c>
      <c r="AA1372" s="55">
        <f t="shared" si="302"/>
        <v>0</v>
      </c>
      <c r="AB1372" s="55">
        <f t="shared" si="303"/>
        <v>252.09999999999991</v>
      </c>
      <c r="AC1372" s="54">
        <f t="shared" si="304"/>
        <v>0.21263495276653166</v>
      </c>
      <c r="AD1372" s="56">
        <f>INDEX(Assumptions!$B$14:$B$16,MATCH($R1372,Assumptions!$A$14:$A$16,0))</f>
        <v>0.18</v>
      </c>
      <c r="AE1372" s="56">
        <f>INDEX(Assumptions!$C$14:$C$16,MATCH($R1372,Assumptions!$A$14:$A$16,0))</f>
        <v>0.12</v>
      </c>
      <c r="AF1372" s="49">
        <f t="shared" si="305"/>
        <v>0</v>
      </c>
      <c r="AG1372" s="49">
        <f t="shared" si="306"/>
        <v>0</v>
      </c>
      <c r="AH1372" s="55">
        <f t="shared" si="307"/>
        <v>0</v>
      </c>
    </row>
    <row r="1373" spans="1:34" x14ac:dyDescent="0.2">
      <c r="A1373" s="48" t="s">
        <v>1177</v>
      </c>
      <c r="B1373" s="48">
        <v>3</v>
      </c>
      <c r="C1373" s="48" t="s">
        <v>1178</v>
      </c>
      <c r="D1373" s="48" t="s">
        <v>1154</v>
      </c>
      <c r="E1373" s="48" t="s">
        <v>325</v>
      </c>
      <c r="F1373" s="48" t="s">
        <v>274</v>
      </c>
      <c r="G1373" s="48" t="s">
        <v>298</v>
      </c>
      <c r="H1373" s="48" t="s">
        <v>62</v>
      </c>
      <c r="I1373" s="48" t="s">
        <v>161</v>
      </c>
      <c r="J1373" s="49">
        <v>4</v>
      </c>
      <c r="K1373" s="50">
        <v>120</v>
      </c>
      <c r="L1373" s="50">
        <v>119.25</v>
      </c>
      <c r="M1373" s="48" t="s">
        <v>276</v>
      </c>
      <c r="N1373" s="51">
        <v>1</v>
      </c>
      <c r="O1373" s="51">
        <v>1</v>
      </c>
      <c r="P1373" s="52">
        <v>76</v>
      </c>
      <c r="Q1373" s="52">
        <v>76</v>
      </c>
      <c r="R1373" s="53" t="str">
        <f>INDEX(SKU_Master!$D$5:$D$34,MATCH($I1373,SKU_Master!$A$5:$A$34,0))</f>
        <v>Accessory</v>
      </c>
      <c r="S1373" s="54">
        <f t="shared" si="294"/>
        <v>6.2499999999999778E-3</v>
      </c>
      <c r="T1373" s="55">
        <f t="shared" si="295"/>
        <v>480</v>
      </c>
      <c r="U1373" s="55">
        <f t="shared" si="296"/>
        <v>477</v>
      </c>
      <c r="V1373" s="55">
        <f t="shared" si="297"/>
        <v>-3</v>
      </c>
      <c r="W1373" s="55">
        <f t="shared" si="298"/>
        <v>477</v>
      </c>
      <c r="X1373" s="55">
        <f t="shared" si="299"/>
        <v>0</v>
      </c>
      <c r="Y1373" s="55">
        <f t="shared" si="300"/>
        <v>304</v>
      </c>
      <c r="Z1373" s="55">
        <f t="shared" si="301"/>
        <v>304</v>
      </c>
      <c r="AA1373" s="55">
        <f t="shared" si="302"/>
        <v>0</v>
      </c>
      <c r="AB1373" s="55">
        <f t="shared" si="303"/>
        <v>173</v>
      </c>
      <c r="AC1373" s="54">
        <f t="shared" si="304"/>
        <v>0.36268343815513626</v>
      </c>
      <c r="AD1373" s="56">
        <f>INDEX(Assumptions!$B$14:$B$16,MATCH($R1373,Assumptions!$A$14:$A$16,0))</f>
        <v>0.32</v>
      </c>
      <c r="AE1373" s="56">
        <f>INDEX(Assumptions!$C$14:$C$16,MATCH($R1373,Assumptions!$A$14:$A$16,0))</f>
        <v>0.22</v>
      </c>
      <c r="AF1373" s="49">
        <f t="shared" si="305"/>
        <v>0</v>
      </c>
      <c r="AG1373" s="49">
        <f t="shared" si="306"/>
        <v>0</v>
      </c>
      <c r="AH1373" s="55">
        <f t="shared" si="307"/>
        <v>0</v>
      </c>
    </row>
    <row r="1374" spans="1:34" x14ac:dyDescent="0.2">
      <c r="A1374" s="48" t="s">
        <v>1179</v>
      </c>
      <c r="B1374" s="48">
        <v>1</v>
      </c>
      <c r="C1374" s="48" t="s">
        <v>1180</v>
      </c>
      <c r="D1374" s="48" t="s">
        <v>1154</v>
      </c>
      <c r="E1374" s="48" t="s">
        <v>305</v>
      </c>
      <c r="F1374" s="48" t="s">
        <v>274</v>
      </c>
      <c r="G1374" s="48" t="s">
        <v>306</v>
      </c>
      <c r="H1374" s="48" t="s">
        <v>62</v>
      </c>
      <c r="I1374" s="48" t="s">
        <v>115</v>
      </c>
      <c r="J1374" s="49">
        <v>7</v>
      </c>
      <c r="K1374" s="50">
        <v>850</v>
      </c>
      <c r="L1374" s="50">
        <v>836.18</v>
      </c>
      <c r="M1374" s="48" t="s">
        <v>276</v>
      </c>
      <c r="N1374" s="51">
        <v>1</v>
      </c>
      <c r="O1374" s="51">
        <v>1</v>
      </c>
      <c r="P1374" s="52">
        <v>723.6</v>
      </c>
      <c r="Q1374" s="52">
        <v>723.6</v>
      </c>
      <c r="R1374" s="53" t="str">
        <f>INDEX(SKU_Master!$D$5:$D$34,MATCH($I1374,SKU_Master!$A$5:$A$34,0))</f>
        <v>Laptop</v>
      </c>
      <c r="S1374" s="54">
        <f t="shared" si="294"/>
        <v>1.625882352941177E-2</v>
      </c>
      <c r="T1374" s="55">
        <f t="shared" si="295"/>
        <v>5950</v>
      </c>
      <c r="U1374" s="55">
        <f t="shared" si="296"/>
        <v>5853.2599999999993</v>
      </c>
      <c r="V1374" s="55">
        <f t="shared" si="297"/>
        <v>-96.740000000000691</v>
      </c>
      <c r="W1374" s="55">
        <f t="shared" si="298"/>
        <v>5853.2599999999993</v>
      </c>
      <c r="X1374" s="55">
        <f t="shared" si="299"/>
        <v>0</v>
      </c>
      <c r="Y1374" s="55">
        <f t="shared" si="300"/>
        <v>5065.2</v>
      </c>
      <c r="Z1374" s="55">
        <f t="shared" si="301"/>
        <v>5065.2</v>
      </c>
      <c r="AA1374" s="55">
        <f t="shared" si="302"/>
        <v>0</v>
      </c>
      <c r="AB1374" s="55">
        <f t="shared" si="303"/>
        <v>788.05999999999949</v>
      </c>
      <c r="AC1374" s="54">
        <f t="shared" si="304"/>
        <v>0.1346360831399937</v>
      </c>
      <c r="AD1374" s="56">
        <f>INDEX(Assumptions!$B$14:$B$16,MATCH($R1374,Assumptions!$A$14:$A$16,0))</f>
        <v>0.12</v>
      </c>
      <c r="AE1374" s="56">
        <f>INDEX(Assumptions!$C$14:$C$16,MATCH($R1374,Assumptions!$A$14:$A$16,0))</f>
        <v>0.08</v>
      </c>
      <c r="AF1374" s="49">
        <f t="shared" si="305"/>
        <v>0</v>
      </c>
      <c r="AG1374" s="49">
        <f t="shared" si="306"/>
        <v>0</v>
      </c>
      <c r="AH1374" s="55">
        <f t="shared" si="307"/>
        <v>0</v>
      </c>
    </row>
    <row r="1375" spans="1:34" x14ac:dyDescent="0.2">
      <c r="A1375" s="48" t="s">
        <v>1179</v>
      </c>
      <c r="B1375" s="48">
        <v>2</v>
      </c>
      <c r="C1375" s="48" t="s">
        <v>1180</v>
      </c>
      <c r="D1375" s="48" t="s">
        <v>1154</v>
      </c>
      <c r="E1375" s="48" t="s">
        <v>305</v>
      </c>
      <c r="F1375" s="48" t="s">
        <v>274</v>
      </c>
      <c r="G1375" s="48" t="s">
        <v>306</v>
      </c>
      <c r="H1375" s="48" t="s">
        <v>62</v>
      </c>
      <c r="I1375" s="48" t="s">
        <v>157</v>
      </c>
      <c r="J1375" s="49">
        <v>3</v>
      </c>
      <c r="K1375" s="50">
        <v>135</v>
      </c>
      <c r="L1375" s="50">
        <v>133.13999999999999</v>
      </c>
      <c r="M1375" s="48" t="s">
        <v>276</v>
      </c>
      <c r="N1375" s="51">
        <v>1</v>
      </c>
      <c r="O1375" s="51">
        <v>1</v>
      </c>
      <c r="P1375" s="52">
        <v>86</v>
      </c>
      <c r="Q1375" s="52">
        <v>86</v>
      </c>
      <c r="R1375" s="53" t="str">
        <f>INDEX(SKU_Master!$D$5:$D$34,MATCH($I1375,SKU_Master!$A$5:$A$34,0))</f>
        <v>Accessory</v>
      </c>
      <c r="S1375" s="54">
        <f t="shared" si="294"/>
        <v>1.3777777777777889E-2</v>
      </c>
      <c r="T1375" s="55">
        <f t="shared" si="295"/>
        <v>405</v>
      </c>
      <c r="U1375" s="55">
        <f t="shared" si="296"/>
        <v>399.41999999999996</v>
      </c>
      <c r="V1375" s="55">
        <f t="shared" si="297"/>
        <v>-5.5800000000000409</v>
      </c>
      <c r="W1375" s="55">
        <f t="shared" si="298"/>
        <v>399.41999999999996</v>
      </c>
      <c r="X1375" s="55">
        <f t="shared" si="299"/>
        <v>0</v>
      </c>
      <c r="Y1375" s="55">
        <f t="shared" si="300"/>
        <v>258</v>
      </c>
      <c r="Z1375" s="55">
        <f t="shared" si="301"/>
        <v>258</v>
      </c>
      <c r="AA1375" s="55">
        <f t="shared" si="302"/>
        <v>0</v>
      </c>
      <c r="AB1375" s="55">
        <f t="shared" si="303"/>
        <v>141.41999999999996</v>
      </c>
      <c r="AC1375" s="54">
        <f t="shared" si="304"/>
        <v>0.35406339191828146</v>
      </c>
      <c r="AD1375" s="56">
        <f>INDEX(Assumptions!$B$14:$B$16,MATCH($R1375,Assumptions!$A$14:$A$16,0))</f>
        <v>0.32</v>
      </c>
      <c r="AE1375" s="56">
        <f>INDEX(Assumptions!$C$14:$C$16,MATCH($R1375,Assumptions!$A$14:$A$16,0))</f>
        <v>0.22</v>
      </c>
      <c r="AF1375" s="49">
        <f t="shared" si="305"/>
        <v>0</v>
      </c>
      <c r="AG1375" s="49">
        <f t="shared" si="306"/>
        <v>0</v>
      </c>
      <c r="AH1375" s="55">
        <f t="shared" si="307"/>
        <v>0</v>
      </c>
    </row>
    <row r="1376" spans="1:34" x14ac:dyDescent="0.2">
      <c r="A1376" s="48" t="s">
        <v>1181</v>
      </c>
      <c r="B1376" s="48">
        <v>1</v>
      </c>
      <c r="C1376" s="48" t="s">
        <v>1156</v>
      </c>
      <c r="D1376" s="48" t="s">
        <v>1154</v>
      </c>
      <c r="E1376" s="48" t="s">
        <v>362</v>
      </c>
      <c r="F1376" s="48" t="s">
        <v>280</v>
      </c>
      <c r="G1376" s="48" t="s">
        <v>275</v>
      </c>
      <c r="H1376" s="48" t="s">
        <v>62</v>
      </c>
      <c r="I1376" s="48" t="s">
        <v>98</v>
      </c>
      <c r="J1376" s="49">
        <v>16</v>
      </c>
      <c r="K1376" s="50">
        <v>2085</v>
      </c>
      <c r="L1376" s="50">
        <v>2043.38</v>
      </c>
      <c r="M1376" s="48" t="s">
        <v>276</v>
      </c>
      <c r="N1376" s="51">
        <v>1</v>
      </c>
      <c r="O1376" s="51">
        <v>1</v>
      </c>
      <c r="P1376" s="52">
        <v>1780.2</v>
      </c>
      <c r="Q1376" s="52">
        <v>1780.2</v>
      </c>
      <c r="R1376" s="53" t="str">
        <f>INDEX(SKU_Master!$D$5:$D$34,MATCH($I1376,SKU_Master!$A$5:$A$34,0))</f>
        <v>Laptop</v>
      </c>
      <c r="S1376" s="54">
        <f t="shared" si="294"/>
        <v>1.9961630695443544E-2</v>
      </c>
      <c r="T1376" s="55">
        <f t="shared" si="295"/>
        <v>33360</v>
      </c>
      <c r="U1376" s="55">
        <f t="shared" si="296"/>
        <v>32694.080000000002</v>
      </c>
      <c r="V1376" s="55">
        <f t="shared" si="297"/>
        <v>-665.91999999999825</v>
      </c>
      <c r="W1376" s="55">
        <f t="shared" si="298"/>
        <v>32694.080000000002</v>
      </c>
      <c r="X1376" s="55">
        <f t="shared" si="299"/>
        <v>0</v>
      </c>
      <c r="Y1376" s="55">
        <f t="shared" si="300"/>
        <v>28483.200000000001</v>
      </c>
      <c r="Z1376" s="55">
        <f t="shared" si="301"/>
        <v>28483.200000000001</v>
      </c>
      <c r="AA1376" s="55">
        <f t="shared" si="302"/>
        <v>0</v>
      </c>
      <c r="AB1376" s="55">
        <f t="shared" si="303"/>
        <v>4210.880000000001</v>
      </c>
      <c r="AC1376" s="54">
        <f t="shared" si="304"/>
        <v>0.12879640595483954</v>
      </c>
      <c r="AD1376" s="56">
        <f>INDEX(Assumptions!$B$14:$B$16,MATCH($R1376,Assumptions!$A$14:$A$16,0))</f>
        <v>0.12</v>
      </c>
      <c r="AE1376" s="56">
        <f>INDEX(Assumptions!$C$14:$C$16,MATCH($R1376,Assumptions!$A$14:$A$16,0))</f>
        <v>0.08</v>
      </c>
      <c r="AF1376" s="49">
        <f t="shared" si="305"/>
        <v>0</v>
      </c>
      <c r="AG1376" s="49">
        <f t="shared" si="306"/>
        <v>0</v>
      </c>
      <c r="AH1376" s="55">
        <f t="shared" si="307"/>
        <v>0</v>
      </c>
    </row>
    <row r="1377" spans="1:34" x14ac:dyDescent="0.2">
      <c r="A1377" s="48" t="s">
        <v>1182</v>
      </c>
      <c r="B1377" s="48">
        <v>1</v>
      </c>
      <c r="C1377" s="48" t="s">
        <v>1183</v>
      </c>
      <c r="D1377" s="48" t="s">
        <v>1154</v>
      </c>
      <c r="E1377" s="48" t="s">
        <v>362</v>
      </c>
      <c r="F1377" s="48" t="s">
        <v>280</v>
      </c>
      <c r="G1377" s="48" t="s">
        <v>275</v>
      </c>
      <c r="H1377" s="48" t="s">
        <v>62</v>
      </c>
      <c r="I1377" s="48" t="s">
        <v>106</v>
      </c>
      <c r="J1377" s="49">
        <v>29</v>
      </c>
      <c r="K1377" s="50">
        <v>1520</v>
      </c>
      <c r="L1377" s="50">
        <v>1466.29</v>
      </c>
      <c r="M1377" s="48" t="s">
        <v>276</v>
      </c>
      <c r="N1377" s="51">
        <v>1</v>
      </c>
      <c r="O1377" s="51">
        <v>1</v>
      </c>
      <c r="P1377" s="52">
        <v>1298.4000000000001</v>
      </c>
      <c r="Q1377" s="52">
        <v>1298.4000000000001</v>
      </c>
      <c r="R1377" s="53" t="str">
        <f>INDEX(SKU_Master!$D$5:$D$34,MATCH($I1377,SKU_Master!$A$5:$A$34,0))</f>
        <v>Laptop</v>
      </c>
      <c r="S1377" s="54">
        <f t="shared" si="294"/>
        <v>3.5335526315789512E-2</v>
      </c>
      <c r="T1377" s="55">
        <f t="shared" si="295"/>
        <v>44080</v>
      </c>
      <c r="U1377" s="55">
        <f t="shared" si="296"/>
        <v>42522.409999999996</v>
      </c>
      <c r="V1377" s="55">
        <f t="shared" si="297"/>
        <v>-1557.5900000000038</v>
      </c>
      <c r="W1377" s="55">
        <f t="shared" si="298"/>
        <v>42522.409999999996</v>
      </c>
      <c r="X1377" s="55">
        <f t="shared" si="299"/>
        <v>0</v>
      </c>
      <c r="Y1377" s="55">
        <f t="shared" si="300"/>
        <v>37653.600000000006</v>
      </c>
      <c r="Z1377" s="55">
        <f t="shared" si="301"/>
        <v>37653.600000000006</v>
      </c>
      <c r="AA1377" s="55">
        <f t="shared" si="302"/>
        <v>0</v>
      </c>
      <c r="AB1377" s="55">
        <f t="shared" si="303"/>
        <v>4868.8099999999904</v>
      </c>
      <c r="AC1377" s="54">
        <f t="shared" si="304"/>
        <v>0.11449986019136711</v>
      </c>
      <c r="AD1377" s="56">
        <f>INDEX(Assumptions!$B$14:$B$16,MATCH($R1377,Assumptions!$A$14:$A$16,0))</f>
        <v>0.12</v>
      </c>
      <c r="AE1377" s="56">
        <f>INDEX(Assumptions!$C$14:$C$16,MATCH($R1377,Assumptions!$A$14:$A$16,0))</f>
        <v>0.08</v>
      </c>
      <c r="AF1377" s="49">
        <f t="shared" si="305"/>
        <v>0</v>
      </c>
      <c r="AG1377" s="49">
        <f t="shared" si="306"/>
        <v>0</v>
      </c>
      <c r="AH1377" s="55">
        <f t="shared" si="307"/>
        <v>233.8792000000094</v>
      </c>
    </row>
    <row r="1378" spans="1:34" x14ac:dyDescent="0.2">
      <c r="A1378" s="48" t="s">
        <v>1182</v>
      </c>
      <c r="B1378" s="48">
        <v>2</v>
      </c>
      <c r="C1378" s="48" t="s">
        <v>1183</v>
      </c>
      <c r="D1378" s="48" t="s">
        <v>1154</v>
      </c>
      <c r="E1378" s="48" t="s">
        <v>362</v>
      </c>
      <c r="F1378" s="48" t="s">
        <v>280</v>
      </c>
      <c r="G1378" s="48" t="s">
        <v>275</v>
      </c>
      <c r="H1378" s="48" t="s">
        <v>62</v>
      </c>
      <c r="I1378" s="48" t="s">
        <v>138</v>
      </c>
      <c r="J1378" s="49">
        <v>28</v>
      </c>
      <c r="K1378" s="50">
        <v>455</v>
      </c>
      <c r="L1378" s="50">
        <v>446.87</v>
      </c>
      <c r="M1378" s="48" t="s">
        <v>276</v>
      </c>
      <c r="N1378" s="51">
        <v>1</v>
      </c>
      <c r="O1378" s="51">
        <v>1</v>
      </c>
      <c r="P1378" s="52">
        <v>358.2</v>
      </c>
      <c r="Q1378" s="52">
        <v>358.2</v>
      </c>
      <c r="R1378" s="53" t="str">
        <f>INDEX(SKU_Master!$D$5:$D$34,MATCH($I1378,SKU_Master!$A$5:$A$34,0))</f>
        <v>Monitor</v>
      </c>
      <c r="S1378" s="54">
        <f t="shared" si="294"/>
        <v>1.7868131868131854E-2</v>
      </c>
      <c r="T1378" s="55">
        <f t="shared" si="295"/>
        <v>12740</v>
      </c>
      <c r="U1378" s="55">
        <f t="shared" si="296"/>
        <v>12512.36</v>
      </c>
      <c r="V1378" s="55">
        <f t="shared" si="297"/>
        <v>-227.63999999999942</v>
      </c>
      <c r="W1378" s="55">
        <f t="shared" si="298"/>
        <v>12512.36</v>
      </c>
      <c r="X1378" s="55">
        <f t="shared" si="299"/>
        <v>0</v>
      </c>
      <c r="Y1378" s="55">
        <f t="shared" si="300"/>
        <v>10029.6</v>
      </c>
      <c r="Z1378" s="55">
        <f t="shared" si="301"/>
        <v>10029.6</v>
      </c>
      <c r="AA1378" s="55">
        <f t="shared" si="302"/>
        <v>0</v>
      </c>
      <c r="AB1378" s="55">
        <f t="shared" si="303"/>
        <v>2482.7600000000002</v>
      </c>
      <c r="AC1378" s="54">
        <f t="shared" si="304"/>
        <v>0.19842459775773716</v>
      </c>
      <c r="AD1378" s="56">
        <f>INDEX(Assumptions!$B$14:$B$16,MATCH($R1378,Assumptions!$A$14:$A$16,0))</f>
        <v>0.18</v>
      </c>
      <c r="AE1378" s="56">
        <f>INDEX(Assumptions!$C$14:$C$16,MATCH($R1378,Assumptions!$A$14:$A$16,0))</f>
        <v>0.12</v>
      </c>
      <c r="AF1378" s="49">
        <f t="shared" si="305"/>
        <v>0</v>
      </c>
      <c r="AG1378" s="49">
        <f t="shared" si="306"/>
        <v>0</v>
      </c>
      <c r="AH1378" s="55">
        <f t="shared" si="307"/>
        <v>0</v>
      </c>
    </row>
    <row r="1379" spans="1:34" x14ac:dyDescent="0.2">
      <c r="A1379" s="48" t="s">
        <v>1182</v>
      </c>
      <c r="B1379" s="48">
        <v>3</v>
      </c>
      <c r="C1379" s="48" t="s">
        <v>1183</v>
      </c>
      <c r="D1379" s="48" t="s">
        <v>1154</v>
      </c>
      <c r="E1379" s="48" t="s">
        <v>362</v>
      </c>
      <c r="F1379" s="48" t="s">
        <v>280</v>
      </c>
      <c r="G1379" s="48" t="s">
        <v>275</v>
      </c>
      <c r="H1379" s="48" t="s">
        <v>62</v>
      </c>
      <c r="I1379" s="48" t="s">
        <v>166</v>
      </c>
      <c r="J1379" s="49">
        <v>28</v>
      </c>
      <c r="K1379" s="50">
        <v>265</v>
      </c>
      <c r="L1379" s="50">
        <v>259.88</v>
      </c>
      <c r="M1379" s="48" t="s">
        <v>276</v>
      </c>
      <c r="N1379" s="51">
        <v>1</v>
      </c>
      <c r="O1379" s="51">
        <v>1</v>
      </c>
      <c r="P1379" s="52">
        <v>169.35</v>
      </c>
      <c r="Q1379" s="52">
        <v>169.35</v>
      </c>
      <c r="R1379" s="53" t="str">
        <f>INDEX(SKU_Master!$D$5:$D$34,MATCH($I1379,SKU_Master!$A$5:$A$34,0))</f>
        <v>Accessory</v>
      </c>
      <c r="S1379" s="54">
        <f t="shared" si="294"/>
        <v>1.9320754716981137E-2</v>
      </c>
      <c r="T1379" s="55">
        <f t="shared" si="295"/>
        <v>7420</v>
      </c>
      <c r="U1379" s="55">
        <f t="shared" si="296"/>
        <v>7276.6399999999994</v>
      </c>
      <c r="V1379" s="55">
        <f t="shared" si="297"/>
        <v>-143.36000000000058</v>
      </c>
      <c r="W1379" s="55">
        <f t="shared" si="298"/>
        <v>7276.6399999999994</v>
      </c>
      <c r="X1379" s="55">
        <f t="shared" si="299"/>
        <v>0</v>
      </c>
      <c r="Y1379" s="55">
        <f t="shared" si="300"/>
        <v>4741.8</v>
      </c>
      <c r="Z1379" s="55">
        <f t="shared" si="301"/>
        <v>4741.8</v>
      </c>
      <c r="AA1379" s="55">
        <f t="shared" si="302"/>
        <v>0</v>
      </c>
      <c r="AB1379" s="55">
        <f t="shared" si="303"/>
        <v>2534.8399999999992</v>
      </c>
      <c r="AC1379" s="54">
        <f t="shared" si="304"/>
        <v>0.34835308603971055</v>
      </c>
      <c r="AD1379" s="56">
        <f>INDEX(Assumptions!$B$14:$B$16,MATCH($R1379,Assumptions!$A$14:$A$16,0))</f>
        <v>0.32</v>
      </c>
      <c r="AE1379" s="56">
        <f>INDEX(Assumptions!$C$14:$C$16,MATCH($R1379,Assumptions!$A$14:$A$16,0))</f>
        <v>0.22</v>
      </c>
      <c r="AF1379" s="49">
        <f t="shared" si="305"/>
        <v>0</v>
      </c>
      <c r="AG1379" s="49">
        <f t="shared" si="306"/>
        <v>0</v>
      </c>
      <c r="AH1379" s="55">
        <f t="shared" si="307"/>
        <v>0</v>
      </c>
    </row>
    <row r="1380" spans="1:34" x14ac:dyDescent="0.2">
      <c r="A1380" s="48" t="s">
        <v>1184</v>
      </c>
      <c r="B1380" s="48">
        <v>1</v>
      </c>
      <c r="C1380" s="48" t="s">
        <v>1185</v>
      </c>
      <c r="D1380" s="48" t="s">
        <v>1154</v>
      </c>
      <c r="E1380" s="48" t="s">
        <v>296</v>
      </c>
      <c r="F1380" s="48" t="s">
        <v>297</v>
      </c>
      <c r="G1380" s="48" t="s">
        <v>298</v>
      </c>
      <c r="H1380" s="48" t="s">
        <v>66</v>
      </c>
      <c r="I1380" s="48" t="s">
        <v>113</v>
      </c>
      <c r="J1380" s="49">
        <v>51</v>
      </c>
      <c r="K1380" s="50">
        <v>1655</v>
      </c>
      <c r="L1380" s="50">
        <v>1582.43</v>
      </c>
      <c r="M1380" s="48" t="s">
        <v>276</v>
      </c>
      <c r="N1380" s="51">
        <v>0.92</v>
      </c>
      <c r="O1380" s="51">
        <v>0.92830000000000001</v>
      </c>
      <c r="P1380" s="52">
        <v>1504.8</v>
      </c>
      <c r="Q1380" s="52">
        <v>1504.8</v>
      </c>
      <c r="R1380" s="53" t="str">
        <f>INDEX(SKU_Master!$D$5:$D$34,MATCH($I1380,SKU_Master!$A$5:$A$34,0))</f>
        <v>Laptop</v>
      </c>
      <c r="S1380" s="54">
        <f t="shared" si="294"/>
        <v>4.3848942598187279E-2</v>
      </c>
      <c r="T1380" s="55">
        <f t="shared" si="295"/>
        <v>91744.565217391297</v>
      </c>
      <c r="U1380" s="55">
        <f t="shared" si="296"/>
        <v>87721.663043478271</v>
      </c>
      <c r="V1380" s="55">
        <f t="shared" si="297"/>
        <v>-4022.9021739130258</v>
      </c>
      <c r="W1380" s="55">
        <f t="shared" si="298"/>
        <v>86937.337067758272</v>
      </c>
      <c r="X1380" s="55">
        <f t="shared" si="299"/>
        <v>-784.32597571999941</v>
      </c>
      <c r="Y1380" s="55">
        <f t="shared" si="300"/>
        <v>76744.800000000003</v>
      </c>
      <c r="Z1380" s="55">
        <f t="shared" si="301"/>
        <v>76744.800000000003</v>
      </c>
      <c r="AA1380" s="55">
        <f t="shared" si="302"/>
        <v>0</v>
      </c>
      <c r="AB1380" s="55">
        <f t="shared" si="303"/>
        <v>10192.537067758269</v>
      </c>
      <c r="AC1380" s="54">
        <f t="shared" si="304"/>
        <v>0.11724004221355763</v>
      </c>
      <c r="AD1380" s="56">
        <f>INDEX(Assumptions!$B$14:$B$16,MATCH($R1380,Assumptions!$A$14:$A$16,0))</f>
        <v>0.12</v>
      </c>
      <c r="AE1380" s="56">
        <f>INDEX(Assumptions!$C$14:$C$16,MATCH($R1380,Assumptions!$A$14:$A$16,0))</f>
        <v>0.08</v>
      </c>
      <c r="AF1380" s="49">
        <f t="shared" si="305"/>
        <v>0</v>
      </c>
      <c r="AG1380" s="49">
        <f t="shared" si="306"/>
        <v>0</v>
      </c>
      <c r="AH1380" s="55">
        <f t="shared" si="307"/>
        <v>239.94338037272428</v>
      </c>
    </row>
    <row r="1381" spans="1:34" x14ac:dyDescent="0.2">
      <c r="A1381" s="48" t="s">
        <v>1184</v>
      </c>
      <c r="B1381" s="48">
        <v>2</v>
      </c>
      <c r="C1381" s="48" t="s">
        <v>1185</v>
      </c>
      <c r="D1381" s="48" t="s">
        <v>1154</v>
      </c>
      <c r="E1381" s="48" t="s">
        <v>296</v>
      </c>
      <c r="F1381" s="48" t="s">
        <v>297</v>
      </c>
      <c r="G1381" s="48" t="s">
        <v>298</v>
      </c>
      <c r="H1381" s="48" t="s">
        <v>66</v>
      </c>
      <c r="I1381" s="48" t="s">
        <v>173</v>
      </c>
      <c r="J1381" s="49">
        <v>36</v>
      </c>
      <c r="K1381" s="50">
        <v>60</v>
      </c>
      <c r="L1381" s="50">
        <v>57.89</v>
      </c>
      <c r="M1381" s="48" t="s">
        <v>276</v>
      </c>
      <c r="N1381" s="51">
        <v>0.92</v>
      </c>
      <c r="O1381" s="51">
        <v>0.92830000000000001</v>
      </c>
      <c r="P1381" s="52">
        <v>39</v>
      </c>
      <c r="Q1381" s="52">
        <v>39</v>
      </c>
      <c r="R1381" s="53" t="str">
        <f>INDEX(SKU_Master!$D$5:$D$34,MATCH($I1381,SKU_Master!$A$5:$A$34,0))</f>
        <v>Accessory</v>
      </c>
      <c r="S1381" s="54">
        <f t="shared" si="294"/>
        <v>3.5166666666666679E-2</v>
      </c>
      <c r="T1381" s="55">
        <f t="shared" si="295"/>
        <v>2347.8260869565215</v>
      </c>
      <c r="U1381" s="55">
        <f t="shared" si="296"/>
        <v>2265.260869565217</v>
      </c>
      <c r="V1381" s="55">
        <f t="shared" si="297"/>
        <v>-82.565217391304486</v>
      </c>
      <c r="W1381" s="55">
        <f t="shared" si="298"/>
        <v>2245.0070020467519</v>
      </c>
      <c r="X1381" s="55">
        <f t="shared" si="299"/>
        <v>-20.253867518465086</v>
      </c>
      <c r="Y1381" s="55">
        <f t="shared" si="300"/>
        <v>1404</v>
      </c>
      <c r="Z1381" s="55">
        <f t="shared" si="301"/>
        <v>1404</v>
      </c>
      <c r="AA1381" s="55">
        <f t="shared" si="302"/>
        <v>0</v>
      </c>
      <c r="AB1381" s="55">
        <f t="shared" si="303"/>
        <v>841.00700204675195</v>
      </c>
      <c r="AC1381" s="54">
        <f t="shared" si="304"/>
        <v>0.37461219554327169</v>
      </c>
      <c r="AD1381" s="56">
        <f>INDEX(Assumptions!$B$14:$B$16,MATCH($R1381,Assumptions!$A$14:$A$16,0))</f>
        <v>0.32</v>
      </c>
      <c r="AE1381" s="56">
        <f>INDEX(Assumptions!$C$14:$C$16,MATCH($R1381,Assumptions!$A$14:$A$16,0))</f>
        <v>0.22</v>
      </c>
      <c r="AF1381" s="49">
        <f t="shared" si="305"/>
        <v>0</v>
      </c>
      <c r="AG1381" s="49">
        <f t="shared" si="306"/>
        <v>0</v>
      </c>
      <c r="AH1381" s="55">
        <f t="shared" si="307"/>
        <v>0</v>
      </c>
    </row>
    <row r="1382" spans="1:34" x14ac:dyDescent="0.2">
      <c r="A1382" s="48" t="s">
        <v>1186</v>
      </c>
      <c r="B1382" s="48">
        <v>1</v>
      </c>
      <c r="C1382" s="48" t="s">
        <v>1161</v>
      </c>
      <c r="D1382" s="48" t="s">
        <v>1154</v>
      </c>
      <c r="E1382" s="48" t="s">
        <v>393</v>
      </c>
      <c r="F1382" s="48" t="s">
        <v>274</v>
      </c>
      <c r="G1382" s="48" t="s">
        <v>275</v>
      </c>
      <c r="H1382" s="48" t="s">
        <v>66</v>
      </c>
      <c r="I1382" s="48" t="s">
        <v>113</v>
      </c>
      <c r="J1382" s="49">
        <v>2</v>
      </c>
      <c r="K1382" s="50">
        <v>1655</v>
      </c>
      <c r="L1382" s="50">
        <v>1640.98</v>
      </c>
      <c r="M1382" s="48" t="s">
        <v>276</v>
      </c>
      <c r="N1382" s="51">
        <v>0.92</v>
      </c>
      <c r="O1382" s="51">
        <v>0.92830000000000001</v>
      </c>
      <c r="P1382" s="52">
        <v>1504.8</v>
      </c>
      <c r="Q1382" s="52">
        <v>1504.8</v>
      </c>
      <c r="R1382" s="53" t="str">
        <f>INDEX(SKU_Master!$D$5:$D$34,MATCH($I1382,SKU_Master!$A$5:$A$34,0))</f>
        <v>Laptop</v>
      </c>
      <c r="S1382" s="54">
        <f t="shared" si="294"/>
        <v>8.4712990936556265E-3</v>
      </c>
      <c r="T1382" s="55">
        <f t="shared" si="295"/>
        <v>3597.8260869565215</v>
      </c>
      <c r="U1382" s="55">
        <f t="shared" si="296"/>
        <v>3567.3478260869565</v>
      </c>
      <c r="V1382" s="55">
        <f t="shared" si="297"/>
        <v>-30.47826086956502</v>
      </c>
      <c r="W1382" s="55">
        <f t="shared" si="298"/>
        <v>3535.4519013250028</v>
      </c>
      <c r="X1382" s="55">
        <f t="shared" si="299"/>
        <v>-31.895924761953665</v>
      </c>
      <c r="Y1382" s="55">
        <f t="shared" si="300"/>
        <v>3009.6</v>
      </c>
      <c r="Z1382" s="55">
        <f t="shared" si="301"/>
        <v>3009.6</v>
      </c>
      <c r="AA1382" s="55">
        <f t="shared" si="302"/>
        <v>0</v>
      </c>
      <c r="AB1382" s="55">
        <f t="shared" si="303"/>
        <v>525.85190132500293</v>
      </c>
      <c r="AC1382" s="54">
        <f t="shared" si="304"/>
        <v>0.14873682799302862</v>
      </c>
      <c r="AD1382" s="56">
        <f>INDEX(Assumptions!$B$14:$B$16,MATCH($R1382,Assumptions!$A$14:$A$16,0))</f>
        <v>0.12</v>
      </c>
      <c r="AE1382" s="56">
        <f>INDEX(Assumptions!$C$14:$C$16,MATCH($R1382,Assumptions!$A$14:$A$16,0))</f>
        <v>0.08</v>
      </c>
      <c r="AF1382" s="49">
        <f t="shared" si="305"/>
        <v>0</v>
      </c>
      <c r="AG1382" s="49">
        <f t="shared" si="306"/>
        <v>0</v>
      </c>
      <c r="AH1382" s="55">
        <f t="shared" si="307"/>
        <v>0</v>
      </c>
    </row>
    <row r="1383" spans="1:34" x14ac:dyDescent="0.2">
      <c r="A1383" s="48" t="s">
        <v>1186</v>
      </c>
      <c r="B1383" s="48">
        <v>2</v>
      </c>
      <c r="C1383" s="48" t="s">
        <v>1161</v>
      </c>
      <c r="D1383" s="48" t="s">
        <v>1154</v>
      </c>
      <c r="E1383" s="48" t="s">
        <v>393</v>
      </c>
      <c r="F1383" s="48" t="s">
        <v>274</v>
      </c>
      <c r="G1383" s="48" t="s">
        <v>275</v>
      </c>
      <c r="H1383" s="48" t="s">
        <v>66</v>
      </c>
      <c r="I1383" s="48" t="s">
        <v>157</v>
      </c>
      <c r="J1383" s="49">
        <v>1</v>
      </c>
      <c r="K1383" s="50">
        <v>135</v>
      </c>
      <c r="L1383" s="50">
        <v>132.96</v>
      </c>
      <c r="M1383" s="48" t="s">
        <v>276</v>
      </c>
      <c r="N1383" s="51">
        <v>0.92</v>
      </c>
      <c r="O1383" s="51">
        <v>0.92830000000000001</v>
      </c>
      <c r="P1383" s="52">
        <v>91</v>
      </c>
      <c r="Q1383" s="52">
        <v>91</v>
      </c>
      <c r="R1383" s="53" t="str">
        <f>INDEX(SKU_Master!$D$5:$D$34,MATCH($I1383,SKU_Master!$A$5:$A$34,0))</f>
        <v>Accessory</v>
      </c>
      <c r="S1383" s="54">
        <f t="shared" si="294"/>
        <v>1.5111111111111075E-2</v>
      </c>
      <c r="T1383" s="55">
        <f t="shared" si="295"/>
        <v>146.7391304347826</v>
      </c>
      <c r="U1383" s="55">
        <f t="shared" si="296"/>
        <v>144.52173913043478</v>
      </c>
      <c r="V1383" s="55">
        <f t="shared" si="297"/>
        <v>-2.2173913043478137</v>
      </c>
      <c r="W1383" s="55">
        <f t="shared" si="298"/>
        <v>143.22955940967361</v>
      </c>
      <c r="X1383" s="55">
        <f t="shared" si="299"/>
        <v>-1.2921797207611689</v>
      </c>
      <c r="Y1383" s="55">
        <f t="shared" si="300"/>
        <v>91</v>
      </c>
      <c r="Z1383" s="55">
        <f t="shared" si="301"/>
        <v>91</v>
      </c>
      <c r="AA1383" s="55">
        <f t="shared" si="302"/>
        <v>0</v>
      </c>
      <c r="AB1383" s="55">
        <f t="shared" si="303"/>
        <v>52.229559409673612</v>
      </c>
      <c r="AC1383" s="54">
        <f t="shared" si="304"/>
        <v>0.36465628760529489</v>
      </c>
      <c r="AD1383" s="56">
        <f>INDEX(Assumptions!$B$14:$B$16,MATCH($R1383,Assumptions!$A$14:$A$16,0))</f>
        <v>0.32</v>
      </c>
      <c r="AE1383" s="56">
        <f>INDEX(Assumptions!$C$14:$C$16,MATCH($R1383,Assumptions!$A$14:$A$16,0))</f>
        <v>0.22</v>
      </c>
      <c r="AF1383" s="49">
        <f t="shared" si="305"/>
        <v>0</v>
      </c>
      <c r="AG1383" s="49">
        <f t="shared" si="306"/>
        <v>0</v>
      </c>
      <c r="AH1383" s="55">
        <f t="shared" si="307"/>
        <v>0</v>
      </c>
    </row>
    <row r="1384" spans="1:34" x14ac:dyDescent="0.2">
      <c r="A1384" s="48" t="s">
        <v>1187</v>
      </c>
      <c r="B1384" s="48">
        <v>1</v>
      </c>
      <c r="C1384" s="48" t="s">
        <v>1188</v>
      </c>
      <c r="D1384" s="48" t="s">
        <v>1154</v>
      </c>
      <c r="E1384" s="48" t="s">
        <v>588</v>
      </c>
      <c r="F1384" s="48" t="s">
        <v>274</v>
      </c>
      <c r="G1384" s="48" t="s">
        <v>281</v>
      </c>
      <c r="H1384" s="48" t="s">
        <v>62</v>
      </c>
      <c r="I1384" s="48" t="s">
        <v>123</v>
      </c>
      <c r="J1384" s="49">
        <v>5</v>
      </c>
      <c r="K1384" s="50">
        <v>1465</v>
      </c>
      <c r="L1384" s="50">
        <v>1438.97</v>
      </c>
      <c r="M1384" s="48" t="s">
        <v>276</v>
      </c>
      <c r="N1384" s="51">
        <v>1</v>
      </c>
      <c r="O1384" s="51">
        <v>1</v>
      </c>
      <c r="P1384" s="52">
        <v>1249.25</v>
      </c>
      <c r="Q1384" s="52">
        <v>1249.25</v>
      </c>
      <c r="R1384" s="53" t="str">
        <f>INDEX(SKU_Master!$D$5:$D$34,MATCH($I1384,SKU_Master!$A$5:$A$34,0))</f>
        <v>Laptop</v>
      </c>
      <c r="S1384" s="54">
        <f t="shared" si="294"/>
        <v>1.7767918088737233E-2</v>
      </c>
      <c r="T1384" s="55">
        <f t="shared" si="295"/>
        <v>7325</v>
      </c>
      <c r="U1384" s="55">
        <f t="shared" si="296"/>
        <v>7194.85</v>
      </c>
      <c r="V1384" s="55">
        <f t="shared" si="297"/>
        <v>-130.14999999999964</v>
      </c>
      <c r="W1384" s="55">
        <f t="shared" si="298"/>
        <v>7194.85</v>
      </c>
      <c r="X1384" s="55">
        <f t="shared" si="299"/>
        <v>0</v>
      </c>
      <c r="Y1384" s="55">
        <f t="shared" si="300"/>
        <v>6246.25</v>
      </c>
      <c r="Z1384" s="55">
        <f t="shared" si="301"/>
        <v>6246.25</v>
      </c>
      <c r="AA1384" s="55">
        <f t="shared" si="302"/>
        <v>0</v>
      </c>
      <c r="AB1384" s="55">
        <f t="shared" si="303"/>
        <v>948.60000000000036</v>
      </c>
      <c r="AC1384" s="54">
        <f t="shared" si="304"/>
        <v>0.1318443053017089</v>
      </c>
      <c r="AD1384" s="56">
        <f>INDEX(Assumptions!$B$14:$B$16,MATCH($R1384,Assumptions!$A$14:$A$16,0))</f>
        <v>0.12</v>
      </c>
      <c r="AE1384" s="56">
        <f>INDEX(Assumptions!$C$14:$C$16,MATCH($R1384,Assumptions!$A$14:$A$16,0))</f>
        <v>0.08</v>
      </c>
      <c r="AF1384" s="49">
        <f t="shared" si="305"/>
        <v>0</v>
      </c>
      <c r="AG1384" s="49">
        <f t="shared" si="306"/>
        <v>0</v>
      </c>
      <c r="AH1384" s="55">
        <f t="shared" si="307"/>
        <v>0</v>
      </c>
    </row>
    <row r="1385" spans="1:34" x14ac:dyDescent="0.2">
      <c r="A1385" s="48" t="s">
        <v>1189</v>
      </c>
      <c r="B1385" s="48">
        <v>1</v>
      </c>
      <c r="C1385" s="48" t="s">
        <v>1190</v>
      </c>
      <c r="D1385" s="48" t="s">
        <v>1154</v>
      </c>
      <c r="E1385" s="48" t="s">
        <v>362</v>
      </c>
      <c r="F1385" s="48" t="s">
        <v>280</v>
      </c>
      <c r="G1385" s="48" t="s">
        <v>275</v>
      </c>
      <c r="H1385" s="48" t="s">
        <v>62</v>
      </c>
      <c r="I1385" s="48" t="s">
        <v>98</v>
      </c>
      <c r="J1385" s="49">
        <v>11</v>
      </c>
      <c r="K1385" s="50">
        <v>2085</v>
      </c>
      <c r="L1385" s="50">
        <v>2015.64</v>
      </c>
      <c r="M1385" s="48" t="s">
        <v>276</v>
      </c>
      <c r="N1385" s="51">
        <v>1</v>
      </c>
      <c r="O1385" s="51">
        <v>1</v>
      </c>
      <c r="P1385" s="52">
        <v>1780.2</v>
      </c>
      <c r="Q1385" s="52">
        <v>1780.2</v>
      </c>
      <c r="R1385" s="53" t="str">
        <f>INDEX(SKU_Master!$D$5:$D$34,MATCH($I1385,SKU_Master!$A$5:$A$34,0))</f>
        <v>Laptop</v>
      </c>
      <c r="S1385" s="54">
        <f t="shared" si="294"/>
        <v>3.3266187050359664E-2</v>
      </c>
      <c r="T1385" s="55">
        <f t="shared" si="295"/>
        <v>22935</v>
      </c>
      <c r="U1385" s="55">
        <f t="shared" si="296"/>
        <v>22172.04</v>
      </c>
      <c r="V1385" s="55">
        <f t="shared" si="297"/>
        <v>-762.95999999999913</v>
      </c>
      <c r="W1385" s="55">
        <f t="shared" si="298"/>
        <v>22172.04</v>
      </c>
      <c r="X1385" s="55">
        <f t="shared" si="299"/>
        <v>0</v>
      </c>
      <c r="Y1385" s="55">
        <f t="shared" si="300"/>
        <v>19582.2</v>
      </c>
      <c r="Z1385" s="55">
        <f t="shared" si="301"/>
        <v>19582.2</v>
      </c>
      <c r="AA1385" s="55">
        <f t="shared" si="302"/>
        <v>0</v>
      </c>
      <c r="AB1385" s="55">
        <f t="shared" si="303"/>
        <v>2589.84</v>
      </c>
      <c r="AC1385" s="54">
        <f t="shared" si="304"/>
        <v>0.1168065726022504</v>
      </c>
      <c r="AD1385" s="56">
        <f>INDEX(Assumptions!$B$14:$B$16,MATCH($R1385,Assumptions!$A$14:$A$16,0))</f>
        <v>0.12</v>
      </c>
      <c r="AE1385" s="56">
        <f>INDEX(Assumptions!$C$14:$C$16,MATCH($R1385,Assumptions!$A$14:$A$16,0))</f>
        <v>0.08</v>
      </c>
      <c r="AF1385" s="49">
        <f t="shared" si="305"/>
        <v>0</v>
      </c>
      <c r="AG1385" s="49">
        <f t="shared" si="306"/>
        <v>0</v>
      </c>
      <c r="AH1385" s="55">
        <f t="shared" si="307"/>
        <v>70.804799999999886</v>
      </c>
    </row>
    <row r="1386" spans="1:34" x14ac:dyDescent="0.2">
      <c r="A1386" s="48" t="s">
        <v>1189</v>
      </c>
      <c r="B1386" s="48">
        <v>2</v>
      </c>
      <c r="C1386" s="48" t="s">
        <v>1190</v>
      </c>
      <c r="D1386" s="48" t="s">
        <v>1154</v>
      </c>
      <c r="E1386" s="48" t="s">
        <v>362</v>
      </c>
      <c r="F1386" s="48" t="s">
        <v>280</v>
      </c>
      <c r="G1386" s="48" t="s">
        <v>275</v>
      </c>
      <c r="H1386" s="48" t="s">
        <v>62</v>
      </c>
      <c r="I1386" s="48" t="s">
        <v>173</v>
      </c>
      <c r="J1386" s="49">
        <v>5</v>
      </c>
      <c r="K1386" s="50">
        <v>55</v>
      </c>
      <c r="L1386" s="50">
        <v>52.82</v>
      </c>
      <c r="M1386" s="48" t="s">
        <v>276</v>
      </c>
      <c r="N1386" s="51">
        <v>1</v>
      </c>
      <c r="O1386" s="51">
        <v>1</v>
      </c>
      <c r="P1386" s="52">
        <v>34</v>
      </c>
      <c r="Q1386" s="52">
        <v>34</v>
      </c>
      <c r="R1386" s="53" t="str">
        <f>INDEX(SKU_Master!$D$5:$D$34,MATCH($I1386,SKU_Master!$A$5:$A$34,0))</f>
        <v>Accessory</v>
      </c>
      <c r="S1386" s="54">
        <f t="shared" si="294"/>
        <v>3.9636363636363581E-2</v>
      </c>
      <c r="T1386" s="55">
        <f t="shared" si="295"/>
        <v>275</v>
      </c>
      <c r="U1386" s="55">
        <f t="shared" si="296"/>
        <v>264.10000000000002</v>
      </c>
      <c r="V1386" s="55">
        <f t="shared" si="297"/>
        <v>-10.899999999999977</v>
      </c>
      <c r="W1386" s="55">
        <f t="shared" si="298"/>
        <v>264.10000000000002</v>
      </c>
      <c r="X1386" s="55">
        <f t="shared" si="299"/>
        <v>0</v>
      </c>
      <c r="Y1386" s="55">
        <f t="shared" si="300"/>
        <v>170</v>
      </c>
      <c r="Z1386" s="55">
        <f t="shared" si="301"/>
        <v>170</v>
      </c>
      <c r="AA1386" s="55">
        <f t="shared" si="302"/>
        <v>0</v>
      </c>
      <c r="AB1386" s="55">
        <f t="shared" si="303"/>
        <v>94.100000000000023</v>
      </c>
      <c r="AC1386" s="54">
        <f t="shared" si="304"/>
        <v>0.35630443014009849</v>
      </c>
      <c r="AD1386" s="56">
        <f>INDEX(Assumptions!$B$14:$B$16,MATCH($R1386,Assumptions!$A$14:$A$16,0))</f>
        <v>0.32</v>
      </c>
      <c r="AE1386" s="56">
        <f>INDEX(Assumptions!$C$14:$C$16,MATCH($R1386,Assumptions!$A$14:$A$16,0))</f>
        <v>0.22</v>
      </c>
      <c r="AF1386" s="49">
        <f t="shared" si="305"/>
        <v>0</v>
      </c>
      <c r="AG1386" s="49">
        <f t="shared" si="306"/>
        <v>0</v>
      </c>
      <c r="AH1386" s="55">
        <f t="shared" si="307"/>
        <v>0</v>
      </c>
    </row>
    <row r="1387" spans="1:34" x14ac:dyDescent="0.2">
      <c r="A1387" s="48" t="s">
        <v>1191</v>
      </c>
      <c r="B1387" s="48">
        <v>1</v>
      </c>
      <c r="C1387" s="48" t="s">
        <v>1188</v>
      </c>
      <c r="D1387" s="48" t="s">
        <v>1154</v>
      </c>
      <c r="E1387" s="48" t="s">
        <v>427</v>
      </c>
      <c r="F1387" s="48" t="s">
        <v>297</v>
      </c>
      <c r="G1387" s="48" t="s">
        <v>302</v>
      </c>
      <c r="H1387" s="48" t="s">
        <v>66</v>
      </c>
      <c r="I1387" s="48" t="s">
        <v>103</v>
      </c>
      <c r="J1387" s="49">
        <v>15</v>
      </c>
      <c r="K1387" s="50">
        <v>1090</v>
      </c>
      <c r="L1387" s="50">
        <v>1052.22</v>
      </c>
      <c r="M1387" s="48" t="s">
        <v>276</v>
      </c>
      <c r="N1387" s="51">
        <v>0.92</v>
      </c>
      <c r="O1387" s="51">
        <v>0.92830000000000001</v>
      </c>
      <c r="P1387" s="52">
        <v>988.6</v>
      </c>
      <c r="Q1387" s="52">
        <v>988.6</v>
      </c>
      <c r="R1387" s="53" t="str">
        <f>INDEX(SKU_Master!$D$5:$D$34,MATCH($I1387,SKU_Master!$A$5:$A$34,0))</f>
        <v>Laptop</v>
      </c>
      <c r="S1387" s="54">
        <f t="shared" si="294"/>
        <v>3.4660550458715522E-2</v>
      </c>
      <c r="T1387" s="55">
        <f t="shared" si="295"/>
        <v>17771.73913043478</v>
      </c>
      <c r="U1387" s="55">
        <f t="shared" si="296"/>
        <v>17155.760869565216</v>
      </c>
      <c r="V1387" s="55">
        <f t="shared" si="297"/>
        <v>-615.97826086956411</v>
      </c>
      <c r="W1387" s="55">
        <f t="shared" si="298"/>
        <v>17002.369923516104</v>
      </c>
      <c r="X1387" s="55">
        <f t="shared" si="299"/>
        <v>-153.39094604911224</v>
      </c>
      <c r="Y1387" s="55">
        <f t="shared" si="300"/>
        <v>14829</v>
      </c>
      <c r="Z1387" s="55">
        <f t="shared" si="301"/>
        <v>14829</v>
      </c>
      <c r="AA1387" s="55">
        <f t="shared" si="302"/>
        <v>0</v>
      </c>
      <c r="AB1387" s="55">
        <f t="shared" si="303"/>
        <v>2173.3699235161039</v>
      </c>
      <c r="AC1387" s="54">
        <f t="shared" si="304"/>
        <v>0.12782746954059032</v>
      </c>
      <c r="AD1387" s="56">
        <f>INDEX(Assumptions!$B$14:$B$16,MATCH($R1387,Assumptions!$A$14:$A$16,0))</f>
        <v>0.12</v>
      </c>
      <c r="AE1387" s="56">
        <f>INDEX(Assumptions!$C$14:$C$16,MATCH($R1387,Assumptions!$A$14:$A$16,0))</f>
        <v>0.08</v>
      </c>
      <c r="AF1387" s="49">
        <f t="shared" si="305"/>
        <v>0</v>
      </c>
      <c r="AG1387" s="49">
        <f t="shared" si="306"/>
        <v>0</v>
      </c>
      <c r="AH1387" s="55">
        <f t="shared" si="307"/>
        <v>0</v>
      </c>
    </row>
    <row r="1388" spans="1:34" x14ac:dyDescent="0.2">
      <c r="A1388" s="48" t="s">
        <v>1191</v>
      </c>
      <c r="B1388" s="48">
        <v>2</v>
      </c>
      <c r="C1388" s="48" t="s">
        <v>1188</v>
      </c>
      <c r="D1388" s="48" t="s">
        <v>1154</v>
      </c>
      <c r="E1388" s="48" t="s">
        <v>427</v>
      </c>
      <c r="F1388" s="48" t="s">
        <v>297</v>
      </c>
      <c r="G1388" s="48" t="s">
        <v>302</v>
      </c>
      <c r="H1388" s="48" t="s">
        <v>66</v>
      </c>
      <c r="I1388" s="48" t="s">
        <v>138</v>
      </c>
      <c r="J1388" s="49">
        <v>12</v>
      </c>
      <c r="K1388" s="50">
        <v>460</v>
      </c>
      <c r="L1388" s="50">
        <v>440.71</v>
      </c>
      <c r="M1388" s="48" t="s">
        <v>276</v>
      </c>
      <c r="N1388" s="51">
        <v>0.92</v>
      </c>
      <c r="O1388" s="51">
        <v>0.92830000000000001</v>
      </c>
      <c r="P1388" s="52">
        <v>383.2</v>
      </c>
      <c r="Q1388" s="52">
        <v>383.2</v>
      </c>
      <c r="R1388" s="53" t="str">
        <f>INDEX(SKU_Master!$D$5:$D$34,MATCH($I1388,SKU_Master!$A$5:$A$34,0))</f>
        <v>Monitor</v>
      </c>
      <c r="S1388" s="54">
        <f t="shared" si="294"/>
        <v>4.1934782608695653E-2</v>
      </c>
      <c r="T1388" s="55">
        <f t="shared" si="295"/>
        <v>6000</v>
      </c>
      <c r="U1388" s="55">
        <f t="shared" si="296"/>
        <v>5748.3913043478251</v>
      </c>
      <c r="V1388" s="55">
        <f t="shared" si="297"/>
        <v>-251.6086956521749</v>
      </c>
      <c r="W1388" s="55">
        <f t="shared" si="298"/>
        <v>5696.9945060863938</v>
      </c>
      <c r="X1388" s="55">
        <f t="shared" si="299"/>
        <v>-51.396798261431286</v>
      </c>
      <c r="Y1388" s="55">
        <f t="shared" si="300"/>
        <v>4598.3999999999996</v>
      </c>
      <c r="Z1388" s="55">
        <f t="shared" si="301"/>
        <v>4598.3999999999996</v>
      </c>
      <c r="AA1388" s="55">
        <f t="shared" si="302"/>
        <v>0</v>
      </c>
      <c r="AB1388" s="55">
        <f t="shared" si="303"/>
        <v>1098.5945060863942</v>
      </c>
      <c r="AC1388" s="54">
        <f t="shared" si="304"/>
        <v>0.19283755757754528</v>
      </c>
      <c r="AD1388" s="56">
        <f>INDEX(Assumptions!$B$14:$B$16,MATCH($R1388,Assumptions!$A$14:$A$16,0))</f>
        <v>0.18</v>
      </c>
      <c r="AE1388" s="56">
        <f>INDEX(Assumptions!$C$14:$C$16,MATCH($R1388,Assumptions!$A$14:$A$16,0))</f>
        <v>0.12</v>
      </c>
      <c r="AF1388" s="49">
        <f t="shared" si="305"/>
        <v>0</v>
      </c>
      <c r="AG1388" s="49">
        <f t="shared" si="306"/>
        <v>0</v>
      </c>
      <c r="AH1388" s="55">
        <f t="shared" si="307"/>
        <v>0</v>
      </c>
    </row>
    <row r="1389" spans="1:34" x14ac:dyDescent="0.2">
      <c r="A1389" s="48" t="s">
        <v>1191</v>
      </c>
      <c r="B1389" s="48">
        <v>3</v>
      </c>
      <c r="C1389" s="48" t="s">
        <v>1188</v>
      </c>
      <c r="D1389" s="48" t="s">
        <v>1154</v>
      </c>
      <c r="E1389" s="48" t="s">
        <v>427</v>
      </c>
      <c r="F1389" s="48" t="s">
        <v>297</v>
      </c>
      <c r="G1389" s="48" t="s">
        <v>302</v>
      </c>
      <c r="H1389" s="48" t="s">
        <v>66</v>
      </c>
      <c r="I1389" s="48" t="s">
        <v>151</v>
      </c>
      <c r="J1389" s="49">
        <v>17</v>
      </c>
      <c r="K1389" s="50">
        <v>325</v>
      </c>
      <c r="L1389" s="50">
        <v>306.01</v>
      </c>
      <c r="M1389" s="48" t="s">
        <v>276</v>
      </c>
      <c r="N1389" s="51">
        <v>0.92</v>
      </c>
      <c r="O1389" s="51">
        <v>0.92830000000000001</v>
      </c>
      <c r="P1389" s="52">
        <v>221.7</v>
      </c>
      <c r="Q1389" s="52">
        <v>221.7</v>
      </c>
      <c r="R1389" s="53" t="str">
        <f>INDEX(SKU_Master!$D$5:$D$34,MATCH($I1389,SKU_Master!$A$5:$A$34,0))</f>
        <v>Accessory</v>
      </c>
      <c r="S1389" s="54">
        <f t="shared" si="294"/>
        <v>5.8430769230769286E-2</v>
      </c>
      <c r="T1389" s="55">
        <f t="shared" si="295"/>
        <v>6005.4347826086951</v>
      </c>
      <c r="U1389" s="55">
        <f t="shared" si="296"/>
        <v>5654.532608695652</v>
      </c>
      <c r="V1389" s="55">
        <f t="shared" si="297"/>
        <v>-350.90217391304304</v>
      </c>
      <c r="W1389" s="55">
        <f t="shared" si="298"/>
        <v>5603.9750080792846</v>
      </c>
      <c r="X1389" s="55">
        <f t="shared" si="299"/>
        <v>-50.557600616367381</v>
      </c>
      <c r="Y1389" s="55">
        <f t="shared" si="300"/>
        <v>3768.8999999999996</v>
      </c>
      <c r="Z1389" s="55">
        <f t="shared" si="301"/>
        <v>3768.8999999999996</v>
      </c>
      <c r="AA1389" s="55">
        <f t="shared" si="302"/>
        <v>0</v>
      </c>
      <c r="AB1389" s="55">
        <f t="shared" si="303"/>
        <v>1835.075008079285</v>
      </c>
      <c r="AC1389" s="54">
        <f t="shared" si="304"/>
        <v>0.32745952746642271</v>
      </c>
      <c r="AD1389" s="56">
        <f>INDEX(Assumptions!$B$14:$B$16,MATCH($R1389,Assumptions!$A$14:$A$16,0))</f>
        <v>0.32</v>
      </c>
      <c r="AE1389" s="56">
        <f>INDEX(Assumptions!$C$14:$C$16,MATCH($R1389,Assumptions!$A$14:$A$16,0))</f>
        <v>0.22</v>
      </c>
      <c r="AF1389" s="49">
        <f t="shared" si="305"/>
        <v>0</v>
      </c>
      <c r="AG1389" s="49">
        <f t="shared" si="306"/>
        <v>0</v>
      </c>
      <c r="AH1389" s="55">
        <f t="shared" si="307"/>
        <v>0</v>
      </c>
    </row>
    <row r="1390" spans="1:34" x14ac:dyDescent="0.2">
      <c r="A1390" s="48" t="s">
        <v>1192</v>
      </c>
      <c r="B1390" s="48">
        <v>1</v>
      </c>
      <c r="C1390" s="48" t="s">
        <v>1193</v>
      </c>
      <c r="D1390" s="48" t="s">
        <v>1154</v>
      </c>
      <c r="E1390" s="48" t="s">
        <v>393</v>
      </c>
      <c r="F1390" s="48" t="s">
        <v>274</v>
      </c>
      <c r="G1390" s="48" t="s">
        <v>275</v>
      </c>
      <c r="H1390" s="48" t="s">
        <v>66</v>
      </c>
      <c r="I1390" s="48" t="s">
        <v>93</v>
      </c>
      <c r="J1390" s="49">
        <v>3</v>
      </c>
      <c r="K1390" s="50">
        <v>1325</v>
      </c>
      <c r="L1390" s="50">
        <v>1312.56</v>
      </c>
      <c r="M1390" s="48" t="s">
        <v>276</v>
      </c>
      <c r="N1390" s="51">
        <v>0.92</v>
      </c>
      <c r="O1390" s="51">
        <v>0.92830000000000001</v>
      </c>
      <c r="P1390" s="52">
        <v>1206.2</v>
      </c>
      <c r="Q1390" s="52">
        <v>1206.2</v>
      </c>
      <c r="R1390" s="53" t="str">
        <f>INDEX(SKU_Master!$D$5:$D$34,MATCH($I1390,SKU_Master!$A$5:$A$34,0))</f>
        <v>Laptop</v>
      </c>
      <c r="S1390" s="54">
        <f t="shared" si="294"/>
        <v>9.3886792452830825E-3</v>
      </c>
      <c r="T1390" s="55">
        <f t="shared" si="295"/>
        <v>4320.652173913043</v>
      </c>
      <c r="U1390" s="55">
        <f t="shared" si="296"/>
        <v>4280.086956521739</v>
      </c>
      <c r="V1390" s="55">
        <f t="shared" si="297"/>
        <v>-40.565217391304031</v>
      </c>
      <c r="W1390" s="55">
        <f t="shared" si="298"/>
        <v>4241.8183776796295</v>
      </c>
      <c r="X1390" s="55">
        <f t="shared" si="299"/>
        <v>-38.268578842109491</v>
      </c>
      <c r="Y1390" s="55">
        <f t="shared" si="300"/>
        <v>3618.6000000000004</v>
      </c>
      <c r="Z1390" s="55">
        <f t="shared" si="301"/>
        <v>3618.6000000000004</v>
      </c>
      <c r="AA1390" s="55">
        <f t="shared" si="302"/>
        <v>0</v>
      </c>
      <c r="AB1390" s="55">
        <f t="shared" si="303"/>
        <v>623.21837767962916</v>
      </c>
      <c r="AC1390" s="54">
        <f t="shared" si="304"/>
        <v>0.14692245687816169</v>
      </c>
      <c r="AD1390" s="56">
        <f>INDEX(Assumptions!$B$14:$B$16,MATCH($R1390,Assumptions!$A$14:$A$16,0))</f>
        <v>0.12</v>
      </c>
      <c r="AE1390" s="56">
        <f>INDEX(Assumptions!$C$14:$C$16,MATCH($R1390,Assumptions!$A$14:$A$16,0))</f>
        <v>0.08</v>
      </c>
      <c r="AF1390" s="49">
        <f t="shared" si="305"/>
        <v>0</v>
      </c>
      <c r="AG1390" s="49">
        <f t="shared" si="306"/>
        <v>0</v>
      </c>
      <c r="AH1390" s="55">
        <f t="shared" si="307"/>
        <v>0</v>
      </c>
    </row>
    <row r="1391" spans="1:34" x14ac:dyDescent="0.2">
      <c r="A1391" s="48" t="s">
        <v>1192</v>
      </c>
      <c r="B1391" s="48">
        <v>2</v>
      </c>
      <c r="C1391" s="48" t="s">
        <v>1193</v>
      </c>
      <c r="D1391" s="48" t="s">
        <v>1154</v>
      </c>
      <c r="E1391" s="48" t="s">
        <v>393</v>
      </c>
      <c r="F1391" s="48" t="s">
        <v>274</v>
      </c>
      <c r="G1391" s="48" t="s">
        <v>275</v>
      </c>
      <c r="H1391" s="48" t="s">
        <v>66</v>
      </c>
      <c r="I1391" s="48" t="s">
        <v>144</v>
      </c>
      <c r="J1391" s="49">
        <v>2</v>
      </c>
      <c r="K1391" s="50">
        <v>375</v>
      </c>
      <c r="L1391" s="50">
        <v>373.42</v>
      </c>
      <c r="M1391" s="48" t="s">
        <v>276</v>
      </c>
      <c r="N1391" s="51">
        <v>0.92</v>
      </c>
      <c r="O1391" s="51">
        <v>0.92830000000000001</v>
      </c>
      <c r="P1391" s="52">
        <v>314.60000000000002</v>
      </c>
      <c r="Q1391" s="52">
        <v>314.60000000000002</v>
      </c>
      <c r="R1391" s="53" t="str">
        <f>INDEX(SKU_Master!$D$5:$D$34,MATCH($I1391,SKU_Master!$A$5:$A$34,0))</f>
        <v>Monitor</v>
      </c>
      <c r="S1391" s="54">
        <f t="shared" si="294"/>
        <v>4.2133333333332912E-3</v>
      </c>
      <c r="T1391" s="55">
        <f t="shared" si="295"/>
        <v>815.21739130434776</v>
      </c>
      <c r="U1391" s="55">
        <f t="shared" si="296"/>
        <v>811.78260869565213</v>
      </c>
      <c r="V1391" s="55">
        <f t="shared" si="297"/>
        <v>-3.4347826086956275</v>
      </c>
      <c r="W1391" s="55">
        <f t="shared" si="298"/>
        <v>804.52439943983632</v>
      </c>
      <c r="X1391" s="55">
        <f t="shared" si="299"/>
        <v>-7.2582092558158138</v>
      </c>
      <c r="Y1391" s="55">
        <f t="shared" si="300"/>
        <v>629.20000000000005</v>
      </c>
      <c r="Z1391" s="55">
        <f t="shared" si="301"/>
        <v>629.20000000000005</v>
      </c>
      <c r="AA1391" s="55">
        <f t="shared" si="302"/>
        <v>0</v>
      </c>
      <c r="AB1391" s="55">
        <f t="shared" si="303"/>
        <v>175.32439943983627</v>
      </c>
      <c r="AC1391" s="54">
        <f t="shared" si="304"/>
        <v>0.21792303572384983</v>
      </c>
      <c r="AD1391" s="56">
        <f>INDEX(Assumptions!$B$14:$B$16,MATCH($R1391,Assumptions!$A$14:$A$16,0))</f>
        <v>0.18</v>
      </c>
      <c r="AE1391" s="56">
        <f>INDEX(Assumptions!$C$14:$C$16,MATCH($R1391,Assumptions!$A$14:$A$16,0))</f>
        <v>0.12</v>
      </c>
      <c r="AF1391" s="49">
        <f t="shared" si="305"/>
        <v>0</v>
      </c>
      <c r="AG1391" s="49">
        <f t="shared" si="306"/>
        <v>0</v>
      </c>
      <c r="AH1391" s="55">
        <f t="shared" si="307"/>
        <v>0</v>
      </c>
    </row>
    <row r="1392" spans="1:34" x14ac:dyDescent="0.2">
      <c r="A1392" s="48" t="s">
        <v>1192</v>
      </c>
      <c r="B1392" s="48">
        <v>3</v>
      </c>
      <c r="C1392" s="48" t="s">
        <v>1193</v>
      </c>
      <c r="D1392" s="48" t="s">
        <v>1154</v>
      </c>
      <c r="E1392" s="48" t="s">
        <v>393</v>
      </c>
      <c r="F1392" s="48" t="s">
        <v>274</v>
      </c>
      <c r="G1392" s="48" t="s">
        <v>275</v>
      </c>
      <c r="H1392" s="48" t="s">
        <v>66</v>
      </c>
      <c r="I1392" s="48" t="s">
        <v>157</v>
      </c>
      <c r="J1392" s="49">
        <v>3</v>
      </c>
      <c r="K1392" s="50">
        <v>135</v>
      </c>
      <c r="L1392" s="50">
        <v>133.79</v>
      </c>
      <c r="M1392" s="48" t="s">
        <v>276</v>
      </c>
      <c r="N1392" s="51">
        <v>0.92</v>
      </c>
      <c r="O1392" s="51">
        <v>0.92830000000000001</v>
      </c>
      <c r="P1392" s="52">
        <v>91</v>
      </c>
      <c r="Q1392" s="52">
        <v>91</v>
      </c>
      <c r="R1392" s="53" t="str">
        <f>INDEX(SKU_Master!$D$5:$D$34,MATCH($I1392,SKU_Master!$A$5:$A$34,0))</f>
        <v>Accessory</v>
      </c>
      <c r="S1392" s="54">
        <f t="shared" si="294"/>
        <v>8.9629629629630614E-3</v>
      </c>
      <c r="T1392" s="55">
        <f t="shared" si="295"/>
        <v>440.21739130434781</v>
      </c>
      <c r="U1392" s="55">
        <f t="shared" si="296"/>
        <v>436.27173913043475</v>
      </c>
      <c r="V1392" s="55">
        <f t="shared" si="297"/>
        <v>-3.9456521739130608</v>
      </c>
      <c r="W1392" s="55">
        <f t="shared" si="298"/>
        <v>432.37100075406659</v>
      </c>
      <c r="X1392" s="55">
        <f t="shared" si="299"/>
        <v>-3.9007383763681673</v>
      </c>
      <c r="Y1392" s="55">
        <f t="shared" si="300"/>
        <v>273</v>
      </c>
      <c r="Z1392" s="55">
        <f t="shared" si="301"/>
        <v>273</v>
      </c>
      <c r="AA1392" s="55">
        <f t="shared" si="302"/>
        <v>0</v>
      </c>
      <c r="AB1392" s="55">
        <f t="shared" si="303"/>
        <v>159.37100075406659</v>
      </c>
      <c r="AC1392" s="54">
        <f t="shared" si="304"/>
        <v>0.36859780252634727</v>
      </c>
      <c r="AD1392" s="56">
        <f>INDEX(Assumptions!$B$14:$B$16,MATCH($R1392,Assumptions!$A$14:$A$16,0))</f>
        <v>0.32</v>
      </c>
      <c r="AE1392" s="56">
        <f>INDEX(Assumptions!$C$14:$C$16,MATCH($R1392,Assumptions!$A$14:$A$16,0))</f>
        <v>0.22</v>
      </c>
      <c r="AF1392" s="49">
        <f t="shared" si="305"/>
        <v>0</v>
      </c>
      <c r="AG1392" s="49">
        <f t="shared" si="306"/>
        <v>0</v>
      </c>
      <c r="AH1392" s="55">
        <f t="shared" si="307"/>
        <v>0</v>
      </c>
    </row>
    <row r="1393" spans="1:34" x14ac:dyDescent="0.2">
      <c r="A1393" s="48" t="s">
        <v>1194</v>
      </c>
      <c r="B1393" s="48">
        <v>1</v>
      </c>
      <c r="C1393" s="48" t="s">
        <v>1168</v>
      </c>
      <c r="D1393" s="48" t="s">
        <v>1154</v>
      </c>
      <c r="E1393" s="48" t="s">
        <v>393</v>
      </c>
      <c r="F1393" s="48" t="s">
        <v>274</v>
      </c>
      <c r="G1393" s="48" t="s">
        <v>275</v>
      </c>
      <c r="H1393" s="48" t="s">
        <v>66</v>
      </c>
      <c r="I1393" s="48" t="s">
        <v>129</v>
      </c>
      <c r="J1393" s="49">
        <v>2</v>
      </c>
      <c r="K1393" s="50">
        <v>1075</v>
      </c>
      <c r="L1393" s="50">
        <v>1068.49</v>
      </c>
      <c r="M1393" s="48" t="s">
        <v>276</v>
      </c>
      <c r="N1393" s="51">
        <v>0.92</v>
      </c>
      <c r="O1393" s="51">
        <v>0.92830000000000001</v>
      </c>
      <c r="P1393" s="52">
        <v>978</v>
      </c>
      <c r="Q1393" s="52">
        <v>978</v>
      </c>
      <c r="R1393" s="53" t="str">
        <f>INDEX(SKU_Master!$D$5:$D$34,MATCH($I1393,SKU_Master!$A$5:$A$34,0))</f>
        <v>Laptop</v>
      </c>
      <c r="S1393" s="54">
        <f t="shared" si="294"/>
        <v>6.0558139534883093E-3</v>
      </c>
      <c r="T1393" s="55">
        <f t="shared" si="295"/>
        <v>2336.9565217391305</v>
      </c>
      <c r="U1393" s="55">
        <f t="shared" si="296"/>
        <v>2322.804347826087</v>
      </c>
      <c r="V1393" s="55">
        <f t="shared" si="297"/>
        <v>-14.152173913043498</v>
      </c>
      <c r="W1393" s="55">
        <f t="shared" si="298"/>
        <v>2302.0359797479264</v>
      </c>
      <c r="X1393" s="55">
        <f t="shared" si="299"/>
        <v>-20.76836807816062</v>
      </c>
      <c r="Y1393" s="55">
        <f t="shared" si="300"/>
        <v>1956</v>
      </c>
      <c r="Z1393" s="55">
        <f t="shared" si="301"/>
        <v>1956</v>
      </c>
      <c r="AA1393" s="55">
        <f t="shared" si="302"/>
        <v>0</v>
      </c>
      <c r="AB1393" s="55">
        <f t="shared" si="303"/>
        <v>346.03597974792638</v>
      </c>
      <c r="AC1393" s="54">
        <f t="shared" si="304"/>
        <v>0.15031736375632904</v>
      </c>
      <c r="AD1393" s="56">
        <f>INDEX(Assumptions!$B$14:$B$16,MATCH($R1393,Assumptions!$A$14:$A$16,0))</f>
        <v>0.12</v>
      </c>
      <c r="AE1393" s="56">
        <f>INDEX(Assumptions!$C$14:$C$16,MATCH($R1393,Assumptions!$A$14:$A$16,0))</f>
        <v>0.08</v>
      </c>
      <c r="AF1393" s="49">
        <f t="shared" si="305"/>
        <v>0</v>
      </c>
      <c r="AG1393" s="49">
        <f t="shared" si="306"/>
        <v>0</v>
      </c>
      <c r="AH1393" s="55">
        <f t="shared" si="307"/>
        <v>0</v>
      </c>
    </row>
    <row r="1394" spans="1:34" x14ac:dyDescent="0.2">
      <c r="A1394" s="48" t="s">
        <v>1194</v>
      </c>
      <c r="B1394" s="48">
        <v>2</v>
      </c>
      <c r="C1394" s="48" t="s">
        <v>1168</v>
      </c>
      <c r="D1394" s="48" t="s">
        <v>1154</v>
      </c>
      <c r="E1394" s="48" t="s">
        <v>393</v>
      </c>
      <c r="F1394" s="48" t="s">
        <v>274</v>
      </c>
      <c r="G1394" s="48" t="s">
        <v>275</v>
      </c>
      <c r="H1394" s="48" t="s">
        <v>66</v>
      </c>
      <c r="I1394" s="48" t="s">
        <v>135</v>
      </c>
      <c r="J1394" s="49">
        <v>1</v>
      </c>
      <c r="K1394" s="50">
        <v>255</v>
      </c>
      <c r="L1394" s="50">
        <v>254.57</v>
      </c>
      <c r="M1394" s="48" t="s">
        <v>276</v>
      </c>
      <c r="N1394" s="51">
        <v>0.92</v>
      </c>
      <c r="O1394" s="51">
        <v>0.92830000000000001</v>
      </c>
      <c r="P1394" s="52">
        <v>211.7</v>
      </c>
      <c r="Q1394" s="52">
        <v>211.7</v>
      </c>
      <c r="R1394" s="53" t="str">
        <f>INDEX(SKU_Master!$D$5:$D$34,MATCH($I1394,SKU_Master!$A$5:$A$34,0))</f>
        <v>Monitor</v>
      </c>
      <c r="S1394" s="54">
        <f t="shared" si="294"/>
        <v>1.6862745098039644E-3</v>
      </c>
      <c r="T1394" s="55">
        <f t="shared" si="295"/>
        <v>277.17391304347825</v>
      </c>
      <c r="U1394" s="55">
        <f t="shared" si="296"/>
        <v>276.70652173913044</v>
      </c>
      <c r="V1394" s="55">
        <f t="shared" si="297"/>
        <v>-0.46739130434781373</v>
      </c>
      <c r="W1394" s="55">
        <f t="shared" si="298"/>
        <v>274.23246795217062</v>
      </c>
      <c r="X1394" s="55">
        <f t="shared" si="299"/>
        <v>-2.4740537869598143</v>
      </c>
      <c r="Y1394" s="55">
        <f t="shared" si="300"/>
        <v>211.7</v>
      </c>
      <c r="Z1394" s="55">
        <f t="shared" si="301"/>
        <v>211.7</v>
      </c>
      <c r="AA1394" s="55">
        <f t="shared" si="302"/>
        <v>0</v>
      </c>
      <c r="AB1394" s="55">
        <f t="shared" si="303"/>
        <v>62.532467952170634</v>
      </c>
      <c r="AC1394" s="54">
        <f t="shared" si="304"/>
        <v>0.22802722237498527</v>
      </c>
      <c r="AD1394" s="56">
        <f>INDEX(Assumptions!$B$14:$B$16,MATCH($R1394,Assumptions!$A$14:$A$16,0))</f>
        <v>0.18</v>
      </c>
      <c r="AE1394" s="56">
        <f>INDEX(Assumptions!$C$14:$C$16,MATCH($R1394,Assumptions!$A$14:$A$16,0))</f>
        <v>0.12</v>
      </c>
      <c r="AF1394" s="49">
        <f t="shared" si="305"/>
        <v>0</v>
      </c>
      <c r="AG1394" s="49">
        <f t="shared" si="306"/>
        <v>0</v>
      </c>
      <c r="AH1394" s="55">
        <f t="shared" si="307"/>
        <v>0</v>
      </c>
    </row>
    <row r="1395" spans="1:34" x14ac:dyDescent="0.2">
      <c r="A1395" s="48" t="s">
        <v>1194</v>
      </c>
      <c r="B1395" s="48">
        <v>3</v>
      </c>
      <c r="C1395" s="48" t="s">
        <v>1168</v>
      </c>
      <c r="D1395" s="48" t="s">
        <v>1154</v>
      </c>
      <c r="E1395" s="48" t="s">
        <v>393</v>
      </c>
      <c r="F1395" s="48" t="s">
        <v>274</v>
      </c>
      <c r="G1395" s="48" t="s">
        <v>275</v>
      </c>
      <c r="H1395" s="48" t="s">
        <v>66</v>
      </c>
      <c r="I1395" s="48" t="s">
        <v>157</v>
      </c>
      <c r="J1395" s="49">
        <v>2</v>
      </c>
      <c r="K1395" s="50">
        <v>135</v>
      </c>
      <c r="L1395" s="50">
        <v>133.1</v>
      </c>
      <c r="M1395" s="48" t="s">
        <v>276</v>
      </c>
      <c r="N1395" s="51">
        <v>0.92</v>
      </c>
      <c r="O1395" s="51">
        <v>0.92830000000000001</v>
      </c>
      <c r="P1395" s="52">
        <v>91</v>
      </c>
      <c r="Q1395" s="52">
        <v>91</v>
      </c>
      <c r="R1395" s="53" t="str">
        <f>INDEX(SKU_Master!$D$5:$D$34,MATCH($I1395,SKU_Master!$A$5:$A$34,0))</f>
        <v>Accessory</v>
      </c>
      <c r="S1395" s="54">
        <f t="shared" si="294"/>
        <v>1.4074074074074128E-2</v>
      </c>
      <c r="T1395" s="55">
        <f t="shared" si="295"/>
        <v>293.47826086956519</v>
      </c>
      <c r="U1395" s="55">
        <f t="shared" si="296"/>
        <v>289.3478260869565</v>
      </c>
      <c r="V1395" s="55">
        <f t="shared" si="297"/>
        <v>-4.1304347826086882</v>
      </c>
      <c r="W1395" s="55">
        <f t="shared" si="298"/>
        <v>286.76074544866958</v>
      </c>
      <c r="X1395" s="55">
        <f t="shared" si="299"/>
        <v>-2.5870806382869205</v>
      </c>
      <c r="Y1395" s="55">
        <f t="shared" si="300"/>
        <v>182</v>
      </c>
      <c r="Z1395" s="55">
        <f t="shared" si="301"/>
        <v>182</v>
      </c>
      <c r="AA1395" s="55">
        <f t="shared" si="302"/>
        <v>0</v>
      </c>
      <c r="AB1395" s="55">
        <f t="shared" si="303"/>
        <v>104.76074544866958</v>
      </c>
      <c r="AC1395" s="54">
        <f t="shared" si="304"/>
        <v>0.36532456799398944</v>
      </c>
      <c r="AD1395" s="56">
        <f>INDEX(Assumptions!$B$14:$B$16,MATCH($R1395,Assumptions!$A$14:$A$16,0))</f>
        <v>0.32</v>
      </c>
      <c r="AE1395" s="56">
        <f>INDEX(Assumptions!$C$14:$C$16,MATCH($R1395,Assumptions!$A$14:$A$16,0))</f>
        <v>0.22</v>
      </c>
      <c r="AF1395" s="49">
        <f t="shared" si="305"/>
        <v>0</v>
      </c>
      <c r="AG1395" s="49">
        <f t="shared" si="306"/>
        <v>0</v>
      </c>
      <c r="AH1395" s="55">
        <f t="shared" si="307"/>
        <v>0</v>
      </c>
    </row>
    <row r="1396" spans="1:34" x14ac:dyDescent="0.2">
      <c r="A1396" s="48" t="s">
        <v>1195</v>
      </c>
      <c r="B1396" s="48">
        <v>1</v>
      </c>
      <c r="C1396" s="48" t="s">
        <v>1185</v>
      </c>
      <c r="D1396" s="48" t="s">
        <v>1154</v>
      </c>
      <c r="E1396" s="48" t="s">
        <v>393</v>
      </c>
      <c r="F1396" s="48" t="s">
        <v>274</v>
      </c>
      <c r="G1396" s="48" t="s">
        <v>275</v>
      </c>
      <c r="H1396" s="48" t="s">
        <v>66</v>
      </c>
      <c r="I1396" s="48" t="s">
        <v>108</v>
      </c>
      <c r="J1396" s="49">
        <v>5</v>
      </c>
      <c r="K1396" s="50">
        <v>1280</v>
      </c>
      <c r="L1396" s="50">
        <v>1267.06</v>
      </c>
      <c r="M1396" s="48" t="s">
        <v>276</v>
      </c>
      <c r="N1396" s="51">
        <v>0.92</v>
      </c>
      <c r="O1396" s="51">
        <v>0.92830000000000001</v>
      </c>
      <c r="P1396" s="52">
        <v>1165</v>
      </c>
      <c r="Q1396" s="52">
        <v>1232.6199999999999</v>
      </c>
      <c r="R1396" s="53" t="str">
        <f>INDEX(SKU_Master!$D$5:$D$34,MATCH($I1396,SKU_Master!$A$5:$A$34,0))</f>
        <v>Laptop</v>
      </c>
      <c r="S1396" s="54">
        <f t="shared" si="294"/>
        <v>1.0109375000000087E-2</v>
      </c>
      <c r="T1396" s="55">
        <f t="shared" si="295"/>
        <v>6956.5217391304341</v>
      </c>
      <c r="U1396" s="55">
        <f t="shared" si="296"/>
        <v>6886.1956521739121</v>
      </c>
      <c r="V1396" s="55">
        <f t="shared" si="297"/>
        <v>-70.326086956521976</v>
      </c>
      <c r="W1396" s="55">
        <f t="shared" si="298"/>
        <v>6824.6256598082509</v>
      </c>
      <c r="X1396" s="55">
        <f t="shared" si="299"/>
        <v>-61.569992365661165</v>
      </c>
      <c r="Y1396" s="55">
        <f t="shared" si="300"/>
        <v>5825</v>
      </c>
      <c r="Z1396" s="55">
        <f t="shared" si="301"/>
        <v>6163.0999999999995</v>
      </c>
      <c r="AA1396" s="55">
        <f t="shared" si="302"/>
        <v>-338.09999999999945</v>
      </c>
      <c r="AB1396" s="55">
        <f t="shared" si="303"/>
        <v>661.52565980825148</v>
      </c>
      <c r="AC1396" s="54">
        <f t="shared" si="304"/>
        <v>9.6932153173488217E-2</v>
      </c>
      <c r="AD1396" s="56">
        <f>INDEX(Assumptions!$B$14:$B$16,MATCH($R1396,Assumptions!$A$14:$A$16,0))</f>
        <v>0.12</v>
      </c>
      <c r="AE1396" s="56">
        <f>INDEX(Assumptions!$C$14:$C$16,MATCH($R1396,Assumptions!$A$14:$A$16,0))</f>
        <v>0.08</v>
      </c>
      <c r="AF1396" s="49">
        <f t="shared" si="305"/>
        <v>0</v>
      </c>
      <c r="AG1396" s="49">
        <f t="shared" si="306"/>
        <v>0</v>
      </c>
      <c r="AH1396" s="55">
        <f t="shared" si="307"/>
        <v>157.42941936873865</v>
      </c>
    </row>
    <row r="1397" spans="1:34" x14ac:dyDescent="0.2">
      <c r="A1397" s="48" t="s">
        <v>1195</v>
      </c>
      <c r="B1397" s="48">
        <v>2</v>
      </c>
      <c r="C1397" s="48" t="s">
        <v>1185</v>
      </c>
      <c r="D1397" s="48" t="s">
        <v>1154</v>
      </c>
      <c r="E1397" s="48" t="s">
        <v>393</v>
      </c>
      <c r="F1397" s="48" t="s">
        <v>274</v>
      </c>
      <c r="G1397" s="48" t="s">
        <v>275</v>
      </c>
      <c r="H1397" s="48" t="s">
        <v>66</v>
      </c>
      <c r="I1397" s="48" t="s">
        <v>144</v>
      </c>
      <c r="J1397" s="49">
        <v>5</v>
      </c>
      <c r="K1397" s="50">
        <v>375</v>
      </c>
      <c r="L1397" s="50">
        <v>373.15</v>
      </c>
      <c r="M1397" s="48" t="s">
        <v>276</v>
      </c>
      <c r="N1397" s="51">
        <v>0.92</v>
      </c>
      <c r="O1397" s="51">
        <v>0.92830000000000001</v>
      </c>
      <c r="P1397" s="52">
        <v>314.60000000000002</v>
      </c>
      <c r="Q1397" s="52">
        <v>314.60000000000002</v>
      </c>
      <c r="R1397" s="53" t="str">
        <f>INDEX(SKU_Master!$D$5:$D$34,MATCH($I1397,SKU_Master!$A$5:$A$34,0))</f>
        <v>Monitor</v>
      </c>
      <c r="S1397" s="54">
        <f t="shared" si="294"/>
        <v>4.9333333333333451E-3</v>
      </c>
      <c r="T1397" s="55">
        <f t="shared" si="295"/>
        <v>2038.0434782608695</v>
      </c>
      <c r="U1397" s="55">
        <f t="shared" si="296"/>
        <v>2027.9891304347825</v>
      </c>
      <c r="V1397" s="55">
        <f t="shared" si="297"/>
        <v>-10.054347826086996</v>
      </c>
      <c r="W1397" s="55">
        <f t="shared" si="298"/>
        <v>2009.8567273510719</v>
      </c>
      <c r="X1397" s="55">
        <f t="shared" si="299"/>
        <v>-18.132403083710642</v>
      </c>
      <c r="Y1397" s="55">
        <f t="shared" si="300"/>
        <v>1573</v>
      </c>
      <c r="Z1397" s="55">
        <f t="shared" si="301"/>
        <v>1573</v>
      </c>
      <c r="AA1397" s="55">
        <f t="shared" si="302"/>
        <v>0</v>
      </c>
      <c r="AB1397" s="55">
        <f t="shared" si="303"/>
        <v>436.85672735107187</v>
      </c>
      <c r="AC1397" s="54">
        <f t="shared" si="304"/>
        <v>0.21735714859975883</v>
      </c>
      <c r="AD1397" s="56">
        <f>INDEX(Assumptions!$B$14:$B$16,MATCH($R1397,Assumptions!$A$14:$A$16,0))</f>
        <v>0.18</v>
      </c>
      <c r="AE1397" s="56">
        <f>INDEX(Assumptions!$C$14:$C$16,MATCH($R1397,Assumptions!$A$14:$A$16,0))</f>
        <v>0.12</v>
      </c>
      <c r="AF1397" s="49">
        <f t="shared" si="305"/>
        <v>0</v>
      </c>
      <c r="AG1397" s="49">
        <f t="shared" si="306"/>
        <v>0</v>
      </c>
      <c r="AH1397" s="55">
        <f t="shared" si="307"/>
        <v>0</v>
      </c>
    </row>
    <row r="1398" spans="1:34" x14ac:dyDescent="0.2">
      <c r="A1398" s="48" t="s">
        <v>1195</v>
      </c>
      <c r="B1398" s="48">
        <v>3</v>
      </c>
      <c r="C1398" s="48" t="s">
        <v>1185</v>
      </c>
      <c r="D1398" s="48" t="s">
        <v>1154</v>
      </c>
      <c r="E1398" s="48" t="s">
        <v>393</v>
      </c>
      <c r="F1398" s="48" t="s">
        <v>274</v>
      </c>
      <c r="G1398" s="48" t="s">
        <v>275</v>
      </c>
      <c r="H1398" s="48" t="s">
        <v>66</v>
      </c>
      <c r="I1398" s="48" t="s">
        <v>177</v>
      </c>
      <c r="J1398" s="49">
        <v>4</v>
      </c>
      <c r="K1398" s="50">
        <v>75</v>
      </c>
      <c r="L1398" s="50">
        <v>74.61</v>
      </c>
      <c r="M1398" s="48" t="s">
        <v>276</v>
      </c>
      <c r="N1398" s="51">
        <v>0.92</v>
      </c>
      <c r="O1398" s="51">
        <v>0.92830000000000001</v>
      </c>
      <c r="P1398" s="52">
        <v>49</v>
      </c>
      <c r="Q1398" s="52">
        <v>49</v>
      </c>
      <c r="R1398" s="53" t="str">
        <f>INDEX(SKU_Master!$D$5:$D$34,MATCH($I1398,SKU_Master!$A$5:$A$34,0))</f>
        <v>Accessory</v>
      </c>
      <c r="S1398" s="54">
        <f t="shared" si="294"/>
        <v>5.1999999999999824E-3</v>
      </c>
      <c r="T1398" s="55">
        <f t="shared" si="295"/>
        <v>326.08695652173913</v>
      </c>
      <c r="U1398" s="55">
        <f t="shared" si="296"/>
        <v>324.39130434782606</v>
      </c>
      <c r="V1398" s="55">
        <f t="shared" si="297"/>
        <v>-1.6956521739130608</v>
      </c>
      <c r="W1398" s="55">
        <f t="shared" si="298"/>
        <v>321.49089733922222</v>
      </c>
      <c r="X1398" s="55">
        <f t="shared" si="299"/>
        <v>-2.9004070086038496</v>
      </c>
      <c r="Y1398" s="55">
        <f t="shared" si="300"/>
        <v>196</v>
      </c>
      <c r="Z1398" s="55">
        <f t="shared" si="301"/>
        <v>196</v>
      </c>
      <c r="AA1398" s="55">
        <f t="shared" si="302"/>
        <v>0</v>
      </c>
      <c r="AB1398" s="55">
        <f t="shared" si="303"/>
        <v>125.49089733922222</v>
      </c>
      <c r="AC1398" s="54">
        <f t="shared" si="304"/>
        <v>0.39034043693874815</v>
      </c>
      <c r="AD1398" s="56">
        <f>INDEX(Assumptions!$B$14:$B$16,MATCH($R1398,Assumptions!$A$14:$A$16,0))</f>
        <v>0.32</v>
      </c>
      <c r="AE1398" s="56">
        <f>INDEX(Assumptions!$C$14:$C$16,MATCH($R1398,Assumptions!$A$14:$A$16,0))</f>
        <v>0.22</v>
      </c>
      <c r="AF1398" s="49">
        <f t="shared" si="305"/>
        <v>0</v>
      </c>
      <c r="AG1398" s="49">
        <f t="shared" si="306"/>
        <v>0</v>
      </c>
      <c r="AH1398" s="55">
        <f t="shared" si="307"/>
        <v>0</v>
      </c>
    </row>
    <row r="1399" spans="1:34" x14ac:dyDescent="0.2">
      <c r="A1399" s="48" t="s">
        <v>1196</v>
      </c>
      <c r="B1399" s="48">
        <v>1</v>
      </c>
      <c r="C1399" s="48" t="s">
        <v>1188</v>
      </c>
      <c r="D1399" s="48" t="s">
        <v>1154</v>
      </c>
      <c r="E1399" s="48" t="s">
        <v>346</v>
      </c>
      <c r="F1399" s="48" t="s">
        <v>297</v>
      </c>
      <c r="G1399" s="48" t="s">
        <v>302</v>
      </c>
      <c r="H1399" s="48" t="s">
        <v>62</v>
      </c>
      <c r="I1399" s="48" t="s">
        <v>113</v>
      </c>
      <c r="J1399" s="49">
        <v>69</v>
      </c>
      <c r="K1399" s="50">
        <v>1740</v>
      </c>
      <c r="L1399" s="50">
        <v>1693.02</v>
      </c>
      <c r="M1399" s="48" t="s">
        <v>276</v>
      </c>
      <c r="N1399" s="51">
        <v>1</v>
      </c>
      <c r="O1399" s="51">
        <v>1</v>
      </c>
      <c r="P1399" s="52">
        <v>1484.8</v>
      </c>
      <c r="Q1399" s="52">
        <v>1484.8</v>
      </c>
      <c r="R1399" s="53" t="str">
        <f>INDEX(SKU_Master!$D$5:$D$34,MATCH($I1399,SKU_Master!$A$5:$A$34,0))</f>
        <v>Laptop</v>
      </c>
      <c r="S1399" s="54">
        <f t="shared" si="294"/>
        <v>2.7000000000000024E-2</v>
      </c>
      <c r="T1399" s="55">
        <f t="shared" si="295"/>
        <v>120060</v>
      </c>
      <c r="U1399" s="55">
        <f t="shared" si="296"/>
        <v>116818.38</v>
      </c>
      <c r="V1399" s="55">
        <f t="shared" si="297"/>
        <v>-3241.6199999999953</v>
      </c>
      <c r="W1399" s="55">
        <f t="shared" si="298"/>
        <v>116818.38</v>
      </c>
      <c r="X1399" s="55">
        <f t="shared" si="299"/>
        <v>0</v>
      </c>
      <c r="Y1399" s="55">
        <f t="shared" si="300"/>
        <v>102451.2</v>
      </c>
      <c r="Z1399" s="55">
        <f t="shared" si="301"/>
        <v>102451.2</v>
      </c>
      <c r="AA1399" s="55">
        <f t="shared" si="302"/>
        <v>0</v>
      </c>
      <c r="AB1399" s="55">
        <f t="shared" si="303"/>
        <v>14367.180000000008</v>
      </c>
      <c r="AC1399" s="54">
        <f t="shared" si="304"/>
        <v>0.12298732442617341</v>
      </c>
      <c r="AD1399" s="56">
        <f>INDEX(Assumptions!$B$14:$B$16,MATCH($R1399,Assumptions!$A$14:$A$16,0))</f>
        <v>0.12</v>
      </c>
      <c r="AE1399" s="56">
        <f>INDEX(Assumptions!$C$14:$C$16,MATCH($R1399,Assumptions!$A$14:$A$16,0))</f>
        <v>0.08</v>
      </c>
      <c r="AF1399" s="49">
        <f t="shared" si="305"/>
        <v>0</v>
      </c>
      <c r="AG1399" s="49">
        <f t="shared" si="306"/>
        <v>0</v>
      </c>
      <c r="AH1399" s="55">
        <f t="shared" si="307"/>
        <v>0</v>
      </c>
    </row>
    <row r="1400" spans="1:34" x14ac:dyDescent="0.2">
      <c r="A1400" s="48" t="s">
        <v>1196</v>
      </c>
      <c r="B1400" s="48">
        <v>2</v>
      </c>
      <c r="C1400" s="48" t="s">
        <v>1188</v>
      </c>
      <c r="D1400" s="48" t="s">
        <v>1154</v>
      </c>
      <c r="E1400" s="48" t="s">
        <v>346</v>
      </c>
      <c r="F1400" s="48" t="s">
        <v>297</v>
      </c>
      <c r="G1400" s="48" t="s">
        <v>302</v>
      </c>
      <c r="H1400" s="48" t="s">
        <v>62</v>
      </c>
      <c r="I1400" s="48" t="s">
        <v>135</v>
      </c>
      <c r="J1400" s="49">
        <v>73</v>
      </c>
      <c r="K1400" s="50">
        <v>240</v>
      </c>
      <c r="L1400" s="50">
        <v>227.19</v>
      </c>
      <c r="M1400" s="48" t="s">
        <v>276</v>
      </c>
      <c r="N1400" s="51">
        <v>1</v>
      </c>
      <c r="O1400" s="51">
        <v>1</v>
      </c>
      <c r="P1400" s="52">
        <v>186.7</v>
      </c>
      <c r="Q1400" s="52">
        <v>186.7</v>
      </c>
      <c r="R1400" s="53" t="str">
        <f>INDEX(SKU_Master!$D$5:$D$34,MATCH($I1400,SKU_Master!$A$5:$A$34,0))</f>
        <v>Monitor</v>
      </c>
      <c r="S1400" s="54">
        <f t="shared" si="294"/>
        <v>5.3375000000000061E-2</v>
      </c>
      <c r="T1400" s="55">
        <f t="shared" si="295"/>
        <v>17520</v>
      </c>
      <c r="U1400" s="55">
        <f t="shared" si="296"/>
        <v>16584.87</v>
      </c>
      <c r="V1400" s="55">
        <f t="shared" si="297"/>
        <v>-935.13000000000102</v>
      </c>
      <c r="W1400" s="55">
        <f t="shared" si="298"/>
        <v>16584.87</v>
      </c>
      <c r="X1400" s="55">
        <f t="shared" si="299"/>
        <v>0</v>
      </c>
      <c r="Y1400" s="55">
        <f t="shared" si="300"/>
        <v>13629.099999999999</v>
      </c>
      <c r="Z1400" s="55">
        <f t="shared" si="301"/>
        <v>13629.099999999999</v>
      </c>
      <c r="AA1400" s="55">
        <f t="shared" si="302"/>
        <v>0</v>
      </c>
      <c r="AB1400" s="55">
        <f t="shared" si="303"/>
        <v>2955.7700000000004</v>
      </c>
      <c r="AC1400" s="54">
        <f t="shared" si="304"/>
        <v>0.17822087239755274</v>
      </c>
      <c r="AD1400" s="56">
        <f>INDEX(Assumptions!$B$14:$B$16,MATCH($R1400,Assumptions!$A$14:$A$16,0))</f>
        <v>0.18</v>
      </c>
      <c r="AE1400" s="56">
        <f>INDEX(Assumptions!$C$14:$C$16,MATCH($R1400,Assumptions!$A$14:$A$16,0))</f>
        <v>0.12</v>
      </c>
      <c r="AF1400" s="49">
        <f t="shared" si="305"/>
        <v>0</v>
      </c>
      <c r="AG1400" s="49">
        <f t="shared" si="306"/>
        <v>0</v>
      </c>
      <c r="AH1400" s="55">
        <f t="shared" si="307"/>
        <v>29.506599999999253</v>
      </c>
    </row>
    <row r="1401" spans="1:34" x14ac:dyDescent="0.2">
      <c r="A1401" s="48" t="s">
        <v>1196</v>
      </c>
      <c r="B1401" s="48">
        <v>3</v>
      </c>
      <c r="C1401" s="48" t="s">
        <v>1188</v>
      </c>
      <c r="D1401" s="48" t="s">
        <v>1154</v>
      </c>
      <c r="E1401" s="48" t="s">
        <v>346</v>
      </c>
      <c r="F1401" s="48" t="s">
        <v>297</v>
      </c>
      <c r="G1401" s="48" t="s">
        <v>302</v>
      </c>
      <c r="H1401" s="48" t="s">
        <v>62</v>
      </c>
      <c r="I1401" s="48" t="s">
        <v>173</v>
      </c>
      <c r="J1401" s="49">
        <v>35</v>
      </c>
      <c r="K1401" s="50">
        <v>55</v>
      </c>
      <c r="L1401" s="50">
        <v>50.85</v>
      </c>
      <c r="M1401" s="48" t="s">
        <v>276</v>
      </c>
      <c r="N1401" s="51">
        <v>1</v>
      </c>
      <c r="O1401" s="51">
        <v>1</v>
      </c>
      <c r="P1401" s="52">
        <v>34</v>
      </c>
      <c r="Q1401" s="52">
        <v>34</v>
      </c>
      <c r="R1401" s="53" t="str">
        <f>INDEX(SKU_Master!$D$5:$D$34,MATCH($I1401,SKU_Master!$A$5:$A$34,0))</f>
        <v>Accessory</v>
      </c>
      <c r="S1401" s="54">
        <f t="shared" si="294"/>
        <v>7.5454545454545441E-2</v>
      </c>
      <c r="T1401" s="55">
        <f t="shared" si="295"/>
        <v>1925</v>
      </c>
      <c r="U1401" s="55">
        <f t="shared" si="296"/>
        <v>1779.75</v>
      </c>
      <c r="V1401" s="55">
        <f t="shared" si="297"/>
        <v>-145.25</v>
      </c>
      <c r="W1401" s="55">
        <f t="shared" si="298"/>
        <v>1779.75</v>
      </c>
      <c r="X1401" s="55">
        <f t="shared" si="299"/>
        <v>0</v>
      </c>
      <c r="Y1401" s="55">
        <f t="shared" si="300"/>
        <v>1190</v>
      </c>
      <c r="Z1401" s="55">
        <f t="shared" si="301"/>
        <v>1190</v>
      </c>
      <c r="AA1401" s="55">
        <f t="shared" si="302"/>
        <v>0</v>
      </c>
      <c r="AB1401" s="55">
        <f t="shared" si="303"/>
        <v>589.75</v>
      </c>
      <c r="AC1401" s="54">
        <f t="shared" si="304"/>
        <v>0.33136676499508355</v>
      </c>
      <c r="AD1401" s="56">
        <f>INDEX(Assumptions!$B$14:$B$16,MATCH($R1401,Assumptions!$A$14:$A$16,0))</f>
        <v>0.32</v>
      </c>
      <c r="AE1401" s="56">
        <f>INDEX(Assumptions!$C$14:$C$16,MATCH($R1401,Assumptions!$A$14:$A$16,0))</f>
        <v>0.22</v>
      </c>
      <c r="AF1401" s="49">
        <f t="shared" si="305"/>
        <v>0</v>
      </c>
      <c r="AG1401" s="49">
        <f t="shared" si="306"/>
        <v>0</v>
      </c>
      <c r="AH1401" s="55">
        <f t="shared" si="307"/>
        <v>0</v>
      </c>
    </row>
    <row r="1402" spans="1:34" x14ac:dyDescent="0.2">
      <c r="A1402" s="48" t="s">
        <v>1197</v>
      </c>
      <c r="B1402" s="48">
        <v>1</v>
      </c>
      <c r="C1402" s="48" t="s">
        <v>1168</v>
      </c>
      <c r="D1402" s="48" t="s">
        <v>1154</v>
      </c>
      <c r="E1402" s="48" t="s">
        <v>360</v>
      </c>
      <c r="F1402" s="48" t="s">
        <v>280</v>
      </c>
      <c r="G1402" s="48" t="s">
        <v>275</v>
      </c>
      <c r="H1402" s="48" t="s">
        <v>68</v>
      </c>
      <c r="I1402" s="48" t="s">
        <v>110</v>
      </c>
      <c r="J1402" s="49">
        <v>19</v>
      </c>
      <c r="K1402" s="50">
        <v>1645</v>
      </c>
      <c r="L1402" s="50">
        <v>1595.43</v>
      </c>
      <c r="M1402" s="48" t="s">
        <v>276</v>
      </c>
      <c r="N1402" s="51">
        <v>1.37</v>
      </c>
      <c r="O1402" s="51">
        <v>1.3706</v>
      </c>
      <c r="P1402" s="52">
        <v>1004.65</v>
      </c>
      <c r="Q1402" s="52">
        <v>1004.65</v>
      </c>
      <c r="R1402" s="53" t="str">
        <f>INDEX(SKU_Master!$D$5:$D$34,MATCH($I1402,SKU_Master!$A$5:$A$34,0))</f>
        <v>Laptop</v>
      </c>
      <c r="S1402" s="54">
        <f t="shared" si="294"/>
        <v>3.0133738601823667E-2</v>
      </c>
      <c r="T1402" s="55">
        <f t="shared" si="295"/>
        <v>22813.868613138686</v>
      </c>
      <c r="U1402" s="55">
        <f t="shared" si="296"/>
        <v>22126.401459854013</v>
      </c>
      <c r="V1402" s="55">
        <f t="shared" si="297"/>
        <v>-687.46715328467326</v>
      </c>
      <c r="W1402" s="55">
        <f t="shared" si="298"/>
        <v>22116.715307164744</v>
      </c>
      <c r="X1402" s="55">
        <f t="shared" si="299"/>
        <v>-9.6861526892680558</v>
      </c>
      <c r="Y1402" s="55">
        <f t="shared" si="300"/>
        <v>19088.349999999999</v>
      </c>
      <c r="Z1402" s="55">
        <f t="shared" si="301"/>
        <v>19088.349999999999</v>
      </c>
      <c r="AA1402" s="55">
        <f t="shared" si="302"/>
        <v>0</v>
      </c>
      <c r="AB1402" s="55">
        <f t="shared" si="303"/>
        <v>3028.3653071647459</v>
      </c>
      <c r="AC1402" s="54">
        <f t="shared" si="304"/>
        <v>0.13692654018039027</v>
      </c>
      <c r="AD1402" s="56">
        <f>INDEX(Assumptions!$B$14:$B$16,MATCH($R1402,Assumptions!$A$14:$A$16,0))</f>
        <v>0.12</v>
      </c>
      <c r="AE1402" s="56">
        <f>INDEX(Assumptions!$C$14:$C$16,MATCH($R1402,Assumptions!$A$14:$A$16,0))</f>
        <v>0.08</v>
      </c>
      <c r="AF1402" s="49">
        <f t="shared" si="305"/>
        <v>0</v>
      </c>
      <c r="AG1402" s="49">
        <f t="shared" si="306"/>
        <v>0</v>
      </c>
      <c r="AH1402" s="55">
        <f t="shared" si="307"/>
        <v>0</v>
      </c>
    </row>
    <row r="1403" spans="1:34" x14ac:dyDescent="0.2">
      <c r="A1403" s="48" t="s">
        <v>1197</v>
      </c>
      <c r="B1403" s="48">
        <v>2</v>
      </c>
      <c r="C1403" s="48" t="s">
        <v>1168</v>
      </c>
      <c r="D1403" s="48" t="s">
        <v>1154</v>
      </c>
      <c r="E1403" s="48" t="s">
        <v>360</v>
      </c>
      <c r="F1403" s="48" t="s">
        <v>280</v>
      </c>
      <c r="G1403" s="48" t="s">
        <v>275</v>
      </c>
      <c r="H1403" s="48" t="s">
        <v>68</v>
      </c>
      <c r="I1403" s="48" t="s">
        <v>138</v>
      </c>
      <c r="J1403" s="49">
        <v>16</v>
      </c>
      <c r="K1403" s="50">
        <v>665</v>
      </c>
      <c r="L1403" s="50">
        <v>637.44000000000005</v>
      </c>
      <c r="M1403" s="48" t="s">
        <v>276</v>
      </c>
      <c r="N1403" s="51">
        <v>1.37</v>
      </c>
      <c r="O1403" s="51">
        <v>1.3706</v>
      </c>
      <c r="P1403" s="52">
        <v>373.2</v>
      </c>
      <c r="Q1403" s="52">
        <v>373.2</v>
      </c>
      <c r="R1403" s="53" t="str">
        <f>INDEX(SKU_Master!$D$5:$D$34,MATCH($I1403,SKU_Master!$A$5:$A$34,0))</f>
        <v>Monitor</v>
      </c>
      <c r="S1403" s="54">
        <f t="shared" si="294"/>
        <v>4.1443609022556283E-2</v>
      </c>
      <c r="T1403" s="55">
        <f t="shared" si="295"/>
        <v>7766.4233576642328</v>
      </c>
      <c r="U1403" s="55">
        <f t="shared" si="296"/>
        <v>7444.5547445255479</v>
      </c>
      <c r="V1403" s="55">
        <f t="shared" si="297"/>
        <v>-321.86861313868485</v>
      </c>
      <c r="W1403" s="55">
        <f t="shared" si="298"/>
        <v>7441.2957828688168</v>
      </c>
      <c r="X1403" s="55">
        <f t="shared" si="299"/>
        <v>-3.2589616567311168</v>
      </c>
      <c r="Y1403" s="55">
        <f t="shared" si="300"/>
        <v>5971.2</v>
      </c>
      <c r="Z1403" s="55">
        <f t="shared" si="301"/>
        <v>5971.2</v>
      </c>
      <c r="AA1403" s="55">
        <f t="shared" si="302"/>
        <v>0</v>
      </c>
      <c r="AB1403" s="55">
        <f t="shared" si="303"/>
        <v>1470.095782868817</v>
      </c>
      <c r="AC1403" s="54">
        <f t="shared" si="304"/>
        <v>0.19755911144578317</v>
      </c>
      <c r="AD1403" s="56">
        <f>INDEX(Assumptions!$B$14:$B$16,MATCH($R1403,Assumptions!$A$14:$A$16,0))</f>
        <v>0.18</v>
      </c>
      <c r="AE1403" s="56">
        <f>INDEX(Assumptions!$C$14:$C$16,MATCH($R1403,Assumptions!$A$14:$A$16,0))</f>
        <v>0.12</v>
      </c>
      <c r="AF1403" s="49">
        <f t="shared" si="305"/>
        <v>0</v>
      </c>
      <c r="AG1403" s="49">
        <f t="shared" si="306"/>
        <v>0</v>
      </c>
      <c r="AH1403" s="55">
        <f t="shared" si="307"/>
        <v>0</v>
      </c>
    </row>
    <row r="1404" spans="1:34" x14ac:dyDescent="0.2">
      <c r="A1404" s="48" t="s">
        <v>1198</v>
      </c>
      <c r="B1404" s="48">
        <v>1</v>
      </c>
      <c r="C1404" s="48" t="s">
        <v>1199</v>
      </c>
      <c r="D1404" s="48" t="s">
        <v>1154</v>
      </c>
      <c r="E1404" s="48" t="s">
        <v>417</v>
      </c>
      <c r="F1404" s="48" t="s">
        <v>280</v>
      </c>
      <c r="G1404" s="48" t="s">
        <v>298</v>
      </c>
      <c r="H1404" s="48" t="s">
        <v>62</v>
      </c>
      <c r="I1404" s="48" t="s">
        <v>110</v>
      </c>
      <c r="J1404" s="49">
        <v>22</v>
      </c>
      <c r="K1404" s="50">
        <v>1165</v>
      </c>
      <c r="L1404" s="50">
        <v>1135.69</v>
      </c>
      <c r="M1404" s="48" t="s">
        <v>276</v>
      </c>
      <c r="N1404" s="51">
        <v>1</v>
      </c>
      <c r="O1404" s="51">
        <v>1</v>
      </c>
      <c r="P1404" s="52">
        <v>992.65</v>
      </c>
      <c r="Q1404" s="52">
        <v>992.65</v>
      </c>
      <c r="R1404" s="53" t="str">
        <f>INDEX(SKU_Master!$D$5:$D$34,MATCH($I1404,SKU_Master!$A$5:$A$34,0))</f>
        <v>Laptop</v>
      </c>
      <c r="S1404" s="54">
        <f t="shared" si="294"/>
        <v>2.515879828326173E-2</v>
      </c>
      <c r="T1404" s="55">
        <f t="shared" si="295"/>
        <v>25630</v>
      </c>
      <c r="U1404" s="55">
        <f t="shared" si="296"/>
        <v>24985.18</v>
      </c>
      <c r="V1404" s="55">
        <f t="shared" si="297"/>
        <v>-644.81999999999971</v>
      </c>
      <c r="W1404" s="55">
        <f t="shared" si="298"/>
        <v>24985.18</v>
      </c>
      <c r="X1404" s="55">
        <f t="shared" si="299"/>
        <v>0</v>
      </c>
      <c r="Y1404" s="55">
        <f t="shared" si="300"/>
        <v>21838.3</v>
      </c>
      <c r="Z1404" s="55">
        <f t="shared" si="301"/>
        <v>21838.3</v>
      </c>
      <c r="AA1404" s="55">
        <f t="shared" si="302"/>
        <v>0</v>
      </c>
      <c r="AB1404" s="55">
        <f t="shared" si="303"/>
        <v>3146.880000000001</v>
      </c>
      <c r="AC1404" s="54">
        <f t="shared" si="304"/>
        <v>0.12594986307883319</v>
      </c>
      <c r="AD1404" s="56">
        <f>INDEX(Assumptions!$B$14:$B$16,MATCH($R1404,Assumptions!$A$14:$A$16,0))</f>
        <v>0.12</v>
      </c>
      <c r="AE1404" s="56">
        <f>INDEX(Assumptions!$C$14:$C$16,MATCH($R1404,Assumptions!$A$14:$A$16,0))</f>
        <v>0.08</v>
      </c>
      <c r="AF1404" s="49">
        <f t="shared" si="305"/>
        <v>0</v>
      </c>
      <c r="AG1404" s="49">
        <f t="shared" si="306"/>
        <v>0</v>
      </c>
      <c r="AH1404" s="55">
        <f t="shared" si="307"/>
        <v>0</v>
      </c>
    </row>
    <row r="1405" spans="1:34" x14ac:dyDescent="0.2">
      <c r="A1405" s="48" t="s">
        <v>1198</v>
      </c>
      <c r="B1405" s="48">
        <v>2</v>
      </c>
      <c r="C1405" s="48" t="s">
        <v>1199</v>
      </c>
      <c r="D1405" s="48" t="s">
        <v>1154</v>
      </c>
      <c r="E1405" s="48" t="s">
        <v>417</v>
      </c>
      <c r="F1405" s="48" t="s">
        <v>280</v>
      </c>
      <c r="G1405" s="48" t="s">
        <v>298</v>
      </c>
      <c r="H1405" s="48" t="s">
        <v>62</v>
      </c>
      <c r="I1405" s="48" t="s">
        <v>141</v>
      </c>
      <c r="J1405" s="49">
        <v>16</v>
      </c>
      <c r="K1405" s="50">
        <v>450</v>
      </c>
      <c r="L1405" s="50">
        <v>433.57</v>
      </c>
      <c r="M1405" s="48" t="s">
        <v>276</v>
      </c>
      <c r="N1405" s="51">
        <v>1</v>
      </c>
      <c r="O1405" s="51">
        <v>1</v>
      </c>
      <c r="P1405" s="52">
        <v>351.7</v>
      </c>
      <c r="Q1405" s="52">
        <v>351.7</v>
      </c>
      <c r="R1405" s="53" t="str">
        <f>INDEX(SKU_Master!$D$5:$D$34,MATCH($I1405,SKU_Master!$A$5:$A$34,0))</f>
        <v>Monitor</v>
      </c>
      <c r="S1405" s="54">
        <f t="shared" si="294"/>
        <v>3.6511111111111161E-2</v>
      </c>
      <c r="T1405" s="55">
        <f t="shared" si="295"/>
        <v>7200</v>
      </c>
      <c r="U1405" s="55">
        <f t="shared" si="296"/>
        <v>6937.12</v>
      </c>
      <c r="V1405" s="55">
        <f t="shared" si="297"/>
        <v>-262.88000000000011</v>
      </c>
      <c r="W1405" s="55">
        <f t="shared" si="298"/>
        <v>6937.12</v>
      </c>
      <c r="X1405" s="55">
        <f t="shared" si="299"/>
        <v>0</v>
      </c>
      <c r="Y1405" s="55">
        <f t="shared" si="300"/>
        <v>5627.2</v>
      </c>
      <c r="Z1405" s="55">
        <f t="shared" si="301"/>
        <v>5627.2</v>
      </c>
      <c r="AA1405" s="55">
        <f t="shared" si="302"/>
        <v>0</v>
      </c>
      <c r="AB1405" s="55">
        <f t="shared" si="303"/>
        <v>1309.92</v>
      </c>
      <c r="AC1405" s="54">
        <f t="shared" si="304"/>
        <v>0.18882764028876539</v>
      </c>
      <c r="AD1405" s="56">
        <f>INDEX(Assumptions!$B$14:$B$16,MATCH($R1405,Assumptions!$A$14:$A$16,0))</f>
        <v>0.18</v>
      </c>
      <c r="AE1405" s="56">
        <f>INDEX(Assumptions!$C$14:$C$16,MATCH($R1405,Assumptions!$A$14:$A$16,0))</f>
        <v>0.12</v>
      </c>
      <c r="AF1405" s="49">
        <f t="shared" si="305"/>
        <v>0</v>
      </c>
      <c r="AG1405" s="49">
        <f t="shared" si="306"/>
        <v>0</v>
      </c>
      <c r="AH1405" s="55">
        <f t="shared" si="307"/>
        <v>0</v>
      </c>
    </row>
    <row r="1406" spans="1:34" x14ac:dyDescent="0.2">
      <c r="A1406" s="48" t="s">
        <v>1198</v>
      </c>
      <c r="B1406" s="48">
        <v>3</v>
      </c>
      <c r="C1406" s="48" t="s">
        <v>1199</v>
      </c>
      <c r="D1406" s="48" t="s">
        <v>1154</v>
      </c>
      <c r="E1406" s="48" t="s">
        <v>417</v>
      </c>
      <c r="F1406" s="48" t="s">
        <v>280</v>
      </c>
      <c r="G1406" s="48" t="s">
        <v>298</v>
      </c>
      <c r="H1406" s="48" t="s">
        <v>62</v>
      </c>
      <c r="I1406" s="48" t="s">
        <v>177</v>
      </c>
      <c r="J1406" s="49">
        <v>25</v>
      </c>
      <c r="K1406" s="50">
        <v>70</v>
      </c>
      <c r="L1406" s="50">
        <v>67.290000000000006</v>
      </c>
      <c r="M1406" s="48" t="s">
        <v>276</v>
      </c>
      <c r="N1406" s="51">
        <v>1</v>
      </c>
      <c r="O1406" s="51">
        <v>1</v>
      </c>
      <c r="P1406" s="52">
        <v>44</v>
      </c>
      <c r="Q1406" s="52">
        <v>44</v>
      </c>
      <c r="R1406" s="53" t="str">
        <f>INDEX(SKU_Master!$D$5:$D$34,MATCH($I1406,SKU_Master!$A$5:$A$34,0))</f>
        <v>Accessory</v>
      </c>
      <c r="S1406" s="54">
        <f t="shared" si="294"/>
        <v>3.871428571428559E-2</v>
      </c>
      <c r="T1406" s="55">
        <f t="shared" si="295"/>
        <v>1750</v>
      </c>
      <c r="U1406" s="55">
        <f t="shared" si="296"/>
        <v>1682.2500000000002</v>
      </c>
      <c r="V1406" s="55">
        <f t="shared" si="297"/>
        <v>-67.749999999999773</v>
      </c>
      <c r="W1406" s="55">
        <f t="shared" si="298"/>
        <v>1682.2500000000002</v>
      </c>
      <c r="X1406" s="55">
        <f t="shared" si="299"/>
        <v>0</v>
      </c>
      <c r="Y1406" s="55">
        <f t="shared" si="300"/>
        <v>1100</v>
      </c>
      <c r="Z1406" s="55">
        <f t="shared" si="301"/>
        <v>1100</v>
      </c>
      <c r="AA1406" s="55">
        <f t="shared" si="302"/>
        <v>0</v>
      </c>
      <c r="AB1406" s="55">
        <f t="shared" si="303"/>
        <v>582.25000000000023</v>
      </c>
      <c r="AC1406" s="54">
        <f t="shared" si="304"/>
        <v>0.34611383563679604</v>
      </c>
      <c r="AD1406" s="56">
        <f>INDEX(Assumptions!$B$14:$B$16,MATCH($R1406,Assumptions!$A$14:$A$16,0))</f>
        <v>0.32</v>
      </c>
      <c r="AE1406" s="56">
        <f>INDEX(Assumptions!$C$14:$C$16,MATCH($R1406,Assumptions!$A$14:$A$16,0))</f>
        <v>0.22</v>
      </c>
      <c r="AF1406" s="49">
        <f t="shared" si="305"/>
        <v>0</v>
      </c>
      <c r="AG1406" s="49">
        <f t="shared" si="306"/>
        <v>0</v>
      </c>
      <c r="AH1406" s="55">
        <f t="shared" si="307"/>
        <v>0</v>
      </c>
    </row>
    <row r="1407" spans="1:34" x14ac:dyDescent="0.2">
      <c r="A1407" s="48" t="s">
        <v>1200</v>
      </c>
      <c r="B1407" s="48">
        <v>1</v>
      </c>
      <c r="C1407" s="48" t="s">
        <v>1158</v>
      </c>
      <c r="D1407" s="48" t="s">
        <v>1154</v>
      </c>
      <c r="E1407" s="48" t="s">
        <v>374</v>
      </c>
      <c r="F1407" s="48" t="s">
        <v>274</v>
      </c>
      <c r="G1407" s="48" t="s">
        <v>281</v>
      </c>
      <c r="H1407" s="48" t="s">
        <v>62</v>
      </c>
      <c r="I1407" s="48" t="s">
        <v>98</v>
      </c>
      <c r="J1407" s="49">
        <v>4</v>
      </c>
      <c r="K1407" s="50">
        <v>2085</v>
      </c>
      <c r="L1407" s="50">
        <v>2084.85</v>
      </c>
      <c r="M1407" s="48" t="s">
        <v>276</v>
      </c>
      <c r="N1407" s="51">
        <v>1</v>
      </c>
      <c r="O1407" s="51">
        <v>1</v>
      </c>
      <c r="P1407" s="52">
        <v>1780.2</v>
      </c>
      <c r="Q1407" s="52">
        <v>1780.2</v>
      </c>
      <c r="R1407" s="53" t="str">
        <f>INDEX(SKU_Master!$D$5:$D$34,MATCH($I1407,SKU_Master!$A$5:$A$34,0))</f>
        <v>Laptop</v>
      </c>
      <c r="S1407" s="54">
        <f t="shared" si="294"/>
        <v>7.1942446043249397E-5</v>
      </c>
      <c r="T1407" s="55">
        <f t="shared" si="295"/>
        <v>8340</v>
      </c>
      <c r="U1407" s="55">
        <f t="shared" si="296"/>
        <v>8339.4</v>
      </c>
      <c r="V1407" s="55">
        <f t="shared" si="297"/>
        <v>-0.6000000000003638</v>
      </c>
      <c r="W1407" s="55">
        <f t="shared" si="298"/>
        <v>8339.4</v>
      </c>
      <c r="X1407" s="55">
        <f t="shared" si="299"/>
        <v>0</v>
      </c>
      <c r="Y1407" s="55">
        <f t="shared" si="300"/>
        <v>7120.8</v>
      </c>
      <c r="Z1407" s="55">
        <f t="shared" si="301"/>
        <v>7120.8</v>
      </c>
      <c r="AA1407" s="55">
        <f t="shared" si="302"/>
        <v>0</v>
      </c>
      <c r="AB1407" s="55">
        <f t="shared" si="303"/>
        <v>1218.5999999999995</v>
      </c>
      <c r="AC1407" s="54">
        <f t="shared" si="304"/>
        <v>0.14612562054824083</v>
      </c>
      <c r="AD1407" s="56">
        <f>INDEX(Assumptions!$B$14:$B$16,MATCH($R1407,Assumptions!$A$14:$A$16,0))</f>
        <v>0.12</v>
      </c>
      <c r="AE1407" s="56">
        <f>INDEX(Assumptions!$C$14:$C$16,MATCH($R1407,Assumptions!$A$14:$A$16,0))</f>
        <v>0.08</v>
      </c>
      <c r="AF1407" s="49">
        <f t="shared" si="305"/>
        <v>0</v>
      </c>
      <c r="AG1407" s="49">
        <f t="shared" si="306"/>
        <v>0</v>
      </c>
      <c r="AH1407" s="55">
        <f t="shared" si="307"/>
        <v>0</v>
      </c>
    </row>
    <row r="1408" spans="1:34" x14ac:dyDescent="0.2">
      <c r="A1408" s="48" t="s">
        <v>1200</v>
      </c>
      <c r="B1408" s="48">
        <v>2</v>
      </c>
      <c r="C1408" s="48" t="s">
        <v>1158</v>
      </c>
      <c r="D1408" s="48" t="s">
        <v>1154</v>
      </c>
      <c r="E1408" s="48" t="s">
        <v>374</v>
      </c>
      <c r="F1408" s="48" t="s">
        <v>274</v>
      </c>
      <c r="G1408" s="48" t="s">
        <v>281</v>
      </c>
      <c r="H1408" s="48" t="s">
        <v>62</v>
      </c>
      <c r="I1408" s="48" t="s">
        <v>177</v>
      </c>
      <c r="J1408" s="49">
        <v>4</v>
      </c>
      <c r="K1408" s="50">
        <v>70</v>
      </c>
      <c r="L1408" s="50">
        <v>69.28</v>
      </c>
      <c r="M1408" s="48" t="s">
        <v>276</v>
      </c>
      <c r="N1408" s="51">
        <v>1</v>
      </c>
      <c r="O1408" s="51">
        <v>1</v>
      </c>
      <c r="P1408" s="52">
        <v>44</v>
      </c>
      <c r="Q1408" s="52">
        <v>44</v>
      </c>
      <c r="R1408" s="53" t="str">
        <f>INDEX(SKU_Master!$D$5:$D$34,MATCH($I1408,SKU_Master!$A$5:$A$34,0))</f>
        <v>Accessory</v>
      </c>
      <c r="S1408" s="54">
        <f t="shared" si="294"/>
        <v>1.0285714285714231E-2</v>
      </c>
      <c r="T1408" s="55">
        <f t="shared" si="295"/>
        <v>280</v>
      </c>
      <c r="U1408" s="55">
        <f t="shared" si="296"/>
        <v>277.12</v>
      </c>
      <c r="V1408" s="55">
        <f t="shared" si="297"/>
        <v>-2.8799999999999955</v>
      </c>
      <c r="W1408" s="55">
        <f t="shared" si="298"/>
        <v>277.12</v>
      </c>
      <c r="X1408" s="55">
        <f t="shared" si="299"/>
        <v>0</v>
      </c>
      <c r="Y1408" s="55">
        <f t="shared" si="300"/>
        <v>176</v>
      </c>
      <c r="Z1408" s="55">
        <f t="shared" si="301"/>
        <v>176</v>
      </c>
      <c r="AA1408" s="55">
        <f t="shared" si="302"/>
        <v>0</v>
      </c>
      <c r="AB1408" s="55">
        <f t="shared" si="303"/>
        <v>101.12</v>
      </c>
      <c r="AC1408" s="54">
        <f t="shared" si="304"/>
        <v>0.36489607390300233</v>
      </c>
      <c r="AD1408" s="56">
        <f>INDEX(Assumptions!$B$14:$B$16,MATCH($R1408,Assumptions!$A$14:$A$16,0))</f>
        <v>0.32</v>
      </c>
      <c r="AE1408" s="56">
        <f>INDEX(Assumptions!$C$14:$C$16,MATCH($R1408,Assumptions!$A$14:$A$16,0))</f>
        <v>0.22</v>
      </c>
      <c r="AF1408" s="49">
        <f t="shared" si="305"/>
        <v>0</v>
      </c>
      <c r="AG1408" s="49">
        <f t="shared" si="306"/>
        <v>0</v>
      </c>
      <c r="AH1408" s="55">
        <f t="shared" si="307"/>
        <v>0</v>
      </c>
    </row>
    <row r="1409" spans="1:34" x14ac:dyDescent="0.2">
      <c r="A1409" s="48" t="s">
        <v>1201</v>
      </c>
      <c r="B1409" s="48">
        <v>1</v>
      </c>
      <c r="C1409" s="48" t="s">
        <v>1202</v>
      </c>
      <c r="D1409" s="48" t="s">
        <v>1154</v>
      </c>
      <c r="E1409" s="48" t="s">
        <v>279</v>
      </c>
      <c r="F1409" s="48" t="s">
        <v>280</v>
      </c>
      <c r="G1409" s="48" t="s">
        <v>281</v>
      </c>
      <c r="H1409" s="48" t="s">
        <v>64</v>
      </c>
      <c r="I1409" s="48" t="s">
        <v>113</v>
      </c>
      <c r="J1409" s="49">
        <v>11</v>
      </c>
      <c r="K1409" s="50">
        <v>1425</v>
      </c>
      <c r="L1409" s="50">
        <v>1360.9</v>
      </c>
      <c r="M1409" s="48" t="s">
        <v>276</v>
      </c>
      <c r="N1409" s="51">
        <v>0.79</v>
      </c>
      <c r="O1409" s="51">
        <v>0.81530000000000002</v>
      </c>
      <c r="P1409" s="52">
        <v>1508.8</v>
      </c>
      <c r="Q1409" s="52">
        <v>1508.8</v>
      </c>
      <c r="R1409" s="53" t="str">
        <f>INDEX(SKU_Master!$D$5:$D$34,MATCH($I1409,SKU_Master!$A$5:$A$34,0))</f>
        <v>Laptop</v>
      </c>
      <c r="S1409" s="54">
        <f t="shared" si="294"/>
        <v>4.4982456140350791E-2</v>
      </c>
      <c r="T1409" s="55">
        <f t="shared" si="295"/>
        <v>19841.772151898735</v>
      </c>
      <c r="U1409" s="55">
        <f t="shared" si="296"/>
        <v>18949.240506329115</v>
      </c>
      <c r="V1409" s="55">
        <f t="shared" si="297"/>
        <v>-892.53164556961929</v>
      </c>
      <c r="W1409" s="55">
        <f t="shared" si="298"/>
        <v>18361.216730038024</v>
      </c>
      <c r="X1409" s="55">
        <f t="shared" si="299"/>
        <v>-588.02377629109105</v>
      </c>
      <c r="Y1409" s="55">
        <f t="shared" si="300"/>
        <v>16596.8</v>
      </c>
      <c r="Z1409" s="55">
        <f t="shared" si="301"/>
        <v>16596.8</v>
      </c>
      <c r="AA1409" s="55">
        <f t="shared" si="302"/>
        <v>0</v>
      </c>
      <c r="AB1409" s="55">
        <f t="shared" si="303"/>
        <v>1764.416730038025</v>
      </c>
      <c r="AC1409" s="54">
        <f t="shared" si="304"/>
        <v>9.6094760820045672E-2</v>
      </c>
      <c r="AD1409" s="56">
        <f>INDEX(Assumptions!$B$14:$B$16,MATCH($R1409,Assumptions!$A$14:$A$16,0))</f>
        <v>0.12</v>
      </c>
      <c r="AE1409" s="56">
        <f>INDEX(Assumptions!$C$14:$C$16,MATCH($R1409,Assumptions!$A$14:$A$16,0))</f>
        <v>0.08</v>
      </c>
      <c r="AF1409" s="49">
        <f t="shared" si="305"/>
        <v>0</v>
      </c>
      <c r="AG1409" s="49">
        <f t="shared" si="306"/>
        <v>0</v>
      </c>
      <c r="AH1409" s="55">
        <f t="shared" si="307"/>
        <v>438.92927756653808</v>
      </c>
    </row>
    <row r="1410" spans="1:34" x14ac:dyDescent="0.2">
      <c r="A1410" s="48" t="s">
        <v>1201</v>
      </c>
      <c r="B1410" s="48">
        <v>2</v>
      </c>
      <c r="C1410" s="48" t="s">
        <v>1202</v>
      </c>
      <c r="D1410" s="48" t="s">
        <v>1154</v>
      </c>
      <c r="E1410" s="48" t="s">
        <v>279</v>
      </c>
      <c r="F1410" s="48" t="s">
        <v>280</v>
      </c>
      <c r="G1410" s="48" t="s">
        <v>281</v>
      </c>
      <c r="H1410" s="48" t="s">
        <v>64</v>
      </c>
      <c r="I1410" s="48" t="s">
        <v>157</v>
      </c>
      <c r="J1410" s="49">
        <v>6</v>
      </c>
      <c r="K1410" s="50">
        <v>115</v>
      </c>
      <c r="L1410" s="50">
        <v>112.77</v>
      </c>
      <c r="M1410" s="48" t="s">
        <v>276</v>
      </c>
      <c r="N1410" s="51">
        <v>0.79</v>
      </c>
      <c r="O1410" s="51">
        <v>0.81530000000000002</v>
      </c>
      <c r="P1410" s="52">
        <v>92</v>
      </c>
      <c r="Q1410" s="52">
        <v>92</v>
      </c>
      <c r="R1410" s="53" t="str">
        <f>INDEX(SKU_Master!$D$5:$D$34,MATCH($I1410,SKU_Master!$A$5:$A$34,0))</f>
        <v>Accessory</v>
      </c>
      <c r="S1410" s="54">
        <f t="shared" si="294"/>
        <v>1.9391304347826099E-2</v>
      </c>
      <c r="T1410" s="55">
        <f t="shared" si="295"/>
        <v>873.41772151898726</v>
      </c>
      <c r="U1410" s="55">
        <f t="shared" si="296"/>
        <v>856.48101265822777</v>
      </c>
      <c r="V1410" s="55">
        <f t="shared" si="297"/>
        <v>-16.936708860759495</v>
      </c>
      <c r="W1410" s="55">
        <f t="shared" si="298"/>
        <v>829.90310315221393</v>
      </c>
      <c r="X1410" s="55">
        <f t="shared" si="299"/>
        <v>-26.577909506013839</v>
      </c>
      <c r="Y1410" s="55">
        <f t="shared" si="300"/>
        <v>552</v>
      </c>
      <c r="Z1410" s="55">
        <f t="shared" si="301"/>
        <v>552</v>
      </c>
      <c r="AA1410" s="55">
        <f t="shared" si="302"/>
        <v>0</v>
      </c>
      <c r="AB1410" s="55">
        <f t="shared" si="303"/>
        <v>277.90310315221393</v>
      </c>
      <c r="AC1410" s="54">
        <f t="shared" si="304"/>
        <v>0.33486210871685734</v>
      </c>
      <c r="AD1410" s="56">
        <f>INDEX(Assumptions!$B$14:$B$16,MATCH($R1410,Assumptions!$A$14:$A$16,0))</f>
        <v>0.32</v>
      </c>
      <c r="AE1410" s="56">
        <f>INDEX(Assumptions!$C$14:$C$16,MATCH($R1410,Assumptions!$A$14:$A$16,0))</f>
        <v>0.22</v>
      </c>
      <c r="AF1410" s="49">
        <f t="shared" si="305"/>
        <v>0</v>
      </c>
      <c r="AG1410" s="49">
        <f t="shared" si="306"/>
        <v>0</v>
      </c>
      <c r="AH1410" s="55">
        <f t="shared" si="307"/>
        <v>0</v>
      </c>
    </row>
    <row r="1411" spans="1:34" x14ac:dyDescent="0.2">
      <c r="A1411" s="48" t="s">
        <v>1203</v>
      </c>
      <c r="B1411" s="48">
        <v>1</v>
      </c>
      <c r="C1411" s="48" t="s">
        <v>1188</v>
      </c>
      <c r="D1411" s="48" t="s">
        <v>1154</v>
      </c>
      <c r="E1411" s="48" t="s">
        <v>410</v>
      </c>
      <c r="F1411" s="48" t="s">
        <v>297</v>
      </c>
      <c r="G1411" s="48" t="s">
        <v>302</v>
      </c>
      <c r="H1411" s="48" t="s">
        <v>64</v>
      </c>
      <c r="I1411" s="48" t="s">
        <v>98</v>
      </c>
      <c r="J1411" s="49">
        <v>70</v>
      </c>
      <c r="K1411" s="50">
        <v>1705</v>
      </c>
      <c r="L1411" s="50">
        <v>1664.09</v>
      </c>
      <c r="M1411" s="48" t="s">
        <v>276</v>
      </c>
      <c r="N1411" s="51">
        <v>0.79</v>
      </c>
      <c r="O1411" s="51">
        <v>0.81530000000000002</v>
      </c>
      <c r="P1411" s="52">
        <v>1804.2</v>
      </c>
      <c r="Q1411" s="52">
        <v>1804.2</v>
      </c>
      <c r="R1411" s="53" t="str">
        <f>INDEX(SKU_Master!$D$5:$D$34,MATCH($I1411,SKU_Master!$A$5:$A$34,0))</f>
        <v>Laptop</v>
      </c>
      <c r="S1411" s="54">
        <f t="shared" si="294"/>
        <v>2.3994134897360797E-2</v>
      </c>
      <c r="T1411" s="55">
        <f t="shared" si="295"/>
        <v>151075.94936708861</v>
      </c>
      <c r="U1411" s="55">
        <f t="shared" si="296"/>
        <v>147451.01265822782</v>
      </c>
      <c r="V1411" s="55">
        <f t="shared" si="297"/>
        <v>-3624.9367088607978</v>
      </c>
      <c r="W1411" s="55">
        <f t="shared" si="298"/>
        <v>142875.38329449281</v>
      </c>
      <c r="X1411" s="55">
        <f t="shared" si="299"/>
        <v>-4575.6293637350027</v>
      </c>
      <c r="Y1411" s="55">
        <f t="shared" si="300"/>
        <v>126294</v>
      </c>
      <c r="Z1411" s="55">
        <f t="shared" si="301"/>
        <v>126294</v>
      </c>
      <c r="AA1411" s="55">
        <f t="shared" si="302"/>
        <v>0</v>
      </c>
      <c r="AB1411" s="55">
        <f t="shared" si="303"/>
        <v>16581.383294492814</v>
      </c>
      <c r="AC1411" s="54">
        <f t="shared" si="304"/>
        <v>0.11605486482101322</v>
      </c>
      <c r="AD1411" s="56">
        <f>INDEX(Assumptions!$B$14:$B$16,MATCH($R1411,Assumptions!$A$14:$A$16,0))</f>
        <v>0.12</v>
      </c>
      <c r="AE1411" s="56">
        <f>INDEX(Assumptions!$C$14:$C$16,MATCH($R1411,Assumptions!$A$14:$A$16,0))</f>
        <v>0.08</v>
      </c>
      <c r="AF1411" s="49">
        <f t="shared" si="305"/>
        <v>0</v>
      </c>
      <c r="AG1411" s="49">
        <f t="shared" si="306"/>
        <v>0</v>
      </c>
      <c r="AH1411" s="55">
        <f t="shared" si="307"/>
        <v>563.66270084632197</v>
      </c>
    </row>
    <row r="1412" spans="1:34" x14ac:dyDescent="0.2">
      <c r="A1412" s="48" t="s">
        <v>1203</v>
      </c>
      <c r="B1412" s="48">
        <v>2</v>
      </c>
      <c r="C1412" s="48" t="s">
        <v>1188</v>
      </c>
      <c r="D1412" s="48" t="s">
        <v>1154</v>
      </c>
      <c r="E1412" s="48" t="s">
        <v>410</v>
      </c>
      <c r="F1412" s="48" t="s">
        <v>297</v>
      </c>
      <c r="G1412" s="48" t="s">
        <v>302</v>
      </c>
      <c r="H1412" s="48" t="s">
        <v>64</v>
      </c>
      <c r="I1412" s="48" t="s">
        <v>135</v>
      </c>
      <c r="J1412" s="49">
        <v>76</v>
      </c>
      <c r="K1412" s="50">
        <v>225</v>
      </c>
      <c r="L1412" s="50">
        <v>214.69</v>
      </c>
      <c r="M1412" s="48" t="s">
        <v>276</v>
      </c>
      <c r="N1412" s="51">
        <v>0.79</v>
      </c>
      <c r="O1412" s="51">
        <v>0.81530000000000002</v>
      </c>
      <c r="P1412" s="52">
        <v>216.7</v>
      </c>
      <c r="Q1412" s="52">
        <v>216.7</v>
      </c>
      <c r="R1412" s="53" t="str">
        <f>INDEX(SKU_Master!$D$5:$D$34,MATCH($I1412,SKU_Master!$A$5:$A$34,0))</f>
        <v>Monitor</v>
      </c>
      <c r="S1412" s="54">
        <f t="shared" si="294"/>
        <v>4.5822222222222209E-2</v>
      </c>
      <c r="T1412" s="55">
        <f t="shared" si="295"/>
        <v>21645.569620253165</v>
      </c>
      <c r="U1412" s="55">
        <f t="shared" si="296"/>
        <v>20653.721518987342</v>
      </c>
      <c r="V1412" s="55">
        <f t="shared" si="297"/>
        <v>-991.84810126582306</v>
      </c>
      <c r="W1412" s="55">
        <f t="shared" si="298"/>
        <v>20012.805102416289</v>
      </c>
      <c r="X1412" s="55">
        <f t="shared" si="299"/>
        <v>-640.91641657105356</v>
      </c>
      <c r="Y1412" s="55">
        <f t="shared" si="300"/>
        <v>16469.2</v>
      </c>
      <c r="Z1412" s="55">
        <f t="shared" si="301"/>
        <v>16469.2</v>
      </c>
      <c r="AA1412" s="55">
        <f t="shared" si="302"/>
        <v>0</v>
      </c>
      <c r="AB1412" s="55">
        <f t="shared" si="303"/>
        <v>3543.605102416288</v>
      </c>
      <c r="AC1412" s="54">
        <f t="shared" si="304"/>
        <v>0.17706688713959659</v>
      </c>
      <c r="AD1412" s="56">
        <f>INDEX(Assumptions!$B$14:$B$16,MATCH($R1412,Assumptions!$A$14:$A$16,0))</f>
        <v>0.18</v>
      </c>
      <c r="AE1412" s="56">
        <f>INDEX(Assumptions!$C$14:$C$16,MATCH($R1412,Assumptions!$A$14:$A$16,0))</f>
        <v>0.12</v>
      </c>
      <c r="AF1412" s="49">
        <f t="shared" si="305"/>
        <v>0</v>
      </c>
      <c r="AG1412" s="49">
        <f t="shared" si="306"/>
        <v>0</v>
      </c>
      <c r="AH1412" s="55">
        <f t="shared" si="307"/>
        <v>58.699816018644015</v>
      </c>
    </row>
    <row r="1413" spans="1:34" x14ac:dyDescent="0.2">
      <c r="A1413" s="48" t="s">
        <v>1203</v>
      </c>
      <c r="B1413" s="48">
        <v>3</v>
      </c>
      <c r="C1413" s="48" t="s">
        <v>1188</v>
      </c>
      <c r="D1413" s="48" t="s">
        <v>1154</v>
      </c>
      <c r="E1413" s="48" t="s">
        <v>410</v>
      </c>
      <c r="F1413" s="48" t="s">
        <v>297</v>
      </c>
      <c r="G1413" s="48" t="s">
        <v>302</v>
      </c>
      <c r="H1413" s="48" t="s">
        <v>64</v>
      </c>
      <c r="I1413" s="48" t="s">
        <v>166</v>
      </c>
      <c r="J1413" s="49">
        <v>42</v>
      </c>
      <c r="K1413" s="50">
        <v>220</v>
      </c>
      <c r="L1413" s="50">
        <v>201.89</v>
      </c>
      <c r="M1413" s="48" t="s">
        <v>276</v>
      </c>
      <c r="N1413" s="51">
        <v>0.79</v>
      </c>
      <c r="O1413" s="51">
        <v>0.81530000000000002</v>
      </c>
      <c r="P1413" s="52">
        <v>175.35</v>
      </c>
      <c r="Q1413" s="52">
        <v>175.35</v>
      </c>
      <c r="R1413" s="53" t="str">
        <f>INDEX(SKU_Master!$D$5:$D$34,MATCH($I1413,SKU_Master!$A$5:$A$34,0))</f>
        <v>Accessory</v>
      </c>
      <c r="S1413" s="54">
        <f t="shared" ref="S1413:S1476" si="308">IF(K1413=0,0,1-L1413/K1413)</f>
        <v>8.2318181818181846E-2</v>
      </c>
      <c r="T1413" s="55">
        <f t="shared" ref="T1413:T1476" si="309">J1413*K1413/N1413</f>
        <v>11696.202531645569</v>
      </c>
      <c r="U1413" s="55">
        <f t="shared" ref="U1413:U1476" si="310">J1413*L1413/N1413</f>
        <v>10733.39240506329</v>
      </c>
      <c r="V1413" s="55">
        <f t="shared" ref="V1413:V1476" si="311">U1413-T1413</f>
        <v>-962.81012658227883</v>
      </c>
      <c r="W1413" s="55">
        <f t="shared" ref="W1413:W1476" si="312">J1413*L1413/O1413</f>
        <v>10400.318901018029</v>
      </c>
      <c r="X1413" s="55">
        <f t="shared" ref="X1413:X1476" si="313">W1413-U1413</f>
        <v>-333.07350404526187</v>
      </c>
      <c r="Y1413" s="55">
        <f t="shared" ref="Y1413:Y1476" si="314">J1413*P1413</f>
        <v>7364.7</v>
      </c>
      <c r="Z1413" s="55">
        <f t="shared" ref="Z1413:Z1476" si="315">J1413*Q1413</f>
        <v>7364.7</v>
      </c>
      <c r="AA1413" s="55">
        <f t="shared" ref="AA1413:AA1476" si="316">Y1413-Z1413</f>
        <v>0</v>
      </c>
      <c r="AB1413" s="55">
        <f t="shared" ref="AB1413:AB1476" si="317">W1413-Z1413</f>
        <v>3035.6189010180287</v>
      </c>
      <c r="AC1413" s="54">
        <f t="shared" ref="AC1413:AC1476" si="318">IF(W1413=0,0,AB1413/W1413)</f>
        <v>0.29187748278765657</v>
      </c>
      <c r="AD1413" s="56">
        <f>INDEX(Assumptions!$B$14:$B$16,MATCH($R1413,Assumptions!$A$14:$A$16,0))</f>
        <v>0.32</v>
      </c>
      <c r="AE1413" s="56">
        <f>INDEX(Assumptions!$C$14:$C$16,MATCH($R1413,Assumptions!$A$14:$A$16,0))</f>
        <v>0.22</v>
      </c>
      <c r="AF1413" s="49">
        <f t="shared" ref="AF1413:AF1476" si="319">IF(AC1413&lt;AE1413,1,0)</f>
        <v>0</v>
      </c>
      <c r="AG1413" s="49">
        <f t="shared" ref="AG1413:AG1476" si="320">IF(AND(AF1413=1,M1413="N"),1,0)</f>
        <v>0</v>
      </c>
      <c r="AH1413" s="55">
        <f t="shared" ref="AH1413:AH1476" si="321">MAX(0,W1413*AD1413-AB1413)</f>
        <v>292.48314730774064</v>
      </c>
    </row>
    <row r="1414" spans="1:34" x14ac:dyDescent="0.2">
      <c r="A1414" s="48" t="s">
        <v>1204</v>
      </c>
      <c r="B1414" s="48">
        <v>1</v>
      </c>
      <c r="C1414" s="48" t="s">
        <v>1205</v>
      </c>
      <c r="D1414" s="48" t="s">
        <v>1154</v>
      </c>
      <c r="E1414" s="48" t="s">
        <v>346</v>
      </c>
      <c r="F1414" s="48" t="s">
        <v>297</v>
      </c>
      <c r="G1414" s="48" t="s">
        <v>302</v>
      </c>
      <c r="H1414" s="48" t="s">
        <v>62</v>
      </c>
      <c r="I1414" s="48" t="s">
        <v>98</v>
      </c>
      <c r="J1414" s="49">
        <v>23</v>
      </c>
      <c r="K1414" s="50">
        <v>2085</v>
      </c>
      <c r="L1414" s="50">
        <v>2029.38</v>
      </c>
      <c r="M1414" s="48" t="s">
        <v>276</v>
      </c>
      <c r="N1414" s="51">
        <v>1</v>
      </c>
      <c r="O1414" s="51">
        <v>1</v>
      </c>
      <c r="P1414" s="52">
        <v>1780.2</v>
      </c>
      <c r="Q1414" s="52">
        <v>1780.2</v>
      </c>
      <c r="R1414" s="53" t="str">
        <f>INDEX(SKU_Master!$D$5:$D$34,MATCH($I1414,SKU_Master!$A$5:$A$34,0))</f>
        <v>Laptop</v>
      </c>
      <c r="S1414" s="54">
        <f t="shared" si="308"/>
        <v>2.6676258992805679E-2</v>
      </c>
      <c r="T1414" s="55">
        <f t="shared" si="309"/>
        <v>47955</v>
      </c>
      <c r="U1414" s="55">
        <f t="shared" si="310"/>
        <v>46675.740000000005</v>
      </c>
      <c r="V1414" s="55">
        <f t="shared" si="311"/>
        <v>-1279.2599999999948</v>
      </c>
      <c r="W1414" s="55">
        <f t="shared" si="312"/>
        <v>46675.740000000005</v>
      </c>
      <c r="X1414" s="55">
        <f t="shared" si="313"/>
        <v>0</v>
      </c>
      <c r="Y1414" s="55">
        <f t="shared" si="314"/>
        <v>40944.6</v>
      </c>
      <c r="Z1414" s="55">
        <f t="shared" si="315"/>
        <v>40944.6</v>
      </c>
      <c r="AA1414" s="55">
        <f t="shared" si="316"/>
        <v>0</v>
      </c>
      <c r="AB1414" s="55">
        <f t="shared" si="317"/>
        <v>5731.1400000000067</v>
      </c>
      <c r="AC1414" s="54">
        <f t="shared" si="318"/>
        <v>0.12278626969813454</v>
      </c>
      <c r="AD1414" s="56">
        <f>INDEX(Assumptions!$B$14:$B$16,MATCH($R1414,Assumptions!$A$14:$A$16,0))</f>
        <v>0.12</v>
      </c>
      <c r="AE1414" s="56">
        <f>INDEX(Assumptions!$C$14:$C$16,MATCH($R1414,Assumptions!$A$14:$A$16,0))</f>
        <v>0.08</v>
      </c>
      <c r="AF1414" s="49">
        <f t="shared" si="319"/>
        <v>0</v>
      </c>
      <c r="AG1414" s="49">
        <f t="shared" si="320"/>
        <v>0</v>
      </c>
      <c r="AH1414" s="55">
        <f t="shared" si="321"/>
        <v>0</v>
      </c>
    </row>
    <row r="1415" spans="1:34" x14ac:dyDescent="0.2">
      <c r="A1415" s="48" t="s">
        <v>1204</v>
      </c>
      <c r="B1415" s="48">
        <v>2</v>
      </c>
      <c r="C1415" s="48" t="s">
        <v>1205</v>
      </c>
      <c r="D1415" s="48" t="s">
        <v>1154</v>
      </c>
      <c r="E1415" s="48" t="s">
        <v>346</v>
      </c>
      <c r="F1415" s="48" t="s">
        <v>297</v>
      </c>
      <c r="G1415" s="48" t="s">
        <v>302</v>
      </c>
      <c r="H1415" s="48" t="s">
        <v>62</v>
      </c>
      <c r="I1415" s="48" t="s">
        <v>135</v>
      </c>
      <c r="J1415" s="49">
        <v>9</v>
      </c>
      <c r="K1415" s="50">
        <v>240</v>
      </c>
      <c r="L1415" s="50">
        <v>221.28</v>
      </c>
      <c r="M1415" s="48" t="s">
        <v>276</v>
      </c>
      <c r="N1415" s="51">
        <v>1</v>
      </c>
      <c r="O1415" s="51">
        <v>1</v>
      </c>
      <c r="P1415" s="52">
        <v>186.7</v>
      </c>
      <c r="Q1415" s="52">
        <v>186.7</v>
      </c>
      <c r="R1415" s="53" t="str">
        <f>INDEX(SKU_Master!$D$5:$D$34,MATCH($I1415,SKU_Master!$A$5:$A$34,0))</f>
        <v>Monitor</v>
      </c>
      <c r="S1415" s="54">
        <f t="shared" si="308"/>
        <v>7.7999999999999958E-2</v>
      </c>
      <c r="T1415" s="55">
        <f t="shared" si="309"/>
        <v>2160</v>
      </c>
      <c r="U1415" s="55">
        <f t="shared" si="310"/>
        <v>1991.52</v>
      </c>
      <c r="V1415" s="55">
        <f t="shared" si="311"/>
        <v>-168.48000000000002</v>
      </c>
      <c r="W1415" s="55">
        <f t="shared" si="312"/>
        <v>1991.52</v>
      </c>
      <c r="X1415" s="55">
        <f t="shared" si="313"/>
        <v>0</v>
      </c>
      <c r="Y1415" s="55">
        <f t="shared" si="314"/>
        <v>1680.3</v>
      </c>
      <c r="Z1415" s="55">
        <f t="shared" si="315"/>
        <v>1680.3</v>
      </c>
      <c r="AA1415" s="55">
        <f t="shared" si="316"/>
        <v>0</v>
      </c>
      <c r="AB1415" s="55">
        <f t="shared" si="317"/>
        <v>311.22000000000003</v>
      </c>
      <c r="AC1415" s="54">
        <f t="shared" si="318"/>
        <v>0.15627259580621838</v>
      </c>
      <c r="AD1415" s="56">
        <f>INDEX(Assumptions!$B$14:$B$16,MATCH($R1415,Assumptions!$A$14:$A$16,0))</f>
        <v>0.18</v>
      </c>
      <c r="AE1415" s="56">
        <f>INDEX(Assumptions!$C$14:$C$16,MATCH($R1415,Assumptions!$A$14:$A$16,0))</f>
        <v>0.12</v>
      </c>
      <c r="AF1415" s="49">
        <f t="shared" si="319"/>
        <v>0</v>
      </c>
      <c r="AG1415" s="49">
        <f t="shared" si="320"/>
        <v>0</v>
      </c>
      <c r="AH1415" s="55">
        <f t="shared" si="321"/>
        <v>47.253599999999949</v>
      </c>
    </row>
    <row r="1416" spans="1:34" x14ac:dyDescent="0.2">
      <c r="A1416" s="48" t="s">
        <v>1206</v>
      </c>
      <c r="B1416" s="48">
        <v>1</v>
      </c>
      <c r="C1416" s="48" t="s">
        <v>1207</v>
      </c>
      <c r="D1416" s="48" t="s">
        <v>1154</v>
      </c>
      <c r="E1416" s="48" t="s">
        <v>427</v>
      </c>
      <c r="F1416" s="48" t="s">
        <v>297</v>
      </c>
      <c r="G1416" s="48" t="s">
        <v>302</v>
      </c>
      <c r="H1416" s="48" t="s">
        <v>66</v>
      </c>
      <c r="I1416" s="48" t="s">
        <v>110</v>
      </c>
      <c r="J1416" s="49">
        <v>39</v>
      </c>
      <c r="K1416" s="50">
        <v>1115</v>
      </c>
      <c r="L1416" s="50">
        <v>1091.01</v>
      </c>
      <c r="M1416" s="48" t="s">
        <v>276</v>
      </c>
      <c r="N1416" s="51">
        <v>0.92</v>
      </c>
      <c r="O1416" s="51">
        <v>0.92830000000000001</v>
      </c>
      <c r="P1416" s="52">
        <v>1012.65</v>
      </c>
      <c r="Q1416" s="52">
        <v>1012.65</v>
      </c>
      <c r="R1416" s="53" t="str">
        <f>INDEX(SKU_Master!$D$5:$D$34,MATCH($I1416,SKU_Master!$A$5:$A$34,0))</f>
        <v>Laptop</v>
      </c>
      <c r="S1416" s="54">
        <f t="shared" si="308"/>
        <v>2.1515695067264584E-2</v>
      </c>
      <c r="T1416" s="55">
        <f t="shared" si="309"/>
        <v>47266.304347826088</v>
      </c>
      <c r="U1416" s="55">
        <f t="shared" si="310"/>
        <v>46249.336956521736</v>
      </c>
      <c r="V1416" s="55">
        <f t="shared" si="311"/>
        <v>-1016.9673913043516</v>
      </c>
      <c r="W1416" s="55">
        <f t="shared" si="312"/>
        <v>45835.818162232034</v>
      </c>
      <c r="X1416" s="55">
        <f t="shared" si="313"/>
        <v>-413.51879428970278</v>
      </c>
      <c r="Y1416" s="55">
        <f t="shared" si="314"/>
        <v>39493.35</v>
      </c>
      <c r="Z1416" s="55">
        <f t="shared" si="315"/>
        <v>39493.35</v>
      </c>
      <c r="AA1416" s="55">
        <f t="shared" si="316"/>
        <v>0</v>
      </c>
      <c r="AB1416" s="55">
        <f t="shared" si="317"/>
        <v>6342.468162232035</v>
      </c>
      <c r="AC1416" s="54">
        <f t="shared" si="318"/>
        <v>0.13837362168999365</v>
      </c>
      <c r="AD1416" s="56">
        <f>INDEX(Assumptions!$B$14:$B$16,MATCH($R1416,Assumptions!$A$14:$A$16,0))</f>
        <v>0.12</v>
      </c>
      <c r="AE1416" s="56">
        <f>INDEX(Assumptions!$C$14:$C$16,MATCH($R1416,Assumptions!$A$14:$A$16,0))</f>
        <v>0.08</v>
      </c>
      <c r="AF1416" s="49">
        <f t="shared" si="319"/>
        <v>0</v>
      </c>
      <c r="AG1416" s="49">
        <f t="shared" si="320"/>
        <v>0</v>
      </c>
      <c r="AH1416" s="55">
        <f t="shared" si="321"/>
        <v>0</v>
      </c>
    </row>
    <row r="1417" spans="1:34" x14ac:dyDescent="0.2">
      <c r="A1417" s="48" t="s">
        <v>1206</v>
      </c>
      <c r="B1417" s="48">
        <v>2</v>
      </c>
      <c r="C1417" s="48" t="s">
        <v>1207</v>
      </c>
      <c r="D1417" s="48" t="s">
        <v>1154</v>
      </c>
      <c r="E1417" s="48" t="s">
        <v>427</v>
      </c>
      <c r="F1417" s="48" t="s">
        <v>297</v>
      </c>
      <c r="G1417" s="48" t="s">
        <v>302</v>
      </c>
      <c r="H1417" s="48" t="s">
        <v>66</v>
      </c>
      <c r="I1417" s="48" t="s">
        <v>164</v>
      </c>
      <c r="J1417" s="49">
        <v>40</v>
      </c>
      <c r="K1417" s="50">
        <v>185</v>
      </c>
      <c r="L1417" s="50">
        <v>172.49</v>
      </c>
      <c r="M1417" s="48" t="s">
        <v>276</v>
      </c>
      <c r="N1417" s="51">
        <v>0.92</v>
      </c>
      <c r="O1417" s="51">
        <v>0.92830000000000001</v>
      </c>
      <c r="P1417" s="52">
        <v>126</v>
      </c>
      <c r="Q1417" s="52">
        <v>126</v>
      </c>
      <c r="R1417" s="53" t="str">
        <f>INDEX(SKU_Master!$D$5:$D$34,MATCH($I1417,SKU_Master!$A$5:$A$34,0))</f>
        <v>Accessory</v>
      </c>
      <c r="S1417" s="54">
        <f t="shared" si="308"/>
        <v>6.7621621621621553E-2</v>
      </c>
      <c r="T1417" s="55">
        <f t="shared" si="309"/>
        <v>8043.478260869565</v>
      </c>
      <c r="U1417" s="55">
        <f t="shared" si="310"/>
        <v>7499.565217391304</v>
      </c>
      <c r="V1417" s="55">
        <f t="shared" si="311"/>
        <v>-543.91304347826099</v>
      </c>
      <c r="W1417" s="55">
        <f t="shared" si="312"/>
        <v>7432.5110416891093</v>
      </c>
      <c r="X1417" s="55">
        <f t="shared" si="313"/>
        <v>-67.054175702194698</v>
      </c>
      <c r="Y1417" s="55">
        <f t="shared" si="314"/>
        <v>5040</v>
      </c>
      <c r="Z1417" s="55">
        <f t="shared" si="315"/>
        <v>5040</v>
      </c>
      <c r="AA1417" s="55">
        <f t="shared" si="316"/>
        <v>0</v>
      </c>
      <c r="AB1417" s="55">
        <f t="shared" si="317"/>
        <v>2392.5110416891093</v>
      </c>
      <c r="AC1417" s="54">
        <f t="shared" si="318"/>
        <v>0.32189808104817674</v>
      </c>
      <c r="AD1417" s="56">
        <f>INDEX(Assumptions!$B$14:$B$16,MATCH($R1417,Assumptions!$A$14:$A$16,0))</f>
        <v>0.32</v>
      </c>
      <c r="AE1417" s="56">
        <f>INDEX(Assumptions!$C$14:$C$16,MATCH($R1417,Assumptions!$A$14:$A$16,0))</f>
        <v>0.22</v>
      </c>
      <c r="AF1417" s="49">
        <f t="shared" si="319"/>
        <v>0</v>
      </c>
      <c r="AG1417" s="49">
        <f t="shared" si="320"/>
        <v>0</v>
      </c>
      <c r="AH1417" s="55">
        <f t="shared" si="321"/>
        <v>0</v>
      </c>
    </row>
    <row r="1418" spans="1:34" x14ac:dyDescent="0.2">
      <c r="A1418" s="48" t="s">
        <v>1208</v>
      </c>
      <c r="B1418" s="48">
        <v>1</v>
      </c>
      <c r="C1418" s="48" t="s">
        <v>1209</v>
      </c>
      <c r="D1418" s="48" t="s">
        <v>1154</v>
      </c>
      <c r="E1418" s="48" t="s">
        <v>339</v>
      </c>
      <c r="F1418" s="48" t="s">
        <v>280</v>
      </c>
      <c r="G1418" s="48" t="s">
        <v>302</v>
      </c>
      <c r="H1418" s="48" t="s">
        <v>62</v>
      </c>
      <c r="I1418" s="48" t="s">
        <v>113</v>
      </c>
      <c r="J1418" s="49">
        <v>24</v>
      </c>
      <c r="K1418" s="50">
        <v>1740</v>
      </c>
      <c r="L1418" s="50">
        <v>1642.46</v>
      </c>
      <c r="M1418" s="48" t="s">
        <v>276</v>
      </c>
      <c r="N1418" s="51">
        <v>1</v>
      </c>
      <c r="O1418" s="51">
        <v>1</v>
      </c>
      <c r="P1418" s="52">
        <v>1484.8</v>
      </c>
      <c r="Q1418" s="52">
        <v>1484.8</v>
      </c>
      <c r="R1418" s="53" t="str">
        <f>INDEX(SKU_Master!$D$5:$D$34,MATCH($I1418,SKU_Master!$A$5:$A$34,0))</f>
        <v>Laptop</v>
      </c>
      <c r="S1418" s="54">
        <f t="shared" si="308"/>
        <v>5.6057471264367775E-2</v>
      </c>
      <c r="T1418" s="55">
        <f t="shared" si="309"/>
        <v>41760</v>
      </c>
      <c r="U1418" s="55">
        <f t="shared" si="310"/>
        <v>39419.040000000001</v>
      </c>
      <c r="V1418" s="55">
        <f t="shared" si="311"/>
        <v>-2340.9599999999991</v>
      </c>
      <c r="W1418" s="55">
        <f t="shared" si="312"/>
        <v>39419.040000000001</v>
      </c>
      <c r="X1418" s="55">
        <f t="shared" si="313"/>
        <v>0</v>
      </c>
      <c r="Y1418" s="55">
        <f t="shared" si="314"/>
        <v>35635.199999999997</v>
      </c>
      <c r="Z1418" s="55">
        <f t="shared" si="315"/>
        <v>35635.199999999997</v>
      </c>
      <c r="AA1418" s="55">
        <f t="shared" si="316"/>
        <v>0</v>
      </c>
      <c r="AB1418" s="55">
        <f t="shared" si="317"/>
        <v>3783.8400000000038</v>
      </c>
      <c r="AC1418" s="54">
        <f t="shared" si="318"/>
        <v>9.5990161099813787E-2</v>
      </c>
      <c r="AD1418" s="56">
        <f>INDEX(Assumptions!$B$14:$B$16,MATCH($R1418,Assumptions!$A$14:$A$16,0))</f>
        <v>0.12</v>
      </c>
      <c r="AE1418" s="56">
        <f>INDEX(Assumptions!$C$14:$C$16,MATCH($R1418,Assumptions!$A$14:$A$16,0))</f>
        <v>0.08</v>
      </c>
      <c r="AF1418" s="49">
        <f t="shared" si="319"/>
        <v>0</v>
      </c>
      <c r="AG1418" s="49">
        <f t="shared" si="320"/>
        <v>0</v>
      </c>
      <c r="AH1418" s="55">
        <f t="shared" si="321"/>
        <v>946.44479999999658</v>
      </c>
    </row>
    <row r="1419" spans="1:34" x14ac:dyDescent="0.2">
      <c r="A1419" s="48" t="s">
        <v>1208</v>
      </c>
      <c r="B1419" s="48">
        <v>2</v>
      </c>
      <c r="C1419" s="48" t="s">
        <v>1209</v>
      </c>
      <c r="D1419" s="48" t="s">
        <v>1154</v>
      </c>
      <c r="E1419" s="48" t="s">
        <v>339</v>
      </c>
      <c r="F1419" s="48" t="s">
        <v>280</v>
      </c>
      <c r="G1419" s="48" t="s">
        <v>302</v>
      </c>
      <c r="H1419" s="48" t="s">
        <v>62</v>
      </c>
      <c r="I1419" s="48" t="s">
        <v>135</v>
      </c>
      <c r="J1419" s="49">
        <v>10</v>
      </c>
      <c r="K1419" s="50">
        <v>240</v>
      </c>
      <c r="L1419" s="50">
        <v>237.38</v>
      </c>
      <c r="M1419" s="48" t="s">
        <v>276</v>
      </c>
      <c r="N1419" s="51">
        <v>1</v>
      </c>
      <c r="O1419" s="51">
        <v>1</v>
      </c>
      <c r="P1419" s="52">
        <v>186.7</v>
      </c>
      <c r="Q1419" s="52">
        <v>186.7</v>
      </c>
      <c r="R1419" s="53" t="str">
        <f>INDEX(SKU_Master!$D$5:$D$34,MATCH($I1419,SKU_Master!$A$5:$A$34,0))</f>
        <v>Monitor</v>
      </c>
      <c r="S1419" s="54">
        <f t="shared" si="308"/>
        <v>1.0916666666666686E-2</v>
      </c>
      <c r="T1419" s="55">
        <f t="shared" si="309"/>
        <v>2400</v>
      </c>
      <c r="U1419" s="55">
        <f t="shared" si="310"/>
        <v>2373.8000000000002</v>
      </c>
      <c r="V1419" s="55">
        <f t="shared" si="311"/>
        <v>-26.199999999999818</v>
      </c>
      <c r="W1419" s="55">
        <f t="shared" si="312"/>
        <v>2373.8000000000002</v>
      </c>
      <c r="X1419" s="55">
        <f t="shared" si="313"/>
        <v>0</v>
      </c>
      <c r="Y1419" s="55">
        <f t="shared" si="314"/>
        <v>1867</v>
      </c>
      <c r="Z1419" s="55">
        <f t="shared" si="315"/>
        <v>1867</v>
      </c>
      <c r="AA1419" s="55">
        <f t="shared" si="316"/>
        <v>0</v>
      </c>
      <c r="AB1419" s="55">
        <f t="shared" si="317"/>
        <v>506.80000000000018</v>
      </c>
      <c r="AC1419" s="54">
        <f t="shared" si="318"/>
        <v>0.21349734602746656</v>
      </c>
      <c r="AD1419" s="56">
        <f>INDEX(Assumptions!$B$14:$B$16,MATCH($R1419,Assumptions!$A$14:$A$16,0))</f>
        <v>0.18</v>
      </c>
      <c r="AE1419" s="56">
        <f>INDEX(Assumptions!$C$14:$C$16,MATCH($R1419,Assumptions!$A$14:$A$16,0))</f>
        <v>0.12</v>
      </c>
      <c r="AF1419" s="49">
        <f t="shared" si="319"/>
        <v>0</v>
      </c>
      <c r="AG1419" s="49">
        <f t="shared" si="320"/>
        <v>0</v>
      </c>
      <c r="AH1419" s="55">
        <f t="shared" si="321"/>
        <v>0</v>
      </c>
    </row>
    <row r="1420" spans="1:34" x14ac:dyDescent="0.2">
      <c r="A1420" s="48" t="s">
        <v>1208</v>
      </c>
      <c r="B1420" s="48">
        <v>3</v>
      </c>
      <c r="C1420" s="48" t="s">
        <v>1209</v>
      </c>
      <c r="D1420" s="48" t="s">
        <v>1154</v>
      </c>
      <c r="E1420" s="48" t="s">
        <v>339</v>
      </c>
      <c r="F1420" s="48" t="s">
        <v>280</v>
      </c>
      <c r="G1420" s="48" t="s">
        <v>302</v>
      </c>
      <c r="H1420" s="48" t="s">
        <v>62</v>
      </c>
      <c r="I1420" s="48" t="s">
        <v>157</v>
      </c>
      <c r="J1420" s="49">
        <v>22</v>
      </c>
      <c r="K1420" s="50">
        <v>135</v>
      </c>
      <c r="L1420" s="50">
        <v>128.97999999999999</v>
      </c>
      <c r="M1420" s="48" t="s">
        <v>276</v>
      </c>
      <c r="N1420" s="51">
        <v>1</v>
      </c>
      <c r="O1420" s="51">
        <v>1</v>
      </c>
      <c r="P1420" s="52">
        <v>86</v>
      </c>
      <c r="Q1420" s="52">
        <v>86</v>
      </c>
      <c r="R1420" s="53" t="str">
        <f>INDEX(SKU_Master!$D$5:$D$34,MATCH($I1420,SKU_Master!$A$5:$A$34,0))</f>
        <v>Accessory</v>
      </c>
      <c r="S1420" s="54">
        <f t="shared" si="308"/>
        <v>4.4592592592592628E-2</v>
      </c>
      <c r="T1420" s="55">
        <f t="shared" si="309"/>
        <v>2970</v>
      </c>
      <c r="U1420" s="55">
        <f t="shared" si="310"/>
        <v>2837.56</v>
      </c>
      <c r="V1420" s="55">
        <f t="shared" si="311"/>
        <v>-132.44000000000005</v>
      </c>
      <c r="W1420" s="55">
        <f t="shared" si="312"/>
        <v>2837.56</v>
      </c>
      <c r="X1420" s="55">
        <f t="shared" si="313"/>
        <v>0</v>
      </c>
      <c r="Y1420" s="55">
        <f t="shared" si="314"/>
        <v>1892</v>
      </c>
      <c r="Z1420" s="55">
        <f t="shared" si="315"/>
        <v>1892</v>
      </c>
      <c r="AA1420" s="55">
        <f t="shared" si="316"/>
        <v>0</v>
      </c>
      <c r="AB1420" s="55">
        <f t="shared" si="317"/>
        <v>945.56</v>
      </c>
      <c r="AC1420" s="54">
        <f t="shared" si="318"/>
        <v>0.33322995813304385</v>
      </c>
      <c r="AD1420" s="56">
        <f>INDEX(Assumptions!$B$14:$B$16,MATCH($R1420,Assumptions!$A$14:$A$16,0))</f>
        <v>0.32</v>
      </c>
      <c r="AE1420" s="56">
        <f>INDEX(Assumptions!$C$14:$C$16,MATCH($R1420,Assumptions!$A$14:$A$16,0))</f>
        <v>0.22</v>
      </c>
      <c r="AF1420" s="49">
        <f t="shared" si="319"/>
        <v>0</v>
      </c>
      <c r="AG1420" s="49">
        <f t="shared" si="320"/>
        <v>0</v>
      </c>
      <c r="AH1420" s="55">
        <f t="shared" si="321"/>
        <v>0</v>
      </c>
    </row>
    <row r="1421" spans="1:34" x14ac:dyDescent="0.2">
      <c r="A1421" s="48" t="s">
        <v>1210</v>
      </c>
      <c r="B1421" s="48">
        <v>1</v>
      </c>
      <c r="C1421" s="48" t="s">
        <v>1156</v>
      </c>
      <c r="D1421" s="48" t="s">
        <v>1154</v>
      </c>
      <c r="E1421" s="48" t="s">
        <v>366</v>
      </c>
      <c r="F1421" s="48" t="s">
        <v>297</v>
      </c>
      <c r="G1421" s="48" t="s">
        <v>302</v>
      </c>
      <c r="H1421" s="48" t="s">
        <v>66</v>
      </c>
      <c r="I1421" s="48" t="s">
        <v>121</v>
      </c>
      <c r="J1421" s="49">
        <v>23</v>
      </c>
      <c r="K1421" s="50">
        <v>885</v>
      </c>
      <c r="L1421" s="50">
        <v>823.34</v>
      </c>
      <c r="M1421" s="48" t="s">
        <v>276</v>
      </c>
      <c r="N1421" s="51">
        <v>0.92</v>
      </c>
      <c r="O1421" s="51">
        <v>0.92830000000000001</v>
      </c>
      <c r="P1421" s="52">
        <v>802.4</v>
      </c>
      <c r="Q1421" s="52">
        <v>802.4</v>
      </c>
      <c r="R1421" s="53" t="str">
        <f>INDEX(SKU_Master!$D$5:$D$34,MATCH($I1421,SKU_Master!$A$5:$A$34,0))</f>
        <v>Laptop</v>
      </c>
      <c r="S1421" s="54">
        <f t="shared" si="308"/>
        <v>6.967231638418081E-2</v>
      </c>
      <c r="T1421" s="55">
        <f t="shared" si="309"/>
        <v>22125</v>
      </c>
      <c r="U1421" s="55">
        <f t="shared" si="310"/>
        <v>20583.5</v>
      </c>
      <c r="V1421" s="55">
        <f t="shared" si="311"/>
        <v>-1541.5</v>
      </c>
      <c r="W1421" s="55">
        <f t="shared" si="312"/>
        <v>20399.461381019068</v>
      </c>
      <c r="X1421" s="55">
        <f t="shared" si="313"/>
        <v>-184.03861898093237</v>
      </c>
      <c r="Y1421" s="55">
        <f t="shared" si="314"/>
        <v>18455.2</v>
      </c>
      <c r="Z1421" s="55">
        <f t="shared" si="315"/>
        <v>18455.2</v>
      </c>
      <c r="AA1421" s="55">
        <f t="shared" si="316"/>
        <v>0</v>
      </c>
      <c r="AB1421" s="55">
        <f t="shared" si="317"/>
        <v>1944.2613810190669</v>
      </c>
      <c r="AC1421" s="54">
        <f t="shared" si="318"/>
        <v>9.5309446887069729E-2</v>
      </c>
      <c r="AD1421" s="56">
        <f>INDEX(Assumptions!$B$14:$B$16,MATCH($R1421,Assumptions!$A$14:$A$16,0))</f>
        <v>0.12</v>
      </c>
      <c r="AE1421" s="56">
        <f>INDEX(Assumptions!$C$14:$C$16,MATCH($R1421,Assumptions!$A$14:$A$16,0))</f>
        <v>0.08</v>
      </c>
      <c r="AF1421" s="49">
        <f t="shared" si="319"/>
        <v>0</v>
      </c>
      <c r="AG1421" s="49">
        <f t="shared" si="320"/>
        <v>0</v>
      </c>
      <c r="AH1421" s="55">
        <f t="shared" si="321"/>
        <v>503.67398470322132</v>
      </c>
    </row>
    <row r="1422" spans="1:34" x14ac:dyDescent="0.2">
      <c r="A1422" s="48" t="s">
        <v>1210</v>
      </c>
      <c r="B1422" s="48">
        <v>2</v>
      </c>
      <c r="C1422" s="48" t="s">
        <v>1156</v>
      </c>
      <c r="D1422" s="48" t="s">
        <v>1154</v>
      </c>
      <c r="E1422" s="48" t="s">
        <v>366</v>
      </c>
      <c r="F1422" s="48" t="s">
        <v>297</v>
      </c>
      <c r="G1422" s="48" t="s">
        <v>302</v>
      </c>
      <c r="H1422" s="48" t="s">
        <v>66</v>
      </c>
      <c r="I1422" s="48" t="s">
        <v>146</v>
      </c>
      <c r="J1422" s="49">
        <v>11</v>
      </c>
      <c r="K1422" s="50">
        <v>250</v>
      </c>
      <c r="L1422" s="50">
        <v>229.32</v>
      </c>
      <c r="M1422" s="48" t="s">
        <v>276</v>
      </c>
      <c r="N1422" s="51">
        <v>0.92</v>
      </c>
      <c r="O1422" s="51">
        <v>0.92830000000000001</v>
      </c>
      <c r="P1422" s="52">
        <v>206.8</v>
      </c>
      <c r="Q1422" s="52">
        <v>206.8</v>
      </c>
      <c r="R1422" s="53" t="str">
        <f>INDEX(SKU_Master!$D$5:$D$34,MATCH($I1422,SKU_Master!$A$5:$A$34,0))</f>
        <v>Monitor</v>
      </c>
      <c r="S1422" s="54">
        <f t="shared" si="308"/>
        <v>8.2720000000000016E-2</v>
      </c>
      <c r="T1422" s="55">
        <f t="shared" si="309"/>
        <v>2989.1304347826085</v>
      </c>
      <c r="U1422" s="55">
        <f t="shared" si="310"/>
        <v>2741.869565217391</v>
      </c>
      <c r="V1422" s="55">
        <f t="shared" si="311"/>
        <v>-247.26086956521749</v>
      </c>
      <c r="W1422" s="55">
        <f t="shared" si="312"/>
        <v>2717.3543035656576</v>
      </c>
      <c r="X1422" s="55">
        <f t="shared" si="313"/>
        <v>-24.515261651733454</v>
      </c>
      <c r="Y1422" s="55">
        <f t="shared" si="314"/>
        <v>2274.8000000000002</v>
      </c>
      <c r="Z1422" s="55">
        <f t="shared" si="315"/>
        <v>2274.8000000000002</v>
      </c>
      <c r="AA1422" s="55">
        <f t="shared" si="316"/>
        <v>0</v>
      </c>
      <c r="AB1422" s="55">
        <f t="shared" si="317"/>
        <v>442.55430356565739</v>
      </c>
      <c r="AC1422" s="54">
        <f t="shared" si="318"/>
        <v>0.16286220129077264</v>
      </c>
      <c r="AD1422" s="56">
        <f>INDEX(Assumptions!$B$14:$B$16,MATCH($R1422,Assumptions!$A$14:$A$16,0))</f>
        <v>0.18</v>
      </c>
      <c r="AE1422" s="56">
        <f>INDEX(Assumptions!$C$14:$C$16,MATCH($R1422,Assumptions!$A$14:$A$16,0))</f>
        <v>0.12</v>
      </c>
      <c r="AF1422" s="49">
        <f t="shared" si="319"/>
        <v>0</v>
      </c>
      <c r="AG1422" s="49">
        <f t="shared" si="320"/>
        <v>0</v>
      </c>
      <c r="AH1422" s="55">
        <f t="shared" si="321"/>
        <v>46.569471076160937</v>
      </c>
    </row>
    <row r="1423" spans="1:34" x14ac:dyDescent="0.2">
      <c r="A1423" s="48" t="s">
        <v>1210</v>
      </c>
      <c r="B1423" s="48">
        <v>3</v>
      </c>
      <c r="C1423" s="48" t="s">
        <v>1156</v>
      </c>
      <c r="D1423" s="48" t="s">
        <v>1154</v>
      </c>
      <c r="E1423" s="48" t="s">
        <v>366</v>
      </c>
      <c r="F1423" s="48" t="s">
        <v>297</v>
      </c>
      <c r="G1423" s="48" t="s">
        <v>302</v>
      </c>
      <c r="H1423" s="48" t="s">
        <v>66</v>
      </c>
      <c r="I1423" s="48" t="s">
        <v>170</v>
      </c>
      <c r="J1423" s="49">
        <v>17</v>
      </c>
      <c r="K1423" s="50">
        <v>190</v>
      </c>
      <c r="L1423" s="50">
        <v>185.29</v>
      </c>
      <c r="M1423" s="48" t="s">
        <v>276</v>
      </c>
      <c r="N1423" s="51">
        <v>0.92</v>
      </c>
      <c r="O1423" s="51">
        <v>0.92830000000000001</v>
      </c>
      <c r="P1423" s="52">
        <v>131</v>
      </c>
      <c r="Q1423" s="52">
        <v>131</v>
      </c>
      <c r="R1423" s="53" t="str">
        <f>INDEX(SKU_Master!$D$5:$D$34,MATCH($I1423,SKU_Master!$A$5:$A$34,0))</f>
        <v>Accessory</v>
      </c>
      <c r="S1423" s="54">
        <f t="shared" si="308"/>
        <v>2.4789473684210583E-2</v>
      </c>
      <c r="T1423" s="55">
        <f t="shared" si="309"/>
        <v>3510.869565217391</v>
      </c>
      <c r="U1423" s="55">
        <f t="shared" si="310"/>
        <v>3423.836956521739</v>
      </c>
      <c r="V1423" s="55">
        <f t="shared" si="311"/>
        <v>-87.032608695652016</v>
      </c>
      <c r="W1423" s="55">
        <f t="shared" si="312"/>
        <v>3393.224173219864</v>
      </c>
      <c r="X1423" s="55">
        <f t="shared" si="313"/>
        <v>-30.61278330187497</v>
      </c>
      <c r="Y1423" s="55">
        <f t="shared" si="314"/>
        <v>2227</v>
      </c>
      <c r="Z1423" s="55">
        <f t="shared" si="315"/>
        <v>2227</v>
      </c>
      <c r="AA1423" s="55">
        <f t="shared" si="316"/>
        <v>0</v>
      </c>
      <c r="AB1423" s="55">
        <f t="shared" si="317"/>
        <v>1166.224173219864</v>
      </c>
      <c r="AC1423" s="54">
        <f t="shared" si="318"/>
        <v>0.34369205029953043</v>
      </c>
      <c r="AD1423" s="56">
        <f>INDEX(Assumptions!$B$14:$B$16,MATCH($R1423,Assumptions!$A$14:$A$16,0))</f>
        <v>0.32</v>
      </c>
      <c r="AE1423" s="56">
        <f>INDEX(Assumptions!$C$14:$C$16,MATCH($R1423,Assumptions!$A$14:$A$16,0))</f>
        <v>0.22</v>
      </c>
      <c r="AF1423" s="49">
        <f t="shared" si="319"/>
        <v>0</v>
      </c>
      <c r="AG1423" s="49">
        <f t="shared" si="320"/>
        <v>0</v>
      </c>
      <c r="AH1423" s="55">
        <f t="shared" si="321"/>
        <v>0</v>
      </c>
    </row>
    <row r="1424" spans="1:34" x14ac:dyDescent="0.2">
      <c r="A1424" s="48" t="s">
        <v>1211</v>
      </c>
      <c r="B1424" s="48">
        <v>1</v>
      </c>
      <c r="C1424" s="48" t="s">
        <v>1212</v>
      </c>
      <c r="D1424" s="48" t="s">
        <v>1154</v>
      </c>
      <c r="E1424" s="48" t="s">
        <v>314</v>
      </c>
      <c r="F1424" s="48" t="s">
        <v>274</v>
      </c>
      <c r="G1424" s="48" t="s">
        <v>298</v>
      </c>
      <c r="H1424" s="48" t="s">
        <v>68</v>
      </c>
      <c r="I1424" s="48" t="s">
        <v>103</v>
      </c>
      <c r="J1424" s="49">
        <v>4</v>
      </c>
      <c r="K1424" s="50">
        <v>1605</v>
      </c>
      <c r="L1424" s="50">
        <v>1583.07</v>
      </c>
      <c r="M1424" s="48" t="s">
        <v>276</v>
      </c>
      <c r="N1424" s="51">
        <v>1.37</v>
      </c>
      <c r="O1424" s="51">
        <v>1.3706</v>
      </c>
      <c r="P1424" s="52">
        <v>980.6</v>
      </c>
      <c r="Q1424" s="52">
        <v>980.6</v>
      </c>
      <c r="R1424" s="53" t="str">
        <f>INDEX(SKU_Master!$D$5:$D$34,MATCH($I1424,SKU_Master!$A$5:$A$34,0))</f>
        <v>Laptop</v>
      </c>
      <c r="S1424" s="54">
        <f t="shared" si="308"/>
        <v>1.3663551401869145E-2</v>
      </c>
      <c r="T1424" s="55">
        <f t="shared" si="309"/>
        <v>4686.1313868613133</v>
      </c>
      <c r="U1424" s="55">
        <f t="shared" si="310"/>
        <v>4622.1021897810215</v>
      </c>
      <c r="V1424" s="55">
        <f t="shared" si="311"/>
        <v>-64.029197080291851</v>
      </c>
      <c r="W1424" s="55">
        <f t="shared" si="312"/>
        <v>4620.0787976068868</v>
      </c>
      <c r="X1424" s="55">
        <f t="shared" si="313"/>
        <v>-2.0233921741346421</v>
      </c>
      <c r="Y1424" s="55">
        <f t="shared" si="314"/>
        <v>3922.4</v>
      </c>
      <c r="Z1424" s="55">
        <f t="shared" si="315"/>
        <v>3922.4</v>
      </c>
      <c r="AA1424" s="55">
        <f t="shared" si="316"/>
        <v>0</v>
      </c>
      <c r="AB1424" s="55">
        <f t="shared" si="317"/>
        <v>697.67879760688675</v>
      </c>
      <c r="AC1424" s="54">
        <f t="shared" si="318"/>
        <v>0.1510101511619826</v>
      </c>
      <c r="AD1424" s="56">
        <f>INDEX(Assumptions!$B$14:$B$16,MATCH($R1424,Assumptions!$A$14:$A$16,0))</f>
        <v>0.12</v>
      </c>
      <c r="AE1424" s="56">
        <f>INDEX(Assumptions!$C$14:$C$16,MATCH($R1424,Assumptions!$A$14:$A$16,0))</f>
        <v>0.08</v>
      </c>
      <c r="AF1424" s="49">
        <f t="shared" si="319"/>
        <v>0</v>
      </c>
      <c r="AG1424" s="49">
        <f t="shared" si="320"/>
        <v>0</v>
      </c>
      <c r="AH1424" s="55">
        <f t="shared" si="321"/>
        <v>0</v>
      </c>
    </row>
    <row r="1425" spans="1:34" x14ac:dyDescent="0.2">
      <c r="A1425" s="48" t="s">
        <v>1211</v>
      </c>
      <c r="B1425" s="48">
        <v>2</v>
      </c>
      <c r="C1425" s="48" t="s">
        <v>1212</v>
      </c>
      <c r="D1425" s="48" t="s">
        <v>1154</v>
      </c>
      <c r="E1425" s="48" t="s">
        <v>314</v>
      </c>
      <c r="F1425" s="48" t="s">
        <v>274</v>
      </c>
      <c r="G1425" s="48" t="s">
        <v>298</v>
      </c>
      <c r="H1425" s="48" t="s">
        <v>68</v>
      </c>
      <c r="I1425" s="48" t="s">
        <v>135</v>
      </c>
      <c r="J1425" s="49">
        <v>2</v>
      </c>
      <c r="K1425" s="50">
        <v>360</v>
      </c>
      <c r="L1425" s="50">
        <v>353.58</v>
      </c>
      <c r="M1425" s="48" t="s">
        <v>276</v>
      </c>
      <c r="N1425" s="51">
        <v>1.37</v>
      </c>
      <c r="O1425" s="51">
        <v>1.3706</v>
      </c>
      <c r="P1425" s="52">
        <v>201.7</v>
      </c>
      <c r="Q1425" s="52">
        <v>201.7</v>
      </c>
      <c r="R1425" s="53" t="str">
        <f>INDEX(SKU_Master!$D$5:$D$34,MATCH($I1425,SKU_Master!$A$5:$A$34,0))</f>
        <v>Monitor</v>
      </c>
      <c r="S1425" s="54">
        <f t="shared" si="308"/>
        <v>1.7833333333333368E-2</v>
      </c>
      <c r="T1425" s="55">
        <f t="shared" si="309"/>
        <v>525.54744525547437</v>
      </c>
      <c r="U1425" s="55">
        <f t="shared" si="310"/>
        <v>516.17518248175179</v>
      </c>
      <c r="V1425" s="55">
        <f t="shared" si="311"/>
        <v>-9.3722627737225821</v>
      </c>
      <c r="W1425" s="55">
        <f t="shared" si="312"/>
        <v>515.9492193200058</v>
      </c>
      <c r="X1425" s="55">
        <f t="shared" si="313"/>
        <v>-0.22596316174599451</v>
      </c>
      <c r="Y1425" s="55">
        <f t="shared" si="314"/>
        <v>403.4</v>
      </c>
      <c r="Z1425" s="55">
        <f t="shared" si="315"/>
        <v>403.4</v>
      </c>
      <c r="AA1425" s="55">
        <f t="shared" si="316"/>
        <v>0</v>
      </c>
      <c r="AB1425" s="55">
        <f t="shared" si="317"/>
        <v>112.54921932000582</v>
      </c>
      <c r="AC1425" s="54">
        <f t="shared" si="318"/>
        <v>0.21814010973471348</v>
      </c>
      <c r="AD1425" s="56">
        <f>INDEX(Assumptions!$B$14:$B$16,MATCH($R1425,Assumptions!$A$14:$A$16,0))</f>
        <v>0.18</v>
      </c>
      <c r="AE1425" s="56">
        <f>INDEX(Assumptions!$C$14:$C$16,MATCH($R1425,Assumptions!$A$14:$A$16,0))</f>
        <v>0.12</v>
      </c>
      <c r="AF1425" s="49">
        <f t="shared" si="319"/>
        <v>0</v>
      </c>
      <c r="AG1425" s="49">
        <f t="shared" si="320"/>
        <v>0</v>
      </c>
      <c r="AH1425" s="55">
        <f t="shared" si="321"/>
        <v>0</v>
      </c>
    </row>
    <row r="1426" spans="1:34" x14ac:dyDescent="0.2">
      <c r="A1426" s="48" t="s">
        <v>1211</v>
      </c>
      <c r="B1426" s="48">
        <v>3</v>
      </c>
      <c r="C1426" s="48" t="s">
        <v>1212</v>
      </c>
      <c r="D1426" s="48" t="s">
        <v>1154</v>
      </c>
      <c r="E1426" s="48" t="s">
        <v>314</v>
      </c>
      <c r="F1426" s="48" t="s">
        <v>274</v>
      </c>
      <c r="G1426" s="48" t="s">
        <v>298</v>
      </c>
      <c r="H1426" s="48" t="s">
        <v>68</v>
      </c>
      <c r="I1426" s="48" t="s">
        <v>151</v>
      </c>
      <c r="J1426" s="49">
        <v>3</v>
      </c>
      <c r="K1426" s="50">
        <v>475</v>
      </c>
      <c r="L1426" s="50">
        <v>468.72</v>
      </c>
      <c r="M1426" s="48" t="s">
        <v>276</v>
      </c>
      <c r="N1426" s="51">
        <v>1.37</v>
      </c>
      <c r="O1426" s="51">
        <v>1.3706</v>
      </c>
      <c r="P1426" s="52">
        <v>219.7</v>
      </c>
      <c r="Q1426" s="52">
        <v>219.7</v>
      </c>
      <c r="R1426" s="53" t="str">
        <f>INDEX(SKU_Master!$D$5:$D$34,MATCH($I1426,SKU_Master!$A$5:$A$34,0))</f>
        <v>Accessory</v>
      </c>
      <c r="S1426" s="54">
        <f t="shared" si="308"/>
        <v>1.3221052631578911E-2</v>
      </c>
      <c r="T1426" s="55">
        <f t="shared" si="309"/>
        <v>1040.1459854014597</v>
      </c>
      <c r="U1426" s="55">
        <f t="shared" si="310"/>
        <v>1026.3941605839416</v>
      </c>
      <c r="V1426" s="55">
        <f t="shared" si="311"/>
        <v>-13.751824817518127</v>
      </c>
      <c r="W1426" s="55">
        <f t="shared" si="312"/>
        <v>1025.9448416751788</v>
      </c>
      <c r="X1426" s="55">
        <f t="shared" si="313"/>
        <v>-0.44931890876273428</v>
      </c>
      <c r="Y1426" s="55">
        <f t="shared" si="314"/>
        <v>659.09999999999991</v>
      </c>
      <c r="Z1426" s="55">
        <f t="shared" si="315"/>
        <v>659.09999999999991</v>
      </c>
      <c r="AA1426" s="55">
        <f t="shared" si="316"/>
        <v>0</v>
      </c>
      <c r="AB1426" s="55">
        <f t="shared" si="317"/>
        <v>366.84484167517894</v>
      </c>
      <c r="AC1426" s="54">
        <f t="shared" si="318"/>
        <v>0.35756780167264052</v>
      </c>
      <c r="AD1426" s="56">
        <f>INDEX(Assumptions!$B$14:$B$16,MATCH($R1426,Assumptions!$A$14:$A$16,0))</f>
        <v>0.32</v>
      </c>
      <c r="AE1426" s="56">
        <f>INDEX(Assumptions!$C$14:$C$16,MATCH($R1426,Assumptions!$A$14:$A$16,0))</f>
        <v>0.22</v>
      </c>
      <c r="AF1426" s="49">
        <f t="shared" si="319"/>
        <v>0</v>
      </c>
      <c r="AG1426" s="49">
        <f t="shared" si="320"/>
        <v>0</v>
      </c>
      <c r="AH1426" s="55">
        <f t="shared" si="321"/>
        <v>0</v>
      </c>
    </row>
    <row r="1427" spans="1:34" x14ac:dyDescent="0.2">
      <c r="A1427" s="48" t="s">
        <v>1213</v>
      </c>
      <c r="B1427" s="48">
        <v>1</v>
      </c>
      <c r="C1427" s="48" t="s">
        <v>1214</v>
      </c>
      <c r="D1427" s="48" t="s">
        <v>1154</v>
      </c>
      <c r="E1427" s="48" t="s">
        <v>309</v>
      </c>
      <c r="F1427" s="48" t="s">
        <v>280</v>
      </c>
      <c r="G1427" s="48" t="s">
        <v>298</v>
      </c>
      <c r="H1427" s="48" t="s">
        <v>70</v>
      </c>
      <c r="I1427" s="48" t="s">
        <v>103</v>
      </c>
      <c r="J1427" s="49">
        <v>18</v>
      </c>
      <c r="K1427" s="50">
        <v>110670</v>
      </c>
      <c r="L1427" s="50">
        <v>105914</v>
      </c>
      <c r="M1427" s="48" t="s">
        <v>276</v>
      </c>
      <c r="N1427" s="51">
        <v>83.5</v>
      </c>
      <c r="O1427" s="51">
        <v>84.992699999999999</v>
      </c>
      <c r="P1427" s="52">
        <v>1110.17</v>
      </c>
      <c r="Q1427" s="52">
        <v>1130.17</v>
      </c>
      <c r="R1427" s="53" t="str">
        <f>INDEX(SKU_Master!$D$5:$D$34,MATCH($I1427,SKU_Master!$A$5:$A$34,0))</f>
        <v>Laptop</v>
      </c>
      <c r="S1427" s="54">
        <f t="shared" si="308"/>
        <v>4.2974609198518143E-2</v>
      </c>
      <c r="T1427" s="55">
        <f t="shared" si="309"/>
        <v>23857.005988023953</v>
      </c>
      <c r="U1427" s="55">
        <f t="shared" si="310"/>
        <v>22831.760479041917</v>
      </c>
      <c r="V1427" s="55">
        <f t="shared" si="311"/>
        <v>-1025.245508982036</v>
      </c>
      <c r="W1427" s="55">
        <f t="shared" si="312"/>
        <v>22430.773466427116</v>
      </c>
      <c r="X1427" s="55">
        <f t="shared" si="313"/>
        <v>-400.98701261480164</v>
      </c>
      <c r="Y1427" s="55">
        <f t="shared" si="314"/>
        <v>19983.060000000001</v>
      </c>
      <c r="Z1427" s="55">
        <f t="shared" si="315"/>
        <v>20343.060000000001</v>
      </c>
      <c r="AA1427" s="55">
        <f t="shared" si="316"/>
        <v>-360</v>
      </c>
      <c r="AB1427" s="55">
        <f t="shared" si="317"/>
        <v>2087.7134664271143</v>
      </c>
      <c r="AC1427" s="54">
        <f t="shared" si="318"/>
        <v>9.3073628047283544E-2</v>
      </c>
      <c r="AD1427" s="56">
        <f>INDEX(Assumptions!$B$14:$B$16,MATCH($R1427,Assumptions!$A$14:$A$16,0))</f>
        <v>0.12</v>
      </c>
      <c r="AE1427" s="56">
        <f>INDEX(Assumptions!$C$14:$C$16,MATCH($R1427,Assumptions!$A$14:$A$16,0))</f>
        <v>0.08</v>
      </c>
      <c r="AF1427" s="49">
        <f t="shared" si="319"/>
        <v>0</v>
      </c>
      <c r="AG1427" s="49">
        <f t="shared" si="320"/>
        <v>0</v>
      </c>
      <c r="AH1427" s="55">
        <f t="shared" si="321"/>
        <v>603.9793495441395</v>
      </c>
    </row>
    <row r="1428" spans="1:34" x14ac:dyDescent="0.2">
      <c r="A1428" s="48" t="s">
        <v>1215</v>
      </c>
      <c r="B1428" s="48">
        <v>1</v>
      </c>
      <c r="C1428" s="48" t="s">
        <v>1216</v>
      </c>
      <c r="D1428" s="48" t="s">
        <v>1154</v>
      </c>
      <c r="E1428" s="48" t="s">
        <v>558</v>
      </c>
      <c r="F1428" s="48" t="s">
        <v>280</v>
      </c>
      <c r="G1428" s="48" t="s">
        <v>288</v>
      </c>
      <c r="H1428" s="48" t="s">
        <v>62</v>
      </c>
      <c r="I1428" s="48" t="s">
        <v>106</v>
      </c>
      <c r="J1428" s="49">
        <v>27</v>
      </c>
      <c r="K1428" s="50">
        <v>1520</v>
      </c>
      <c r="L1428" s="50">
        <v>1501.67</v>
      </c>
      <c r="M1428" s="48" t="s">
        <v>276</v>
      </c>
      <c r="N1428" s="51">
        <v>1</v>
      </c>
      <c r="O1428" s="51">
        <v>1</v>
      </c>
      <c r="P1428" s="52">
        <v>1298.4000000000001</v>
      </c>
      <c r="Q1428" s="52">
        <v>1298.4000000000001</v>
      </c>
      <c r="R1428" s="53" t="str">
        <f>INDEX(SKU_Master!$D$5:$D$34,MATCH($I1428,SKU_Master!$A$5:$A$34,0))</f>
        <v>Laptop</v>
      </c>
      <c r="S1428" s="54">
        <f t="shared" si="308"/>
        <v>1.2059210526315756E-2</v>
      </c>
      <c r="T1428" s="55">
        <f t="shared" si="309"/>
        <v>41040</v>
      </c>
      <c r="U1428" s="55">
        <f t="shared" si="310"/>
        <v>40545.090000000004</v>
      </c>
      <c r="V1428" s="55">
        <f t="shared" si="311"/>
        <v>-494.90999999999622</v>
      </c>
      <c r="W1428" s="55">
        <f t="shared" si="312"/>
        <v>40545.090000000004</v>
      </c>
      <c r="X1428" s="55">
        <f t="shared" si="313"/>
        <v>0</v>
      </c>
      <c r="Y1428" s="55">
        <f t="shared" si="314"/>
        <v>35056.800000000003</v>
      </c>
      <c r="Z1428" s="55">
        <f t="shared" si="315"/>
        <v>35056.800000000003</v>
      </c>
      <c r="AA1428" s="55">
        <f t="shared" si="316"/>
        <v>0</v>
      </c>
      <c r="AB1428" s="55">
        <f t="shared" si="317"/>
        <v>5488.2900000000009</v>
      </c>
      <c r="AC1428" s="54">
        <f t="shared" si="318"/>
        <v>0.13536262960570566</v>
      </c>
      <c r="AD1428" s="56">
        <f>INDEX(Assumptions!$B$14:$B$16,MATCH($R1428,Assumptions!$A$14:$A$16,0))</f>
        <v>0.12</v>
      </c>
      <c r="AE1428" s="56">
        <f>INDEX(Assumptions!$C$14:$C$16,MATCH($R1428,Assumptions!$A$14:$A$16,0))</f>
        <v>0.08</v>
      </c>
      <c r="AF1428" s="49">
        <f t="shared" si="319"/>
        <v>0</v>
      </c>
      <c r="AG1428" s="49">
        <f t="shared" si="320"/>
        <v>0</v>
      </c>
      <c r="AH1428" s="55">
        <f t="shared" si="321"/>
        <v>0</v>
      </c>
    </row>
    <row r="1429" spans="1:34" x14ac:dyDescent="0.2">
      <c r="A1429" s="48" t="s">
        <v>1215</v>
      </c>
      <c r="B1429" s="48">
        <v>2</v>
      </c>
      <c r="C1429" s="48" t="s">
        <v>1216</v>
      </c>
      <c r="D1429" s="48" t="s">
        <v>1154</v>
      </c>
      <c r="E1429" s="48" t="s">
        <v>558</v>
      </c>
      <c r="F1429" s="48" t="s">
        <v>280</v>
      </c>
      <c r="G1429" s="48" t="s">
        <v>288</v>
      </c>
      <c r="H1429" s="48" t="s">
        <v>62</v>
      </c>
      <c r="I1429" s="48" t="s">
        <v>173</v>
      </c>
      <c r="J1429" s="49">
        <v>28</v>
      </c>
      <c r="K1429" s="50">
        <v>55</v>
      </c>
      <c r="L1429" s="50">
        <v>53.57</v>
      </c>
      <c r="M1429" s="48" t="s">
        <v>276</v>
      </c>
      <c r="N1429" s="51">
        <v>1</v>
      </c>
      <c r="O1429" s="51">
        <v>1</v>
      </c>
      <c r="P1429" s="52">
        <v>34</v>
      </c>
      <c r="Q1429" s="52">
        <v>34</v>
      </c>
      <c r="R1429" s="53" t="str">
        <f>INDEX(SKU_Master!$D$5:$D$34,MATCH($I1429,SKU_Master!$A$5:$A$34,0))</f>
        <v>Accessory</v>
      </c>
      <c r="S1429" s="54">
        <f t="shared" si="308"/>
        <v>2.6000000000000023E-2</v>
      </c>
      <c r="T1429" s="55">
        <f t="shared" si="309"/>
        <v>1540</v>
      </c>
      <c r="U1429" s="55">
        <f t="shared" si="310"/>
        <v>1499.96</v>
      </c>
      <c r="V1429" s="55">
        <f t="shared" si="311"/>
        <v>-40.039999999999964</v>
      </c>
      <c r="W1429" s="55">
        <f t="shared" si="312"/>
        <v>1499.96</v>
      </c>
      <c r="X1429" s="55">
        <f t="shared" si="313"/>
        <v>0</v>
      </c>
      <c r="Y1429" s="55">
        <f t="shared" si="314"/>
        <v>952</v>
      </c>
      <c r="Z1429" s="55">
        <f t="shared" si="315"/>
        <v>952</v>
      </c>
      <c r="AA1429" s="55">
        <f t="shared" si="316"/>
        <v>0</v>
      </c>
      <c r="AB1429" s="55">
        <f t="shared" si="317"/>
        <v>547.96</v>
      </c>
      <c r="AC1429" s="54">
        <f t="shared" si="318"/>
        <v>0.36531640843755836</v>
      </c>
      <c r="AD1429" s="56">
        <f>INDEX(Assumptions!$B$14:$B$16,MATCH($R1429,Assumptions!$A$14:$A$16,0))</f>
        <v>0.32</v>
      </c>
      <c r="AE1429" s="56">
        <f>INDEX(Assumptions!$C$14:$C$16,MATCH($R1429,Assumptions!$A$14:$A$16,0))</f>
        <v>0.22</v>
      </c>
      <c r="AF1429" s="49">
        <f t="shared" si="319"/>
        <v>0</v>
      </c>
      <c r="AG1429" s="49">
        <f t="shared" si="320"/>
        <v>0</v>
      </c>
      <c r="AH1429" s="55">
        <f t="shared" si="321"/>
        <v>0</v>
      </c>
    </row>
    <row r="1430" spans="1:34" x14ac:dyDescent="0.2">
      <c r="A1430" s="48" t="s">
        <v>1217</v>
      </c>
      <c r="B1430" s="48">
        <v>1</v>
      </c>
      <c r="C1430" s="48" t="s">
        <v>1199</v>
      </c>
      <c r="D1430" s="48" t="s">
        <v>1154</v>
      </c>
      <c r="E1430" s="48" t="s">
        <v>588</v>
      </c>
      <c r="F1430" s="48" t="s">
        <v>274</v>
      </c>
      <c r="G1430" s="48" t="s">
        <v>281</v>
      </c>
      <c r="H1430" s="48" t="s">
        <v>62</v>
      </c>
      <c r="I1430" s="48" t="s">
        <v>108</v>
      </c>
      <c r="J1430" s="49">
        <v>5</v>
      </c>
      <c r="K1430" s="50">
        <v>1345</v>
      </c>
      <c r="L1430" s="50">
        <v>1338.7</v>
      </c>
      <c r="M1430" s="48" t="s">
        <v>276</v>
      </c>
      <c r="N1430" s="51">
        <v>1</v>
      </c>
      <c r="O1430" s="51">
        <v>1</v>
      </c>
      <c r="P1430" s="52">
        <v>1145</v>
      </c>
      <c r="Q1430" s="52">
        <v>1212.6199999999999</v>
      </c>
      <c r="R1430" s="53" t="str">
        <f>INDEX(SKU_Master!$D$5:$D$34,MATCH($I1430,SKU_Master!$A$5:$A$34,0))</f>
        <v>Laptop</v>
      </c>
      <c r="S1430" s="54">
        <f t="shared" si="308"/>
        <v>4.6840148698884532E-3</v>
      </c>
      <c r="T1430" s="55">
        <f t="shared" si="309"/>
        <v>6725</v>
      </c>
      <c r="U1430" s="55">
        <f t="shared" si="310"/>
        <v>6693.5</v>
      </c>
      <c r="V1430" s="55">
        <f t="shared" si="311"/>
        <v>-31.5</v>
      </c>
      <c r="W1430" s="55">
        <f t="shared" si="312"/>
        <v>6693.5</v>
      </c>
      <c r="X1430" s="55">
        <f t="shared" si="313"/>
        <v>0</v>
      </c>
      <c r="Y1430" s="55">
        <f t="shared" si="314"/>
        <v>5725</v>
      </c>
      <c r="Z1430" s="55">
        <f t="shared" si="315"/>
        <v>6063.0999999999995</v>
      </c>
      <c r="AA1430" s="55">
        <f t="shared" si="316"/>
        <v>-338.09999999999945</v>
      </c>
      <c r="AB1430" s="55">
        <f t="shared" si="317"/>
        <v>630.40000000000055</v>
      </c>
      <c r="AC1430" s="54">
        <f t="shared" si="318"/>
        <v>9.4180921789796146E-2</v>
      </c>
      <c r="AD1430" s="56">
        <f>INDEX(Assumptions!$B$14:$B$16,MATCH($R1430,Assumptions!$A$14:$A$16,0))</f>
        <v>0.12</v>
      </c>
      <c r="AE1430" s="56">
        <f>INDEX(Assumptions!$C$14:$C$16,MATCH($R1430,Assumptions!$A$14:$A$16,0))</f>
        <v>0.08</v>
      </c>
      <c r="AF1430" s="49">
        <f t="shared" si="319"/>
        <v>0</v>
      </c>
      <c r="AG1430" s="49">
        <f t="shared" si="320"/>
        <v>0</v>
      </c>
      <c r="AH1430" s="55">
        <f t="shared" si="321"/>
        <v>172.81999999999937</v>
      </c>
    </row>
    <row r="1431" spans="1:34" x14ac:dyDescent="0.2">
      <c r="A1431" s="48" t="s">
        <v>1217</v>
      </c>
      <c r="B1431" s="48">
        <v>2</v>
      </c>
      <c r="C1431" s="48" t="s">
        <v>1199</v>
      </c>
      <c r="D1431" s="48" t="s">
        <v>1154</v>
      </c>
      <c r="E1431" s="48" t="s">
        <v>588</v>
      </c>
      <c r="F1431" s="48" t="s">
        <v>274</v>
      </c>
      <c r="G1431" s="48" t="s">
        <v>281</v>
      </c>
      <c r="H1431" s="48" t="s">
        <v>62</v>
      </c>
      <c r="I1431" s="48" t="s">
        <v>141</v>
      </c>
      <c r="J1431" s="49">
        <v>5</v>
      </c>
      <c r="K1431" s="50">
        <v>450</v>
      </c>
      <c r="L1431" s="50">
        <v>448.9</v>
      </c>
      <c r="M1431" s="48" t="s">
        <v>276</v>
      </c>
      <c r="N1431" s="51">
        <v>1</v>
      </c>
      <c r="O1431" s="51">
        <v>1</v>
      </c>
      <c r="P1431" s="52">
        <v>351.7</v>
      </c>
      <c r="Q1431" s="52">
        <v>351.7</v>
      </c>
      <c r="R1431" s="53" t="str">
        <f>INDEX(SKU_Master!$D$5:$D$34,MATCH($I1431,SKU_Master!$A$5:$A$34,0))</f>
        <v>Monitor</v>
      </c>
      <c r="S1431" s="54">
        <f t="shared" si="308"/>
        <v>2.4444444444444713E-3</v>
      </c>
      <c r="T1431" s="55">
        <f t="shared" si="309"/>
        <v>2250</v>
      </c>
      <c r="U1431" s="55">
        <f t="shared" si="310"/>
        <v>2244.5</v>
      </c>
      <c r="V1431" s="55">
        <f t="shared" si="311"/>
        <v>-5.5</v>
      </c>
      <c r="W1431" s="55">
        <f t="shared" si="312"/>
        <v>2244.5</v>
      </c>
      <c r="X1431" s="55">
        <f t="shared" si="313"/>
        <v>0</v>
      </c>
      <c r="Y1431" s="55">
        <f t="shared" si="314"/>
        <v>1758.5</v>
      </c>
      <c r="Z1431" s="55">
        <f t="shared" si="315"/>
        <v>1758.5</v>
      </c>
      <c r="AA1431" s="55">
        <f t="shared" si="316"/>
        <v>0</v>
      </c>
      <c r="AB1431" s="55">
        <f t="shared" si="317"/>
        <v>486</v>
      </c>
      <c r="AC1431" s="54">
        <f t="shared" si="318"/>
        <v>0.21652929382936065</v>
      </c>
      <c r="AD1431" s="56">
        <f>INDEX(Assumptions!$B$14:$B$16,MATCH($R1431,Assumptions!$A$14:$A$16,0))</f>
        <v>0.18</v>
      </c>
      <c r="AE1431" s="56">
        <f>INDEX(Assumptions!$C$14:$C$16,MATCH($R1431,Assumptions!$A$14:$A$16,0))</f>
        <v>0.12</v>
      </c>
      <c r="AF1431" s="49">
        <f t="shared" si="319"/>
        <v>0</v>
      </c>
      <c r="AG1431" s="49">
        <f t="shared" si="320"/>
        <v>0</v>
      </c>
      <c r="AH1431" s="55">
        <f t="shared" si="321"/>
        <v>0</v>
      </c>
    </row>
    <row r="1432" spans="1:34" x14ac:dyDescent="0.2">
      <c r="A1432" s="48" t="s">
        <v>1217</v>
      </c>
      <c r="B1432" s="48">
        <v>3</v>
      </c>
      <c r="C1432" s="48" t="s">
        <v>1199</v>
      </c>
      <c r="D1432" s="48" t="s">
        <v>1154</v>
      </c>
      <c r="E1432" s="48" t="s">
        <v>588</v>
      </c>
      <c r="F1432" s="48" t="s">
        <v>274</v>
      </c>
      <c r="G1432" s="48" t="s">
        <v>281</v>
      </c>
      <c r="H1432" s="48" t="s">
        <v>62</v>
      </c>
      <c r="I1432" s="48" t="s">
        <v>161</v>
      </c>
      <c r="J1432" s="49">
        <v>3</v>
      </c>
      <c r="K1432" s="50">
        <v>120</v>
      </c>
      <c r="L1432" s="50">
        <v>119.6</v>
      </c>
      <c r="M1432" s="48" t="s">
        <v>276</v>
      </c>
      <c r="N1432" s="51">
        <v>1</v>
      </c>
      <c r="O1432" s="51">
        <v>1</v>
      </c>
      <c r="P1432" s="52">
        <v>76</v>
      </c>
      <c r="Q1432" s="52">
        <v>76</v>
      </c>
      <c r="R1432" s="53" t="str">
        <f>INDEX(SKU_Master!$D$5:$D$34,MATCH($I1432,SKU_Master!$A$5:$A$34,0))</f>
        <v>Accessory</v>
      </c>
      <c r="S1432" s="54">
        <f t="shared" si="308"/>
        <v>3.3333333333334103E-3</v>
      </c>
      <c r="T1432" s="55">
        <f t="shared" si="309"/>
        <v>360</v>
      </c>
      <c r="U1432" s="55">
        <f t="shared" si="310"/>
        <v>358.79999999999995</v>
      </c>
      <c r="V1432" s="55">
        <f t="shared" si="311"/>
        <v>-1.2000000000000455</v>
      </c>
      <c r="W1432" s="55">
        <f t="shared" si="312"/>
        <v>358.79999999999995</v>
      </c>
      <c r="X1432" s="55">
        <f t="shared" si="313"/>
        <v>0</v>
      </c>
      <c r="Y1432" s="55">
        <f t="shared" si="314"/>
        <v>228</v>
      </c>
      <c r="Z1432" s="55">
        <f t="shared" si="315"/>
        <v>228</v>
      </c>
      <c r="AA1432" s="55">
        <f t="shared" si="316"/>
        <v>0</v>
      </c>
      <c r="AB1432" s="55">
        <f t="shared" si="317"/>
        <v>130.79999999999995</v>
      </c>
      <c r="AC1432" s="54">
        <f t="shared" si="318"/>
        <v>0.36454849498327752</v>
      </c>
      <c r="AD1432" s="56">
        <f>INDEX(Assumptions!$B$14:$B$16,MATCH($R1432,Assumptions!$A$14:$A$16,0))</f>
        <v>0.32</v>
      </c>
      <c r="AE1432" s="56">
        <f>INDEX(Assumptions!$C$14:$C$16,MATCH($R1432,Assumptions!$A$14:$A$16,0))</f>
        <v>0.22</v>
      </c>
      <c r="AF1432" s="49">
        <f t="shared" si="319"/>
        <v>0</v>
      </c>
      <c r="AG1432" s="49">
        <f t="shared" si="320"/>
        <v>0</v>
      </c>
      <c r="AH1432" s="55">
        <f t="shared" si="321"/>
        <v>0</v>
      </c>
    </row>
    <row r="1433" spans="1:34" x14ac:dyDescent="0.2">
      <c r="A1433" s="48" t="s">
        <v>1218</v>
      </c>
      <c r="B1433" s="48">
        <v>1</v>
      </c>
      <c r="C1433" s="48" t="s">
        <v>1153</v>
      </c>
      <c r="D1433" s="48" t="s">
        <v>1154</v>
      </c>
      <c r="E1433" s="48" t="s">
        <v>311</v>
      </c>
      <c r="F1433" s="48" t="s">
        <v>297</v>
      </c>
      <c r="G1433" s="48" t="s">
        <v>302</v>
      </c>
      <c r="H1433" s="48" t="s">
        <v>62</v>
      </c>
      <c r="I1433" s="48" t="s">
        <v>93</v>
      </c>
      <c r="J1433" s="49">
        <v>49</v>
      </c>
      <c r="K1433" s="50">
        <v>1390</v>
      </c>
      <c r="L1433" s="50">
        <v>1278.3599999999999</v>
      </c>
      <c r="M1433" s="48" t="s">
        <v>276</v>
      </c>
      <c r="N1433" s="51">
        <v>1</v>
      </c>
      <c r="O1433" s="51">
        <v>1</v>
      </c>
      <c r="P1433" s="52">
        <v>1186.2</v>
      </c>
      <c r="Q1433" s="52">
        <v>1186.2</v>
      </c>
      <c r="R1433" s="53" t="str">
        <f>INDEX(SKU_Master!$D$5:$D$34,MATCH($I1433,SKU_Master!$A$5:$A$34,0))</f>
        <v>Laptop</v>
      </c>
      <c r="S1433" s="54">
        <f t="shared" si="308"/>
        <v>8.0316546762590035E-2</v>
      </c>
      <c r="T1433" s="55">
        <f t="shared" si="309"/>
        <v>68110</v>
      </c>
      <c r="U1433" s="55">
        <f t="shared" si="310"/>
        <v>62639.639999999992</v>
      </c>
      <c r="V1433" s="55">
        <f t="shared" si="311"/>
        <v>-5470.3600000000079</v>
      </c>
      <c r="W1433" s="55">
        <f t="shared" si="312"/>
        <v>62639.639999999992</v>
      </c>
      <c r="X1433" s="55">
        <f t="shared" si="313"/>
        <v>0</v>
      </c>
      <c r="Y1433" s="55">
        <f t="shared" si="314"/>
        <v>58123.8</v>
      </c>
      <c r="Z1433" s="55">
        <f t="shared" si="315"/>
        <v>58123.8</v>
      </c>
      <c r="AA1433" s="55">
        <f t="shared" si="316"/>
        <v>0</v>
      </c>
      <c r="AB1433" s="55">
        <f t="shared" si="317"/>
        <v>4515.8399999999892</v>
      </c>
      <c r="AC1433" s="54">
        <f t="shared" si="318"/>
        <v>7.2092368346944366E-2</v>
      </c>
      <c r="AD1433" s="56">
        <f>INDEX(Assumptions!$B$14:$B$16,MATCH($R1433,Assumptions!$A$14:$A$16,0))</f>
        <v>0.12</v>
      </c>
      <c r="AE1433" s="56">
        <f>INDEX(Assumptions!$C$14:$C$16,MATCH($R1433,Assumptions!$A$14:$A$16,0))</f>
        <v>0.08</v>
      </c>
      <c r="AF1433" s="49">
        <f t="shared" si="319"/>
        <v>1</v>
      </c>
      <c r="AG1433" s="49">
        <f t="shared" si="320"/>
        <v>1</v>
      </c>
      <c r="AH1433" s="55">
        <f t="shared" si="321"/>
        <v>3000.91680000001</v>
      </c>
    </row>
    <row r="1434" spans="1:34" x14ac:dyDescent="0.2">
      <c r="A1434" s="48" t="s">
        <v>1218</v>
      </c>
      <c r="B1434" s="48">
        <v>2</v>
      </c>
      <c r="C1434" s="48" t="s">
        <v>1153</v>
      </c>
      <c r="D1434" s="48" t="s">
        <v>1154</v>
      </c>
      <c r="E1434" s="48" t="s">
        <v>311</v>
      </c>
      <c r="F1434" s="48" t="s">
        <v>297</v>
      </c>
      <c r="G1434" s="48" t="s">
        <v>302</v>
      </c>
      <c r="H1434" s="48" t="s">
        <v>62</v>
      </c>
      <c r="I1434" s="48" t="s">
        <v>173</v>
      </c>
      <c r="J1434" s="49">
        <v>48</v>
      </c>
      <c r="K1434" s="50">
        <v>55</v>
      </c>
      <c r="L1434" s="50">
        <v>52.74</v>
      </c>
      <c r="M1434" s="48" t="s">
        <v>276</v>
      </c>
      <c r="N1434" s="51">
        <v>1</v>
      </c>
      <c r="O1434" s="51">
        <v>1</v>
      </c>
      <c r="P1434" s="52">
        <v>34</v>
      </c>
      <c r="Q1434" s="52">
        <v>34</v>
      </c>
      <c r="R1434" s="53" t="str">
        <f>INDEX(SKU_Master!$D$5:$D$34,MATCH($I1434,SKU_Master!$A$5:$A$34,0))</f>
        <v>Accessory</v>
      </c>
      <c r="S1434" s="54">
        <f t="shared" si="308"/>
        <v>4.1090909090909067E-2</v>
      </c>
      <c r="T1434" s="55">
        <f t="shared" si="309"/>
        <v>2640</v>
      </c>
      <c r="U1434" s="55">
        <f t="shared" si="310"/>
        <v>2531.52</v>
      </c>
      <c r="V1434" s="55">
        <f t="shared" si="311"/>
        <v>-108.48000000000002</v>
      </c>
      <c r="W1434" s="55">
        <f t="shared" si="312"/>
        <v>2531.52</v>
      </c>
      <c r="X1434" s="55">
        <f t="shared" si="313"/>
        <v>0</v>
      </c>
      <c r="Y1434" s="55">
        <f t="shared" si="314"/>
        <v>1632</v>
      </c>
      <c r="Z1434" s="55">
        <f t="shared" si="315"/>
        <v>1632</v>
      </c>
      <c r="AA1434" s="55">
        <f t="shared" si="316"/>
        <v>0</v>
      </c>
      <c r="AB1434" s="55">
        <f t="shared" si="317"/>
        <v>899.52</v>
      </c>
      <c r="AC1434" s="54">
        <f t="shared" si="318"/>
        <v>0.35532802427000376</v>
      </c>
      <c r="AD1434" s="56">
        <f>INDEX(Assumptions!$B$14:$B$16,MATCH($R1434,Assumptions!$A$14:$A$16,0))</f>
        <v>0.32</v>
      </c>
      <c r="AE1434" s="56">
        <f>INDEX(Assumptions!$C$14:$C$16,MATCH($R1434,Assumptions!$A$14:$A$16,0))</f>
        <v>0.22</v>
      </c>
      <c r="AF1434" s="49">
        <f t="shared" si="319"/>
        <v>0</v>
      </c>
      <c r="AG1434" s="49">
        <f t="shared" si="320"/>
        <v>0</v>
      </c>
      <c r="AH1434" s="55">
        <f t="shared" si="321"/>
        <v>0</v>
      </c>
    </row>
    <row r="1435" spans="1:34" x14ac:dyDescent="0.2">
      <c r="A1435" s="48" t="s">
        <v>1219</v>
      </c>
      <c r="B1435" s="48">
        <v>1</v>
      </c>
      <c r="C1435" s="48" t="s">
        <v>1153</v>
      </c>
      <c r="D1435" s="48" t="s">
        <v>1154</v>
      </c>
      <c r="E1435" s="48" t="s">
        <v>358</v>
      </c>
      <c r="F1435" s="48" t="s">
        <v>274</v>
      </c>
      <c r="G1435" s="48" t="s">
        <v>288</v>
      </c>
      <c r="H1435" s="48" t="s">
        <v>62</v>
      </c>
      <c r="I1435" s="48" t="s">
        <v>93</v>
      </c>
      <c r="J1435" s="49">
        <v>5</v>
      </c>
      <c r="K1435" s="50">
        <v>1390</v>
      </c>
      <c r="L1435" s="50">
        <v>1378.21</v>
      </c>
      <c r="M1435" s="48" t="s">
        <v>276</v>
      </c>
      <c r="N1435" s="51">
        <v>1</v>
      </c>
      <c r="O1435" s="51">
        <v>1</v>
      </c>
      <c r="P1435" s="52">
        <v>1186.2</v>
      </c>
      <c r="Q1435" s="52">
        <v>1186.2</v>
      </c>
      <c r="R1435" s="53" t="str">
        <f>INDEX(SKU_Master!$D$5:$D$34,MATCH($I1435,SKU_Master!$A$5:$A$34,0))</f>
        <v>Laptop</v>
      </c>
      <c r="S1435" s="54">
        <f t="shared" si="308"/>
        <v>8.4820143884891674E-3</v>
      </c>
      <c r="T1435" s="55">
        <f t="shared" si="309"/>
        <v>6950</v>
      </c>
      <c r="U1435" s="55">
        <f t="shared" si="310"/>
        <v>6891.05</v>
      </c>
      <c r="V1435" s="55">
        <f t="shared" si="311"/>
        <v>-58.949999999999818</v>
      </c>
      <c r="W1435" s="55">
        <f t="shared" si="312"/>
        <v>6891.05</v>
      </c>
      <c r="X1435" s="55">
        <f t="shared" si="313"/>
        <v>0</v>
      </c>
      <c r="Y1435" s="55">
        <f t="shared" si="314"/>
        <v>5931</v>
      </c>
      <c r="Z1435" s="55">
        <f t="shared" si="315"/>
        <v>5931</v>
      </c>
      <c r="AA1435" s="55">
        <f t="shared" si="316"/>
        <v>0</v>
      </c>
      <c r="AB1435" s="55">
        <f t="shared" si="317"/>
        <v>960.05000000000018</v>
      </c>
      <c r="AC1435" s="54">
        <f t="shared" si="318"/>
        <v>0.13931839124661702</v>
      </c>
      <c r="AD1435" s="56">
        <f>INDEX(Assumptions!$B$14:$B$16,MATCH($R1435,Assumptions!$A$14:$A$16,0))</f>
        <v>0.12</v>
      </c>
      <c r="AE1435" s="56">
        <f>INDEX(Assumptions!$C$14:$C$16,MATCH($R1435,Assumptions!$A$14:$A$16,0))</f>
        <v>0.08</v>
      </c>
      <c r="AF1435" s="49">
        <f t="shared" si="319"/>
        <v>0</v>
      </c>
      <c r="AG1435" s="49">
        <f t="shared" si="320"/>
        <v>0</v>
      </c>
      <c r="AH1435" s="55">
        <f t="shared" si="321"/>
        <v>0</v>
      </c>
    </row>
    <row r="1436" spans="1:34" x14ac:dyDescent="0.2">
      <c r="A1436" s="48" t="s">
        <v>1219</v>
      </c>
      <c r="B1436" s="48">
        <v>2</v>
      </c>
      <c r="C1436" s="48" t="s">
        <v>1153</v>
      </c>
      <c r="D1436" s="48" t="s">
        <v>1154</v>
      </c>
      <c r="E1436" s="48" t="s">
        <v>358</v>
      </c>
      <c r="F1436" s="48" t="s">
        <v>274</v>
      </c>
      <c r="G1436" s="48" t="s">
        <v>288</v>
      </c>
      <c r="H1436" s="48" t="s">
        <v>62</v>
      </c>
      <c r="I1436" s="48" t="s">
        <v>138</v>
      </c>
      <c r="J1436" s="49">
        <v>2</v>
      </c>
      <c r="K1436" s="50">
        <v>455</v>
      </c>
      <c r="L1436" s="50">
        <v>452.5</v>
      </c>
      <c r="M1436" s="48" t="s">
        <v>276</v>
      </c>
      <c r="N1436" s="51">
        <v>1</v>
      </c>
      <c r="O1436" s="51">
        <v>1</v>
      </c>
      <c r="P1436" s="52">
        <v>358.2</v>
      </c>
      <c r="Q1436" s="52">
        <v>358.2</v>
      </c>
      <c r="R1436" s="53" t="str">
        <f>INDEX(SKU_Master!$D$5:$D$34,MATCH($I1436,SKU_Master!$A$5:$A$34,0))</f>
        <v>Monitor</v>
      </c>
      <c r="S1436" s="54">
        <f t="shared" si="308"/>
        <v>5.494505494505475E-3</v>
      </c>
      <c r="T1436" s="55">
        <f t="shared" si="309"/>
        <v>910</v>
      </c>
      <c r="U1436" s="55">
        <f t="shared" si="310"/>
        <v>905</v>
      </c>
      <c r="V1436" s="55">
        <f t="shared" si="311"/>
        <v>-5</v>
      </c>
      <c r="W1436" s="55">
        <f t="shared" si="312"/>
        <v>905</v>
      </c>
      <c r="X1436" s="55">
        <f t="shared" si="313"/>
        <v>0</v>
      </c>
      <c r="Y1436" s="55">
        <f t="shared" si="314"/>
        <v>716.4</v>
      </c>
      <c r="Z1436" s="55">
        <f t="shared" si="315"/>
        <v>716.4</v>
      </c>
      <c r="AA1436" s="55">
        <f t="shared" si="316"/>
        <v>0</v>
      </c>
      <c r="AB1436" s="55">
        <f t="shared" si="317"/>
        <v>188.60000000000002</v>
      </c>
      <c r="AC1436" s="54">
        <f t="shared" si="318"/>
        <v>0.20839779005524864</v>
      </c>
      <c r="AD1436" s="56">
        <f>INDEX(Assumptions!$B$14:$B$16,MATCH($R1436,Assumptions!$A$14:$A$16,0))</f>
        <v>0.18</v>
      </c>
      <c r="AE1436" s="56">
        <f>INDEX(Assumptions!$C$14:$C$16,MATCH($R1436,Assumptions!$A$14:$A$16,0))</f>
        <v>0.12</v>
      </c>
      <c r="AF1436" s="49">
        <f t="shared" si="319"/>
        <v>0</v>
      </c>
      <c r="AG1436" s="49">
        <f t="shared" si="320"/>
        <v>0</v>
      </c>
      <c r="AH1436" s="55">
        <f t="shared" si="321"/>
        <v>0</v>
      </c>
    </row>
    <row r="1437" spans="1:34" x14ac:dyDescent="0.2">
      <c r="A1437" s="48" t="s">
        <v>1219</v>
      </c>
      <c r="B1437" s="48">
        <v>3</v>
      </c>
      <c r="C1437" s="48" t="s">
        <v>1153</v>
      </c>
      <c r="D1437" s="48" t="s">
        <v>1154</v>
      </c>
      <c r="E1437" s="48" t="s">
        <v>358</v>
      </c>
      <c r="F1437" s="48" t="s">
        <v>274</v>
      </c>
      <c r="G1437" s="48" t="s">
        <v>288</v>
      </c>
      <c r="H1437" s="48" t="s">
        <v>62</v>
      </c>
      <c r="I1437" s="48" t="s">
        <v>166</v>
      </c>
      <c r="J1437" s="49">
        <v>4</v>
      </c>
      <c r="K1437" s="50">
        <v>265</v>
      </c>
      <c r="L1437" s="50">
        <v>260.73</v>
      </c>
      <c r="M1437" s="48" t="s">
        <v>276</v>
      </c>
      <c r="N1437" s="51">
        <v>1</v>
      </c>
      <c r="O1437" s="51">
        <v>1</v>
      </c>
      <c r="P1437" s="52">
        <v>169.35</v>
      </c>
      <c r="Q1437" s="52">
        <v>169.35</v>
      </c>
      <c r="R1437" s="53" t="str">
        <f>INDEX(SKU_Master!$D$5:$D$34,MATCH($I1437,SKU_Master!$A$5:$A$34,0))</f>
        <v>Accessory</v>
      </c>
      <c r="S1437" s="54">
        <f t="shared" si="308"/>
        <v>1.6113207547169717E-2</v>
      </c>
      <c r="T1437" s="55">
        <f t="shared" si="309"/>
        <v>1060</v>
      </c>
      <c r="U1437" s="55">
        <f t="shared" si="310"/>
        <v>1042.92</v>
      </c>
      <c r="V1437" s="55">
        <f t="shared" si="311"/>
        <v>-17.079999999999927</v>
      </c>
      <c r="W1437" s="55">
        <f t="shared" si="312"/>
        <v>1042.92</v>
      </c>
      <c r="X1437" s="55">
        <f t="shared" si="313"/>
        <v>0</v>
      </c>
      <c r="Y1437" s="55">
        <f t="shared" si="314"/>
        <v>677.4</v>
      </c>
      <c r="Z1437" s="55">
        <f t="shared" si="315"/>
        <v>677.4</v>
      </c>
      <c r="AA1437" s="55">
        <f t="shared" si="316"/>
        <v>0</v>
      </c>
      <c r="AB1437" s="55">
        <f t="shared" si="317"/>
        <v>365.5200000000001</v>
      </c>
      <c r="AC1437" s="54">
        <f t="shared" si="318"/>
        <v>0.35047750546542406</v>
      </c>
      <c r="AD1437" s="56">
        <f>INDEX(Assumptions!$B$14:$B$16,MATCH($R1437,Assumptions!$A$14:$A$16,0))</f>
        <v>0.32</v>
      </c>
      <c r="AE1437" s="56">
        <f>INDEX(Assumptions!$C$14:$C$16,MATCH($R1437,Assumptions!$A$14:$A$16,0))</f>
        <v>0.22</v>
      </c>
      <c r="AF1437" s="49">
        <f t="shared" si="319"/>
        <v>0</v>
      </c>
      <c r="AG1437" s="49">
        <f t="shared" si="320"/>
        <v>0</v>
      </c>
      <c r="AH1437" s="55">
        <f t="shared" si="321"/>
        <v>0</v>
      </c>
    </row>
    <row r="1438" spans="1:34" x14ac:dyDescent="0.2">
      <c r="A1438" s="48" t="s">
        <v>1220</v>
      </c>
      <c r="B1438" s="48">
        <v>1</v>
      </c>
      <c r="C1438" s="48" t="s">
        <v>1165</v>
      </c>
      <c r="D1438" s="48" t="s">
        <v>1154</v>
      </c>
      <c r="E1438" s="48" t="s">
        <v>410</v>
      </c>
      <c r="F1438" s="48" t="s">
        <v>297</v>
      </c>
      <c r="G1438" s="48" t="s">
        <v>302</v>
      </c>
      <c r="H1438" s="48" t="s">
        <v>64</v>
      </c>
      <c r="I1438" s="48" t="s">
        <v>93</v>
      </c>
      <c r="J1438" s="49">
        <v>50</v>
      </c>
      <c r="K1438" s="50">
        <v>1145</v>
      </c>
      <c r="L1438" s="50">
        <v>1050.73</v>
      </c>
      <c r="M1438" s="48" t="s">
        <v>276</v>
      </c>
      <c r="N1438" s="51">
        <v>0.79</v>
      </c>
      <c r="O1438" s="51">
        <v>0.81530000000000002</v>
      </c>
      <c r="P1438" s="52">
        <v>1210.2</v>
      </c>
      <c r="Q1438" s="52">
        <v>1210.2</v>
      </c>
      <c r="R1438" s="53" t="str">
        <f>INDEX(SKU_Master!$D$5:$D$34,MATCH($I1438,SKU_Master!$A$5:$A$34,0))</f>
        <v>Laptop</v>
      </c>
      <c r="S1438" s="54">
        <f t="shared" si="308"/>
        <v>8.2331877729257652E-2</v>
      </c>
      <c r="T1438" s="55">
        <f t="shared" si="309"/>
        <v>72468.354430379739</v>
      </c>
      <c r="U1438" s="55">
        <f t="shared" si="310"/>
        <v>66501.898734177215</v>
      </c>
      <c r="V1438" s="55">
        <f t="shared" si="311"/>
        <v>-5966.4556962025235</v>
      </c>
      <c r="W1438" s="55">
        <f t="shared" si="312"/>
        <v>64438.243591316081</v>
      </c>
      <c r="X1438" s="55">
        <f t="shared" si="313"/>
        <v>-2063.6551428611347</v>
      </c>
      <c r="Y1438" s="55">
        <f t="shared" si="314"/>
        <v>60510</v>
      </c>
      <c r="Z1438" s="55">
        <f t="shared" si="315"/>
        <v>60510</v>
      </c>
      <c r="AA1438" s="55">
        <f t="shared" si="316"/>
        <v>0</v>
      </c>
      <c r="AB1438" s="55">
        <f t="shared" si="317"/>
        <v>3928.2435913160807</v>
      </c>
      <c r="AC1438" s="54">
        <f t="shared" si="318"/>
        <v>6.0961369714389056E-2</v>
      </c>
      <c r="AD1438" s="56">
        <f>INDEX(Assumptions!$B$14:$B$16,MATCH($R1438,Assumptions!$A$14:$A$16,0))</f>
        <v>0.12</v>
      </c>
      <c r="AE1438" s="56">
        <f>INDEX(Assumptions!$C$14:$C$16,MATCH($R1438,Assumptions!$A$14:$A$16,0))</f>
        <v>0.08</v>
      </c>
      <c r="AF1438" s="49">
        <f t="shared" si="319"/>
        <v>1</v>
      </c>
      <c r="AG1438" s="49">
        <f t="shared" si="320"/>
        <v>1</v>
      </c>
      <c r="AH1438" s="55">
        <f t="shared" si="321"/>
        <v>3804.3456396418487</v>
      </c>
    </row>
    <row r="1439" spans="1:34" x14ac:dyDescent="0.2">
      <c r="A1439" s="48" t="s">
        <v>1221</v>
      </c>
      <c r="B1439" s="48">
        <v>1</v>
      </c>
      <c r="C1439" s="48" t="s">
        <v>1209</v>
      </c>
      <c r="D1439" s="48" t="s">
        <v>1154</v>
      </c>
      <c r="E1439" s="48" t="s">
        <v>407</v>
      </c>
      <c r="F1439" s="48" t="s">
        <v>274</v>
      </c>
      <c r="G1439" s="48" t="s">
        <v>302</v>
      </c>
      <c r="H1439" s="48" t="s">
        <v>62</v>
      </c>
      <c r="I1439" s="48" t="s">
        <v>93</v>
      </c>
      <c r="J1439" s="49">
        <v>4</v>
      </c>
      <c r="K1439" s="50">
        <v>1390</v>
      </c>
      <c r="L1439" s="50">
        <v>1334.09</v>
      </c>
      <c r="M1439" s="48" t="s">
        <v>276</v>
      </c>
      <c r="N1439" s="51">
        <v>1</v>
      </c>
      <c r="O1439" s="51">
        <v>1</v>
      </c>
      <c r="P1439" s="52">
        <v>1186.2</v>
      </c>
      <c r="Q1439" s="52">
        <v>1186.2</v>
      </c>
      <c r="R1439" s="53" t="str">
        <f>INDEX(SKU_Master!$D$5:$D$34,MATCH($I1439,SKU_Master!$A$5:$A$34,0))</f>
        <v>Laptop</v>
      </c>
      <c r="S1439" s="54">
        <f t="shared" si="308"/>
        <v>4.0223021582733831E-2</v>
      </c>
      <c r="T1439" s="55">
        <f t="shared" si="309"/>
        <v>5560</v>
      </c>
      <c r="U1439" s="55">
        <f t="shared" si="310"/>
        <v>5336.36</v>
      </c>
      <c r="V1439" s="55">
        <f t="shared" si="311"/>
        <v>-223.64000000000033</v>
      </c>
      <c r="W1439" s="55">
        <f t="shared" si="312"/>
        <v>5336.36</v>
      </c>
      <c r="X1439" s="55">
        <f t="shared" si="313"/>
        <v>0</v>
      </c>
      <c r="Y1439" s="55">
        <f t="shared" si="314"/>
        <v>4744.8</v>
      </c>
      <c r="Z1439" s="55">
        <f t="shared" si="315"/>
        <v>4744.8</v>
      </c>
      <c r="AA1439" s="55">
        <f t="shared" si="316"/>
        <v>0</v>
      </c>
      <c r="AB1439" s="55">
        <f t="shared" si="317"/>
        <v>591.55999999999949</v>
      </c>
      <c r="AC1439" s="54">
        <f t="shared" si="318"/>
        <v>0.11085459002016347</v>
      </c>
      <c r="AD1439" s="56">
        <f>INDEX(Assumptions!$B$14:$B$16,MATCH($R1439,Assumptions!$A$14:$A$16,0))</f>
        <v>0.12</v>
      </c>
      <c r="AE1439" s="56">
        <f>INDEX(Assumptions!$C$14:$C$16,MATCH($R1439,Assumptions!$A$14:$A$16,0))</f>
        <v>0.08</v>
      </c>
      <c r="AF1439" s="49">
        <f t="shared" si="319"/>
        <v>0</v>
      </c>
      <c r="AG1439" s="49">
        <f t="shared" si="320"/>
        <v>0</v>
      </c>
      <c r="AH1439" s="55">
        <f t="shared" si="321"/>
        <v>48.803200000000402</v>
      </c>
    </row>
    <row r="1440" spans="1:34" x14ac:dyDescent="0.2">
      <c r="A1440" s="48" t="s">
        <v>1221</v>
      </c>
      <c r="B1440" s="48">
        <v>2</v>
      </c>
      <c r="C1440" s="48" t="s">
        <v>1209</v>
      </c>
      <c r="D1440" s="48" t="s">
        <v>1154</v>
      </c>
      <c r="E1440" s="48" t="s">
        <v>407</v>
      </c>
      <c r="F1440" s="48" t="s">
        <v>274</v>
      </c>
      <c r="G1440" s="48" t="s">
        <v>302</v>
      </c>
      <c r="H1440" s="48" t="s">
        <v>62</v>
      </c>
      <c r="I1440" s="48" t="s">
        <v>161</v>
      </c>
      <c r="J1440" s="49">
        <v>3</v>
      </c>
      <c r="K1440" s="50">
        <v>120</v>
      </c>
      <c r="L1440" s="50">
        <v>114.96</v>
      </c>
      <c r="M1440" s="48" t="s">
        <v>276</v>
      </c>
      <c r="N1440" s="51">
        <v>1</v>
      </c>
      <c r="O1440" s="51">
        <v>1</v>
      </c>
      <c r="P1440" s="52">
        <v>76</v>
      </c>
      <c r="Q1440" s="52">
        <v>76</v>
      </c>
      <c r="R1440" s="53" t="str">
        <f>INDEX(SKU_Master!$D$5:$D$34,MATCH($I1440,SKU_Master!$A$5:$A$34,0))</f>
        <v>Accessory</v>
      </c>
      <c r="S1440" s="54">
        <f t="shared" si="308"/>
        <v>4.2000000000000037E-2</v>
      </c>
      <c r="T1440" s="55">
        <f t="shared" si="309"/>
        <v>360</v>
      </c>
      <c r="U1440" s="55">
        <f t="shared" si="310"/>
        <v>344.88</v>
      </c>
      <c r="V1440" s="55">
        <f t="shared" si="311"/>
        <v>-15.120000000000005</v>
      </c>
      <c r="W1440" s="55">
        <f t="shared" si="312"/>
        <v>344.88</v>
      </c>
      <c r="X1440" s="55">
        <f t="shared" si="313"/>
        <v>0</v>
      </c>
      <c r="Y1440" s="55">
        <f t="shared" si="314"/>
        <v>228</v>
      </c>
      <c r="Z1440" s="55">
        <f t="shared" si="315"/>
        <v>228</v>
      </c>
      <c r="AA1440" s="55">
        <f t="shared" si="316"/>
        <v>0</v>
      </c>
      <c r="AB1440" s="55">
        <f t="shared" si="317"/>
        <v>116.88</v>
      </c>
      <c r="AC1440" s="54">
        <f t="shared" si="318"/>
        <v>0.33890048712595683</v>
      </c>
      <c r="AD1440" s="56">
        <f>INDEX(Assumptions!$B$14:$B$16,MATCH($R1440,Assumptions!$A$14:$A$16,0))</f>
        <v>0.32</v>
      </c>
      <c r="AE1440" s="56">
        <f>INDEX(Assumptions!$C$14:$C$16,MATCH($R1440,Assumptions!$A$14:$A$16,0))</f>
        <v>0.22</v>
      </c>
      <c r="AF1440" s="49">
        <f t="shared" si="319"/>
        <v>0</v>
      </c>
      <c r="AG1440" s="49">
        <f t="shared" si="320"/>
        <v>0</v>
      </c>
      <c r="AH1440" s="55">
        <f t="shared" si="321"/>
        <v>0</v>
      </c>
    </row>
    <row r="1441" spans="1:34" x14ac:dyDescent="0.2">
      <c r="A1441" s="48" t="s">
        <v>1222</v>
      </c>
      <c r="B1441" s="48">
        <v>1</v>
      </c>
      <c r="C1441" s="48" t="s">
        <v>1212</v>
      </c>
      <c r="D1441" s="48" t="s">
        <v>1154</v>
      </c>
      <c r="E1441" s="48" t="s">
        <v>368</v>
      </c>
      <c r="F1441" s="48" t="s">
        <v>274</v>
      </c>
      <c r="G1441" s="48" t="s">
        <v>288</v>
      </c>
      <c r="H1441" s="48" t="s">
        <v>68</v>
      </c>
      <c r="I1441" s="48" t="s">
        <v>93</v>
      </c>
      <c r="J1441" s="49">
        <v>8</v>
      </c>
      <c r="K1441" s="50">
        <v>1960</v>
      </c>
      <c r="L1441" s="50">
        <v>1928.69</v>
      </c>
      <c r="M1441" s="48" t="s">
        <v>276</v>
      </c>
      <c r="N1441" s="51">
        <v>1.37</v>
      </c>
      <c r="O1441" s="51">
        <v>1.3706</v>
      </c>
      <c r="P1441" s="52">
        <v>1198.2</v>
      </c>
      <c r="Q1441" s="52">
        <v>1198.2</v>
      </c>
      <c r="R1441" s="53" t="str">
        <f>INDEX(SKU_Master!$D$5:$D$34,MATCH($I1441,SKU_Master!$A$5:$A$34,0))</f>
        <v>Laptop</v>
      </c>
      <c r="S1441" s="54">
        <f t="shared" si="308"/>
        <v>1.5974489795918312E-2</v>
      </c>
      <c r="T1441" s="55">
        <f t="shared" si="309"/>
        <v>11445.255474452553</v>
      </c>
      <c r="U1441" s="55">
        <f t="shared" si="310"/>
        <v>11262.423357664233</v>
      </c>
      <c r="V1441" s="55">
        <f t="shared" si="311"/>
        <v>-182.83211678832049</v>
      </c>
      <c r="W1441" s="55">
        <f t="shared" si="312"/>
        <v>11257.493068729023</v>
      </c>
      <c r="X1441" s="55">
        <f t="shared" si="313"/>
        <v>-4.9302889352093189</v>
      </c>
      <c r="Y1441" s="55">
        <f t="shared" si="314"/>
        <v>9585.6</v>
      </c>
      <c r="Z1441" s="55">
        <f t="shared" si="315"/>
        <v>9585.6</v>
      </c>
      <c r="AA1441" s="55">
        <f t="shared" si="316"/>
        <v>0</v>
      </c>
      <c r="AB1441" s="55">
        <f t="shared" si="317"/>
        <v>1671.8930687290231</v>
      </c>
      <c r="AC1441" s="54">
        <f t="shared" si="318"/>
        <v>0.14851379952195526</v>
      </c>
      <c r="AD1441" s="56">
        <f>INDEX(Assumptions!$B$14:$B$16,MATCH($R1441,Assumptions!$A$14:$A$16,0))</f>
        <v>0.12</v>
      </c>
      <c r="AE1441" s="56">
        <f>INDEX(Assumptions!$C$14:$C$16,MATCH($R1441,Assumptions!$A$14:$A$16,0))</f>
        <v>0.08</v>
      </c>
      <c r="AF1441" s="49">
        <f t="shared" si="319"/>
        <v>0</v>
      </c>
      <c r="AG1441" s="49">
        <f t="shared" si="320"/>
        <v>0</v>
      </c>
      <c r="AH1441" s="55">
        <f t="shared" si="321"/>
        <v>0</v>
      </c>
    </row>
    <row r="1442" spans="1:34" x14ac:dyDescent="0.2">
      <c r="A1442" s="48" t="s">
        <v>1222</v>
      </c>
      <c r="B1442" s="48">
        <v>2</v>
      </c>
      <c r="C1442" s="48" t="s">
        <v>1212</v>
      </c>
      <c r="D1442" s="48" t="s">
        <v>1154</v>
      </c>
      <c r="E1442" s="48" t="s">
        <v>368</v>
      </c>
      <c r="F1442" s="48" t="s">
        <v>274</v>
      </c>
      <c r="G1442" s="48" t="s">
        <v>288</v>
      </c>
      <c r="H1442" s="48" t="s">
        <v>68</v>
      </c>
      <c r="I1442" s="48" t="s">
        <v>173</v>
      </c>
      <c r="J1442" s="49">
        <v>5</v>
      </c>
      <c r="K1442" s="50">
        <v>80</v>
      </c>
      <c r="L1442" s="50">
        <v>79.61</v>
      </c>
      <c r="M1442" s="48" t="s">
        <v>276</v>
      </c>
      <c r="N1442" s="51">
        <v>1.37</v>
      </c>
      <c r="O1442" s="51">
        <v>1.3706</v>
      </c>
      <c r="P1442" s="52">
        <v>37</v>
      </c>
      <c r="Q1442" s="52">
        <v>37</v>
      </c>
      <c r="R1442" s="53" t="str">
        <f>INDEX(SKU_Master!$D$5:$D$34,MATCH($I1442,SKU_Master!$A$5:$A$34,0))</f>
        <v>Accessory</v>
      </c>
      <c r="S1442" s="54">
        <f t="shared" si="308"/>
        <v>4.8749999999999627E-3</v>
      </c>
      <c r="T1442" s="55">
        <f t="shared" si="309"/>
        <v>291.97080291970798</v>
      </c>
      <c r="U1442" s="55">
        <f t="shared" si="310"/>
        <v>290.54744525547443</v>
      </c>
      <c r="V1442" s="55">
        <f t="shared" si="311"/>
        <v>-1.4233576642335493</v>
      </c>
      <c r="W1442" s="55">
        <f t="shared" si="312"/>
        <v>290.42025390339995</v>
      </c>
      <c r="X1442" s="55">
        <f t="shared" si="313"/>
        <v>-0.12719135207447607</v>
      </c>
      <c r="Y1442" s="55">
        <f t="shared" si="314"/>
        <v>185</v>
      </c>
      <c r="Z1442" s="55">
        <f t="shared" si="315"/>
        <v>185</v>
      </c>
      <c r="AA1442" s="55">
        <f t="shared" si="316"/>
        <v>0</v>
      </c>
      <c r="AB1442" s="55">
        <f t="shared" si="317"/>
        <v>105.42025390339995</v>
      </c>
      <c r="AC1442" s="54">
        <f t="shared" si="318"/>
        <v>0.36299208642130382</v>
      </c>
      <c r="AD1442" s="56">
        <f>INDEX(Assumptions!$B$14:$B$16,MATCH($R1442,Assumptions!$A$14:$A$16,0))</f>
        <v>0.32</v>
      </c>
      <c r="AE1442" s="56">
        <f>INDEX(Assumptions!$C$14:$C$16,MATCH($R1442,Assumptions!$A$14:$A$16,0))</f>
        <v>0.22</v>
      </c>
      <c r="AF1442" s="49">
        <f t="shared" si="319"/>
        <v>0</v>
      </c>
      <c r="AG1442" s="49">
        <f t="shared" si="320"/>
        <v>0</v>
      </c>
      <c r="AH1442" s="55">
        <f t="shared" si="321"/>
        <v>0</v>
      </c>
    </row>
    <row r="1443" spans="1:34" x14ac:dyDescent="0.2">
      <c r="A1443" s="48" t="s">
        <v>1223</v>
      </c>
      <c r="B1443" s="48">
        <v>1</v>
      </c>
      <c r="C1443" s="48" t="s">
        <v>1185</v>
      </c>
      <c r="D1443" s="48" t="s">
        <v>1154</v>
      </c>
      <c r="E1443" s="48" t="s">
        <v>336</v>
      </c>
      <c r="F1443" s="48" t="s">
        <v>274</v>
      </c>
      <c r="G1443" s="48" t="s">
        <v>288</v>
      </c>
      <c r="H1443" s="48" t="s">
        <v>62</v>
      </c>
      <c r="I1443" s="48" t="s">
        <v>101</v>
      </c>
      <c r="J1443" s="49">
        <v>9</v>
      </c>
      <c r="K1443" s="50">
        <v>3440</v>
      </c>
      <c r="L1443" s="50">
        <v>3395.77</v>
      </c>
      <c r="M1443" s="48" t="s">
        <v>276</v>
      </c>
      <c r="N1443" s="51">
        <v>1</v>
      </c>
      <c r="O1443" s="51">
        <v>1</v>
      </c>
      <c r="P1443" s="52">
        <v>2938.5</v>
      </c>
      <c r="Q1443" s="52">
        <v>2938.5</v>
      </c>
      <c r="R1443" s="53" t="str">
        <f>INDEX(SKU_Master!$D$5:$D$34,MATCH($I1443,SKU_Master!$A$5:$A$34,0))</f>
        <v>Laptop</v>
      </c>
      <c r="S1443" s="54">
        <f t="shared" si="308"/>
        <v>1.285755813953493E-2</v>
      </c>
      <c r="T1443" s="55">
        <f t="shared" si="309"/>
        <v>30960</v>
      </c>
      <c r="U1443" s="55">
        <f t="shared" si="310"/>
        <v>30561.93</v>
      </c>
      <c r="V1443" s="55">
        <f t="shared" si="311"/>
        <v>-398.06999999999971</v>
      </c>
      <c r="W1443" s="55">
        <f t="shared" si="312"/>
        <v>30561.93</v>
      </c>
      <c r="X1443" s="55">
        <f t="shared" si="313"/>
        <v>0</v>
      </c>
      <c r="Y1443" s="55">
        <f t="shared" si="314"/>
        <v>26446.5</v>
      </c>
      <c r="Z1443" s="55">
        <f t="shared" si="315"/>
        <v>26446.5</v>
      </c>
      <c r="AA1443" s="55">
        <f t="shared" si="316"/>
        <v>0</v>
      </c>
      <c r="AB1443" s="55">
        <f t="shared" si="317"/>
        <v>4115.43</v>
      </c>
      <c r="AC1443" s="54">
        <f t="shared" si="318"/>
        <v>0.1346587077452242</v>
      </c>
      <c r="AD1443" s="56">
        <f>INDEX(Assumptions!$B$14:$B$16,MATCH($R1443,Assumptions!$A$14:$A$16,0))</f>
        <v>0.12</v>
      </c>
      <c r="AE1443" s="56">
        <f>INDEX(Assumptions!$C$14:$C$16,MATCH($R1443,Assumptions!$A$14:$A$16,0))</f>
        <v>0.08</v>
      </c>
      <c r="AF1443" s="49">
        <f t="shared" si="319"/>
        <v>0</v>
      </c>
      <c r="AG1443" s="49">
        <f t="shared" si="320"/>
        <v>0</v>
      </c>
      <c r="AH1443" s="55">
        <f t="shared" si="321"/>
        <v>0</v>
      </c>
    </row>
    <row r="1444" spans="1:34" x14ac:dyDescent="0.2">
      <c r="A1444" s="48" t="s">
        <v>1224</v>
      </c>
      <c r="B1444" s="48">
        <v>1</v>
      </c>
      <c r="C1444" s="48" t="s">
        <v>1212</v>
      </c>
      <c r="D1444" s="48" t="s">
        <v>1154</v>
      </c>
      <c r="E1444" s="48" t="s">
        <v>339</v>
      </c>
      <c r="F1444" s="48" t="s">
        <v>280</v>
      </c>
      <c r="G1444" s="48" t="s">
        <v>302</v>
      </c>
      <c r="H1444" s="48" t="s">
        <v>62</v>
      </c>
      <c r="I1444" s="48" t="s">
        <v>103</v>
      </c>
      <c r="J1444" s="49">
        <v>25</v>
      </c>
      <c r="K1444" s="50">
        <v>1135</v>
      </c>
      <c r="L1444" s="50">
        <v>1071.28</v>
      </c>
      <c r="M1444" s="48" t="s">
        <v>276</v>
      </c>
      <c r="N1444" s="51">
        <v>1</v>
      </c>
      <c r="O1444" s="51">
        <v>1</v>
      </c>
      <c r="P1444" s="52">
        <v>968.6</v>
      </c>
      <c r="Q1444" s="52">
        <v>968.6</v>
      </c>
      <c r="R1444" s="53" t="str">
        <f>INDEX(SKU_Master!$D$5:$D$34,MATCH($I1444,SKU_Master!$A$5:$A$34,0))</f>
        <v>Laptop</v>
      </c>
      <c r="S1444" s="54">
        <f t="shared" si="308"/>
        <v>5.6140969162995602E-2</v>
      </c>
      <c r="T1444" s="55">
        <f t="shared" si="309"/>
        <v>28375</v>
      </c>
      <c r="U1444" s="55">
        <f t="shared" si="310"/>
        <v>26782</v>
      </c>
      <c r="V1444" s="55">
        <f t="shared" si="311"/>
        <v>-1593</v>
      </c>
      <c r="W1444" s="55">
        <f t="shared" si="312"/>
        <v>26782</v>
      </c>
      <c r="X1444" s="55">
        <f t="shared" si="313"/>
        <v>0</v>
      </c>
      <c r="Y1444" s="55">
        <f t="shared" si="314"/>
        <v>24215</v>
      </c>
      <c r="Z1444" s="55">
        <f t="shared" si="315"/>
        <v>24215</v>
      </c>
      <c r="AA1444" s="55">
        <f t="shared" si="316"/>
        <v>0</v>
      </c>
      <c r="AB1444" s="55">
        <f t="shared" si="317"/>
        <v>2567</v>
      </c>
      <c r="AC1444" s="54">
        <f t="shared" si="318"/>
        <v>9.5847957583451576E-2</v>
      </c>
      <c r="AD1444" s="56">
        <f>INDEX(Assumptions!$B$14:$B$16,MATCH($R1444,Assumptions!$A$14:$A$16,0))</f>
        <v>0.12</v>
      </c>
      <c r="AE1444" s="56">
        <f>INDEX(Assumptions!$C$14:$C$16,MATCH($R1444,Assumptions!$A$14:$A$16,0))</f>
        <v>0.08</v>
      </c>
      <c r="AF1444" s="49">
        <f t="shared" si="319"/>
        <v>0</v>
      </c>
      <c r="AG1444" s="49">
        <f t="shared" si="320"/>
        <v>0</v>
      </c>
      <c r="AH1444" s="55">
        <f t="shared" si="321"/>
        <v>646.83999999999969</v>
      </c>
    </row>
    <row r="1445" spans="1:34" x14ac:dyDescent="0.2">
      <c r="A1445" s="48" t="s">
        <v>1224</v>
      </c>
      <c r="B1445" s="48">
        <v>2</v>
      </c>
      <c r="C1445" s="48" t="s">
        <v>1212</v>
      </c>
      <c r="D1445" s="48" t="s">
        <v>1154</v>
      </c>
      <c r="E1445" s="48" t="s">
        <v>339</v>
      </c>
      <c r="F1445" s="48" t="s">
        <v>280</v>
      </c>
      <c r="G1445" s="48" t="s">
        <v>302</v>
      </c>
      <c r="H1445" s="48" t="s">
        <v>62</v>
      </c>
      <c r="I1445" s="48" t="s">
        <v>146</v>
      </c>
      <c r="J1445" s="49">
        <v>20</v>
      </c>
      <c r="K1445" s="50">
        <v>235</v>
      </c>
      <c r="L1445" s="50">
        <v>220.92</v>
      </c>
      <c r="M1445" s="48" t="s">
        <v>276</v>
      </c>
      <c r="N1445" s="51">
        <v>1</v>
      </c>
      <c r="O1445" s="51">
        <v>1</v>
      </c>
      <c r="P1445" s="52">
        <v>181.8</v>
      </c>
      <c r="Q1445" s="52">
        <v>181.8</v>
      </c>
      <c r="R1445" s="53" t="str">
        <f>INDEX(SKU_Master!$D$5:$D$34,MATCH($I1445,SKU_Master!$A$5:$A$34,0))</f>
        <v>Monitor</v>
      </c>
      <c r="S1445" s="54">
        <f t="shared" si="308"/>
        <v>5.9914893617021292E-2</v>
      </c>
      <c r="T1445" s="55">
        <f t="shared" si="309"/>
        <v>4700</v>
      </c>
      <c r="U1445" s="55">
        <f t="shared" si="310"/>
        <v>4418.3999999999996</v>
      </c>
      <c r="V1445" s="55">
        <f t="shared" si="311"/>
        <v>-281.60000000000036</v>
      </c>
      <c r="W1445" s="55">
        <f t="shared" si="312"/>
        <v>4418.3999999999996</v>
      </c>
      <c r="X1445" s="55">
        <f t="shared" si="313"/>
        <v>0</v>
      </c>
      <c r="Y1445" s="55">
        <f t="shared" si="314"/>
        <v>3636</v>
      </c>
      <c r="Z1445" s="55">
        <f t="shared" si="315"/>
        <v>3636</v>
      </c>
      <c r="AA1445" s="55">
        <f t="shared" si="316"/>
        <v>0</v>
      </c>
      <c r="AB1445" s="55">
        <f t="shared" si="317"/>
        <v>782.39999999999964</v>
      </c>
      <c r="AC1445" s="54">
        <f t="shared" si="318"/>
        <v>0.17707767517653442</v>
      </c>
      <c r="AD1445" s="56">
        <f>INDEX(Assumptions!$B$14:$B$16,MATCH($R1445,Assumptions!$A$14:$A$16,0))</f>
        <v>0.18</v>
      </c>
      <c r="AE1445" s="56">
        <f>INDEX(Assumptions!$C$14:$C$16,MATCH($R1445,Assumptions!$A$14:$A$16,0))</f>
        <v>0.12</v>
      </c>
      <c r="AF1445" s="49">
        <f t="shared" si="319"/>
        <v>0</v>
      </c>
      <c r="AG1445" s="49">
        <f t="shared" si="320"/>
        <v>0</v>
      </c>
      <c r="AH1445" s="55">
        <f t="shared" si="321"/>
        <v>12.912000000000262</v>
      </c>
    </row>
    <row r="1446" spans="1:34" x14ac:dyDescent="0.2">
      <c r="A1446" s="48" t="s">
        <v>1225</v>
      </c>
      <c r="B1446" s="48">
        <v>1</v>
      </c>
      <c r="C1446" s="48" t="s">
        <v>1168</v>
      </c>
      <c r="D1446" s="48" t="s">
        <v>1154</v>
      </c>
      <c r="E1446" s="48" t="s">
        <v>558</v>
      </c>
      <c r="F1446" s="48" t="s">
        <v>280</v>
      </c>
      <c r="G1446" s="48" t="s">
        <v>288</v>
      </c>
      <c r="H1446" s="48" t="s">
        <v>62</v>
      </c>
      <c r="I1446" s="48" t="s">
        <v>110</v>
      </c>
      <c r="J1446" s="49">
        <v>6</v>
      </c>
      <c r="K1446" s="50">
        <v>1165</v>
      </c>
      <c r="L1446" s="50">
        <v>1150.8699999999999</v>
      </c>
      <c r="M1446" s="48" t="s">
        <v>276</v>
      </c>
      <c r="N1446" s="51">
        <v>1</v>
      </c>
      <c r="O1446" s="51">
        <v>1</v>
      </c>
      <c r="P1446" s="52">
        <v>992.65</v>
      </c>
      <c r="Q1446" s="52">
        <v>992.65</v>
      </c>
      <c r="R1446" s="53" t="str">
        <f>INDEX(SKU_Master!$D$5:$D$34,MATCH($I1446,SKU_Master!$A$5:$A$34,0))</f>
        <v>Laptop</v>
      </c>
      <c r="S1446" s="54">
        <f t="shared" si="308"/>
        <v>1.2128755364806953E-2</v>
      </c>
      <c r="T1446" s="55">
        <f t="shared" si="309"/>
        <v>6990</v>
      </c>
      <c r="U1446" s="55">
        <f t="shared" si="310"/>
        <v>6905.2199999999993</v>
      </c>
      <c r="V1446" s="55">
        <f t="shared" si="311"/>
        <v>-84.780000000000655</v>
      </c>
      <c r="W1446" s="55">
        <f t="shared" si="312"/>
        <v>6905.2199999999993</v>
      </c>
      <c r="X1446" s="55">
        <f t="shared" si="313"/>
        <v>0</v>
      </c>
      <c r="Y1446" s="55">
        <f t="shared" si="314"/>
        <v>5955.9</v>
      </c>
      <c r="Z1446" s="55">
        <f t="shared" si="315"/>
        <v>5955.9</v>
      </c>
      <c r="AA1446" s="55">
        <f t="shared" si="316"/>
        <v>0</v>
      </c>
      <c r="AB1446" s="55">
        <f t="shared" si="317"/>
        <v>949.31999999999971</v>
      </c>
      <c r="AC1446" s="54">
        <f t="shared" si="318"/>
        <v>0.13747860314370863</v>
      </c>
      <c r="AD1446" s="56">
        <f>INDEX(Assumptions!$B$14:$B$16,MATCH($R1446,Assumptions!$A$14:$A$16,0))</f>
        <v>0.12</v>
      </c>
      <c r="AE1446" s="56">
        <f>INDEX(Assumptions!$C$14:$C$16,MATCH($R1446,Assumptions!$A$14:$A$16,0))</f>
        <v>0.08</v>
      </c>
      <c r="AF1446" s="49">
        <f t="shared" si="319"/>
        <v>0</v>
      </c>
      <c r="AG1446" s="49">
        <f t="shared" si="320"/>
        <v>0</v>
      </c>
      <c r="AH1446" s="55">
        <f t="shared" si="321"/>
        <v>0</v>
      </c>
    </row>
    <row r="1447" spans="1:34" x14ac:dyDescent="0.2">
      <c r="A1447" s="48" t="s">
        <v>1225</v>
      </c>
      <c r="B1447" s="48">
        <v>2</v>
      </c>
      <c r="C1447" s="48" t="s">
        <v>1168</v>
      </c>
      <c r="D1447" s="48" t="s">
        <v>1154</v>
      </c>
      <c r="E1447" s="48" t="s">
        <v>558</v>
      </c>
      <c r="F1447" s="48" t="s">
        <v>280</v>
      </c>
      <c r="G1447" s="48" t="s">
        <v>288</v>
      </c>
      <c r="H1447" s="48" t="s">
        <v>62</v>
      </c>
      <c r="I1447" s="48" t="s">
        <v>166</v>
      </c>
      <c r="J1447" s="49">
        <v>4</v>
      </c>
      <c r="K1447" s="50">
        <v>265</v>
      </c>
      <c r="L1447" s="50">
        <v>258.14999999999998</v>
      </c>
      <c r="M1447" s="48" t="s">
        <v>276</v>
      </c>
      <c r="N1447" s="51">
        <v>1</v>
      </c>
      <c r="O1447" s="51">
        <v>1</v>
      </c>
      <c r="P1447" s="52">
        <v>169.35</v>
      </c>
      <c r="Q1447" s="52">
        <v>169.35</v>
      </c>
      <c r="R1447" s="53" t="str">
        <f>INDEX(SKU_Master!$D$5:$D$34,MATCH($I1447,SKU_Master!$A$5:$A$34,0))</f>
        <v>Accessory</v>
      </c>
      <c r="S1447" s="54">
        <f t="shared" si="308"/>
        <v>2.5849056603773679E-2</v>
      </c>
      <c r="T1447" s="55">
        <f t="shared" si="309"/>
        <v>1060</v>
      </c>
      <c r="U1447" s="55">
        <f t="shared" si="310"/>
        <v>1032.5999999999999</v>
      </c>
      <c r="V1447" s="55">
        <f t="shared" si="311"/>
        <v>-27.400000000000091</v>
      </c>
      <c r="W1447" s="55">
        <f t="shared" si="312"/>
        <v>1032.5999999999999</v>
      </c>
      <c r="X1447" s="55">
        <f t="shared" si="313"/>
        <v>0</v>
      </c>
      <c r="Y1447" s="55">
        <f t="shared" si="314"/>
        <v>677.4</v>
      </c>
      <c r="Z1447" s="55">
        <f t="shared" si="315"/>
        <v>677.4</v>
      </c>
      <c r="AA1447" s="55">
        <f t="shared" si="316"/>
        <v>0</v>
      </c>
      <c r="AB1447" s="55">
        <f t="shared" si="317"/>
        <v>355.19999999999993</v>
      </c>
      <c r="AC1447" s="54">
        <f t="shared" si="318"/>
        <v>0.34398605461940729</v>
      </c>
      <c r="AD1447" s="56">
        <f>INDEX(Assumptions!$B$14:$B$16,MATCH($R1447,Assumptions!$A$14:$A$16,0))</f>
        <v>0.32</v>
      </c>
      <c r="AE1447" s="56">
        <f>INDEX(Assumptions!$C$14:$C$16,MATCH($R1447,Assumptions!$A$14:$A$16,0))</f>
        <v>0.22</v>
      </c>
      <c r="AF1447" s="49">
        <f t="shared" si="319"/>
        <v>0</v>
      </c>
      <c r="AG1447" s="49">
        <f t="shared" si="320"/>
        <v>0</v>
      </c>
      <c r="AH1447" s="55">
        <f t="shared" si="321"/>
        <v>0</v>
      </c>
    </row>
    <row r="1448" spans="1:34" x14ac:dyDescent="0.2">
      <c r="A1448" s="48" t="s">
        <v>1226</v>
      </c>
      <c r="B1448" s="48">
        <v>1</v>
      </c>
      <c r="C1448" s="48" t="s">
        <v>1207</v>
      </c>
      <c r="D1448" s="48" t="s">
        <v>1154</v>
      </c>
      <c r="E1448" s="48" t="s">
        <v>407</v>
      </c>
      <c r="F1448" s="48" t="s">
        <v>274</v>
      </c>
      <c r="G1448" s="48" t="s">
        <v>302</v>
      </c>
      <c r="H1448" s="48" t="s">
        <v>62</v>
      </c>
      <c r="I1448" s="48" t="s">
        <v>103</v>
      </c>
      <c r="J1448" s="49">
        <v>7</v>
      </c>
      <c r="K1448" s="50">
        <v>1135</v>
      </c>
      <c r="L1448" s="50">
        <v>1127.58</v>
      </c>
      <c r="M1448" s="48" t="s">
        <v>276</v>
      </c>
      <c r="N1448" s="51">
        <v>1</v>
      </c>
      <c r="O1448" s="51">
        <v>1</v>
      </c>
      <c r="P1448" s="52">
        <v>968.6</v>
      </c>
      <c r="Q1448" s="52">
        <v>968.6</v>
      </c>
      <c r="R1448" s="53" t="str">
        <f>INDEX(SKU_Master!$D$5:$D$34,MATCH($I1448,SKU_Master!$A$5:$A$34,0))</f>
        <v>Laptop</v>
      </c>
      <c r="S1448" s="54">
        <f t="shared" si="308"/>
        <v>6.5374449339207219E-3</v>
      </c>
      <c r="T1448" s="55">
        <f t="shared" si="309"/>
        <v>7945</v>
      </c>
      <c r="U1448" s="55">
        <f t="shared" si="310"/>
        <v>7893.0599999999995</v>
      </c>
      <c r="V1448" s="55">
        <f t="shared" si="311"/>
        <v>-51.940000000000509</v>
      </c>
      <c r="W1448" s="55">
        <f t="shared" si="312"/>
        <v>7893.0599999999995</v>
      </c>
      <c r="X1448" s="55">
        <f t="shared" si="313"/>
        <v>0</v>
      </c>
      <c r="Y1448" s="55">
        <f t="shared" si="314"/>
        <v>6780.2</v>
      </c>
      <c r="Z1448" s="55">
        <f t="shared" si="315"/>
        <v>6780.2</v>
      </c>
      <c r="AA1448" s="55">
        <f t="shared" si="316"/>
        <v>0</v>
      </c>
      <c r="AB1448" s="55">
        <f t="shared" si="317"/>
        <v>1112.8599999999997</v>
      </c>
      <c r="AC1448" s="54">
        <f t="shared" si="318"/>
        <v>0.14099221341279553</v>
      </c>
      <c r="AD1448" s="56">
        <f>INDEX(Assumptions!$B$14:$B$16,MATCH($R1448,Assumptions!$A$14:$A$16,0))</f>
        <v>0.12</v>
      </c>
      <c r="AE1448" s="56">
        <f>INDEX(Assumptions!$C$14:$C$16,MATCH($R1448,Assumptions!$A$14:$A$16,0))</f>
        <v>0.08</v>
      </c>
      <c r="AF1448" s="49">
        <f t="shared" si="319"/>
        <v>0</v>
      </c>
      <c r="AG1448" s="49">
        <f t="shared" si="320"/>
        <v>0</v>
      </c>
      <c r="AH1448" s="55">
        <f t="shared" si="321"/>
        <v>0</v>
      </c>
    </row>
    <row r="1449" spans="1:34" x14ac:dyDescent="0.2">
      <c r="A1449" s="48" t="s">
        <v>1227</v>
      </c>
      <c r="B1449" s="48">
        <v>1</v>
      </c>
      <c r="C1449" s="48" t="s">
        <v>1228</v>
      </c>
      <c r="D1449" s="48" t="s">
        <v>1154</v>
      </c>
      <c r="E1449" s="48" t="s">
        <v>287</v>
      </c>
      <c r="F1449" s="48" t="s">
        <v>274</v>
      </c>
      <c r="G1449" s="48" t="s">
        <v>288</v>
      </c>
      <c r="H1449" s="48" t="s">
        <v>62</v>
      </c>
      <c r="I1449" s="48" t="s">
        <v>98</v>
      </c>
      <c r="J1449" s="49">
        <v>6</v>
      </c>
      <c r="K1449" s="50">
        <v>2085</v>
      </c>
      <c r="L1449" s="50">
        <v>2061.83</v>
      </c>
      <c r="M1449" s="48" t="s">
        <v>276</v>
      </c>
      <c r="N1449" s="51">
        <v>1</v>
      </c>
      <c r="O1449" s="51">
        <v>1</v>
      </c>
      <c r="P1449" s="52">
        <v>1780.2</v>
      </c>
      <c r="Q1449" s="52">
        <v>1780.2</v>
      </c>
      <c r="R1449" s="53" t="str">
        <f>INDEX(SKU_Master!$D$5:$D$34,MATCH($I1449,SKU_Master!$A$5:$A$34,0))</f>
        <v>Laptop</v>
      </c>
      <c r="S1449" s="54">
        <f t="shared" si="308"/>
        <v>1.1112709832134304E-2</v>
      </c>
      <c r="T1449" s="55">
        <f t="shared" si="309"/>
        <v>12510</v>
      </c>
      <c r="U1449" s="55">
        <f t="shared" si="310"/>
        <v>12370.98</v>
      </c>
      <c r="V1449" s="55">
        <f t="shared" si="311"/>
        <v>-139.02000000000044</v>
      </c>
      <c r="W1449" s="55">
        <f t="shared" si="312"/>
        <v>12370.98</v>
      </c>
      <c r="X1449" s="55">
        <f t="shared" si="313"/>
        <v>0</v>
      </c>
      <c r="Y1449" s="55">
        <f t="shared" si="314"/>
        <v>10681.2</v>
      </c>
      <c r="Z1449" s="55">
        <f t="shared" si="315"/>
        <v>10681.2</v>
      </c>
      <c r="AA1449" s="55">
        <f t="shared" si="316"/>
        <v>0</v>
      </c>
      <c r="AB1449" s="55">
        <f t="shared" si="317"/>
        <v>1689.7799999999988</v>
      </c>
      <c r="AC1449" s="54">
        <f t="shared" si="318"/>
        <v>0.13659225057351956</v>
      </c>
      <c r="AD1449" s="56">
        <f>INDEX(Assumptions!$B$14:$B$16,MATCH($R1449,Assumptions!$A$14:$A$16,0))</f>
        <v>0.12</v>
      </c>
      <c r="AE1449" s="56">
        <f>INDEX(Assumptions!$C$14:$C$16,MATCH($R1449,Assumptions!$A$14:$A$16,0))</f>
        <v>0.08</v>
      </c>
      <c r="AF1449" s="49">
        <f t="shared" si="319"/>
        <v>0</v>
      </c>
      <c r="AG1449" s="49">
        <f t="shared" si="320"/>
        <v>0</v>
      </c>
      <c r="AH1449" s="55">
        <f t="shared" si="321"/>
        <v>0</v>
      </c>
    </row>
    <row r="1450" spans="1:34" x14ac:dyDescent="0.2">
      <c r="A1450" s="48" t="s">
        <v>1227</v>
      </c>
      <c r="B1450" s="48">
        <v>2</v>
      </c>
      <c r="C1450" s="48" t="s">
        <v>1228</v>
      </c>
      <c r="D1450" s="48" t="s">
        <v>1154</v>
      </c>
      <c r="E1450" s="48" t="s">
        <v>287</v>
      </c>
      <c r="F1450" s="48" t="s">
        <v>274</v>
      </c>
      <c r="G1450" s="48" t="s">
        <v>288</v>
      </c>
      <c r="H1450" s="48" t="s">
        <v>62</v>
      </c>
      <c r="I1450" s="48" t="s">
        <v>151</v>
      </c>
      <c r="J1450" s="49">
        <v>4</v>
      </c>
      <c r="K1450" s="50">
        <v>335</v>
      </c>
      <c r="L1450" s="50">
        <v>330.55</v>
      </c>
      <c r="M1450" s="48" t="s">
        <v>276</v>
      </c>
      <c r="N1450" s="51">
        <v>1</v>
      </c>
      <c r="O1450" s="51">
        <v>1</v>
      </c>
      <c r="P1450" s="52">
        <v>216.7</v>
      </c>
      <c r="Q1450" s="52">
        <v>216.7</v>
      </c>
      <c r="R1450" s="53" t="str">
        <f>INDEX(SKU_Master!$D$5:$D$34,MATCH($I1450,SKU_Master!$A$5:$A$34,0))</f>
        <v>Accessory</v>
      </c>
      <c r="S1450" s="54">
        <f t="shared" si="308"/>
        <v>1.3283582089552159E-2</v>
      </c>
      <c r="T1450" s="55">
        <f t="shared" si="309"/>
        <v>1340</v>
      </c>
      <c r="U1450" s="55">
        <f t="shared" si="310"/>
        <v>1322.2</v>
      </c>
      <c r="V1450" s="55">
        <f t="shared" si="311"/>
        <v>-17.799999999999955</v>
      </c>
      <c r="W1450" s="55">
        <f t="shared" si="312"/>
        <v>1322.2</v>
      </c>
      <c r="X1450" s="55">
        <f t="shared" si="313"/>
        <v>0</v>
      </c>
      <c r="Y1450" s="55">
        <f t="shared" si="314"/>
        <v>866.8</v>
      </c>
      <c r="Z1450" s="55">
        <f t="shared" si="315"/>
        <v>866.8</v>
      </c>
      <c r="AA1450" s="55">
        <f t="shared" si="316"/>
        <v>0</v>
      </c>
      <c r="AB1450" s="55">
        <f t="shared" si="317"/>
        <v>455.40000000000009</v>
      </c>
      <c r="AC1450" s="54">
        <f t="shared" si="318"/>
        <v>0.3444259567387688</v>
      </c>
      <c r="AD1450" s="56">
        <f>INDEX(Assumptions!$B$14:$B$16,MATCH($R1450,Assumptions!$A$14:$A$16,0))</f>
        <v>0.32</v>
      </c>
      <c r="AE1450" s="56">
        <f>INDEX(Assumptions!$C$14:$C$16,MATCH($R1450,Assumptions!$A$14:$A$16,0))</f>
        <v>0.22</v>
      </c>
      <c r="AF1450" s="49">
        <f t="shared" si="319"/>
        <v>0</v>
      </c>
      <c r="AG1450" s="49">
        <f t="shared" si="320"/>
        <v>0</v>
      </c>
      <c r="AH1450" s="55">
        <f t="shared" si="321"/>
        <v>0</v>
      </c>
    </row>
    <row r="1451" spans="1:34" x14ac:dyDescent="0.2">
      <c r="A1451" s="48" t="s">
        <v>1229</v>
      </c>
      <c r="B1451" s="48">
        <v>1</v>
      </c>
      <c r="C1451" s="48" t="s">
        <v>1199</v>
      </c>
      <c r="D1451" s="48" t="s">
        <v>1154</v>
      </c>
      <c r="E1451" s="48" t="s">
        <v>393</v>
      </c>
      <c r="F1451" s="48" t="s">
        <v>274</v>
      </c>
      <c r="G1451" s="48" t="s">
        <v>275</v>
      </c>
      <c r="H1451" s="48" t="s">
        <v>66</v>
      </c>
      <c r="I1451" s="48" t="s">
        <v>113</v>
      </c>
      <c r="J1451" s="49">
        <v>5</v>
      </c>
      <c r="K1451" s="50">
        <v>1655</v>
      </c>
      <c r="L1451" s="50">
        <v>1637.58</v>
      </c>
      <c r="M1451" s="48" t="s">
        <v>276</v>
      </c>
      <c r="N1451" s="51">
        <v>0.92</v>
      </c>
      <c r="O1451" s="51">
        <v>0.92830000000000001</v>
      </c>
      <c r="P1451" s="52">
        <v>1504.8</v>
      </c>
      <c r="Q1451" s="52">
        <v>1504.8</v>
      </c>
      <c r="R1451" s="53" t="str">
        <f>INDEX(SKU_Master!$D$5:$D$34,MATCH($I1451,SKU_Master!$A$5:$A$34,0))</f>
        <v>Laptop</v>
      </c>
      <c r="S1451" s="54">
        <f t="shared" si="308"/>
        <v>1.0525679758308204E-2</v>
      </c>
      <c r="T1451" s="55">
        <f t="shared" si="309"/>
        <v>8994.565217391304</v>
      </c>
      <c r="U1451" s="55">
        <f t="shared" si="310"/>
        <v>8899.891304347826</v>
      </c>
      <c r="V1451" s="55">
        <f t="shared" si="311"/>
        <v>-94.673913043478024</v>
      </c>
      <c r="W1451" s="55">
        <f t="shared" si="312"/>
        <v>8820.3167079607883</v>
      </c>
      <c r="X1451" s="55">
        <f t="shared" si="313"/>
        <v>-79.574596387037673</v>
      </c>
      <c r="Y1451" s="55">
        <f t="shared" si="314"/>
        <v>7524</v>
      </c>
      <c r="Z1451" s="55">
        <f t="shared" si="315"/>
        <v>7524</v>
      </c>
      <c r="AA1451" s="55">
        <f t="shared" si="316"/>
        <v>0</v>
      </c>
      <c r="AB1451" s="55">
        <f t="shared" si="317"/>
        <v>1296.3167079607883</v>
      </c>
      <c r="AC1451" s="54">
        <f t="shared" si="318"/>
        <v>0.1469694060748177</v>
      </c>
      <c r="AD1451" s="56">
        <f>INDEX(Assumptions!$B$14:$B$16,MATCH($R1451,Assumptions!$A$14:$A$16,0))</f>
        <v>0.12</v>
      </c>
      <c r="AE1451" s="56">
        <f>INDEX(Assumptions!$C$14:$C$16,MATCH($R1451,Assumptions!$A$14:$A$16,0))</f>
        <v>0.08</v>
      </c>
      <c r="AF1451" s="49">
        <f t="shared" si="319"/>
        <v>0</v>
      </c>
      <c r="AG1451" s="49">
        <f t="shared" si="320"/>
        <v>0</v>
      </c>
      <c r="AH1451" s="55">
        <f t="shared" si="321"/>
        <v>0</v>
      </c>
    </row>
    <row r="1452" spans="1:34" x14ac:dyDescent="0.2">
      <c r="A1452" s="48" t="s">
        <v>1229</v>
      </c>
      <c r="B1452" s="48">
        <v>2</v>
      </c>
      <c r="C1452" s="48" t="s">
        <v>1199</v>
      </c>
      <c r="D1452" s="48" t="s">
        <v>1154</v>
      </c>
      <c r="E1452" s="48" t="s">
        <v>393</v>
      </c>
      <c r="F1452" s="48" t="s">
        <v>274</v>
      </c>
      <c r="G1452" s="48" t="s">
        <v>275</v>
      </c>
      <c r="H1452" s="48" t="s">
        <v>66</v>
      </c>
      <c r="I1452" s="48" t="s">
        <v>146</v>
      </c>
      <c r="J1452" s="49">
        <v>3</v>
      </c>
      <c r="K1452" s="50">
        <v>250</v>
      </c>
      <c r="L1452" s="50">
        <v>246.06</v>
      </c>
      <c r="M1452" s="48" t="s">
        <v>276</v>
      </c>
      <c r="N1452" s="51">
        <v>0.92</v>
      </c>
      <c r="O1452" s="51">
        <v>0.92830000000000001</v>
      </c>
      <c r="P1452" s="52">
        <v>206.8</v>
      </c>
      <c r="Q1452" s="52">
        <v>206.8</v>
      </c>
      <c r="R1452" s="53" t="str">
        <f>INDEX(SKU_Master!$D$5:$D$34,MATCH($I1452,SKU_Master!$A$5:$A$34,0))</f>
        <v>Monitor</v>
      </c>
      <c r="S1452" s="54">
        <f t="shared" si="308"/>
        <v>1.5759999999999996E-2</v>
      </c>
      <c r="T1452" s="55">
        <f t="shared" si="309"/>
        <v>815.21739130434776</v>
      </c>
      <c r="U1452" s="55">
        <f t="shared" si="310"/>
        <v>802.36956521739137</v>
      </c>
      <c r="V1452" s="55">
        <f t="shared" si="311"/>
        <v>-12.847826086956388</v>
      </c>
      <c r="W1452" s="55">
        <f t="shared" si="312"/>
        <v>795.19551869007864</v>
      </c>
      <c r="X1452" s="55">
        <f t="shared" si="313"/>
        <v>-7.1740465273127256</v>
      </c>
      <c r="Y1452" s="55">
        <f t="shared" si="314"/>
        <v>620.40000000000009</v>
      </c>
      <c r="Z1452" s="55">
        <f t="shared" si="315"/>
        <v>620.40000000000009</v>
      </c>
      <c r="AA1452" s="55">
        <f t="shared" si="316"/>
        <v>0</v>
      </c>
      <c r="AB1452" s="55">
        <f t="shared" si="317"/>
        <v>174.79551869007855</v>
      </c>
      <c r="AC1452" s="54">
        <f t="shared" si="318"/>
        <v>0.21981451678452399</v>
      </c>
      <c r="AD1452" s="56">
        <f>INDEX(Assumptions!$B$14:$B$16,MATCH($R1452,Assumptions!$A$14:$A$16,0))</f>
        <v>0.18</v>
      </c>
      <c r="AE1452" s="56">
        <f>INDEX(Assumptions!$C$14:$C$16,MATCH($R1452,Assumptions!$A$14:$A$16,0))</f>
        <v>0.12</v>
      </c>
      <c r="AF1452" s="49">
        <f t="shared" si="319"/>
        <v>0</v>
      </c>
      <c r="AG1452" s="49">
        <f t="shared" si="320"/>
        <v>0</v>
      </c>
      <c r="AH1452" s="55">
        <f t="shared" si="321"/>
        <v>0</v>
      </c>
    </row>
    <row r="1453" spans="1:34" x14ac:dyDescent="0.2">
      <c r="A1453" s="48" t="s">
        <v>1230</v>
      </c>
      <c r="B1453" s="48">
        <v>1</v>
      </c>
      <c r="C1453" s="48" t="s">
        <v>1170</v>
      </c>
      <c r="D1453" s="48" t="s">
        <v>1154</v>
      </c>
      <c r="E1453" s="48" t="s">
        <v>393</v>
      </c>
      <c r="F1453" s="48" t="s">
        <v>274</v>
      </c>
      <c r="G1453" s="48" t="s">
        <v>275</v>
      </c>
      <c r="H1453" s="48" t="s">
        <v>66</v>
      </c>
      <c r="I1453" s="48" t="s">
        <v>106</v>
      </c>
      <c r="J1453" s="49">
        <v>2</v>
      </c>
      <c r="K1453" s="50">
        <v>1450</v>
      </c>
      <c r="L1453" s="50">
        <v>1444.42</v>
      </c>
      <c r="M1453" s="48" t="s">
        <v>276</v>
      </c>
      <c r="N1453" s="51">
        <v>0.92</v>
      </c>
      <c r="O1453" s="51">
        <v>0.92830000000000001</v>
      </c>
      <c r="P1453" s="52">
        <v>1318.4</v>
      </c>
      <c r="Q1453" s="52">
        <v>1318.4</v>
      </c>
      <c r="R1453" s="53" t="str">
        <f>INDEX(SKU_Master!$D$5:$D$34,MATCH($I1453,SKU_Master!$A$5:$A$34,0))</f>
        <v>Laptop</v>
      </c>
      <c r="S1453" s="54">
        <f t="shared" si="308"/>
        <v>3.8482758620689284E-3</v>
      </c>
      <c r="T1453" s="55">
        <f t="shared" si="309"/>
        <v>3152.173913043478</v>
      </c>
      <c r="U1453" s="55">
        <f t="shared" si="310"/>
        <v>3140.0434782608695</v>
      </c>
      <c r="V1453" s="55">
        <f t="shared" si="311"/>
        <v>-12.130434782608518</v>
      </c>
      <c r="W1453" s="55">
        <f t="shared" si="312"/>
        <v>3111.9681137563289</v>
      </c>
      <c r="X1453" s="55">
        <f t="shared" si="313"/>
        <v>-28.07536450454063</v>
      </c>
      <c r="Y1453" s="55">
        <f t="shared" si="314"/>
        <v>2636.8</v>
      </c>
      <c r="Z1453" s="55">
        <f t="shared" si="315"/>
        <v>2636.8</v>
      </c>
      <c r="AA1453" s="55">
        <f t="shared" si="316"/>
        <v>0</v>
      </c>
      <c r="AB1453" s="55">
        <f t="shared" si="317"/>
        <v>475.16811375632869</v>
      </c>
      <c r="AC1453" s="54">
        <f t="shared" si="318"/>
        <v>0.15269054707079655</v>
      </c>
      <c r="AD1453" s="56">
        <f>INDEX(Assumptions!$B$14:$B$16,MATCH($R1453,Assumptions!$A$14:$A$16,0))</f>
        <v>0.12</v>
      </c>
      <c r="AE1453" s="56">
        <f>INDEX(Assumptions!$C$14:$C$16,MATCH($R1453,Assumptions!$A$14:$A$16,0))</f>
        <v>0.08</v>
      </c>
      <c r="AF1453" s="49">
        <f t="shared" si="319"/>
        <v>0</v>
      </c>
      <c r="AG1453" s="49">
        <f t="shared" si="320"/>
        <v>0</v>
      </c>
      <c r="AH1453" s="55">
        <f t="shared" si="321"/>
        <v>0</v>
      </c>
    </row>
    <row r="1454" spans="1:34" x14ac:dyDescent="0.2">
      <c r="A1454" s="48" t="s">
        <v>1230</v>
      </c>
      <c r="B1454" s="48">
        <v>2</v>
      </c>
      <c r="C1454" s="48" t="s">
        <v>1170</v>
      </c>
      <c r="D1454" s="48" t="s">
        <v>1154</v>
      </c>
      <c r="E1454" s="48" t="s">
        <v>393</v>
      </c>
      <c r="F1454" s="48" t="s">
        <v>274</v>
      </c>
      <c r="G1454" s="48" t="s">
        <v>275</v>
      </c>
      <c r="H1454" s="48" t="s">
        <v>66</v>
      </c>
      <c r="I1454" s="48" t="s">
        <v>141</v>
      </c>
      <c r="J1454" s="49">
        <v>1</v>
      </c>
      <c r="K1454" s="50">
        <v>450</v>
      </c>
      <c r="L1454" s="50">
        <v>448.89</v>
      </c>
      <c r="M1454" s="48" t="s">
        <v>276</v>
      </c>
      <c r="N1454" s="51">
        <v>0.92</v>
      </c>
      <c r="O1454" s="51">
        <v>0.92830000000000001</v>
      </c>
      <c r="P1454" s="52">
        <v>376.7</v>
      </c>
      <c r="Q1454" s="52">
        <v>376.7</v>
      </c>
      <c r="R1454" s="53" t="str">
        <f>INDEX(SKU_Master!$D$5:$D$34,MATCH($I1454,SKU_Master!$A$5:$A$34,0))</f>
        <v>Monitor</v>
      </c>
      <c r="S1454" s="54">
        <f t="shared" si="308"/>
        <v>2.4666666666667281E-3</v>
      </c>
      <c r="T1454" s="55">
        <f t="shared" si="309"/>
        <v>489.13043478260869</v>
      </c>
      <c r="U1454" s="55">
        <f t="shared" si="310"/>
        <v>487.92391304347825</v>
      </c>
      <c r="V1454" s="55">
        <f t="shared" si="311"/>
        <v>-1.2065217391304373</v>
      </c>
      <c r="W1454" s="55">
        <f t="shared" si="312"/>
        <v>483.56134870192824</v>
      </c>
      <c r="X1454" s="55">
        <f t="shared" si="313"/>
        <v>-4.3625643415500122</v>
      </c>
      <c r="Y1454" s="55">
        <f t="shared" si="314"/>
        <v>376.7</v>
      </c>
      <c r="Z1454" s="55">
        <f t="shared" si="315"/>
        <v>376.7</v>
      </c>
      <c r="AA1454" s="55">
        <f t="shared" si="316"/>
        <v>0</v>
      </c>
      <c r="AB1454" s="55">
        <f t="shared" si="317"/>
        <v>106.86134870192825</v>
      </c>
      <c r="AC1454" s="54">
        <f t="shared" si="318"/>
        <v>0.22098819309853193</v>
      </c>
      <c r="AD1454" s="56">
        <f>INDEX(Assumptions!$B$14:$B$16,MATCH($R1454,Assumptions!$A$14:$A$16,0))</f>
        <v>0.18</v>
      </c>
      <c r="AE1454" s="56">
        <f>INDEX(Assumptions!$C$14:$C$16,MATCH($R1454,Assumptions!$A$14:$A$16,0))</f>
        <v>0.12</v>
      </c>
      <c r="AF1454" s="49">
        <f t="shared" si="319"/>
        <v>0</v>
      </c>
      <c r="AG1454" s="49">
        <f t="shared" si="320"/>
        <v>0</v>
      </c>
      <c r="AH1454" s="55">
        <f t="shared" si="321"/>
        <v>0</v>
      </c>
    </row>
    <row r="1455" spans="1:34" x14ac:dyDescent="0.2">
      <c r="A1455" s="48" t="s">
        <v>1230</v>
      </c>
      <c r="B1455" s="48">
        <v>3</v>
      </c>
      <c r="C1455" s="48" t="s">
        <v>1170</v>
      </c>
      <c r="D1455" s="48" t="s">
        <v>1154</v>
      </c>
      <c r="E1455" s="48" t="s">
        <v>393</v>
      </c>
      <c r="F1455" s="48" t="s">
        <v>274</v>
      </c>
      <c r="G1455" s="48" t="s">
        <v>275</v>
      </c>
      <c r="H1455" s="48" t="s">
        <v>66</v>
      </c>
      <c r="I1455" s="48" t="s">
        <v>177</v>
      </c>
      <c r="J1455" s="49">
        <v>1</v>
      </c>
      <c r="K1455" s="50">
        <v>75</v>
      </c>
      <c r="L1455" s="50">
        <v>73.599999999999994</v>
      </c>
      <c r="M1455" s="48" t="s">
        <v>276</v>
      </c>
      <c r="N1455" s="51">
        <v>0.92</v>
      </c>
      <c r="O1455" s="51">
        <v>0.92830000000000001</v>
      </c>
      <c r="P1455" s="52">
        <v>49</v>
      </c>
      <c r="Q1455" s="52">
        <v>49</v>
      </c>
      <c r="R1455" s="53" t="str">
        <f>INDEX(SKU_Master!$D$5:$D$34,MATCH($I1455,SKU_Master!$A$5:$A$34,0))</f>
        <v>Accessory</v>
      </c>
      <c r="S1455" s="54">
        <f t="shared" si="308"/>
        <v>1.866666666666672E-2</v>
      </c>
      <c r="T1455" s="55">
        <f t="shared" si="309"/>
        <v>81.521739130434781</v>
      </c>
      <c r="U1455" s="55">
        <f t="shared" si="310"/>
        <v>79.999999999999986</v>
      </c>
      <c r="V1455" s="55">
        <f t="shared" si="311"/>
        <v>-1.5217391304347956</v>
      </c>
      <c r="W1455" s="55">
        <f t="shared" si="312"/>
        <v>79.28471399332112</v>
      </c>
      <c r="X1455" s="55">
        <f t="shared" si="313"/>
        <v>-0.71528600667886622</v>
      </c>
      <c r="Y1455" s="55">
        <f t="shared" si="314"/>
        <v>49</v>
      </c>
      <c r="Z1455" s="55">
        <f t="shared" si="315"/>
        <v>49</v>
      </c>
      <c r="AA1455" s="55">
        <f t="shared" si="316"/>
        <v>0</v>
      </c>
      <c r="AB1455" s="55">
        <f t="shared" si="317"/>
        <v>30.28471399332112</v>
      </c>
      <c r="AC1455" s="54">
        <f t="shared" si="318"/>
        <v>0.38197418478260864</v>
      </c>
      <c r="AD1455" s="56">
        <f>INDEX(Assumptions!$B$14:$B$16,MATCH($R1455,Assumptions!$A$14:$A$16,0))</f>
        <v>0.32</v>
      </c>
      <c r="AE1455" s="56">
        <f>INDEX(Assumptions!$C$14:$C$16,MATCH($R1455,Assumptions!$A$14:$A$16,0))</f>
        <v>0.22</v>
      </c>
      <c r="AF1455" s="49">
        <f t="shared" si="319"/>
        <v>0</v>
      </c>
      <c r="AG1455" s="49">
        <f t="shared" si="320"/>
        <v>0</v>
      </c>
      <c r="AH1455" s="55">
        <f t="shared" si="321"/>
        <v>0</v>
      </c>
    </row>
    <row r="1456" spans="1:34" x14ac:dyDescent="0.2">
      <c r="A1456" s="48" t="s">
        <v>1231</v>
      </c>
      <c r="B1456" s="48">
        <v>1</v>
      </c>
      <c r="C1456" s="48" t="s">
        <v>1209</v>
      </c>
      <c r="D1456" s="48" t="s">
        <v>1154</v>
      </c>
      <c r="E1456" s="48" t="s">
        <v>346</v>
      </c>
      <c r="F1456" s="48" t="s">
        <v>297</v>
      </c>
      <c r="G1456" s="48" t="s">
        <v>302</v>
      </c>
      <c r="H1456" s="48" t="s">
        <v>62</v>
      </c>
      <c r="I1456" s="48" t="s">
        <v>108</v>
      </c>
      <c r="J1456" s="49">
        <v>46</v>
      </c>
      <c r="K1456" s="50">
        <v>1345</v>
      </c>
      <c r="L1456" s="50">
        <v>1317.6</v>
      </c>
      <c r="M1456" s="48" t="s">
        <v>276</v>
      </c>
      <c r="N1456" s="51">
        <v>1</v>
      </c>
      <c r="O1456" s="51">
        <v>1</v>
      </c>
      <c r="P1456" s="52">
        <v>1145</v>
      </c>
      <c r="Q1456" s="52">
        <v>1212.6199999999999</v>
      </c>
      <c r="R1456" s="53" t="str">
        <f>INDEX(SKU_Master!$D$5:$D$34,MATCH($I1456,SKU_Master!$A$5:$A$34,0))</f>
        <v>Laptop</v>
      </c>
      <c r="S1456" s="54">
        <f t="shared" si="308"/>
        <v>2.0371747211895941E-2</v>
      </c>
      <c r="T1456" s="55">
        <f t="shared" si="309"/>
        <v>61870</v>
      </c>
      <c r="U1456" s="55">
        <f t="shared" si="310"/>
        <v>60609.599999999999</v>
      </c>
      <c r="V1456" s="55">
        <f t="shared" si="311"/>
        <v>-1260.4000000000015</v>
      </c>
      <c r="W1456" s="55">
        <f t="shared" si="312"/>
        <v>60609.599999999999</v>
      </c>
      <c r="X1456" s="55">
        <f t="shared" si="313"/>
        <v>0</v>
      </c>
      <c r="Y1456" s="55">
        <f t="shared" si="314"/>
        <v>52670</v>
      </c>
      <c r="Z1456" s="55">
        <f t="shared" si="315"/>
        <v>55780.52</v>
      </c>
      <c r="AA1456" s="55">
        <f t="shared" si="316"/>
        <v>-3110.5199999999968</v>
      </c>
      <c r="AB1456" s="55">
        <f t="shared" si="317"/>
        <v>4829.0800000000017</v>
      </c>
      <c r="AC1456" s="54">
        <f t="shared" si="318"/>
        <v>7.967516697024897E-2</v>
      </c>
      <c r="AD1456" s="56">
        <f>INDEX(Assumptions!$B$14:$B$16,MATCH($R1456,Assumptions!$A$14:$A$16,0))</f>
        <v>0.12</v>
      </c>
      <c r="AE1456" s="56">
        <f>INDEX(Assumptions!$C$14:$C$16,MATCH($R1456,Assumptions!$A$14:$A$16,0))</f>
        <v>0.08</v>
      </c>
      <c r="AF1456" s="49">
        <f t="shared" si="319"/>
        <v>1</v>
      </c>
      <c r="AG1456" s="49">
        <f t="shared" si="320"/>
        <v>1</v>
      </c>
      <c r="AH1456" s="55">
        <f t="shared" si="321"/>
        <v>2444.0719999999974</v>
      </c>
    </row>
    <row r="1457" spans="1:34" x14ac:dyDescent="0.2">
      <c r="A1457" s="48" t="s">
        <v>1231</v>
      </c>
      <c r="B1457" s="48">
        <v>2</v>
      </c>
      <c r="C1457" s="48" t="s">
        <v>1209</v>
      </c>
      <c r="D1457" s="48" t="s">
        <v>1154</v>
      </c>
      <c r="E1457" s="48" t="s">
        <v>346</v>
      </c>
      <c r="F1457" s="48" t="s">
        <v>297</v>
      </c>
      <c r="G1457" s="48" t="s">
        <v>302</v>
      </c>
      <c r="H1457" s="48" t="s">
        <v>62</v>
      </c>
      <c r="I1457" s="48" t="s">
        <v>141</v>
      </c>
      <c r="J1457" s="49">
        <v>45</v>
      </c>
      <c r="K1457" s="50">
        <v>450</v>
      </c>
      <c r="L1457" s="50">
        <v>435.44</v>
      </c>
      <c r="M1457" s="48" t="s">
        <v>276</v>
      </c>
      <c r="N1457" s="51">
        <v>1</v>
      </c>
      <c r="O1457" s="51">
        <v>1</v>
      </c>
      <c r="P1457" s="52">
        <v>351.7</v>
      </c>
      <c r="Q1457" s="52">
        <v>351.7</v>
      </c>
      <c r="R1457" s="53" t="str">
        <f>INDEX(SKU_Master!$D$5:$D$34,MATCH($I1457,SKU_Master!$A$5:$A$34,0))</f>
        <v>Monitor</v>
      </c>
      <c r="S1457" s="54">
        <f t="shared" si="308"/>
        <v>3.2355555555555582E-2</v>
      </c>
      <c r="T1457" s="55">
        <f t="shared" si="309"/>
        <v>20250</v>
      </c>
      <c r="U1457" s="55">
        <f t="shared" si="310"/>
        <v>19594.8</v>
      </c>
      <c r="V1457" s="55">
        <f t="shared" si="311"/>
        <v>-655.20000000000073</v>
      </c>
      <c r="W1457" s="55">
        <f t="shared" si="312"/>
        <v>19594.8</v>
      </c>
      <c r="X1457" s="55">
        <f t="shared" si="313"/>
        <v>0</v>
      </c>
      <c r="Y1457" s="55">
        <f t="shared" si="314"/>
        <v>15826.5</v>
      </c>
      <c r="Z1457" s="55">
        <f t="shared" si="315"/>
        <v>15826.5</v>
      </c>
      <c r="AA1457" s="55">
        <f t="shared" si="316"/>
        <v>0</v>
      </c>
      <c r="AB1457" s="55">
        <f t="shared" si="317"/>
        <v>3768.2999999999993</v>
      </c>
      <c r="AC1457" s="54">
        <f t="shared" si="318"/>
        <v>0.19231122542715412</v>
      </c>
      <c r="AD1457" s="56">
        <f>INDEX(Assumptions!$B$14:$B$16,MATCH($R1457,Assumptions!$A$14:$A$16,0))</f>
        <v>0.18</v>
      </c>
      <c r="AE1457" s="56">
        <f>INDEX(Assumptions!$C$14:$C$16,MATCH($R1457,Assumptions!$A$14:$A$16,0))</f>
        <v>0.12</v>
      </c>
      <c r="AF1457" s="49">
        <f t="shared" si="319"/>
        <v>0</v>
      </c>
      <c r="AG1457" s="49">
        <f t="shared" si="320"/>
        <v>0</v>
      </c>
      <c r="AH1457" s="55">
        <f t="shared" si="321"/>
        <v>0</v>
      </c>
    </row>
    <row r="1458" spans="1:34" x14ac:dyDescent="0.2">
      <c r="A1458" s="48" t="s">
        <v>1231</v>
      </c>
      <c r="B1458" s="48">
        <v>3</v>
      </c>
      <c r="C1458" s="48" t="s">
        <v>1209</v>
      </c>
      <c r="D1458" s="48" t="s">
        <v>1154</v>
      </c>
      <c r="E1458" s="48" t="s">
        <v>346</v>
      </c>
      <c r="F1458" s="48" t="s">
        <v>297</v>
      </c>
      <c r="G1458" s="48" t="s">
        <v>302</v>
      </c>
      <c r="H1458" s="48" t="s">
        <v>62</v>
      </c>
      <c r="I1458" s="48" t="s">
        <v>157</v>
      </c>
      <c r="J1458" s="49">
        <v>54</v>
      </c>
      <c r="K1458" s="50">
        <v>135</v>
      </c>
      <c r="L1458" s="50">
        <v>128.02000000000001</v>
      </c>
      <c r="M1458" s="48" t="s">
        <v>276</v>
      </c>
      <c r="N1458" s="51">
        <v>1</v>
      </c>
      <c r="O1458" s="51">
        <v>1</v>
      </c>
      <c r="P1458" s="52">
        <v>86</v>
      </c>
      <c r="Q1458" s="52">
        <v>86</v>
      </c>
      <c r="R1458" s="53" t="str">
        <f>INDEX(SKU_Master!$D$5:$D$34,MATCH($I1458,SKU_Master!$A$5:$A$34,0))</f>
        <v>Accessory</v>
      </c>
      <c r="S1458" s="54">
        <f t="shared" si="308"/>
        <v>5.1703703703703585E-2</v>
      </c>
      <c r="T1458" s="55">
        <f t="shared" si="309"/>
        <v>7290</v>
      </c>
      <c r="U1458" s="55">
        <f t="shared" si="310"/>
        <v>6913.0800000000008</v>
      </c>
      <c r="V1458" s="55">
        <f t="shared" si="311"/>
        <v>-376.91999999999916</v>
      </c>
      <c r="W1458" s="55">
        <f t="shared" si="312"/>
        <v>6913.0800000000008</v>
      </c>
      <c r="X1458" s="55">
        <f t="shared" si="313"/>
        <v>0</v>
      </c>
      <c r="Y1458" s="55">
        <f t="shared" si="314"/>
        <v>4644</v>
      </c>
      <c r="Z1458" s="55">
        <f t="shared" si="315"/>
        <v>4644</v>
      </c>
      <c r="AA1458" s="55">
        <f t="shared" si="316"/>
        <v>0</v>
      </c>
      <c r="AB1458" s="55">
        <f t="shared" si="317"/>
        <v>2269.0800000000008</v>
      </c>
      <c r="AC1458" s="54">
        <f t="shared" si="318"/>
        <v>0.32822996406811444</v>
      </c>
      <c r="AD1458" s="56">
        <f>INDEX(Assumptions!$B$14:$B$16,MATCH($R1458,Assumptions!$A$14:$A$16,0))</f>
        <v>0.32</v>
      </c>
      <c r="AE1458" s="56">
        <f>INDEX(Assumptions!$C$14:$C$16,MATCH($R1458,Assumptions!$A$14:$A$16,0))</f>
        <v>0.22</v>
      </c>
      <c r="AF1458" s="49">
        <f t="shared" si="319"/>
        <v>0</v>
      </c>
      <c r="AG1458" s="49">
        <f t="shared" si="320"/>
        <v>0</v>
      </c>
      <c r="AH1458" s="55">
        <f t="shared" si="321"/>
        <v>0</v>
      </c>
    </row>
    <row r="1459" spans="1:34" x14ac:dyDescent="0.2">
      <c r="A1459" s="48" t="s">
        <v>1232</v>
      </c>
      <c r="B1459" s="48">
        <v>1</v>
      </c>
      <c r="C1459" s="48" t="s">
        <v>1207</v>
      </c>
      <c r="D1459" s="48" t="s">
        <v>1154</v>
      </c>
      <c r="E1459" s="48" t="s">
        <v>301</v>
      </c>
      <c r="F1459" s="48" t="s">
        <v>274</v>
      </c>
      <c r="G1459" s="48" t="s">
        <v>302</v>
      </c>
      <c r="H1459" s="48" t="s">
        <v>62</v>
      </c>
      <c r="I1459" s="48" t="s">
        <v>123</v>
      </c>
      <c r="J1459" s="49">
        <v>7</v>
      </c>
      <c r="K1459" s="50">
        <v>1465</v>
      </c>
      <c r="L1459" s="50">
        <v>1388.1</v>
      </c>
      <c r="M1459" s="48" t="s">
        <v>276</v>
      </c>
      <c r="N1459" s="51">
        <v>1</v>
      </c>
      <c r="O1459" s="51">
        <v>1</v>
      </c>
      <c r="P1459" s="52">
        <v>1249.25</v>
      </c>
      <c r="Q1459" s="52">
        <v>1249.25</v>
      </c>
      <c r="R1459" s="53" t="str">
        <f>INDEX(SKU_Master!$D$5:$D$34,MATCH($I1459,SKU_Master!$A$5:$A$34,0))</f>
        <v>Laptop</v>
      </c>
      <c r="S1459" s="54">
        <f t="shared" si="308"/>
        <v>5.2491467576791906E-2</v>
      </c>
      <c r="T1459" s="55">
        <f t="shared" si="309"/>
        <v>10255</v>
      </c>
      <c r="U1459" s="55">
        <f t="shared" si="310"/>
        <v>9716.6999999999989</v>
      </c>
      <c r="V1459" s="55">
        <f t="shared" si="311"/>
        <v>-538.30000000000109</v>
      </c>
      <c r="W1459" s="55">
        <f t="shared" si="312"/>
        <v>9716.6999999999989</v>
      </c>
      <c r="X1459" s="55">
        <f t="shared" si="313"/>
        <v>0</v>
      </c>
      <c r="Y1459" s="55">
        <f t="shared" si="314"/>
        <v>8744.75</v>
      </c>
      <c r="Z1459" s="55">
        <f t="shared" si="315"/>
        <v>8744.75</v>
      </c>
      <c r="AA1459" s="55">
        <f t="shared" si="316"/>
        <v>0</v>
      </c>
      <c r="AB1459" s="55">
        <f t="shared" si="317"/>
        <v>971.94999999999891</v>
      </c>
      <c r="AC1459" s="54">
        <f t="shared" si="318"/>
        <v>0.10002881636769675</v>
      </c>
      <c r="AD1459" s="56">
        <f>INDEX(Assumptions!$B$14:$B$16,MATCH($R1459,Assumptions!$A$14:$A$16,0))</f>
        <v>0.12</v>
      </c>
      <c r="AE1459" s="56">
        <f>INDEX(Assumptions!$C$14:$C$16,MATCH($R1459,Assumptions!$A$14:$A$16,0))</f>
        <v>0.08</v>
      </c>
      <c r="AF1459" s="49">
        <f t="shared" si="319"/>
        <v>0</v>
      </c>
      <c r="AG1459" s="49">
        <f t="shared" si="320"/>
        <v>0</v>
      </c>
      <c r="AH1459" s="55">
        <f t="shared" si="321"/>
        <v>194.054000000001</v>
      </c>
    </row>
    <row r="1460" spans="1:34" x14ac:dyDescent="0.2">
      <c r="A1460" s="48" t="s">
        <v>1233</v>
      </c>
      <c r="B1460" s="48">
        <v>1</v>
      </c>
      <c r="C1460" s="48" t="s">
        <v>1193</v>
      </c>
      <c r="D1460" s="48" t="s">
        <v>1154</v>
      </c>
      <c r="E1460" s="48" t="s">
        <v>311</v>
      </c>
      <c r="F1460" s="48" t="s">
        <v>297</v>
      </c>
      <c r="G1460" s="48" t="s">
        <v>302</v>
      </c>
      <c r="H1460" s="48" t="s">
        <v>62</v>
      </c>
      <c r="I1460" s="48" t="s">
        <v>98</v>
      </c>
      <c r="J1460" s="49">
        <v>20</v>
      </c>
      <c r="K1460" s="50">
        <v>2085</v>
      </c>
      <c r="L1460" s="50">
        <v>1993.6</v>
      </c>
      <c r="M1460" s="48" t="s">
        <v>276</v>
      </c>
      <c r="N1460" s="51">
        <v>1</v>
      </c>
      <c r="O1460" s="51">
        <v>1</v>
      </c>
      <c r="P1460" s="52">
        <v>1780.2</v>
      </c>
      <c r="Q1460" s="52">
        <v>1780.2</v>
      </c>
      <c r="R1460" s="53" t="str">
        <f>INDEX(SKU_Master!$D$5:$D$34,MATCH($I1460,SKU_Master!$A$5:$A$34,0))</f>
        <v>Laptop</v>
      </c>
      <c r="S1460" s="54">
        <f t="shared" si="308"/>
        <v>4.3836930455635525E-2</v>
      </c>
      <c r="T1460" s="55">
        <f t="shared" si="309"/>
        <v>41700</v>
      </c>
      <c r="U1460" s="55">
        <f t="shared" si="310"/>
        <v>39872</v>
      </c>
      <c r="V1460" s="55">
        <f t="shared" si="311"/>
        <v>-1828</v>
      </c>
      <c r="W1460" s="55">
        <f t="shared" si="312"/>
        <v>39872</v>
      </c>
      <c r="X1460" s="55">
        <f t="shared" si="313"/>
        <v>0</v>
      </c>
      <c r="Y1460" s="55">
        <f t="shared" si="314"/>
        <v>35604</v>
      </c>
      <c r="Z1460" s="55">
        <f t="shared" si="315"/>
        <v>35604</v>
      </c>
      <c r="AA1460" s="55">
        <f t="shared" si="316"/>
        <v>0</v>
      </c>
      <c r="AB1460" s="55">
        <f t="shared" si="317"/>
        <v>4268</v>
      </c>
      <c r="AC1460" s="54">
        <f t="shared" si="318"/>
        <v>0.10704253611556983</v>
      </c>
      <c r="AD1460" s="56">
        <f>INDEX(Assumptions!$B$14:$B$16,MATCH($R1460,Assumptions!$A$14:$A$16,0))</f>
        <v>0.12</v>
      </c>
      <c r="AE1460" s="56">
        <f>INDEX(Assumptions!$C$14:$C$16,MATCH($R1460,Assumptions!$A$14:$A$16,0))</f>
        <v>0.08</v>
      </c>
      <c r="AF1460" s="49">
        <f t="shared" si="319"/>
        <v>0</v>
      </c>
      <c r="AG1460" s="49">
        <f t="shared" si="320"/>
        <v>0</v>
      </c>
      <c r="AH1460" s="55">
        <f t="shared" si="321"/>
        <v>516.63999999999942</v>
      </c>
    </row>
    <row r="1461" spans="1:34" x14ac:dyDescent="0.2">
      <c r="A1461" s="48" t="s">
        <v>1233</v>
      </c>
      <c r="B1461" s="48">
        <v>2</v>
      </c>
      <c r="C1461" s="48" t="s">
        <v>1193</v>
      </c>
      <c r="D1461" s="48" t="s">
        <v>1154</v>
      </c>
      <c r="E1461" s="48" t="s">
        <v>311</v>
      </c>
      <c r="F1461" s="48" t="s">
        <v>297</v>
      </c>
      <c r="G1461" s="48" t="s">
        <v>302</v>
      </c>
      <c r="H1461" s="48" t="s">
        <v>62</v>
      </c>
      <c r="I1461" s="48" t="s">
        <v>138</v>
      </c>
      <c r="J1461" s="49">
        <v>19</v>
      </c>
      <c r="K1461" s="50">
        <v>455</v>
      </c>
      <c r="L1461" s="50">
        <v>427.56</v>
      </c>
      <c r="M1461" s="48" t="s">
        <v>276</v>
      </c>
      <c r="N1461" s="51">
        <v>1</v>
      </c>
      <c r="O1461" s="51">
        <v>1</v>
      </c>
      <c r="P1461" s="52">
        <v>358.2</v>
      </c>
      <c r="Q1461" s="52">
        <v>358.2</v>
      </c>
      <c r="R1461" s="53" t="str">
        <f>INDEX(SKU_Master!$D$5:$D$34,MATCH($I1461,SKU_Master!$A$5:$A$34,0))</f>
        <v>Monitor</v>
      </c>
      <c r="S1461" s="54">
        <f t="shared" si="308"/>
        <v>6.0307692307692284E-2</v>
      </c>
      <c r="T1461" s="55">
        <f t="shared" si="309"/>
        <v>8645</v>
      </c>
      <c r="U1461" s="55">
        <f t="shared" si="310"/>
        <v>8123.64</v>
      </c>
      <c r="V1461" s="55">
        <f t="shared" si="311"/>
        <v>-521.35999999999967</v>
      </c>
      <c r="W1461" s="55">
        <f t="shared" si="312"/>
        <v>8123.64</v>
      </c>
      <c r="X1461" s="55">
        <f t="shared" si="313"/>
        <v>0</v>
      </c>
      <c r="Y1461" s="55">
        <f t="shared" si="314"/>
        <v>6805.8</v>
      </c>
      <c r="Z1461" s="55">
        <f t="shared" si="315"/>
        <v>6805.8</v>
      </c>
      <c r="AA1461" s="55">
        <f t="shared" si="316"/>
        <v>0</v>
      </c>
      <c r="AB1461" s="55">
        <f t="shared" si="317"/>
        <v>1317.8400000000001</v>
      </c>
      <c r="AC1461" s="54">
        <f t="shared" si="318"/>
        <v>0.16222284591636263</v>
      </c>
      <c r="AD1461" s="56">
        <f>INDEX(Assumptions!$B$14:$B$16,MATCH($R1461,Assumptions!$A$14:$A$16,0))</f>
        <v>0.18</v>
      </c>
      <c r="AE1461" s="56">
        <f>INDEX(Assumptions!$C$14:$C$16,MATCH($R1461,Assumptions!$A$14:$A$16,0))</f>
        <v>0.12</v>
      </c>
      <c r="AF1461" s="49">
        <f t="shared" si="319"/>
        <v>0</v>
      </c>
      <c r="AG1461" s="49">
        <f t="shared" si="320"/>
        <v>0</v>
      </c>
      <c r="AH1461" s="55">
        <f t="shared" si="321"/>
        <v>144.41519999999991</v>
      </c>
    </row>
    <row r="1462" spans="1:34" x14ac:dyDescent="0.2">
      <c r="A1462" s="48" t="s">
        <v>1233</v>
      </c>
      <c r="B1462" s="48">
        <v>3</v>
      </c>
      <c r="C1462" s="48" t="s">
        <v>1193</v>
      </c>
      <c r="D1462" s="48" t="s">
        <v>1154</v>
      </c>
      <c r="E1462" s="48" t="s">
        <v>311</v>
      </c>
      <c r="F1462" s="48" t="s">
        <v>297</v>
      </c>
      <c r="G1462" s="48" t="s">
        <v>302</v>
      </c>
      <c r="H1462" s="48" t="s">
        <v>62</v>
      </c>
      <c r="I1462" s="48" t="s">
        <v>157</v>
      </c>
      <c r="J1462" s="49">
        <v>13</v>
      </c>
      <c r="K1462" s="50">
        <v>135</v>
      </c>
      <c r="L1462" s="50">
        <v>127.99</v>
      </c>
      <c r="M1462" s="48" t="s">
        <v>276</v>
      </c>
      <c r="N1462" s="51">
        <v>1</v>
      </c>
      <c r="O1462" s="51">
        <v>1</v>
      </c>
      <c r="P1462" s="52">
        <v>86</v>
      </c>
      <c r="Q1462" s="52">
        <v>86</v>
      </c>
      <c r="R1462" s="53" t="str">
        <f>INDEX(SKU_Master!$D$5:$D$34,MATCH($I1462,SKU_Master!$A$5:$A$34,0))</f>
        <v>Accessory</v>
      </c>
      <c r="S1462" s="54">
        <f t="shared" si="308"/>
        <v>5.1925925925925931E-2</v>
      </c>
      <c r="T1462" s="55">
        <f t="shared" si="309"/>
        <v>1755</v>
      </c>
      <c r="U1462" s="55">
        <f t="shared" si="310"/>
        <v>1663.87</v>
      </c>
      <c r="V1462" s="55">
        <f t="shared" si="311"/>
        <v>-91.130000000000109</v>
      </c>
      <c r="W1462" s="55">
        <f t="shared" si="312"/>
        <v>1663.87</v>
      </c>
      <c r="X1462" s="55">
        <f t="shared" si="313"/>
        <v>0</v>
      </c>
      <c r="Y1462" s="55">
        <f t="shared" si="314"/>
        <v>1118</v>
      </c>
      <c r="Z1462" s="55">
        <f t="shared" si="315"/>
        <v>1118</v>
      </c>
      <c r="AA1462" s="55">
        <f t="shared" si="316"/>
        <v>0</v>
      </c>
      <c r="AB1462" s="55">
        <f t="shared" si="317"/>
        <v>545.86999999999989</v>
      </c>
      <c r="AC1462" s="54">
        <f t="shared" si="318"/>
        <v>0.32807250566450502</v>
      </c>
      <c r="AD1462" s="56">
        <f>INDEX(Assumptions!$B$14:$B$16,MATCH($R1462,Assumptions!$A$14:$A$16,0))</f>
        <v>0.32</v>
      </c>
      <c r="AE1462" s="56">
        <f>INDEX(Assumptions!$C$14:$C$16,MATCH($R1462,Assumptions!$A$14:$A$16,0))</f>
        <v>0.22</v>
      </c>
      <c r="AF1462" s="49">
        <f t="shared" si="319"/>
        <v>0</v>
      </c>
      <c r="AG1462" s="49">
        <f t="shared" si="320"/>
        <v>0</v>
      </c>
      <c r="AH1462" s="55">
        <f t="shared" si="321"/>
        <v>0</v>
      </c>
    </row>
    <row r="1463" spans="1:34" x14ac:dyDescent="0.2">
      <c r="A1463" s="48" t="s">
        <v>1234</v>
      </c>
      <c r="B1463" s="48">
        <v>1</v>
      </c>
      <c r="C1463" s="48" t="s">
        <v>1163</v>
      </c>
      <c r="D1463" s="48" t="s">
        <v>1154</v>
      </c>
      <c r="E1463" s="48" t="s">
        <v>437</v>
      </c>
      <c r="F1463" s="48" t="s">
        <v>274</v>
      </c>
      <c r="G1463" s="48" t="s">
        <v>302</v>
      </c>
      <c r="H1463" s="48" t="s">
        <v>62</v>
      </c>
      <c r="I1463" s="48" t="s">
        <v>103</v>
      </c>
      <c r="J1463" s="49">
        <v>5</v>
      </c>
      <c r="K1463" s="50">
        <v>1135</v>
      </c>
      <c r="L1463" s="50">
        <v>1078.47</v>
      </c>
      <c r="M1463" s="48" t="s">
        <v>276</v>
      </c>
      <c r="N1463" s="51">
        <v>1</v>
      </c>
      <c r="O1463" s="51">
        <v>1</v>
      </c>
      <c r="P1463" s="52">
        <v>968.6</v>
      </c>
      <c r="Q1463" s="52">
        <v>968.6</v>
      </c>
      <c r="R1463" s="53" t="str">
        <f>INDEX(SKU_Master!$D$5:$D$34,MATCH($I1463,SKU_Master!$A$5:$A$34,0))</f>
        <v>Laptop</v>
      </c>
      <c r="S1463" s="54">
        <f t="shared" si="308"/>
        <v>4.9806167400881063E-2</v>
      </c>
      <c r="T1463" s="55">
        <f t="shared" si="309"/>
        <v>5675</v>
      </c>
      <c r="U1463" s="55">
        <f t="shared" si="310"/>
        <v>5392.35</v>
      </c>
      <c r="V1463" s="55">
        <f t="shared" si="311"/>
        <v>-282.64999999999964</v>
      </c>
      <c r="W1463" s="55">
        <f t="shared" si="312"/>
        <v>5392.35</v>
      </c>
      <c r="X1463" s="55">
        <f t="shared" si="313"/>
        <v>0</v>
      </c>
      <c r="Y1463" s="55">
        <f t="shared" si="314"/>
        <v>4843</v>
      </c>
      <c r="Z1463" s="55">
        <f t="shared" si="315"/>
        <v>4843</v>
      </c>
      <c r="AA1463" s="55">
        <f t="shared" si="316"/>
        <v>0</v>
      </c>
      <c r="AB1463" s="55">
        <f t="shared" si="317"/>
        <v>549.35000000000036</v>
      </c>
      <c r="AC1463" s="54">
        <f t="shared" si="318"/>
        <v>0.10187580553932893</v>
      </c>
      <c r="AD1463" s="56">
        <f>INDEX(Assumptions!$B$14:$B$16,MATCH($R1463,Assumptions!$A$14:$A$16,0))</f>
        <v>0.12</v>
      </c>
      <c r="AE1463" s="56">
        <f>INDEX(Assumptions!$C$14:$C$16,MATCH($R1463,Assumptions!$A$14:$A$16,0))</f>
        <v>0.08</v>
      </c>
      <c r="AF1463" s="49">
        <f t="shared" si="319"/>
        <v>0</v>
      </c>
      <c r="AG1463" s="49">
        <f t="shared" si="320"/>
        <v>0</v>
      </c>
      <c r="AH1463" s="55">
        <f t="shared" si="321"/>
        <v>97.73199999999963</v>
      </c>
    </row>
    <row r="1464" spans="1:34" x14ac:dyDescent="0.2">
      <c r="A1464" s="48" t="s">
        <v>1234</v>
      </c>
      <c r="B1464" s="48">
        <v>2</v>
      </c>
      <c r="C1464" s="48" t="s">
        <v>1163</v>
      </c>
      <c r="D1464" s="48" t="s">
        <v>1154</v>
      </c>
      <c r="E1464" s="48" t="s">
        <v>437</v>
      </c>
      <c r="F1464" s="48" t="s">
        <v>274</v>
      </c>
      <c r="G1464" s="48" t="s">
        <v>302</v>
      </c>
      <c r="H1464" s="48" t="s">
        <v>62</v>
      </c>
      <c r="I1464" s="48" t="s">
        <v>138</v>
      </c>
      <c r="J1464" s="49">
        <v>4</v>
      </c>
      <c r="K1464" s="50">
        <v>455</v>
      </c>
      <c r="L1464" s="50">
        <v>435.96</v>
      </c>
      <c r="M1464" s="48" t="s">
        <v>276</v>
      </c>
      <c r="N1464" s="51">
        <v>1</v>
      </c>
      <c r="O1464" s="51">
        <v>1</v>
      </c>
      <c r="P1464" s="52">
        <v>358.2</v>
      </c>
      <c r="Q1464" s="52">
        <v>358.2</v>
      </c>
      <c r="R1464" s="53" t="str">
        <f>INDEX(SKU_Master!$D$5:$D$34,MATCH($I1464,SKU_Master!$A$5:$A$34,0))</f>
        <v>Monitor</v>
      </c>
      <c r="S1464" s="54">
        <f t="shared" si="308"/>
        <v>4.1846153846153866E-2</v>
      </c>
      <c r="T1464" s="55">
        <f t="shared" si="309"/>
        <v>1820</v>
      </c>
      <c r="U1464" s="55">
        <f t="shared" si="310"/>
        <v>1743.84</v>
      </c>
      <c r="V1464" s="55">
        <f t="shared" si="311"/>
        <v>-76.160000000000082</v>
      </c>
      <c r="W1464" s="55">
        <f t="shared" si="312"/>
        <v>1743.84</v>
      </c>
      <c r="X1464" s="55">
        <f t="shared" si="313"/>
        <v>0</v>
      </c>
      <c r="Y1464" s="55">
        <f t="shared" si="314"/>
        <v>1432.8</v>
      </c>
      <c r="Z1464" s="55">
        <f t="shared" si="315"/>
        <v>1432.8</v>
      </c>
      <c r="AA1464" s="55">
        <f t="shared" si="316"/>
        <v>0</v>
      </c>
      <c r="AB1464" s="55">
        <f t="shared" si="317"/>
        <v>311.03999999999996</v>
      </c>
      <c r="AC1464" s="54">
        <f t="shared" si="318"/>
        <v>0.17836498761354252</v>
      </c>
      <c r="AD1464" s="56">
        <f>INDEX(Assumptions!$B$14:$B$16,MATCH($R1464,Assumptions!$A$14:$A$16,0))</f>
        <v>0.18</v>
      </c>
      <c r="AE1464" s="56">
        <f>INDEX(Assumptions!$C$14:$C$16,MATCH($R1464,Assumptions!$A$14:$A$16,0))</f>
        <v>0.12</v>
      </c>
      <c r="AF1464" s="49">
        <f t="shared" si="319"/>
        <v>0</v>
      </c>
      <c r="AG1464" s="49">
        <f t="shared" si="320"/>
        <v>0</v>
      </c>
      <c r="AH1464" s="55">
        <f t="shared" si="321"/>
        <v>2.8512000000000057</v>
      </c>
    </row>
    <row r="1465" spans="1:34" x14ac:dyDescent="0.2">
      <c r="A1465" s="48" t="s">
        <v>1234</v>
      </c>
      <c r="B1465" s="48">
        <v>3</v>
      </c>
      <c r="C1465" s="48" t="s">
        <v>1163</v>
      </c>
      <c r="D1465" s="48" t="s">
        <v>1154</v>
      </c>
      <c r="E1465" s="48" t="s">
        <v>437</v>
      </c>
      <c r="F1465" s="48" t="s">
        <v>274</v>
      </c>
      <c r="G1465" s="48" t="s">
        <v>302</v>
      </c>
      <c r="H1465" s="48" t="s">
        <v>62</v>
      </c>
      <c r="I1465" s="48" t="s">
        <v>157</v>
      </c>
      <c r="J1465" s="49">
        <v>4</v>
      </c>
      <c r="K1465" s="50">
        <v>135</v>
      </c>
      <c r="L1465" s="50">
        <v>129.47999999999999</v>
      </c>
      <c r="M1465" s="48" t="s">
        <v>276</v>
      </c>
      <c r="N1465" s="51">
        <v>1</v>
      </c>
      <c r="O1465" s="51">
        <v>1</v>
      </c>
      <c r="P1465" s="52">
        <v>86</v>
      </c>
      <c r="Q1465" s="52">
        <v>86</v>
      </c>
      <c r="R1465" s="53" t="str">
        <f>INDEX(SKU_Master!$D$5:$D$34,MATCH($I1465,SKU_Master!$A$5:$A$34,0))</f>
        <v>Accessory</v>
      </c>
      <c r="S1465" s="54">
        <f t="shared" si="308"/>
        <v>4.0888888888888975E-2</v>
      </c>
      <c r="T1465" s="55">
        <f t="shared" si="309"/>
        <v>540</v>
      </c>
      <c r="U1465" s="55">
        <f t="shared" si="310"/>
        <v>517.91999999999996</v>
      </c>
      <c r="V1465" s="55">
        <f t="shared" si="311"/>
        <v>-22.080000000000041</v>
      </c>
      <c r="W1465" s="55">
        <f t="shared" si="312"/>
        <v>517.91999999999996</v>
      </c>
      <c r="X1465" s="55">
        <f t="shared" si="313"/>
        <v>0</v>
      </c>
      <c r="Y1465" s="55">
        <f t="shared" si="314"/>
        <v>344</v>
      </c>
      <c r="Z1465" s="55">
        <f t="shared" si="315"/>
        <v>344</v>
      </c>
      <c r="AA1465" s="55">
        <f t="shared" si="316"/>
        <v>0</v>
      </c>
      <c r="AB1465" s="55">
        <f t="shared" si="317"/>
        <v>173.91999999999996</v>
      </c>
      <c r="AC1465" s="54">
        <f t="shared" si="318"/>
        <v>0.3358047574915044</v>
      </c>
      <c r="AD1465" s="56">
        <f>INDEX(Assumptions!$B$14:$B$16,MATCH($R1465,Assumptions!$A$14:$A$16,0))</f>
        <v>0.32</v>
      </c>
      <c r="AE1465" s="56">
        <f>INDEX(Assumptions!$C$14:$C$16,MATCH($R1465,Assumptions!$A$14:$A$16,0))</f>
        <v>0.22</v>
      </c>
      <c r="AF1465" s="49">
        <f t="shared" si="319"/>
        <v>0</v>
      </c>
      <c r="AG1465" s="49">
        <f t="shared" si="320"/>
        <v>0</v>
      </c>
      <c r="AH1465" s="55">
        <f t="shared" si="321"/>
        <v>0</v>
      </c>
    </row>
    <row r="1466" spans="1:34" x14ac:dyDescent="0.2">
      <c r="A1466" s="48" t="s">
        <v>1235</v>
      </c>
      <c r="B1466" s="48">
        <v>1</v>
      </c>
      <c r="C1466" s="48" t="s">
        <v>1161</v>
      </c>
      <c r="D1466" s="48" t="s">
        <v>1154</v>
      </c>
      <c r="E1466" s="48" t="s">
        <v>355</v>
      </c>
      <c r="F1466" s="48" t="s">
        <v>280</v>
      </c>
      <c r="G1466" s="48" t="s">
        <v>302</v>
      </c>
      <c r="H1466" s="48" t="s">
        <v>62</v>
      </c>
      <c r="I1466" s="48" t="s">
        <v>103</v>
      </c>
      <c r="J1466" s="49">
        <v>7</v>
      </c>
      <c r="K1466" s="50">
        <v>1135</v>
      </c>
      <c r="L1466" s="50">
        <v>1091.8</v>
      </c>
      <c r="M1466" s="48" t="s">
        <v>276</v>
      </c>
      <c r="N1466" s="51">
        <v>1</v>
      </c>
      <c r="O1466" s="51">
        <v>1</v>
      </c>
      <c r="P1466" s="52">
        <v>968.6</v>
      </c>
      <c r="Q1466" s="52">
        <v>968.6</v>
      </c>
      <c r="R1466" s="53" t="str">
        <f>INDEX(SKU_Master!$D$5:$D$34,MATCH($I1466,SKU_Master!$A$5:$A$34,0))</f>
        <v>Laptop</v>
      </c>
      <c r="S1466" s="54">
        <f t="shared" si="308"/>
        <v>3.8061674008810664E-2</v>
      </c>
      <c r="T1466" s="55">
        <f t="shared" si="309"/>
        <v>7945</v>
      </c>
      <c r="U1466" s="55">
        <f t="shared" si="310"/>
        <v>7642.5999999999995</v>
      </c>
      <c r="V1466" s="55">
        <f t="shared" si="311"/>
        <v>-302.40000000000055</v>
      </c>
      <c r="W1466" s="55">
        <f t="shared" si="312"/>
        <v>7642.5999999999995</v>
      </c>
      <c r="X1466" s="55">
        <f t="shared" si="313"/>
        <v>0</v>
      </c>
      <c r="Y1466" s="55">
        <f t="shared" si="314"/>
        <v>6780.2</v>
      </c>
      <c r="Z1466" s="55">
        <f t="shared" si="315"/>
        <v>6780.2</v>
      </c>
      <c r="AA1466" s="55">
        <f t="shared" si="316"/>
        <v>0</v>
      </c>
      <c r="AB1466" s="55">
        <f t="shared" si="317"/>
        <v>862.39999999999964</v>
      </c>
      <c r="AC1466" s="54">
        <f t="shared" si="318"/>
        <v>0.11284117970324231</v>
      </c>
      <c r="AD1466" s="56">
        <f>INDEX(Assumptions!$B$14:$B$16,MATCH($R1466,Assumptions!$A$14:$A$16,0))</f>
        <v>0.12</v>
      </c>
      <c r="AE1466" s="56">
        <f>INDEX(Assumptions!$C$14:$C$16,MATCH($R1466,Assumptions!$A$14:$A$16,0))</f>
        <v>0.08</v>
      </c>
      <c r="AF1466" s="49">
        <f t="shared" si="319"/>
        <v>0</v>
      </c>
      <c r="AG1466" s="49">
        <f t="shared" si="320"/>
        <v>0</v>
      </c>
      <c r="AH1466" s="55">
        <f t="shared" si="321"/>
        <v>54.712000000000216</v>
      </c>
    </row>
    <row r="1467" spans="1:34" x14ac:dyDescent="0.2">
      <c r="A1467" s="48" t="s">
        <v>1235</v>
      </c>
      <c r="B1467" s="48">
        <v>2</v>
      </c>
      <c r="C1467" s="48" t="s">
        <v>1161</v>
      </c>
      <c r="D1467" s="48" t="s">
        <v>1154</v>
      </c>
      <c r="E1467" s="48" t="s">
        <v>355</v>
      </c>
      <c r="F1467" s="48" t="s">
        <v>280</v>
      </c>
      <c r="G1467" s="48" t="s">
        <v>302</v>
      </c>
      <c r="H1467" s="48" t="s">
        <v>62</v>
      </c>
      <c r="I1467" s="48" t="s">
        <v>146</v>
      </c>
      <c r="J1467" s="49">
        <v>5</v>
      </c>
      <c r="K1467" s="50">
        <v>235</v>
      </c>
      <c r="L1467" s="50">
        <v>230.48</v>
      </c>
      <c r="M1467" s="48" t="s">
        <v>276</v>
      </c>
      <c r="N1467" s="51">
        <v>1</v>
      </c>
      <c r="O1467" s="51">
        <v>1</v>
      </c>
      <c r="P1467" s="52">
        <v>181.8</v>
      </c>
      <c r="Q1467" s="52">
        <v>181.8</v>
      </c>
      <c r="R1467" s="53" t="str">
        <f>INDEX(SKU_Master!$D$5:$D$34,MATCH($I1467,SKU_Master!$A$5:$A$34,0))</f>
        <v>Monitor</v>
      </c>
      <c r="S1467" s="54">
        <f t="shared" si="308"/>
        <v>1.9234042553191499E-2</v>
      </c>
      <c r="T1467" s="55">
        <f t="shared" si="309"/>
        <v>1175</v>
      </c>
      <c r="U1467" s="55">
        <f t="shared" si="310"/>
        <v>1152.3999999999999</v>
      </c>
      <c r="V1467" s="55">
        <f t="shared" si="311"/>
        <v>-22.600000000000136</v>
      </c>
      <c r="W1467" s="55">
        <f t="shared" si="312"/>
        <v>1152.3999999999999</v>
      </c>
      <c r="X1467" s="55">
        <f t="shared" si="313"/>
        <v>0</v>
      </c>
      <c r="Y1467" s="55">
        <f t="shared" si="314"/>
        <v>909</v>
      </c>
      <c r="Z1467" s="55">
        <f t="shared" si="315"/>
        <v>909</v>
      </c>
      <c r="AA1467" s="55">
        <f t="shared" si="316"/>
        <v>0</v>
      </c>
      <c r="AB1467" s="55">
        <f t="shared" si="317"/>
        <v>243.39999999999986</v>
      </c>
      <c r="AC1467" s="54">
        <f t="shared" si="318"/>
        <v>0.21121138493578609</v>
      </c>
      <c r="AD1467" s="56">
        <f>INDEX(Assumptions!$B$14:$B$16,MATCH($R1467,Assumptions!$A$14:$A$16,0))</f>
        <v>0.18</v>
      </c>
      <c r="AE1467" s="56">
        <f>INDEX(Assumptions!$C$14:$C$16,MATCH($R1467,Assumptions!$A$14:$A$16,0))</f>
        <v>0.12</v>
      </c>
      <c r="AF1467" s="49">
        <f t="shared" si="319"/>
        <v>0</v>
      </c>
      <c r="AG1467" s="49">
        <f t="shared" si="320"/>
        <v>0</v>
      </c>
      <c r="AH1467" s="55">
        <f t="shared" si="321"/>
        <v>0</v>
      </c>
    </row>
    <row r="1468" spans="1:34" x14ac:dyDescent="0.2">
      <c r="A1468" s="48" t="s">
        <v>1235</v>
      </c>
      <c r="B1468" s="48">
        <v>3</v>
      </c>
      <c r="C1468" s="48" t="s">
        <v>1161</v>
      </c>
      <c r="D1468" s="48" t="s">
        <v>1154</v>
      </c>
      <c r="E1468" s="48" t="s">
        <v>355</v>
      </c>
      <c r="F1468" s="48" t="s">
        <v>280</v>
      </c>
      <c r="G1468" s="48" t="s">
        <v>302</v>
      </c>
      <c r="H1468" s="48" t="s">
        <v>62</v>
      </c>
      <c r="I1468" s="48" t="s">
        <v>164</v>
      </c>
      <c r="J1468" s="49">
        <v>6</v>
      </c>
      <c r="K1468" s="50">
        <v>190</v>
      </c>
      <c r="L1468" s="50">
        <v>180.96</v>
      </c>
      <c r="M1468" s="48" t="s">
        <v>276</v>
      </c>
      <c r="N1468" s="51">
        <v>1</v>
      </c>
      <c r="O1468" s="51">
        <v>1</v>
      </c>
      <c r="P1468" s="52">
        <v>121</v>
      </c>
      <c r="Q1468" s="52">
        <v>121</v>
      </c>
      <c r="R1468" s="53" t="str">
        <f>INDEX(SKU_Master!$D$5:$D$34,MATCH($I1468,SKU_Master!$A$5:$A$34,0))</f>
        <v>Accessory</v>
      </c>
      <c r="S1468" s="54">
        <f t="shared" si="308"/>
        <v>4.7578947368421054E-2</v>
      </c>
      <c r="T1468" s="55">
        <f t="shared" si="309"/>
        <v>1140</v>
      </c>
      <c r="U1468" s="55">
        <f t="shared" si="310"/>
        <v>1085.76</v>
      </c>
      <c r="V1468" s="55">
        <f t="shared" si="311"/>
        <v>-54.240000000000009</v>
      </c>
      <c r="W1468" s="55">
        <f t="shared" si="312"/>
        <v>1085.76</v>
      </c>
      <c r="X1468" s="55">
        <f t="shared" si="313"/>
        <v>0</v>
      </c>
      <c r="Y1468" s="55">
        <f t="shared" si="314"/>
        <v>726</v>
      </c>
      <c r="Z1468" s="55">
        <f t="shared" si="315"/>
        <v>726</v>
      </c>
      <c r="AA1468" s="55">
        <f t="shared" si="316"/>
        <v>0</v>
      </c>
      <c r="AB1468" s="55">
        <f t="shared" si="317"/>
        <v>359.76</v>
      </c>
      <c r="AC1468" s="54">
        <f t="shared" si="318"/>
        <v>0.3313439434129089</v>
      </c>
      <c r="AD1468" s="56">
        <f>INDEX(Assumptions!$B$14:$B$16,MATCH($R1468,Assumptions!$A$14:$A$16,0))</f>
        <v>0.32</v>
      </c>
      <c r="AE1468" s="56">
        <f>INDEX(Assumptions!$C$14:$C$16,MATCH($R1468,Assumptions!$A$14:$A$16,0))</f>
        <v>0.22</v>
      </c>
      <c r="AF1468" s="49">
        <f t="shared" si="319"/>
        <v>0</v>
      </c>
      <c r="AG1468" s="49">
        <f t="shared" si="320"/>
        <v>0</v>
      </c>
      <c r="AH1468" s="55">
        <f t="shared" si="321"/>
        <v>0</v>
      </c>
    </row>
    <row r="1469" spans="1:34" x14ac:dyDescent="0.2">
      <c r="A1469" s="48" t="s">
        <v>1236</v>
      </c>
      <c r="B1469" s="48">
        <v>1</v>
      </c>
      <c r="C1469" s="48" t="s">
        <v>1176</v>
      </c>
      <c r="D1469" s="48" t="s">
        <v>1154</v>
      </c>
      <c r="E1469" s="48" t="s">
        <v>558</v>
      </c>
      <c r="F1469" s="48" t="s">
        <v>280</v>
      </c>
      <c r="G1469" s="48" t="s">
        <v>288</v>
      </c>
      <c r="H1469" s="48" t="s">
        <v>62</v>
      </c>
      <c r="I1469" s="48" t="s">
        <v>110</v>
      </c>
      <c r="J1469" s="49">
        <v>19</v>
      </c>
      <c r="K1469" s="50">
        <v>1165</v>
      </c>
      <c r="L1469" s="50">
        <v>1114.72</v>
      </c>
      <c r="M1469" s="48" t="s">
        <v>276</v>
      </c>
      <c r="N1469" s="51">
        <v>1</v>
      </c>
      <c r="O1469" s="51">
        <v>1</v>
      </c>
      <c r="P1469" s="52">
        <v>992.65</v>
      </c>
      <c r="Q1469" s="52">
        <v>992.65</v>
      </c>
      <c r="R1469" s="53" t="str">
        <f>INDEX(SKU_Master!$D$5:$D$34,MATCH($I1469,SKU_Master!$A$5:$A$34,0))</f>
        <v>Laptop</v>
      </c>
      <c r="S1469" s="54">
        <f t="shared" si="308"/>
        <v>4.3158798283261746E-2</v>
      </c>
      <c r="T1469" s="55">
        <f t="shared" si="309"/>
        <v>22135</v>
      </c>
      <c r="U1469" s="55">
        <f t="shared" si="310"/>
        <v>21179.68</v>
      </c>
      <c r="V1469" s="55">
        <f t="shared" si="311"/>
        <v>-955.31999999999971</v>
      </c>
      <c r="W1469" s="55">
        <f t="shared" si="312"/>
        <v>21179.68</v>
      </c>
      <c r="X1469" s="55">
        <f t="shared" si="313"/>
        <v>0</v>
      </c>
      <c r="Y1469" s="55">
        <f t="shared" si="314"/>
        <v>18860.349999999999</v>
      </c>
      <c r="Z1469" s="55">
        <f t="shared" si="315"/>
        <v>18860.349999999999</v>
      </c>
      <c r="AA1469" s="55">
        <f t="shared" si="316"/>
        <v>0</v>
      </c>
      <c r="AB1469" s="55">
        <f t="shared" si="317"/>
        <v>2319.3300000000017</v>
      </c>
      <c r="AC1469" s="54">
        <f t="shared" si="318"/>
        <v>0.10950732022391281</v>
      </c>
      <c r="AD1469" s="56">
        <f>INDEX(Assumptions!$B$14:$B$16,MATCH($R1469,Assumptions!$A$14:$A$16,0))</f>
        <v>0.12</v>
      </c>
      <c r="AE1469" s="56">
        <f>INDEX(Assumptions!$C$14:$C$16,MATCH($R1469,Assumptions!$A$14:$A$16,0))</f>
        <v>0.08</v>
      </c>
      <c r="AF1469" s="49">
        <f t="shared" si="319"/>
        <v>0</v>
      </c>
      <c r="AG1469" s="49">
        <f t="shared" si="320"/>
        <v>0</v>
      </c>
      <c r="AH1469" s="55">
        <f t="shared" si="321"/>
        <v>222.23159999999825</v>
      </c>
    </row>
    <row r="1470" spans="1:34" x14ac:dyDescent="0.2">
      <c r="A1470" s="48" t="s">
        <v>1236</v>
      </c>
      <c r="B1470" s="48">
        <v>2</v>
      </c>
      <c r="C1470" s="48" t="s">
        <v>1176</v>
      </c>
      <c r="D1470" s="48" t="s">
        <v>1154</v>
      </c>
      <c r="E1470" s="48" t="s">
        <v>558</v>
      </c>
      <c r="F1470" s="48" t="s">
        <v>280</v>
      </c>
      <c r="G1470" s="48" t="s">
        <v>288</v>
      </c>
      <c r="H1470" s="48" t="s">
        <v>62</v>
      </c>
      <c r="I1470" s="48" t="s">
        <v>138</v>
      </c>
      <c r="J1470" s="49">
        <v>15</v>
      </c>
      <c r="K1470" s="50">
        <v>455</v>
      </c>
      <c r="L1470" s="50">
        <v>439.37</v>
      </c>
      <c r="M1470" s="48" t="s">
        <v>276</v>
      </c>
      <c r="N1470" s="51">
        <v>1</v>
      </c>
      <c r="O1470" s="51">
        <v>1</v>
      </c>
      <c r="P1470" s="52">
        <v>358.2</v>
      </c>
      <c r="Q1470" s="52">
        <v>358.2</v>
      </c>
      <c r="R1470" s="53" t="str">
        <f>INDEX(SKU_Master!$D$5:$D$34,MATCH($I1470,SKU_Master!$A$5:$A$34,0))</f>
        <v>Monitor</v>
      </c>
      <c r="S1470" s="54">
        <f t="shared" si="308"/>
        <v>3.4351648351648389E-2</v>
      </c>
      <c r="T1470" s="55">
        <f t="shared" si="309"/>
        <v>6825</v>
      </c>
      <c r="U1470" s="55">
        <f t="shared" si="310"/>
        <v>6590.55</v>
      </c>
      <c r="V1470" s="55">
        <f t="shared" si="311"/>
        <v>-234.44999999999982</v>
      </c>
      <c r="W1470" s="55">
        <f t="shared" si="312"/>
        <v>6590.55</v>
      </c>
      <c r="X1470" s="55">
        <f t="shared" si="313"/>
        <v>0</v>
      </c>
      <c r="Y1470" s="55">
        <f t="shared" si="314"/>
        <v>5373</v>
      </c>
      <c r="Z1470" s="55">
        <f t="shared" si="315"/>
        <v>5373</v>
      </c>
      <c r="AA1470" s="55">
        <f t="shared" si="316"/>
        <v>0</v>
      </c>
      <c r="AB1470" s="55">
        <f t="shared" si="317"/>
        <v>1217.5500000000002</v>
      </c>
      <c r="AC1470" s="54">
        <f t="shared" si="318"/>
        <v>0.18474178938024902</v>
      </c>
      <c r="AD1470" s="56">
        <f>INDEX(Assumptions!$B$14:$B$16,MATCH($R1470,Assumptions!$A$14:$A$16,0))</f>
        <v>0.18</v>
      </c>
      <c r="AE1470" s="56">
        <f>INDEX(Assumptions!$C$14:$C$16,MATCH($R1470,Assumptions!$A$14:$A$16,0))</f>
        <v>0.12</v>
      </c>
      <c r="AF1470" s="49">
        <f t="shared" si="319"/>
        <v>0</v>
      </c>
      <c r="AG1470" s="49">
        <f t="shared" si="320"/>
        <v>0</v>
      </c>
      <c r="AH1470" s="55">
        <f t="shared" si="321"/>
        <v>0</v>
      </c>
    </row>
    <row r="1471" spans="1:34" x14ac:dyDescent="0.2">
      <c r="A1471" s="48" t="s">
        <v>1237</v>
      </c>
      <c r="B1471" s="48">
        <v>1</v>
      </c>
      <c r="C1471" s="48" t="s">
        <v>1180</v>
      </c>
      <c r="D1471" s="48" t="s">
        <v>1154</v>
      </c>
      <c r="E1471" s="48" t="s">
        <v>349</v>
      </c>
      <c r="F1471" s="48" t="s">
        <v>274</v>
      </c>
      <c r="G1471" s="48" t="s">
        <v>275</v>
      </c>
      <c r="H1471" s="48" t="s">
        <v>66</v>
      </c>
      <c r="I1471" s="48" t="s">
        <v>113</v>
      </c>
      <c r="J1471" s="49">
        <v>4</v>
      </c>
      <c r="K1471" s="50">
        <v>1655</v>
      </c>
      <c r="L1471" s="50">
        <v>1628.24</v>
      </c>
      <c r="M1471" s="48" t="s">
        <v>276</v>
      </c>
      <c r="N1471" s="51">
        <v>0.92</v>
      </c>
      <c r="O1471" s="51">
        <v>0.92830000000000001</v>
      </c>
      <c r="P1471" s="52">
        <v>1504.8</v>
      </c>
      <c r="Q1471" s="52">
        <v>1504.8</v>
      </c>
      <c r="R1471" s="53" t="str">
        <f>INDEX(SKU_Master!$D$5:$D$34,MATCH($I1471,SKU_Master!$A$5:$A$34,0))</f>
        <v>Laptop</v>
      </c>
      <c r="S1471" s="54">
        <f t="shared" si="308"/>
        <v>1.6169184290030225E-2</v>
      </c>
      <c r="T1471" s="55">
        <f t="shared" si="309"/>
        <v>7195.652173913043</v>
      </c>
      <c r="U1471" s="55">
        <f t="shared" si="310"/>
        <v>7079.304347826087</v>
      </c>
      <c r="V1471" s="55">
        <f t="shared" si="311"/>
        <v>-116.34782608695605</v>
      </c>
      <c r="W1471" s="55">
        <f t="shared" si="312"/>
        <v>7016.0077561133257</v>
      </c>
      <c r="X1471" s="55">
        <f t="shared" si="313"/>
        <v>-63.296591712761256</v>
      </c>
      <c r="Y1471" s="55">
        <f t="shared" si="314"/>
        <v>6019.2</v>
      </c>
      <c r="Z1471" s="55">
        <f t="shared" si="315"/>
        <v>6019.2</v>
      </c>
      <c r="AA1471" s="55">
        <f t="shared" si="316"/>
        <v>0</v>
      </c>
      <c r="AB1471" s="55">
        <f t="shared" si="317"/>
        <v>996.80775611332592</v>
      </c>
      <c r="AC1471" s="54">
        <f t="shared" si="318"/>
        <v>0.14207620498206658</v>
      </c>
      <c r="AD1471" s="56">
        <f>INDEX(Assumptions!$B$14:$B$16,MATCH($R1471,Assumptions!$A$14:$A$16,0))</f>
        <v>0.12</v>
      </c>
      <c r="AE1471" s="56">
        <f>INDEX(Assumptions!$C$14:$C$16,MATCH($R1471,Assumptions!$A$14:$A$16,0))</f>
        <v>0.08</v>
      </c>
      <c r="AF1471" s="49">
        <f t="shared" si="319"/>
        <v>0</v>
      </c>
      <c r="AG1471" s="49">
        <f t="shared" si="320"/>
        <v>0</v>
      </c>
      <c r="AH1471" s="55">
        <f t="shared" si="321"/>
        <v>0</v>
      </c>
    </row>
    <row r="1472" spans="1:34" x14ac:dyDescent="0.2">
      <c r="A1472" s="48" t="s">
        <v>1237</v>
      </c>
      <c r="B1472" s="48">
        <v>2</v>
      </c>
      <c r="C1472" s="48" t="s">
        <v>1180</v>
      </c>
      <c r="D1472" s="48" t="s">
        <v>1154</v>
      </c>
      <c r="E1472" s="48" t="s">
        <v>349</v>
      </c>
      <c r="F1472" s="48" t="s">
        <v>274</v>
      </c>
      <c r="G1472" s="48" t="s">
        <v>275</v>
      </c>
      <c r="H1472" s="48" t="s">
        <v>66</v>
      </c>
      <c r="I1472" s="48" t="s">
        <v>146</v>
      </c>
      <c r="J1472" s="49">
        <v>2</v>
      </c>
      <c r="K1472" s="50">
        <v>250</v>
      </c>
      <c r="L1472" s="50">
        <v>246.26</v>
      </c>
      <c r="M1472" s="48" t="s">
        <v>276</v>
      </c>
      <c r="N1472" s="51">
        <v>0.92</v>
      </c>
      <c r="O1472" s="51">
        <v>0.92830000000000001</v>
      </c>
      <c r="P1472" s="52">
        <v>206.8</v>
      </c>
      <c r="Q1472" s="52">
        <v>206.8</v>
      </c>
      <c r="R1472" s="53" t="str">
        <f>INDEX(SKU_Master!$D$5:$D$34,MATCH($I1472,SKU_Master!$A$5:$A$34,0))</f>
        <v>Monitor</v>
      </c>
      <c r="S1472" s="54">
        <f t="shared" si="308"/>
        <v>1.4960000000000084E-2</v>
      </c>
      <c r="T1472" s="55">
        <f t="shared" si="309"/>
        <v>543.47826086956525</v>
      </c>
      <c r="U1472" s="55">
        <f t="shared" si="310"/>
        <v>535.3478260869565</v>
      </c>
      <c r="V1472" s="55">
        <f t="shared" si="311"/>
        <v>-8.1304347826087451</v>
      </c>
      <c r="W1472" s="55">
        <f t="shared" si="312"/>
        <v>530.56124097813199</v>
      </c>
      <c r="X1472" s="55">
        <f t="shared" si="313"/>
        <v>-4.7865851088245108</v>
      </c>
      <c r="Y1472" s="55">
        <f t="shared" si="314"/>
        <v>413.6</v>
      </c>
      <c r="Z1472" s="55">
        <f t="shared" si="315"/>
        <v>413.6</v>
      </c>
      <c r="AA1472" s="55">
        <f t="shared" si="316"/>
        <v>0</v>
      </c>
      <c r="AB1472" s="55">
        <f t="shared" si="317"/>
        <v>116.96124097813197</v>
      </c>
      <c r="AC1472" s="54">
        <f t="shared" si="318"/>
        <v>0.22044814423779729</v>
      </c>
      <c r="AD1472" s="56">
        <f>INDEX(Assumptions!$B$14:$B$16,MATCH($R1472,Assumptions!$A$14:$A$16,0))</f>
        <v>0.18</v>
      </c>
      <c r="AE1472" s="56">
        <f>INDEX(Assumptions!$C$14:$C$16,MATCH($R1472,Assumptions!$A$14:$A$16,0))</f>
        <v>0.12</v>
      </c>
      <c r="AF1472" s="49">
        <f t="shared" si="319"/>
        <v>0</v>
      </c>
      <c r="AG1472" s="49">
        <f t="shared" si="320"/>
        <v>0</v>
      </c>
      <c r="AH1472" s="55">
        <f t="shared" si="321"/>
        <v>0</v>
      </c>
    </row>
    <row r="1473" spans="1:34" x14ac:dyDescent="0.2">
      <c r="A1473" s="48" t="s">
        <v>1238</v>
      </c>
      <c r="B1473" s="48">
        <v>1</v>
      </c>
      <c r="C1473" s="48" t="s">
        <v>1158</v>
      </c>
      <c r="D1473" s="48" t="s">
        <v>1154</v>
      </c>
      <c r="E1473" s="48" t="s">
        <v>301</v>
      </c>
      <c r="F1473" s="48" t="s">
        <v>274</v>
      </c>
      <c r="G1473" s="48" t="s">
        <v>302</v>
      </c>
      <c r="H1473" s="48" t="s">
        <v>62</v>
      </c>
      <c r="I1473" s="48" t="s">
        <v>118</v>
      </c>
      <c r="J1473" s="49">
        <v>2</v>
      </c>
      <c r="K1473" s="50">
        <v>1365</v>
      </c>
      <c r="L1473" s="50">
        <v>1355.46</v>
      </c>
      <c r="M1473" s="48" t="s">
        <v>276</v>
      </c>
      <c r="N1473" s="51">
        <v>1</v>
      </c>
      <c r="O1473" s="51">
        <v>1</v>
      </c>
      <c r="P1473" s="52">
        <v>1162.5999999999999</v>
      </c>
      <c r="Q1473" s="52">
        <v>1231.28</v>
      </c>
      <c r="R1473" s="53" t="str">
        <f>INDEX(SKU_Master!$D$5:$D$34,MATCH($I1473,SKU_Master!$A$5:$A$34,0))</f>
        <v>Laptop</v>
      </c>
      <c r="S1473" s="54">
        <f t="shared" si="308"/>
        <v>6.9890109890109464E-3</v>
      </c>
      <c r="T1473" s="55">
        <f t="shared" si="309"/>
        <v>2730</v>
      </c>
      <c r="U1473" s="55">
        <f t="shared" si="310"/>
        <v>2710.92</v>
      </c>
      <c r="V1473" s="55">
        <f t="shared" si="311"/>
        <v>-19.079999999999927</v>
      </c>
      <c r="W1473" s="55">
        <f t="shared" si="312"/>
        <v>2710.92</v>
      </c>
      <c r="X1473" s="55">
        <f t="shared" si="313"/>
        <v>0</v>
      </c>
      <c r="Y1473" s="55">
        <f t="shared" si="314"/>
        <v>2325.1999999999998</v>
      </c>
      <c r="Z1473" s="55">
        <f t="shared" si="315"/>
        <v>2462.56</v>
      </c>
      <c r="AA1473" s="55">
        <f t="shared" si="316"/>
        <v>-137.36000000000013</v>
      </c>
      <c r="AB1473" s="55">
        <f t="shared" si="317"/>
        <v>248.36000000000013</v>
      </c>
      <c r="AC1473" s="54">
        <f t="shared" si="318"/>
        <v>9.1614654803535381E-2</v>
      </c>
      <c r="AD1473" s="56">
        <f>INDEX(Assumptions!$B$14:$B$16,MATCH($R1473,Assumptions!$A$14:$A$16,0))</f>
        <v>0.12</v>
      </c>
      <c r="AE1473" s="56">
        <f>INDEX(Assumptions!$C$14:$C$16,MATCH($R1473,Assumptions!$A$14:$A$16,0))</f>
        <v>0.08</v>
      </c>
      <c r="AF1473" s="49">
        <f t="shared" si="319"/>
        <v>0</v>
      </c>
      <c r="AG1473" s="49">
        <f t="shared" si="320"/>
        <v>0</v>
      </c>
      <c r="AH1473" s="55">
        <f t="shared" si="321"/>
        <v>76.950399999999888</v>
      </c>
    </row>
    <row r="1474" spans="1:34" x14ac:dyDescent="0.2">
      <c r="A1474" s="48" t="s">
        <v>1239</v>
      </c>
      <c r="B1474" s="48">
        <v>1</v>
      </c>
      <c r="C1474" s="48" t="s">
        <v>1188</v>
      </c>
      <c r="D1474" s="48" t="s">
        <v>1154</v>
      </c>
      <c r="E1474" s="48" t="s">
        <v>296</v>
      </c>
      <c r="F1474" s="48" t="s">
        <v>297</v>
      </c>
      <c r="G1474" s="48" t="s">
        <v>298</v>
      </c>
      <c r="H1474" s="48" t="s">
        <v>66</v>
      </c>
      <c r="I1474" s="48" t="s">
        <v>113</v>
      </c>
      <c r="J1474" s="49">
        <v>33</v>
      </c>
      <c r="K1474" s="50">
        <v>1655</v>
      </c>
      <c r="L1474" s="50">
        <v>1604.52</v>
      </c>
      <c r="M1474" s="48" t="s">
        <v>276</v>
      </c>
      <c r="N1474" s="51">
        <v>0.92</v>
      </c>
      <c r="O1474" s="51">
        <v>0.92830000000000001</v>
      </c>
      <c r="P1474" s="52">
        <v>1504.8</v>
      </c>
      <c r="Q1474" s="52">
        <v>1504.8</v>
      </c>
      <c r="R1474" s="53" t="str">
        <f>INDEX(SKU_Master!$D$5:$D$34,MATCH($I1474,SKU_Master!$A$5:$A$34,0))</f>
        <v>Laptop</v>
      </c>
      <c r="S1474" s="54">
        <f t="shared" si="308"/>
        <v>3.0501510574018176E-2</v>
      </c>
      <c r="T1474" s="55">
        <f t="shared" si="309"/>
        <v>59364.130434782608</v>
      </c>
      <c r="U1474" s="55">
        <f t="shared" si="310"/>
        <v>57553.434782608689</v>
      </c>
      <c r="V1474" s="55">
        <f t="shared" si="311"/>
        <v>-1810.6956521739194</v>
      </c>
      <c r="W1474" s="55">
        <f t="shared" si="312"/>
        <v>57038.845200904878</v>
      </c>
      <c r="X1474" s="55">
        <f t="shared" si="313"/>
        <v>-514.58958170381084</v>
      </c>
      <c r="Y1474" s="55">
        <f t="shared" si="314"/>
        <v>49658.400000000001</v>
      </c>
      <c r="Z1474" s="55">
        <f t="shared" si="315"/>
        <v>49658.400000000001</v>
      </c>
      <c r="AA1474" s="55">
        <f t="shared" si="316"/>
        <v>0</v>
      </c>
      <c r="AB1474" s="55">
        <f t="shared" si="317"/>
        <v>7380.4452009048764</v>
      </c>
      <c r="AC1474" s="54">
        <f t="shared" si="318"/>
        <v>0.12939331388826558</v>
      </c>
      <c r="AD1474" s="56">
        <f>INDEX(Assumptions!$B$14:$B$16,MATCH($R1474,Assumptions!$A$14:$A$16,0))</f>
        <v>0.12</v>
      </c>
      <c r="AE1474" s="56">
        <f>INDEX(Assumptions!$C$14:$C$16,MATCH($R1474,Assumptions!$A$14:$A$16,0))</f>
        <v>0.08</v>
      </c>
      <c r="AF1474" s="49">
        <f t="shared" si="319"/>
        <v>0</v>
      </c>
      <c r="AG1474" s="49">
        <f t="shared" si="320"/>
        <v>0</v>
      </c>
      <c r="AH1474" s="55">
        <f t="shared" si="321"/>
        <v>0</v>
      </c>
    </row>
    <row r="1475" spans="1:34" x14ac:dyDescent="0.2">
      <c r="A1475" s="48" t="s">
        <v>1240</v>
      </c>
      <c r="B1475" s="48">
        <v>1</v>
      </c>
      <c r="C1475" s="48" t="s">
        <v>1156</v>
      </c>
      <c r="D1475" s="48" t="s">
        <v>1154</v>
      </c>
      <c r="E1475" s="48" t="s">
        <v>360</v>
      </c>
      <c r="F1475" s="48" t="s">
        <v>280</v>
      </c>
      <c r="G1475" s="48" t="s">
        <v>275</v>
      </c>
      <c r="H1475" s="48" t="s">
        <v>68</v>
      </c>
      <c r="I1475" s="48" t="s">
        <v>118</v>
      </c>
      <c r="J1475" s="49">
        <v>13</v>
      </c>
      <c r="K1475" s="50">
        <v>1925</v>
      </c>
      <c r="L1475" s="50">
        <v>1884.93</v>
      </c>
      <c r="M1475" s="48" t="s">
        <v>276</v>
      </c>
      <c r="N1475" s="51">
        <v>1.37</v>
      </c>
      <c r="O1475" s="51">
        <v>1.3706</v>
      </c>
      <c r="P1475" s="52">
        <v>1174.5999999999999</v>
      </c>
      <c r="Q1475" s="52">
        <v>1243.28</v>
      </c>
      <c r="R1475" s="53" t="str">
        <f>INDEX(SKU_Master!$D$5:$D$34,MATCH($I1475,SKU_Master!$A$5:$A$34,0))</f>
        <v>Laptop</v>
      </c>
      <c r="S1475" s="54">
        <f t="shared" si="308"/>
        <v>2.0815584415584398E-2</v>
      </c>
      <c r="T1475" s="55">
        <f t="shared" si="309"/>
        <v>18266.423357664233</v>
      </c>
      <c r="U1475" s="55">
        <f t="shared" si="310"/>
        <v>17886.197080291968</v>
      </c>
      <c r="V1475" s="55">
        <f t="shared" si="311"/>
        <v>-380.22627737226503</v>
      </c>
      <c r="W1475" s="55">
        <f t="shared" si="312"/>
        <v>17878.367138479498</v>
      </c>
      <c r="X1475" s="55">
        <f t="shared" si="313"/>
        <v>-7.8299418124697695</v>
      </c>
      <c r="Y1475" s="55">
        <f t="shared" si="314"/>
        <v>15269.8</v>
      </c>
      <c r="Z1475" s="55">
        <f t="shared" si="315"/>
        <v>16162.64</v>
      </c>
      <c r="AA1475" s="55">
        <f t="shared" si="316"/>
        <v>-892.84000000000015</v>
      </c>
      <c r="AB1475" s="55">
        <f t="shared" si="317"/>
        <v>1715.7271384794985</v>
      </c>
      <c r="AC1475" s="54">
        <f t="shared" si="318"/>
        <v>9.5966657647764131E-2</v>
      </c>
      <c r="AD1475" s="56">
        <f>INDEX(Assumptions!$B$14:$B$16,MATCH($R1475,Assumptions!$A$14:$A$16,0))</f>
        <v>0.12</v>
      </c>
      <c r="AE1475" s="56">
        <f>INDEX(Assumptions!$C$14:$C$16,MATCH($R1475,Assumptions!$A$14:$A$16,0))</f>
        <v>0.08</v>
      </c>
      <c r="AF1475" s="49">
        <f t="shared" si="319"/>
        <v>0</v>
      </c>
      <c r="AG1475" s="49">
        <f t="shared" si="320"/>
        <v>0</v>
      </c>
      <c r="AH1475" s="55">
        <f t="shared" si="321"/>
        <v>429.67691813804095</v>
      </c>
    </row>
    <row r="1476" spans="1:34" x14ac:dyDescent="0.2">
      <c r="A1476" s="48" t="s">
        <v>1240</v>
      </c>
      <c r="B1476" s="48">
        <v>2</v>
      </c>
      <c r="C1476" s="48" t="s">
        <v>1156</v>
      </c>
      <c r="D1476" s="48" t="s">
        <v>1154</v>
      </c>
      <c r="E1476" s="48" t="s">
        <v>360</v>
      </c>
      <c r="F1476" s="48" t="s">
        <v>280</v>
      </c>
      <c r="G1476" s="48" t="s">
        <v>275</v>
      </c>
      <c r="H1476" s="48" t="s">
        <v>68</v>
      </c>
      <c r="I1476" s="48" t="s">
        <v>146</v>
      </c>
      <c r="J1476" s="49">
        <v>7</v>
      </c>
      <c r="K1476" s="50">
        <v>350</v>
      </c>
      <c r="L1476" s="50">
        <v>337.64</v>
      </c>
      <c r="M1476" s="48" t="s">
        <v>276</v>
      </c>
      <c r="N1476" s="51">
        <v>1.37</v>
      </c>
      <c r="O1476" s="51">
        <v>1.3706</v>
      </c>
      <c r="P1476" s="52">
        <v>196.8</v>
      </c>
      <c r="Q1476" s="52">
        <v>196.8</v>
      </c>
      <c r="R1476" s="53" t="str">
        <f>INDEX(SKU_Master!$D$5:$D$34,MATCH($I1476,SKU_Master!$A$5:$A$34,0))</f>
        <v>Monitor</v>
      </c>
      <c r="S1476" s="54">
        <f t="shared" si="308"/>
        <v>3.5314285714285742E-2</v>
      </c>
      <c r="T1476" s="55">
        <f t="shared" si="309"/>
        <v>1788.3211678832115</v>
      </c>
      <c r="U1476" s="55">
        <f t="shared" si="310"/>
        <v>1725.1678832116786</v>
      </c>
      <c r="V1476" s="55">
        <f t="shared" si="311"/>
        <v>-63.153284671532901</v>
      </c>
      <c r="W1476" s="55">
        <f t="shared" si="312"/>
        <v>1724.4126659856997</v>
      </c>
      <c r="X1476" s="55">
        <f t="shared" si="313"/>
        <v>-0.75521722597886765</v>
      </c>
      <c r="Y1476" s="55">
        <f t="shared" si="314"/>
        <v>1377.6000000000001</v>
      </c>
      <c r="Z1476" s="55">
        <f t="shared" si="315"/>
        <v>1377.6000000000001</v>
      </c>
      <c r="AA1476" s="55">
        <f t="shared" si="316"/>
        <v>0</v>
      </c>
      <c r="AB1476" s="55">
        <f t="shared" si="317"/>
        <v>346.8126659856996</v>
      </c>
      <c r="AC1476" s="54">
        <f t="shared" si="318"/>
        <v>0.20111929866129599</v>
      </c>
      <c r="AD1476" s="56">
        <f>INDEX(Assumptions!$B$14:$B$16,MATCH($R1476,Assumptions!$A$14:$A$16,0))</f>
        <v>0.18</v>
      </c>
      <c r="AE1476" s="56">
        <f>INDEX(Assumptions!$C$14:$C$16,MATCH($R1476,Assumptions!$A$14:$A$16,0))</f>
        <v>0.12</v>
      </c>
      <c r="AF1476" s="49">
        <f t="shared" si="319"/>
        <v>0</v>
      </c>
      <c r="AG1476" s="49">
        <f t="shared" si="320"/>
        <v>0</v>
      </c>
      <c r="AH1476" s="55">
        <f t="shared" si="321"/>
        <v>0</v>
      </c>
    </row>
    <row r="1477" spans="1:34" x14ac:dyDescent="0.2">
      <c r="A1477" s="48" t="s">
        <v>1240</v>
      </c>
      <c r="B1477" s="48">
        <v>3</v>
      </c>
      <c r="C1477" s="48" t="s">
        <v>1156</v>
      </c>
      <c r="D1477" s="48" t="s">
        <v>1154</v>
      </c>
      <c r="E1477" s="48" t="s">
        <v>360</v>
      </c>
      <c r="F1477" s="48" t="s">
        <v>280</v>
      </c>
      <c r="G1477" s="48" t="s">
        <v>275</v>
      </c>
      <c r="H1477" s="48" t="s">
        <v>68</v>
      </c>
      <c r="I1477" s="48" t="s">
        <v>164</v>
      </c>
      <c r="J1477" s="49">
        <v>12</v>
      </c>
      <c r="K1477" s="50">
        <v>270</v>
      </c>
      <c r="L1477" s="50">
        <v>261.20999999999998</v>
      </c>
      <c r="M1477" s="48" t="s">
        <v>276</v>
      </c>
      <c r="N1477" s="51">
        <v>1.37</v>
      </c>
      <c r="O1477" s="51">
        <v>1.3706</v>
      </c>
      <c r="P1477" s="52">
        <v>124</v>
      </c>
      <c r="Q1477" s="52">
        <v>124</v>
      </c>
      <c r="R1477" s="53" t="str">
        <f>INDEX(SKU_Master!$D$5:$D$34,MATCH($I1477,SKU_Master!$A$5:$A$34,0))</f>
        <v>Accessory</v>
      </c>
      <c r="S1477" s="54">
        <f t="shared" ref="S1477:S1540" si="322">IF(K1477=0,0,1-L1477/K1477)</f>
        <v>3.2555555555555671E-2</v>
      </c>
      <c r="T1477" s="55">
        <f t="shared" ref="T1477:T1540" si="323">J1477*K1477/N1477</f>
        <v>2364.9635036496347</v>
      </c>
      <c r="U1477" s="55">
        <f t="shared" ref="U1477:U1540" si="324">J1477*L1477/N1477</f>
        <v>2287.9708029197077</v>
      </c>
      <c r="V1477" s="55">
        <f t="shared" ref="V1477:V1540" si="325">U1477-T1477</f>
        <v>-76.992700729927037</v>
      </c>
      <c r="W1477" s="55">
        <f t="shared" ref="W1477:W1540" si="326">J1477*L1477/O1477</f>
        <v>2286.9692105647159</v>
      </c>
      <c r="X1477" s="55">
        <f t="shared" ref="X1477:X1540" si="327">W1477-U1477</f>
        <v>-1.0015923549917716</v>
      </c>
      <c r="Y1477" s="55">
        <f t="shared" ref="Y1477:Y1540" si="328">J1477*P1477</f>
        <v>1488</v>
      </c>
      <c r="Z1477" s="55">
        <f t="shared" ref="Z1477:Z1540" si="329">J1477*Q1477</f>
        <v>1488</v>
      </c>
      <c r="AA1477" s="55">
        <f t="shared" ref="AA1477:AA1540" si="330">Y1477-Z1477</f>
        <v>0</v>
      </c>
      <c r="AB1477" s="55">
        <f t="shared" ref="AB1477:AB1540" si="331">W1477-Z1477</f>
        <v>798.96921056471592</v>
      </c>
      <c r="AC1477" s="54">
        <f t="shared" ref="AC1477:AC1540" si="332">IF(W1477=0,0,AB1477/W1477)</f>
        <v>0.34935722215841652</v>
      </c>
      <c r="AD1477" s="56">
        <f>INDEX(Assumptions!$B$14:$B$16,MATCH($R1477,Assumptions!$A$14:$A$16,0))</f>
        <v>0.32</v>
      </c>
      <c r="AE1477" s="56">
        <f>INDEX(Assumptions!$C$14:$C$16,MATCH($R1477,Assumptions!$A$14:$A$16,0))</f>
        <v>0.22</v>
      </c>
      <c r="AF1477" s="49">
        <f t="shared" ref="AF1477:AF1540" si="333">IF(AC1477&lt;AE1477,1,0)</f>
        <v>0</v>
      </c>
      <c r="AG1477" s="49">
        <f t="shared" ref="AG1477:AG1540" si="334">IF(AND(AF1477=1,M1477="N"),1,0)</f>
        <v>0</v>
      </c>
      <c r="AH1477" s="55">
        <f t="shared" ref="AH1477:AH1540" si="335">MAX(0,W1477*AD1477-AB1477)</f>
        <v>0</v>
      </c>
    </row>
    <row r="1478" spans="1:34" x14ac:dyDescent="0.2">
      <c r="A1478" s="48" t="s">
        <v>1241</v>
      </c>
      <c r="B1478" s="48">
        <v>1</v>
      </c>
      <c r="C1478" s="48" t="s">
        <v>1185</v>
      </c>
      <c r="D1478" s="48" t="s">
        <v>1154</v>
      </c>
      <c r="E1478" s="48" t="s">
        <v>317</v>
      </c>
      <c r="F1478" s="48" t="s">
        <v>280</v>
      </c>
      <c r="G1478" s="48" t="s">
        <v>306</v>
      </c>
      <c r="H1478" s="48" t="s">
        <v>62</v>
      </c>
      <c r="I1478" s="48" t="s">
        <v>93</v>
      </c>
      <c r="J1478" s="49">
        <v>22</v>
      </c>
      <c r="K1478" s="50">
        <v>1390</v>
      </c>
      <c r="L1478" s="50">
        <v>1362.92</v>
      </c>
      <c r="M1478" s="48" t="s">
        <v>276</v>
      </c>
      <c r="N1478" s="51">
        <v>1</v>
      </c>
      <c r="O1478" s="51">
        <v>1</v>
      </c>
      <c r="P1478" s="52">
        <v>1186.2</v>
      </c>
      <c r="Q1478" s="52">
        <v>1186.2</v>
      </c>
      <c r="R1478" s="53" t="str">
        <f>INDEX(SKU_Master!$D$5:$D$34,MATCH($I1478,SKU_Master!$A$5:$A$34,0))</f>
        <v>Laptop</v>
      </c>
      <c r="S1478" s="54">
        <f t="shared" si="322"/>
        <v>1.9482014388489177E-2</v>
      </c>
      <c r="T1478" s="55">
        <f t="shared" si="323"/>
        <v>30580</v>
      </c>
      <c r="U1478" s="55">
        <f t="shared" si="324"/>
        <v>29984.240000000002</v>
      </c>
      <c r="V1478" s="55">
        <f t="shared" si="325"/>
        <v>-595.7599999999984</v>
      </c>
      <c r="W1478" s="55">
        <f t="shared" si="326"/>
        <v>29984.240000000002</v>
      </c>
      <c r="X1478" s="55">
        <f t="shared" si="327"/>
        <v>0</v>
      </c>
      <c r="Y1478" s="55">
        <f t="shared" si="328"/>
        <v>26096.400000000001</v>
      </c>
      <c r="Z1478" s="55">
        <f t="shared" si="329"/>
        <v>26096.400000000001</v>
      </c>
      <c r="AA1478" s="55">
        <f t="shared" si="330"/>
        <v>0</v>
      </c>
      <c r="AB1478" s="55">
        <f t="shared" si="331"/>
        <v>3887.84</v>
      </c>
      <c r="AC1478" s="54">
        <f t="shared" si="332"/>
        <v>0.12966278284858979</v>
      </c>
      <c r="AD1478" s="56">
        <f>INDEX(Assumptions!$B$14:$B$16,MATCH($R1478,Assumptions!$A$14:$A$16,0))</f>
        <v>0.12</v>
      </c>
      <c r="AE1478" s="56">
        <f>INDEX(Assumptions!$C$14:$C$16,MATCH($R1478,Assumptions!$A$14:$A$16,0))</f>
        <v>0.08</v>
      </c>
      <c r="AF1478" s="49">
        <f t="shared" si="333"/>
        <v>0</v>
      </c>
      <c r="AG1478" s="49">
        <f t="shared" si="334"/>
        <v>0</v>
      </c>
      <c r="AH1478" s="55">
        <f t="shared" si="335"/>
        <v>0</v>
      </c>
    </row>
    <row r="1479" spans="1:34" x14ac:dyDescent="0.2">
      <c r="A1479" s="48" t="s">
        <v>1241</v>
      </c>
      <c r="B1479" s="48">
        <v>2</v>
      </c>
      <c r="C1479" s="48" t="s">
        <v>1185</v>
      </c>
      <c r="D1479" s="48" t="s">
        <v>1154</v>
      </c>
      <c r="E1479" s="48" t="s">
        <v>317</v>
      </c>
      <c r="F1479" s="48" t="s">
        <v>280</v>
      </c>
      <c r="G1479" s="48" t="s">
        <v>306</v>
      </c>
      <c r="H1479" s="48" t="s">
        <v>62</v>
      </c>
      <c r="I1479" s="48" t="s">
        <v>166</v>
      </c>
      <c r="J1479" s="49">
        <v>17</v>
      </c>
      <c r="K1479" s="50">
        <v>265</v>
      </c>
      <c r="L1479" s="50">
        <v>257.26</v>
      </c>
      <c r="M1479" s="48" t="s">
        <v>276</v>
      </c>
      <c r="N1479" s="51">
        <v>1</v>
      </c>
      <c r="O1479" s="51">
        <v>1</v>
      </c>
      <c r="P1479" s="52">
        <v>169.35</v>
      </c>
      <c r="Q1479" s="52">
        <v>169.35</v>
      </c>
      <c r="R1479" s="53" t="str">
        <f>INDEX(SKU_Master!$D$5:$D$34,MATCH($I1479,SKU_Master!$A$5:$A$34,0))</f>
        <v>Accessory</v>
      </c>
      <c r="S1479" s="54">
        <f t="shared" si="322"/>
        <v>2.9207547169811332E-2</v>
      </c>
      <c r="T1479" s="55">
        <f t="shared" si="323"/>
        <v>4505</v>
      </c>
      <c r="U1479" s="55">
        <f t="shared" si="324"/>
        <v>4373.42</v>
      </c>
      <c r="V1479" s="55">
        <f t="shared" si="325"/>
        <v>-131.57999999999993</v>
      </c>
      <c r="W1479" s="55">
        <f t="shared" si="326"/>
        <v>4373.42</v>
      </c>
      <c r="X1479" s="55">
        <f t="shared" si="327"/>
        <v>0</v>
      </c>
      <c r="Y1479" s="55">
        <f t="shared" si="328"/>
        <v>2878.95</v>
      </c>
      <c r="Z1479" s="55">
        <f t="shared" si="329"/>
        <v>2878.95</v>
      </c>
      <c r="AA1479" s="55">
        <f t="shared" si="330"/>
        <v>0</v>
      </c>
      <c r="AB1479" s="55">
        <f t="shared" si="331"/>
        <v>1494.4700000000003</v>
      </c>
      <c r="AC1479" s="54">
        <f t="shared" si="332"/>
        <v>0.34171655134883006</v>
      </c>
      <c r="AD1479" s="56">
        <f>INDEX(Assumptions!$B$14:$B$16,MATCH($R1479,Assumptions!$A$14:$A$16,0))</f>
        <v>0.32</v>
      </c>
      <c r="AE1479" s="56">
        <f>INDEX(Assumptions!$C$14:$C$16,MATCH($R1479,Assumptions!$A$14:$A$16,0))</f>
        <v>0.22</v>
      </c>
      <c r="AF1479" s="49">
        <f t="shared" si="333"/>
        <v>0</v>
      </c>
      <c r="AG1479" s="49">
        <f t="shared" si="334"/>
        <v>0</v>
      </c>
      <c r="AH1479" s="55">
        <f t="shared" si="335"/>
        <v>0</v>
      </c>
    </row>
    <row r="1480" spans="1:34" x14ac:dyDescent="0.2">
      <c r="A1480" s="48" t="s">
        <v>1242</v>
      </c>
      <c r="B1480" s="48">
        <v>1</v>
      </c>
      <c r="C1480" s="48" t="s">
        <v>1228</v>
      </c>
      <c r="D1480" s="48" t="s">
        <v>1154</v>
      </c>
      <c r="E1480" s="48" t="s">
        <v>333</v>
      </c>
      <c r="F1480" s="48" t="s">
        <v>297</v>
      </c>
      <c r="G1480" s="48" t="s">
        <v>302</v>
      </c>
      <c r="H1480" s="48" t="s">
        <v>70</v>
      </c>
      <c r="I1480" s="48" t="s">
        <v>110</v>
      </c>
      <c r="J1480" s="49">
        <v>70</v>
      </c>
      <c r="K1480" s="50">
        <v>113335</v>
      </c>
      <c r="L1480" s="50">
        <v>109041.56</v>
      </c>
      <c r="M1480" s="48" t="s">
        <v>276</v>
      </c>
      <c r="N1480" s="51">
        <v>83.5</v>
      </c>
      <c r="O1480" s="51">
        <v>84.992699999999999</v>
      </c>
      <c r="P1480" s="52">
        <v>1136.8599999999999</v>
      </c>
      <c r="Q1480" s="52">
        <v>1156.8599999999999</v>
      </c>
      <c r="R1480" s="53" t="str">
        <f>INDEX(SKU_Master!$D$5:$D$34,MATCH($I1480,SKU_Master!$A$5:$A$34,0))</f>
        <v>Laptop</v>
      </c>
      <c r="S1480" s="54">
        <f t="shared" si="322"/>
        <v>3.7882737018573254E-2</v>
      </c>
      <c r="T1480" s="55">
        <f t="shared" si="323"/>
        <v>95011.377245508978</v>
      </c>
      <c r="U1480" s="55">
        <f t="shared" si="324"/>
        <v>91412.086227544918</v>
      </c>
      <c r="V1480" s="55">
        <f t="shared" si="325"/>
        <v>-3599.2910179640603</v>
      </c>
      <c r="W1480" s="55">
        <f t="shared" si="326"/>
        <v>89806.644570651362</v>
      </c>
      <c r="X1480" s="55">
        <f t="shared" si="327"/>
        <v>-1605.4416568935558</v>
      </c>
      <c r="Y1480" s="55">
        <f t="shared" si="328"/>
        <v>79580.2</v>
      </c>
      <c r="Z1480" s="55">
        <f t="shared" si="329"/>
        <v>80980.2</v>
      </c>
      <c r="AA1480" s="55">
        <f t="shared" si="330"/>
        <v>-1400</v>
      </c>
      <c r="AB1480" s="55">
        <f t="shared" si="331"/>
        <v>8826.4445706513652</v>
      </c>
      <c r="AC1480" s="54">
        <f t="shared" si="332"/>
        <v>9.8282756391232878E-2</v>
      </c>
      <c r="AD1480" s="56">
        <f>INDEX(Assumptions!$B$14:$B$16,MATCH($R1480,Assumptions!$A$14:$A$16,0))</f>
        <v>0.12</v>
      </c>
      <c r="AE1480" s="56">
        <f>INDEX(Assumptions!$C$14:$C$16,MATCH($R1480,Assumptions!$A$14:$A$16,0))</f>
        <v>0.08</v>
      </c>
      <c r="AF1480" s="49">
        <f t="shared" si="333"/>
        <v>0</v>
      </c>
      <c r="AG1480" s="49">
        <f t="shared" si="334"/>
        <v>0</v>
      </c>
      <c r="AH1480" s="55">
        <f t="shared" si="335"/>
        <v>1950.352777826798</v>
      </c>
    </row>
    <row r="1481" spans="1:34" x14ac:dyDescent="0.2">
      <c r="A1481" s="48" t="s">
        <v>1242</v>
      </c>
      <c r="B1481" s="48">
        <v>2</v>
      </c>
      <c r="C1481" s="48" t="s">
        <v>1228</v>
      </c>
      <c r="D1481" s="48" t="s">
        <v>1154</v>
      </c>
      <c r="E1481" s="48" t="s">
        <v>333</v>
      </c>
      <c r="F1481" s="48" t="s">
        <v>297</v>
      </c>
      <c r="G1481" s="48" t="s">
        <v>302</v>
      </c>
      <c r="H1481" s="48" t="s">
        <v>70</v>
      </c>
      <c r="I1481" s="48" t="s">
        <v>141</v>
      </c>
      <c r="J1481" s="49">
        <v>82</v>
      </c>
      <c r="K1481" s="50">
        <v>46735</v>
      </c>
      <c r="L1481" s="50">
        <v>45661.04</v>
      </c>
      <c r="M1481" s="48" t="s">
        <v>276</v>
      </c>
      <c r="N1481" s="51">
        <v>83.5</v>
      </c>
      <c r="O1481" s="51">
        <v>84.992699999999999</v>
      </c>
      <c r="P1481" s="52">
        <v>432.64</v>
      </c>
      <c r="Q1481" s="52">
        <v>452.64</v>
      </c>
      <c r="R1481" s="53" t="str">
        <f>INDEX(SKU_Master!$D$5:$D$34,MATCH($I1481,SKU_Master!$A$5:$A$34,0))</f>
        <v>Monitor</v>
      </c>
      <c r="S1481" s="54">
        <f t="shared" si="322"/>
        <v>2.2979779608430451E-2</v>
      </c>
      <c r="T1481" s="55">
        <f t="shared" si="323"/>
        <v>45895.44910179641</v>
      </c>
      <c r="U1481" s="55">
        <f t="shared" si="324"/>
        <v>44840.781796407187</v>
      </c>
      <c r="V1481" s="55">
        <f t="shared" si="325"/>
        <v>-1054.6673053892227</v>
      </c>
      <c r="W1481" s="55">
        <f t="shared" si="326"/>
        <v>44053.257279742851</v>
      </c>
      <c r="X1481" s="55">
        <f t="shared" si="327"/>
        <v>-787.52451666433626</v>
      </c>
      <c r="Y1481" s="55">
        <f t="shared" si="328"/>
        <v>35476.479999999996</v>
      </c>
      <c r="Z1481" s="55">
        <f t="shared" si="329"/>
        <v>37116.479999999996</v>
      </c>
      <c r="AA1481" s="55">
        <f t="shared" si="330"/>
        <v>-1640</v>
      </c>
      <c r="AB1481" s="55">
        <f t="shared" si="331"/>
        <v>6936.7772797428552</v>
      </c>
      <c r="AC1481" s="54">
        <f t="shared" si="332"/>
        <v>0.15746343648764913</v>
      </c>
      <c r="AD1481" s="56">
        <f>INDEX(Assumptions!$B$14:$B$16,MATCH($R1481,Assumptions!$A$14:$A$16,0))</f>
        <v>0.18</v>
      </c>
      <c r="AE1481" s="56">
        <f>INDEX(Assumptions!$C$14:$C$16,MATCH($R1481,Assumptions!$A$14:$A$16,0))</f>
        <v>0.12</v>
      </c>
      <c r="AF1481" s="49">
        <f t="shared" si="333"/>
        <v>0</v>
      </c>
      <c r="AG1481" s="49">
        <f t="shared" si="334"/>
        <v>0</v>
      </c>
      <c r="AH1481" s="55">
        <f t="shared" si="335"/>
        <v>992.80903061085792</v>
      </c>
    </row>
    <row r="1482" spans="1:34" x14ac:dyDescent="0.2">
      <c r="A1482" s="48" t="s">
        <v>1243</v>
      </c>
      <c r="B1482" s="48">
        <v>1</v>
      </c>
      <c r="C1482" s="48" t="s">
        <v>1244</v>
      </c>
      <c r="D1482" s="48" t="s">
        <v>1154</v>
      </c>
      <c r="E1482" s="48" t="s">
        <v>311</v>
      </c>
      <c r="F1482" s="48" t="s">
        <v>297</v>
      </c>
      <c r="G1482" s="48" t="s">
        <v>302</v>
      </c>
      <c r="H1482" s="48" t="s">
        <v>62</v>
      </c>
      <c r="I1482" s="48" t="s">
        <v>108</v>
      </c>
      <c r="J1482" s="49">
        <v>61</v>
      </c>
      <c r="K1482" s="50">
        <v>1345</v>
      </c>
      <c r="L1482" s="50">
        <v>1305.8399999999999</v>
      </c>
      <c r="M1482" s="48" t="s">
        <v>276</v>
      </c>
      <c r="N1482" s="51">
        <v>1</v>
      </c>
      <c r="O1482" s="51">
        <v>1</v>
      </c>
      <c r="P1482" s="52">
        <v>1145</v>
      </c>
      <c r="Q1482" s="52">
        <v>1212.6199999999999</v>
      </c>
      <c r="R1482" s="53" t="str">
        <f>INDEX(SKU_Master!$D$5:$D$34,MATCH($I1482,SKU_Master!$A$5:$A$34,0))</f>
        <v>Laptop</v>
      </c>
      <c r="S1482" s="54">
        <f t="shared" si="322"/>
        <v>2.9115241635687794E-2</v>
      </c>
      <c r="T1482" s="55">
        <f t="shared" si="323"/>
        <v>82045</v>
      </c>
      <c r="U1482" s="55">
        <f t="shared" si="324"/>
        <v>79656.239999999991</v>
      </c>
      <c r="V1482" s="55">
        <f t="shared" si="325"/>
        <v>-2388.7600000000093</v>
      </c>
      <c r="W1482" s="55">
        <f t="shared" si="326"/>
        <v>79656.239999999991</v>
      </c>
      <c r="X1482" s="55">
        <f t="shared" si="327"/>
        <v>0</v>
      </c>
      <c r="Y1482" s="55">
        <f t="shared" si="328"/>
        <v>69845</v>
      </c>
      <c r="Z1482" s="55">
        <f t="shared" si="329"/>
        <v>73969.819999999992</v>
      </c>
      <c r="AA1482" s="55">
        <f t="shared" si="330"/>
        <v>-4124.8199999999924</v>
      </c>
      <c r="AB1482" s="55">
        <f t="shared" si="331"/>
        <v>5686.4199999999983</v>
      </c>
      <c r="AC1482" s="54">
        <f t="shared" si="332"/>
        <v>7.1386999938736734E-2</v>
      </c>
      <c r="AD1482" s="56">
        <f>INDEX(Assumptions!$B$14:$B$16,MATCH($R1482,Assumptions!$A$14:$A$16,0))</f>
        <v>0.12</v>
      </c>
      <c r="AE1482" s="56">
        <f>INDEX(Assumptions!$C$14:$C$16,MATCH($R1482,Assumptions!$A$14:$A$16,0))</f>
        <v>0.08</v>
      </c>
      <c r="AF1482" s="49">
        <f t="shared" si="333"/>
        <v>1</v>
      </c>
      <c r="AG1482" s="49">
        <f t="shared" si="334"/>
        <v>1</v>
      </c>
      <c r="AH1482" s="55">
        <f t="shared" si="335"/>
        <v>3872.3288000000011</v>
      </c>
    </row>
    <row r="1483" spans="1:34" x14ac:dyDescent="0.2">
      <c r="A1483" s="48" t="s">
        <v>1243</v>
      </c>
      <c r="B1483" s="48">
        <v>2</v>
      </c>
      <c r="C1483" s="48" t="s">
        <v>1244</v>
      </c>
      <c r="D1483" s="48" t="s">
        <v>1154</v>
      </c>
      <c r="E1483" s="48" t="s">
        <v>311</v>
      </c>
      <c r="F1483" s="48" t="s">
        <v>297</v>
      </c>
      <c r="G1483" s="48" t="s">
        <v>302</v>
      </c>
      <c r="H1483" s="48" t="s">
        <v>62</v>
      </c>
      <c r="I1483" s="48" t="s">
        <v>138</v>
      </c>
      <c r="J1483" s="49">
        <v>32</v>
      </c>
      <c r="K1483" s="50">
        <v>455</v>
      </c>
      <c r="L1483" s="50">
        <v>428.93</v>
      </c>
      <c r="M1483" s="48" t="s">
        <v>276</v>
      </c>
      <c r="N1483" s="51">
        <v>1</v>
      </c>
      <c r="O1483" s="51">
        <v>1</v>
      </c>
      <c r="P1483" s="52">
        <v>358.2</v>
      </c>
      <c r="Q1483" s="52">
        <v>358.2</v>
      </c>
      <c r="R1483" s="53" t="str">
        <f>INDEX(SKU_Master!$D$5:$D$34,MATCH($I1483,SKU_Master!$A$5:$A$34,0))</f>
        <v>Monitor</v>
      </c>
      <c r="S1483" s="54">
        <f t="shared" si="322"/>
        <v>5.7296703296703333E-2</v>
      </c>
      <c r="T1483" s="55">
        <f t="shared" si="323"/>
        <v>14560</v>
      </c>
      <c r="U1483" s="55">
        <f t="shared" si="324"/>
        <v>13725.76</v>
      </c>
      <c r="V1483" s="55">
        <f t="shared" si="325"/>
        <v>-834.23999999999978</v>
      </c>
      <c r="W1483" s="55">
        <f t="shared" si="326"/>
        <v>13725.76</v>
      </c>
      <c r="X1483" s="55">
        <f t="shared" si="327"/>
        <v>0</v>
      </c>
      <c r="Y1483" s="55">
        <f t="shared" si="328"/>
        <v>11462.4</v>
      </c>
      <c r="Z1483" s="55">
        <f t="shared" si="329"/>
        <v>11462.4</v>
      </c>
      <c r="AA1483" s="55">
        <f t="shared" si="330"/>
        <v>0</v>
      </c>
      <c r="AB1483" s="55">
        <f t="shared" si="331"/>
        <v>2263.3600000000006</v>
      </c>
      <c r="AC1483" s="54">
        <f t="shared" si="332"/>
        <v>0.16489870141981214</v>
      </c>
      <c r="AD1483" s="56">
        <f>INDEX(Assumptions!$B$14:$B$16,MATCH($R1483,Assumptions!$A$14:$A$16,0))</f>
        <v>0.18</v>
      </c>
      <c r="AE1483" s="56">
        <f>INDEX(Assumptions!$C$14:$C$16,MATCH($R1483,Assumptions!$A$14:$A$16,0))</f>
        <v>0.12</v>
      </c>
      <c r="AF1483" s="49">
        <f t="shared" si="333"/>
        <v>0</v>
      </c>
      <c r="AG1483" s="49">
        <f t="shared" si="334"/>
        <v>0</v>
      </c>
      <c r="AH1483" s="55">
        <f t="shared" si="335"/>
        <v>207.27679999999918</v>
      </c>
    </row>
    <row r="1484" spans="1:34" x14ac:dyDescent="0.2">
      <c r="A1484" s="48" t="s">
        <v>1243</v>
      </c>
      <c r="B1484" s="48">
        <v>3</v>
      </c>
      <c r="C1484" s="48" t="s">
        <v>1244</v>
      </c>
      <c r="D1484" s="48" t="s">
        <v>1154</v>
      </c>
      <c r="E1484" s="48" t="s">
        <v>311</v>
      </c>
      <c r="F1484" s="48" t="s">
        <v>297</v>
      </c>
      <c r="G1484" s="48" t="s">
        <v>302</v>
      </c>
      <c r="H1484" s="48" t="s">
        <v>62</v>
      </c>
      <c r="I1484" s="48" t="s">
        <v>161</v>
      </c>
      <c r="J1484" s="49">
        <v>50</v>
      </c>
      <c r="K1484" s="50">
        <v>120</v>
      </c>
      <c r="L1484" s="50">
        <v>112.64</v>
      </c>
      <c r="M1484" s="48" t="s">
        <v>276</v>
      </c>
      <c r="N1484" s="51">
        <v>1</v>
      </c>
      <c r="O1484" s="51">
        <v>1</v>
      </c>
      <c r="P1484" s="52">
        <v>76</v>
      </c>
      <c r="Q1484" s="52">
        <v>76</v>
      </c>
      <c r="R1484" s="53" t="str">
        <f>INDEX(SKU_Master!$D$5:$D$34,MATCH($I1484,SKU_Master!$A$5:$A$34,0))</f>
        <v>Accessory</v>
      </c>
      <c r="S1484" s="54">
        <f t="shared" si="322"/>
        <v>6.1333333333333351E-2</v>
      </c>
      <c r="T1484" s="55">
        <f t="shared" si="323"/>
        <v>6000</v>
      </c>
      <c r="U1484" s="55">
        <f t="shared" si="324"/>
        <v>5632</v>
      </c>
      <c r="V1484" s="55">
        <f t="shared" si="325"/>
        <v>-368</v>
      </c>
      <c r="W1484" s="55">
        <f t="shared" si="326"/>
        <v>5632</v>
      </c>
      <c r="X1484" s="55">
        <f t="shared" si="327"/>
        <v>0</v>
      </c>
      <c r="Y1484" s="55">
        <f t="shared" si="328"/>
        <v>3800</v>
      </c>
      <c r="Z1484" s="55">
        <f t="shared" si="329"/>
        <v>3800</v>
      </c>
      <c r="AA1484" s="55">
        <f t="shared" si="330"/>
        <v>0</v>
      </c>
      <c r="AB1484" s="55">
        <f t="shared" si="331"/>
        <v>1832</v>
      </c>
      <c r="AC1484" s="54">
        <f t="shared" si="332"/>
        <v>0.32528409090909088</v>
      </c>
      <c r="AD1484" s="56">
        <f>INDEX(Assumptions!$B$14:$B$16,MATCH($R1484,Assumptions!$A$14:$A$16,0))</f>
        <v>0.32</v>
      </c>
      <c r="AE1484" s="56">
        <f>INDEX(Assumptions!$C$14:$C$16,MATCH($R1484,Assumptions!$A$14:$A$16,0))</f>
        <v>0.22</v>
      </c>
      <c r="AF1484" s="49">
        <f t="shared" si="333"/>
        <v>0</v>
      </c>
      <c r="AG1484" s="49">
        <f t="shared" si="334"/>
        <v>0</v>
      </c>
      <c r="AH1484" s="55">
        <f t="shared" si="335"/>
        <v>0</v>
      </c>
    </row>
    <row r="1485" spans="1:34" x14ac:dyDescent="0.2">
      <c r="A1485" s="48" t="s">
        <v>1245</v>
      </c>
      <c r="B1485" s="48">
        <v>1</v>
      </c>
      <c r="C1485" s="48" t="s">
        <v>1193</v>
      </c>
      <c r="D1485" s="48" t="s">
        <v>1154</v>
      </c>
      <c r="E1485" s="48" t="s">
        <v>296</v>
      </c>
      <c r="F1485" s="48" t="s">
        <v>297</v>
      </c>
      <c r="G1485" s="48" t="s">
        <v>298</v>
      </c>
      <c r="H1485" s="48" t="s">
        <v>66</v>
      </c>
      <c r="I1485" s="48" t="s">
        <v>108</v>
      </c>
      <c r="J1485" s="49">
        <v>69</v>
      </c>
      <c r="K1485" s="50">
        <v>1280</v>
      </c>
      <c r="L1485" s="50">
        <v>1253.53</v>
      </c>
      <c r="M1485" s="48" t="s">
        <v>276</v>
      </c>
      <c r="N1485" s="51">
        <v>0.92</v>
      </c>
      <c r="O1485" s="51">
        <v>0.92830000000000001</v>
      </c>
      <c r="P1485" s="52">
        <v>1165</v>
      </c>
      <c r="Q1485" s="52">
        <v>1232.6199999999999</v>
      </c>
      <c r="R1485" s="53" t="str">
        <f>INDEX(SKU_Master!$D$5:$D$34,MATCH($I1485,SKU_Master!$A$5:$A$34,0))</f>
        <v>Laptop</v>
      </c>
      <c r="S1485" s="54">
        <f t="shared" si="322"/>
        <v>2.0679687500000044E-2</v>
      </c>
      <c r="T1485" s="55">
        <f t="shared" si="323"/>
        <v>96000</v>
      </c>
      <c r="U1485" s="55">
        <f t="shared" si="324"/>
        <v>94014.749999999985</v>
      </c>
      <c r="V1485" s="55">
        <f t="shared" si="325"/>
        <v>-1985.2500000000146</v>
      </c>
      <c r="W1485" s="55">
        <f t="shared" si="326"/>
        <v>93174.157061294827</v>
      </c>
      <c r="X1485" s="55">
        <f t="shared" si="327"/>
        <v>-840.5929387051583</v>
      </c>
      <c r="Y1485" s="55">
        <f t="shared" si="328"/>
        <v>80385</v>
      </c>
      <c r="Z1485" s="55">
        <f t="shared" si="329"/>
        <v>85050.78</v>
      </c>
      <c r="AA1485" s="55">
        <f t="shared" si="330"/>
        <v>-4665.7799999999988</v>
      </c>
      <c r="AB1485" s="55">
        <f t="shared" si="331"/>
        <v>8123.3770612948283</v>
      </c>
      <c r="AC1485" s="54">
        <f t="shared" si="332"/>
        <v>8.7184873118313772E-2</v>
      </c>
      <c r="AD1485" s="56">
        <f>INDEX(Assumptions!$B$14:$B$16,MATCH($R1485,Assumptions!$A$14:$A$16,0))</f>
        <v>0.12</v>
      </c>
      <c r="AE1485" s="56">
        <f>INDEX(Assumptions!$C$14:$C$16,MATCH($R1485,Assumptions!$A$14:$A$16,0))</f>
        <v>0.08</v>
      </c>
      <c r="AF1485" s="49">
        <f t="shared" si="333"/>
        <v>0</v>
      </c>
      <c r="AG1485" s="49">
        <f t="shared" si="334"/>
        <v>0</v>
      </c>
      <c r="AH1485" s="55">
        <f t="shared" si="335"/>
        <v>3057.5217860605499</v>
      </c>
    </row>
    <row r="1486" spans="1:34" x14ac:dyDescent="0.2">
      <c r="A1486" s="48" t="s">
        <v>1245</v>
      </c>
      <c r="B1486" s="48">
        <v>2</v>
      </c>
      <c r="C1486" s="48" t="s">
        <v>1193</v>
      </c>
      <c r="D1486" s="48" t="s">
        <v>1154</v>
      </c>
      <c r="E1486" s="48" t="s">
        <v>296</v>
      </c>
      <c r="F1486" s="48" t="s">
        <v>297</v>
      </c>
      <c r="G1486" s="48" t="s">
        <v>298</v>
      </c>
      <c r="H1486" s="48" t="s">
        <v>66</v>
      </c>
      <c r="I1486" s="48" t="s">
        <v>144</v>
      </c>
      <c r="J1486" s="49">
        <v>38</v>
      </c>
      <c r="K1486" s="50">
        <v>375</v>
      </c>
      <c r="L1486" s="50">
        <v>360.13</v>
      </c>
      <c r="M1486" s="48" t="s">
        <v>276</v>
      </c>
      <c r="N1486" s="51">
        <v>0.92</v>
      </c>
      <c r="O1486" s="51">
        <v>0.92830000000000001</v>
      </c>
      <c r="P1486" s="52">
        <v>314.60000000000002</v>
      </c>
      <c r="Q1486" s="52">
        <v>314.60000000000002</v>
      </c>
      <c r="R1486" s="53" t="str">
        <f>INDEX(SKU_Master!$D$5:$D$34,MATCH($I1486,SKU_Master!$A$5:$A$34,0))</f>
        <v>Monitor</v>
      </c>
      <c r="S1486" s="54">
        <f t="shared" si="322"/>
        <v>3.9653333333333318E-2</v>
      </c>
      <c r="T1486" s="55">
        <f t="shared" si="323"/>
        <v>15489.130434782608</v>
      </c>
      <c r="U1486" s="55">
        <f t="shared" si="324"/>
        <v>14874.934782608696</v>
      </c>
      <c r="V1486" s="55">
        <f t="shared" si="325"/>
        <v>-614.19565217391209</v>
      </c>
      <c r="W1486" s="55">
        <f t="shared" si="326"/>
        <v>14741.936873855435</v>
      </c>
      <c r="X1486" s="55">
        <f t="shared" si="327"/>
        <v>-132.99790875326107</v>
      </c>
      <c r="Y1486" s="55">
        <f t="shared" si="328"/>
        <v>11954.800000000001</v>
      </c>
      <c r="Z1486" s="55">
        <f t="shared" si="329"/>
        <v>11954.800000000001</v>
      </c>
      <c r="AA1486" s="55">
        <f t="shared" si="330"/>
        <v>0</v>
      </c>
      <c r="AB1486" s="55">
        <f t="shared" si="331"/>
        <v>2787.1368738554338</v>
      </c>
      <c r="AC1486" s="54">
        <f t="shared" si="332"/>
        <v>0.18906178324493927</v>
      </c>
      <c r="AD1486" s="56">
        <f>INDEX(Assumptions!$B$14:$B$16,MATCH($R1486,Assumptions!$A$14:$A$16,0))</f>
        <v>0.18</v>
      </c>
      <c r="AE1486" s="56">
        <f>INDEX(Assumptions!$C$14:$C$16,MATCH($R1486,Assumptions!$A$14:$A$16,0))</f>
        <v>0.12</v>
      </c>
      <c r="AF1486" s="49">
        <f t="shared" si="333"/>
        <v>0</v>
      </c>
      <c r="AG1486" s="49">
        <f t="shared" si="334"/>
        <v>0</v>
      </c>
      <c r="AH1486" s="55">
        <f t="shared" si="335"/>
        <v>0</v>
      </c>
    </row>
    <row r="1487" spans="1:34" x14ac:dyDescent="0.2">
      <c r="A1487" s="48" t="s">
        <v>1245</v>
      </c>
      <c r="B1487" s="48">
        <v>3</v>
      </c>
      <c r="C1487" s="48" t="s">
        <v>1193</v>
      </c>
      <c r="D1487" s="48" t="s">
        <v>1154</v>
      </c>
      <c r="E1487" s="48" t="s">
        <v>296</v>
      </c>
      <c r="F1487" s="48" t="s">
        <v>297</v>
      </c>
      <c r="G1487" s="48" t="s">
        <v>298</v>
      </c>
      <c r="H1487" s="48" t="s">
        <v>66</v>
      </c>
      <c r="I1487" s="48" t="s">
        <v>166</v>
      </c>
      <c r="J1487" s="49">
        <v>81</v>
      </c>
      <c r="K1487" s="50">
        <v>255</v>
      </c>
      <c r="L1487" s="50">
        <v>243.74</v>
      </c>
      <c r="M1487" s="48" t="s">
        <v>276</v>
      </c>
      <c r="N1487" s="51">
        <v>0.92</v>
      </c>
      <c r="O1487" s="51">
        <v>0.92830000000000001</v>
      </c>
      <c r="P1487" s="52">
        <v>174.35</v>
      </c>
      <c r="Q1487" s="52">
        <v>174.35</v>
      </c>
      <c r="R1487" s="53" t="str">
        <f>INDEX(SKU_Master!$D$5:$D$34,MATCH($I1487,SKU_Master!$A$5:$A$34,0))</f>
        <v>Accessory</v>
      </c>
      <c r="S1487" s="54">
        <f t="shared" si="322"/>
        <v>4.4156862745098002E-2</v>
      </c>
      <c r="T1487" s="55">
        <f t="shared" si="323"/>
        <v>22451.08695652174</v>
      </c>
      <c r="U1487" s="55">
        <f t="shared" si="324"/>
        <v>21459.717391304348</v>
      </c>
      <c r="V1487" s="55">
        <f t="shared" si="325"/>
        <v>-991.36956521739194</v>
      </c>
      <c r="W1487" s="55">
        <f t="shared" si="326"/>
        <v>21267.84444683831</v>
      </c>
      <c r="X1487" s="55">
        <f t="shared" si="327"/>
        <v>-191.87294446603846</v>
      </c>
      <c r="Y1487" s="55">
        <f t="shared" si="328"/>
        <v>14122.35</v>
      </c>
      <c r="Z1487" s="55">
        <f t="shared" si="329"/>
        <v>14122.35</v>
      </c>
      <c r="AA1487" s="55">
        <f t="shared" si="330"/>
        <v>0</v>
      </c>
      <c r="AB1487" s="55">
        <f t="shared" si="331"/>
        <v>7145.4944468383092</v>
      </c>
      <c r="AC1487" s="54">
        <f t="shared" si="332"/>
        <v>0.3359764298022484</v>
      </c>
      <c r="AD1487" s="56">
        <f>INDEX(Assumptions!$B$14:$B$16,MATCH($R1487,Assumptions!$A$14:$A$16,0))</f>
        <v>0.32</v>
      </c>
      <c r="AE1487" s="56">
        <f>INDEX(Assumptions!$C$14:$C$16,MATCH($R1487,Assumptions!$A$14:$A$16,0))</f>
        <v>0.22</v>
      </c>
      <c r="AF1487" s="49">
        <f t="shared" si="333"/>
        <v>0</v>
      </c>
      <c r="AG1487" s="49">
        <f t="shared" si="334"/>
        <v>0</v>
      </c>
      <c r="AH1487" s="55">
        <f t="shared" si="335"/>
        <v>0</v>
      </c>
    </row>
    <row r="1488" spans="1:34" x14ac:dyDescent="0.2">
      <c r="A1488" s="48" t="s">
        <v>1246</v>
      </c>
      <c r="B1488" s="48">
        <v>1</v>
      </c>
      <c r="C1488" s="48" t="s">
        <v>1228</v>
      </c>
      <c r="D1488" s="48" t="s">
        <v>1154</v>
      </c>
      <c r="E1488" s="48" t="s">
        <v>336</v>
      </c>
      <c r="F1488" s="48" t="s">
        <v>274</v>
      </c>
      <c r="G1488" s="48" t="s">
        <v>288</v>
      </c>
      <c r="H1488" s="48" t="s">
        <v>62</v>
      </c>
      <c r="I1488" s="48" t="s">
        <v>110</v>
      </c>
      <c r="J1488" s="49">
        <v>4</v>
      </c>
      <c r="K1488" s="50">
        <v>1165</v>
      </c>
      <c r="L1488" s="50">
        <v>1151.07</v>
      </c>
      <c r="M1488" s="48" t="s">
        <v>276</v>
      </c>
      <c r="N1488" s="51">
        <v>1</v>
      </c>
      <c r="O1488" s="51">
        <v>1</v>
      </c>
      <c r="P1488" s="52">
        <v>992.65</v>
      </c>
      <c r="Q1488" s="52">
        <v>992.65</v>
      </c>
      <c r="R1488" s="53" t="str">
        <f>INDEX(SKU_Master!$D$5:$D$34,MATCH($I1488,SKU_Master!$A$5:$A$34,0))</f>
        <v>Laptop</v>
      </c>
      <c r="S1488" s="54">
        <f t="shared" si="322"/>
        <v>1.1957081545064474E-2</v>
      </c>
      <c r="T1488" s="55">
        <f t="shared" si="323"/>
        <v>4660</v>
      </c>
      <c r="U1488" s="55">
        <f t="shared" si="324"/>
        <v>4604.28</v>
      </c>
      <c r="V1488" s="55">
        <f t="shared" si="325"/>
        <v>-55.720000000000255</v>
      </c>
      <c r="W1488" s="55">
        <f t="shared" si="326"/>
        <v>4604.28</v>
      </c>
      <c r="X1488" s="55">
        <f t="shared" si="327"/>
        <v>0</v>
      </c>
      <c r="Y1488" s="55">
        <f t="shared" si="328"/>
        <v>3970.6</v>
      </c>
      <c r="Z1488" s="55">
        <f t="shared" si="329"/>
        <v>3970.6</v>
      </c>
      <c r="AA1488" s="55">
        <f t="shared" si="330"/>
        <v>0</v>
      </c>
      <c r="AB1488" s="55">
        <f t="shared" si="331"/>
        <v>633.67999999999984</v>
      </c>
      <c r="AC1488" s="54">
        <f t="shared" si="332"/>
        <v>0.13762846742596016</v>
      </c>
      <c r="AD1488" s="56">
        <f>INDEX(Assumptions!$B$14:$B$16,MATCH($R1488,Assumptions!$A$14:$A$16,0))</f>
        <v>0.12</v>
      </c>
      <c r="AE1488" s="56">
        <f>INDEX(Assumptions!$C$14:$C$16,MATCH($R1488,Assumptions!$A$14:$A$16,0))</f>
        <v>0.08</v>
      </c>
      <c r="AF1488" s="49">
        <f t="shared" si="333"/>
        <v>0</v>
      </c>
      <c r="AG1488" s="49">
        <f t="shared" si="334"/>
        <v>0</v>
      </c>
      <c r="AH1488" s="55">
        <f t="shared" si="335"/>
        <v>0</v>
      </c>
    </row>
    <row r="1489" spans="1:34" x14ac:dyDescent="0.2">
      <c r="A1489" s="48" t="s">
        <v>1246</v>
      </c>
      <c r="B1489" s="48">
        <v>2</v>
      </c>
      <c r="C1489" s="48" t="s">
        <v>1228</v>
      </c>
      <c r="D1489" s="48" t="s">
        <v>1154</v>
      </c>
      <c r="E1489" s="48" t="s">
        <v>336</v>
      </c>
      <c r="F1489" s="48" t="s">
        <v>274</v>
      </c>
      <c r="G1489" s="48" t="s">
        <v>288</v>
      </c>
      <c r="H1489" s="48" t="s">
        <v>62</v>
      </c>
      <c r="I1489" s="48" t="s">
        <v>151</v>
      </c>
      <c r="J1489" s="49">
        <v>1</v>
      </c>
      <c r="K1489" s="50">
        <v>335</v>
      </c>
      <c r="L1489" s="50">
        <v>334.61</v>
      </c>
      <c r="M1489" s="48" t="s">
        <v>276</v>
      </c>
      <c r="N1489" s="51">
        <v>1</v>
      </c>
      <c r="O1489" s="51">
        <v>1</v>
      </c>
      <c r="P1489" s="52">
        <v>216.7</v>
      </c>
      <c r="Q1489" s="52">
        <v>216.7</v>
      </c>
      <c r="R1489" s="53" t="str">
        <f>INDEX(SKU_Master!$D$5:$D$34,MATCH($I1489,SKU_Master!$A$5:$A$34,0))</f>
        <v>Accessory</v>
      </c>
      <c r="S1489" s="54">
        <f t="shared" si="322"/>
        <v>1.1641791044775252E-3</v>
      </c>
      <c r="T1489" s="55">
        <f t="shared" si="323"/>
        <v>335</v>
      </c>
      <c r="U1489" s="55">
        <f t="shared" si="324"/>
        <v>334.61</v>
      </c>
      <c r="V1489" s="55">
        <f t="shared" si="325"/>
        <v>-0.38999999999998636</v>
      </c>
      <c r="W1489" s="55">
        <f t="shared" si="326"/>
        <v>334.61</v>
      </c>
      <c r="X1489" s="55">
        <f t="shared" si="327"/>
        <v>0</v>
      </c>
      <c r="Y1489" s="55">
        <f t="shared" si="328"/>
        <v>216.7</v>
      </c>
      <c r="Z1489" s="55">
        <f t="shared" si="329"/>
        <v>216.7</v>
      </c>
      <c r="AA1489" s="55">
        <f t="shared" si="330"/>
        <v>0</v>
      </c>
      <c r="AB1489" s="55">
        <f t="shared" si="331"/>
        <v>117.91000000000003</v>
      </c>
      <c r="AC1489" s="54">
        <f t="shared" si="332"/>
        <v>0.35238038313260217</v>
      </c>
      <c r="AD1489" s="56">
        <f>INDEX(Assumptions!$B$14:$B$16,MATCH($R1489,Assumptions!$A$14:$A$16,0))</f>
        <v>0.32</v>
      </c>
      <c r="AE1489" s="56">
        <f>INDEX(Assumptions!$C$14:$C$16,MATCH($R1489,Assumptions!$A$14:$A$16,0))</f>
        <v>0.22</v>
      </c>
      <c r="AF1489" s="49">
        <f t="shared" si="333"/>
        <v>0</v>
      </c>
      <c r="AG1489" s="49">
        <f t="shared" si="334"/>
        <v>0</v>
      </c>
      <c r="AH1489" s="55">
        <f t="shared" si="335"/>
        <v>0</v>
      </c>
    </row>
    <row r="1490" spans="1:34" x14ac:dyDescent="0.2">
      <c r="A1490" s="48" t="s">
        <v>1247</v>
      </c>
      <c r="B1490" s="48">
        <v>1</v>
      </c>
      <c r="C1490" s="48" t="s">
        <v>1174</v>
      </c>
      <c r="D1490" s="48" t="s">
        <v>1154</v>
      </c>
      <c r="E1490" s="48" t="s">
        <v>374</v>
      </c>
      <c r="F1490" s="48" t="s">
        <v>274</v>
      </c>
      <c r="G1490" s="48" t="s">
        <v>281</v>
      </c>
      <c r="H1490" s="48" t="s">
        <v>62</v>
      </c>
      <c r="I1490" s="48" t="s">
        <v>113</v>
      </c>
      <c r="J1490" s="49">
        <v>4</v>
      </c>
      <c r="K1490" s="50">
        <v>1740</v>
      </c>
      <c r="L1490" s="50">
        <v>1710.83</v>
      </c>
      <c r="M1490" s="48" t="s">
        <v>276</v>
      </c>
      <c r="N1490" s="51">
        <v>1</v>
      </c>
      <c r="O1490" s="51">
        <v>1</v>
      </c>
      <c r="P1490" s="52">
        <v>1484.8</v>
      </c>
      <c r="Q1490" s="52">
        <v>1484.8</v>
      </c>
      <c r="R1490" s="53" t="str">
        <f>INDEX(SKU_Master!$D$5:$D$34,MATCH($I1490,SKU_Master!$A$5:$A$34,0))</f>
        <v>Laptop</v>
      </c>
      <c r="S1490" s="54">
        <f t="shared" si="322"/>
        <v>1.676436781609203E-2</v>
      </c>
      <c r="T1490" s="55">
        <f t="shared" si="323"/>
        <v>6960</v>
      </c>
      <c r="U1490" s="55">
        <f t="shared" si="324"/>
        <v>6843.32</v>
      </c>
      <c r="V1490" s="55">
        <f t="shared" si="325"/>
        <v>-116.68000000000029</v>
      </c>
      <c r="W1490" s="55">
        <f t="shared" si="326"/>
        <v>6843.32</v>
      </c>
      <c r="X1490" s="55">
        <f t="shared" si="327"/>
        <v>0</v>
      </c>
      <c r="Y1490" s="55">
        <f t="shared" si="328"/>
        <v>5939.2</v>
      </c>
      <c r="Z1490" s="55">
        <f t="shared" si="329"/>
        <v>5939.2</v>
      </c>
      <c r="AA1490" s="55">
        <f t="shared" si="330"/>
        <v>0</v>
      </c>
      <c r="AB1490" s="55">
        <f t="shared" si="331"/>
        <v>904.11999999999989</v>
      </c>
      <c r="AC1490" s="54">
        <f t="shared" si="332"/>
        <v>0.1321171595073736</v>
      </c>
      <c r="AD1490" s="56">
        <f>INDEX(Assumptions!$B$14:$B$16,MATCH($R1490,Assumptions!$A$14:$A$16,0))</f>
        <v>0.12</v>
      </c>
      <c r="AE1490" s="56">
        <f>INDEX(Assumptions!$C$14:$C$16,MATCH($R1490,Assumptions!$A$14:$A$16,0))</f>
        <v>0.08</v>
      </c>
      <c r="AF1490" s="49">
        <f t="shared" si="333"/>
        <v>0</v>
      </c>
      <c r="AG1490" s="49">
        <f t="shared" si="334"/>
        <v>0</v>
      </c>
      <c r="AH1490" s="55">
        <f t="shared" si="335"/>
        <v>0</v>
      </c>
    </row>
    <row r="1491" spans="1:34" x14ac:dyDescent="0.2">
      <c r="A1491" s="48" t="s">
        <v>1247</v>
      </c>
      <c r="B1491" s="48">
        <v>2</v>
      </c>
      <c r="C1491" s="48" t="s">
        <v>1174</v>
      </c>
      <c r="D1491" s="48" t="s">
        <v>1154</v>
      </c>
      <c r="E1491" s="48" t="s">
        <v>374</v>
      </c>
      <c r="F1491" s="48" t="s">
        <v>274</v>
      </c>
      <c r="G1491" s="48" t="s">
        <v>281</v>
      </c>
      <c r="H1491" s="48" t="s">
        <v>62</v>
      </c>
      <c r="I1491" s="48" t="s">
        <v>144</v>
      </c>
      <c r="J1491" s="49">
        <v>2</v>
      </c>
      <c r="K1491" s="50">
        <v>370</v>
      </c>
      <c r="L1491" s="50">
        <v>363.61</v>
      </c>
      <c r="M1491" s="48" t="s">
        <v>276</v>
      </c>
      <c r="N1491" s="51">
        <v>1</v>
      </c>
      <c r="O1491" s="51">
        <v>1</v>
      </c>
      <c r="P1491" s="52">
        <v>289.60000000000002</v>
      </c>
      <c r="Q1491" s="52">
        <v>289.60000000000002</v>
      </c>
      <c r="R1491" s="53" t="str">
        <f>INDEX(SKU_Master!$D$5:$D$34,MATCH($I1491,SKU_Master!$A$5:$A$34,0))</f>
        <v>Monitor</v>
      </c>
      <c r="S1491" s="54">
        <f t="shared" si="322"/>
        <v>1.7270270270270283E-2</v>
      </c>
      <c r="T1491" s="55">
        <f t="shared" si="323"/>
        <v>740</v>
      </c>
      <c r="U1491" s="55">
        <f t="shared" si="324"/>
        <v>727.22</v>
      </c>
      <c r="V1491" s="55">
        <f t="shared" si="325"/>
        <v>-12.779999999999973</v>
      </c>
      <c r="W1491" s="55">
        <f t="shared" si="326"/>
        <v>727.22</v>
      </c>
      <c r="X1491" s="55">
        <f t="shared" si="327"/>
        <v>0</v>
      </c>
      <c r="Y1491" s="55">
        <f t="shared" si="328"/>
        <v>579.20000000000005</v>
      </c>
      <c r="Z1491" s="55">
        <f t="shared" si="329"/>
        <v>579.20000000000005</v>
      </c>
      <c r="AA1491" s="55">
        <f t="shared" si="330"/>
        <v>0</v>
      </c>
      <c r="AB1491" s="55">
        <f t="shared" si="331"/>
        <v>148.01999999999998</v>
      </c>
      <c r="AC1491" s="54">
        <f t="shared" si="332"/>
        <v>0.20354225681361895</v>
      </c>
      <c r="AD1491" s="56">
        <f>INDEX(Assumptions!$B$14:$B$16,MATCH($R1491,Assumptions!$A$14:$A$16,0))</f>
        <v>0.18</v>
      </c>
      <c r="AE1491" s="56">
        <f>INDEX(Assumptions!$C$14:$C$16,MATCH($R1491,Assumptions!$A$14:$A$16,0))</f>
        <v>0.12</v>
      </c>
      <c r="AF1491" s="49">
        <f t="shared" si="333"/>
        <v>0</v>
      </c>
      <c r="AG1491" s="49">
        <f t="shared" si="334"/>
        <v>0</v>
      </c>
      <c r="AH1491" s="55">
        <f t="shared" si="335"/>
        <v>0</v>
      </c>
    </row>
    <row r="1492" spans="1:34" x14ac:dyDescent="0.2">
      <c r="A1492" s="48" t="s">
        <v>1248</v>
      </c>
      <c r="B1492" s="48">
        <v>1</v>
      </c>
      <c r="C1492" s="48" t="s">
        <v>1156</v>
      </c>
      <c r="D1492" s="48" t="s">
        <v>1154</v>
      </c>
      <c r="E1492" s="48" t="s">
        <v>366</v>
      </c>
      <c r="F1492" s="48" t="s">
        <v>297</v>
      </c>
      <c r="G1492" s="48" t="s">
        <v>302</v>
      </c>
      <c r="H1492" s="48" t="s">
        <v>66</v>
      </c>
      <c r="I1492" s="48" t="s">
        <v>110</v>
      </c>
      <c r="J1492" s="49">
        <v>63</v>
      </c>
      <c r="K1492" s="50">
        <v>1115</v>
      </c>
      <c r="L1492" s="50">
        <v>1077.97</v>
      </c>
      <c r="M1492" s="48" t="s">
        <v>276</v>
      </c>
      <c r="N1492" s="51">
        <v>0.92</v>
      </c>
      <c r="O1492" s="51">
        <v>0.92830000000000001</v>
      </c>
      <c r="P1492" s="52">
        <v>1012.65</v>
      </c>
      <c r="Q1492" s="52">
        <v>1012.65</v>
      </c>
      <c r="R1492" s="53" t="str">
        <f>INDEX(SKU_Master!$D$5:$D$34,MATCH($I1492,SKU_Master!$A$5:$A$34,0))</f>
        <v>Laptop</v>
      </c>
      <c r="S1492" s="54">
        <f t="shared" si="322"/>
        <v>3.3210762331838506E-2</v>
      </c>
      <c r="T1492" s="55">
        <f t="shared" si="323"/>
        <v>76353.260869565216</v>
      </c>
      <c r="U1492" s="55">
        <f t="shared" si="324"/>
        <v>73817.510869565216</v>
      </c>
      <c r="V1492" s="55">
        <f t="shared" si="325"/>
        <v>-2535.75</v>
      </c>
      <c r="W1492" s="55">
        <f t="shared" si="326"/>
        <v>73157.502962404396</v>
      </c>
      <c r="X1492" s="55">
        <f t="shared" si="327"/>
        <v>-660.00790716081974</v>
      </c>
      <c r="Y1492" s="55">
        <f t="shared" si="328"/>
        <v>63796.95</v>
      </c>
      <c r="Z1492" s="55">
        <f t="shared" si="329"/>
        <v>63796.95</v>
      </c>
      <c r="AA1492" s="55">
        <f t="shared" si="330"/>
        <v>0</v>
      </c>
      <c r="AB1492" s="55">
        <f t="shared" si="331"/>
        <v>9360.5529624043993</v>
      </c>
      <c r="AC1492" s="54">
        <f t="shared" si="332"/>
        <v>0.12795068972234855</v>
      </c>
      <c r="AD1492" s="56">
        <f>INDEX(Assumptions!$B$14:$B$16,MATCH($R1492,Assumptions!$A$14:$A$16,0))</f>
        <v>0.12</v>
      </c>
      <c r="AE1492" s="56">
        <f>INDEX(Assumptions!$C$14:$C$16,MATCH($R1492,Assumptions!$A$14:$A$16,0))</f>
        <v>0.08</v>
      </c>
      <c r="AF1492" s="49">
        <f t="shared" si="333"/>
        <v>0</v>
      </c>
      <c r="AG1492" s="49">
        <f t="shared" si="334"/>
        <v>0</v>
      </c>
      <c r="AH1492" s="55">
        <f t="shared" si="335"/>
        <v>0</v>
      </c>
    </row>
    <row r="1493" spans="1:34" x14ac:dyDescent="0.2">
      <c r="A1493" s="48" t="s">
        <v>1249</v>
      </c>
      <c r="B1493" s="48">
        <v>1</v>
      </c>
      <c r="C1493" s="48" t="s">
        <v>1153</v>
      </c>
      <c r="D1493" s="48" t="s">
        <v>1154</v>
      </c>
      <c r="E1493" s="48" t="s">
        <v>296</v>
      </c>
      <c r="F1493" s="48" t="s">
        <v>297</v>
      </c>
      <c r="G1493" s="48" t="s">
        <v>298</v>
      </c>
      <c r="H1493" s="48" t="s">
        <v>66</v>
      </c>
      <c r="I1493" s="48" t="s">
        <v>108</v>
      </c>
      <c r="J1493" s="49">
        <v>31</v>
      </c>
      <c r="K1493" s="50">
        <v>1280</v>
      </c>
      <c r="L1493" s="50">
        <v>1252.04</v>
      </c>
      <c r="M1493" s="48" t="s">
        <v>276</v>
      </c>
      <c r="N1493" s="51">
        <v>0.92</v>
      </c>
      <c r="O1493" s="51">
        <v>0.92830000000000001</v>
      </c>
      <c r="P1493" s="52">
        <v>1165</v>
      </c>
      <c r="Q1493" s="52">
        <v>1232.6199999999999</v>
      </c>
      <c r="R1493" s="53" t="str">
        <f>INDEX(SKU_Master!$D$5:$D$34,MATCH($I1493,SKU_Master!$A$5:$A$34,0))</f>
        <v>Laptop</v>
      </c>
      <c r="S1493" s="54">
        <f t="shared" si="322"/>
        <v>2.1843750000000051E-2</v>
      </c>
      <c r="T1493" s="55">
        <f t="shared" si="323"/>
        <v>43130.434782608696</v>
      </c>
      <c r="U1493" s="55">
        <f t="shared" si="324"/>
        <v>42188.304347826081</v>
      </c>
      <c r="V1493" s="55">
        <f t="shared" si="325"/>
        <v>-942.13043478261534</v>
      </c>
      <c r="W1493" s="55">
        <f t="shared" si="326"/>
        <v>41811.095551007216</v>
      </c>
      <c r="X1493" s="55">
        <f t="shared" si="327"/>
        <v>-377.20879681886436</v>
      </c>
      <c r="Y1493" s="55">
        <f t="shared" si="328"/>
        <v>36115</v>
      </c>
      <c r="Z1493" s="55">
        <f t="shared" si="329"/>
        <v>38211.219999999994</v>
      </c>
      <c r="AA1493" s="55">
        <f t="shared" si="330"/>
        <v>-2096.2199999999939</v>
      </c>
      <c r="AB1493" s="55">
        <f t="shared" si="331"/>
        <v>3599.8755510072224</v>
      </c>
      <c r="AC1493" s="54">
        <f t="shared" si="332"/>
        <v>8.6098570333216315E-2</v>
      </c>
      <c r="AD1493" s="56">
        <f>INDEX(Assumptions!$B$14:$B$16,MATCH($R1493,Assumptions!$A$14:$A$16,0))</f>
        <v>0.12</v>
      </c>
      <c r="AE1493" s="56">
        <f>INDEX(Assumptions!$C$14:$C$16,MATCH($R1493,Assumptions!$A$14:$A$16,0))</f>
        <v>0.08</v>
      </c>
      <c r="AF1493" s="49">
        <f t="shared" si="333"/>
        <v>0</v>
      </c>
      <c r="AG1493" s="49">
        <f t="shared" si="334"/>
        <v>0</v>
      </c>
      <c r="AH1493" s="55">
        <f t="shared" si="335"/>
        <v>1417.4559151136436</v>
      </c>
    </row>
    <row r="1494" spans="1:34" x14ac:dyDescent="0.2">
      <c r="A1494" s="48" t="s">
        <v>1249</v>
      </c>
      <c r="B1494" s="48">
        <v>2</v>
      </c>
      <c r="C1494" s="48" t="s">
        <v>1153</v>
      </c>
      <c r="D1494" s="48" t="s">
        <v>1154</v>
      </c>
      <c r="E1494" s="48" t="s">
        <v>296</v>
      </c>
      <c r="F1494" s="48" t="s">
        <v>297</v>
      </c>
      <c r="G1494" s="48" t="s">
        <v>298</v>
      </c>
      <c r="H1494" s="48" t="s">
        <v>66</v>
      </c>
      <c r="I1494" s="48" t="s">
        <v>177</v>
      </c>
      <c r="J1494" s="49">
        <v>12</v>
      </c>
      <c r="K1494" s="50">
        <v>75</v>
      </c>
      <c r="L1494" s="50">
        <v>72.150000000000006</v>
      </c>
      <c r="M1494" s="48" t="s">
        <v>276</v>
      </c>
      <c r="N1494" s="51">
        <v>0.92</v>
      </c>
      <c r="O1494" s="51">
        <v>0.92830000000000001</v>
      </c>
      <c r="P1494" s="52">
        <v>49</v>
      </c>
      <c r="Q1494" s="52">
        <v>49</v>
      </c>
      <c r="R1494" s="53" t="str">
        <f>INDEX(SKU_Master!$D$5:$D$34,MATCH($I1494,SKU_Master!$A$5:$A$34,0))</f>
        <v>Accessory</v>
      </c>
      <c r="S1494" s="54">
        <f t="shared" si="322"/>
        <v>3.7999999999999923E-2</v>
      </c>
      <c r="T1494" s="55">
        <f t="shared" si="323"/>
        <v>978.26086956521738</v>
      </c>
      <c r="U1494" s="55">
        <f t="shared" si="324"/>
        <v>941.08695652173913</v>
      </c>
      <c r="V1494" s="55">
        <f t="shared" si="325"/>
        <v>-37.173913043478251</v>
      </c>
      <c r="W1494" s="55">
        <f t="shared" si="326"/>
        <v>932.672627383389</v>
      </c>
      <c r="X1494" s="55">
        <f t="shared" si="327"/>
        <v>-8.4143291383501264</v>
      </c>
      <c r="Y1494" s="55">
        <f t="shared" si="328"/>
        <v>588</v>
      </c>
      <c r="Z1494" s="55">
        <f t="shared" si="329"/>
        <v>588</v>
      </c>
      <c r="AA1494" s="55">
        <f t="shared" si="330"/>
        <v>0</v>
      </c>
      <c r="AB1494" s="55">
        <f t="shared" si="331"/>
        <v>344.672627383389</v>
      </c>
      <c r="AC1494" s="54">
        <f t="shared" si="332"/>
        <v>0.36955370755370753</v>
      </c>
      <c r="AD1494" s="56">
        <f>INDEX(Assumptions!$B$14:$B$16,MATCH($R1494,Assumptions!$A$14:$A$16,0))</f>
        <v>0.32</v>
      </c>
      <c r="AE1494" s="56">
        <f>INDEX(Assumptions!$C$14:$C$16,MATCH($R1494,Assumptions!$A$14:$A$16,0))</f>
        <v>0.22</v>
      </c>
      <c r="AF1494" s="49">
        <f t="shared" si="333"/>
        <v>0</v>
      </c>
      <c r="AG1494" s="49">
        <f t="shared" si="334"/>
        <v>0</v>
      </c>
      <c r="AH1494" s="55">
        <f t="shared" si="335"/>
        <v>0</v>
      </c>
    </row>
    <row r="1495" spans="1:34" x14ac:dyDescent="0.2">
      <c r="A1495" s="48" t="s">
        <v>1250</v>
      </c>
      <c r="B1495" s="48">
        <v>1</v>
      </c>
      <c r="C1495" s="48" t="s">
        <v>1251</v>
      </c>
      <c r="D1495" s="48" t="s">
        <v>1154</v>
      </c>
      <c r="E1495" s="48" t="s">
        <v>349</v>
      </c>
      <c r="F1495" s="48" t="s">
        <v>274</v>
      </c>
      <c r="G1495" s="48" t="s">
        <v>275</v>
      </c>
      <c r="H1495" s="48" t="s">
        <v>66</v>
      </c>
      <c r="I1495" s="48" t="s">
        <v>93</v>
      </c>
      <c r="J1495" s="49">
        <v>3</v>
      </c>
      <c r="K1495" s="50">
        <v>1325</v>
      </c>
      <c r="L1495" s="50">
        <v>1324.29</v>
      </c>
      <c r="M1495" s="48" t="s">
        <v>276</v>
      </c>
      <c r="N1495" s="51">
        <v>0.92</v>
      </c>
      <c r="O1495" s="51">
        <v>0.92830000000000001</v>
      </c>
      <c r="P1495" s="52">
        <v>1206.2</v>
      </c>
      <c r="Q1495" s="52">
        <v>1206.2</v>
      </c>
      <c r="R1495" s="53" t="str">
        <f>INDEX(SKU_Master!$D$5:$D$34,MATCH($I1495,SKU_Master!$A$5:$A$34,0))</f>
        <v>Laptop</v>
      </c>
      <c r="S1495" s="54">
        <f t="shared" si="322"/>
        <v>5.3584905660375437E-4</v>
      </c>
      <c r="T1495" s="55">
        <f t="shared" si="323"/>
        <v>4320.652173913043</v>
      </c>
      <c r="U1495" s="55">
        <f t="shared" si="324"/>
        <v>4318.336956521739</v>
      </c>
      <c r="V1495" s="55">
        <f t="shared" si="325"/>
        <v>-2.3152173913040315</v>
      </c>
      <c r="W1495" s="55">
        <f t="shared" si="326"/>
        <v>4279.7263815576862</v>
      </c>
      <c r="X1495" s="55">
        <f t="shared" si="327"/>
        <v>-38.61057496405283</v>
      </c>
      <c r="Y1495" s="55">
        <f t="shared" si="328"/>
        <v>3618.6000000000004</v>
      </c>
      <c r="Z1495" s="55">
        <f t="shared" si="329"/>
        <v>3618.6000000000004</v>
      </c>
      <c r="AA1495" s="55">
        <f t="shared" si="330"/>
        <v>0</v>
      </c>
      <c r="AB1495" s="55">
        <f t="shared" si="331"/>
        <v>661.12638155768582</v>
      </c>
      <c r="AC1495" s="54">
        <f t="shared" si="332"/>
        <v>0.15447865648762726</v>
      </c>
      <c r="AD1495" s="56">
        <f>INDEX(Assumptions!$B$14:$B$16,MATCH($R1495,Assumptions!$A$14:$A$16,0))</f>
        <v>0.12</v>
      </c>
      <c r="AE1495" s="56">
        <f>INDEX(Assumptions!$C$14:$C$16,MATCH($R1495,Assumptions!$A$14:$A$16,0))</f>
        <v>0.08</v>
      </c>
      <c r="AF1495" s="49">
        <f t="shared" si="333"/>
        <v>0</v>
      </c>
      <c r="AG1495" s="49">
        <f t="shared" si="334"/>
        <v>0</v>
      </c>
      <c r="AH1495" s="55">
        <f t="shared" si="335"/>
        <v>0</v>
      </c>
    </row>
    <row r="1496" spans="1:34" x14ac:dyDescent="0.2">
      <c r="A1496" s="48" t="s">
        <v>1250</v>
      </c>
      <c r="B1496" s="48">
        <v>2</v>
      </c>
      <c r="C1496" s="48" t="s">
        <v>1251</v>
      </c>
      <c r="D1496" s="48" t="s">
        <v>1154</v>
      </c>
      <c r="E1496" s="48" t="s">
        <v>349</v>
      </c>
      <c r="F1496" s="48" t="s">
        <v>274</v>
      </c>
      <c r="G1496" s="48" t="s">
        <v>275</v>
      </c>
      <c r="H1496" s="48" t="s">
        <v>66</v>
      </c>
      <c r="I1496" s="48" t="s">
        <v>161</v>
      </c>
      <c r="J1496" s="49">
        <v>3</v>
      </c>
      <c r="K1496" s="50">
        <v>120</v>
      </c>
      <c r="L1496" s="50">
        <v>117.65</v>
      </c>
      <c r="M1496" s="48" t="s">
        <v>276</v>
      </c>
      <c r="N1496" s="51">
        <v>0.92</v>
      </c>
      <c r="O1496" s="51">
        <v>0.92830000000000001</v>
      </c>
      <c r="P1496" s="52">
        <v>81</v>
      </c>
      <c r="Q1496" s="52">
        <v>81</v>
      </c>
      <c r="R1496" s="53" t="str">
        <f>INDEX(SKU_Master!$D$5:$D$34,MATCH($I1496,SKU_Master!$A$5:$A$34,0))</f>
        <v>Accessory</v>
      </c>
      <c r="S1496" s="54">
        <f t="shared" si="322"/>
        <v>1.9583333333333286E-2</v>
      </c>
      <c r="T1496" s="55">
        <f t="shared" si="323"/>
        <v>391.30434782608694</v>
      </c>
      <c r="U1496" s="55">
        <f t="shared" si="324"/>
        <v>383.64130434782612</v>
      </c>
      <c r="V1496" s="55">
        <f t="shared" si="325"/>
        <v>-7.6630434782608177</v>
      </c>
      <c r="W1496" s="55">
        <f t="shared" si="326"/>
        <v>380.21113864052575</v>
      </c>
      <c r="X1496" s="55">
        <f t="shared" si="327"/>
        <v>-3.4301657073003753</v>
      </c>
      <c r="Y1496" s="55">
        <f t="shared" si="328"/>
        <v>243</v>
      </c>
      <c r="Z1496" s="55">
        <f t="shared" si="329"/>
        <v>243</v>
      </c>
      <c r="AA1496" s="55">
        <f t="shared" si="330"/>
        <v>0</v>
      </c>
      <c r="AB1496" s="55">
        <f t="shared" si="331"/>
        <v>137.21113864052575</v>
      </c>
      <c r="AC1496" s="54">
        <f t="shared" si="332"/>
        <v>0.360881427964301</v>
      </c>
      <c r="AD1496" s="56">
        <f>INDEX(Assumptions!$B$14:$B$16,MATCH($R1496,Assumptions!$A$14:$A$16,0))</f>
        <v>0.32</v>
      </c>
      <c r="AE1496" s="56">
        <f>INDEX(Assumptions!$C$14:$C$16,MATCH($R1496,Assumptions!$A$14:$A$16,0))</f>
        <v>0.22</v>
      </c>
      <c r="AF1496" s="49">
        <f t="shared" si="333"/>
        <v>0</v>
      </c>
      <c r="AG1496" s="49">
        <f t="shared" si="334"/>
        <v>0</v>
      </c>
      <c r="AH1496" s="55">
        <f t="shared" si="335"/>
        <v>0</v>
      </c>
    </row>
    <row r="1497" spans="1:34" x14ac:dyDescent="0.2">
      <c r="A1497" s="48" t="s">
        <v>1252</v>
      </c>
      <c r="B1497" s="48">
        <v>1</v>
      </c>
      <c r="C1497" s="48" t="s">
        <v>1168</v>
      </c>
      <c r="D1497" s="48" t="s">
        <v>1154</v>
      </c>
      <c r="E1497" s="48" t="s">
        <v>322</v>
      </c>
      <c r="F1497" s="48" t="s">
        <v>274</v>
      </c>
      <c r="G1497" s="48" t="s">
        <v>288</v>
      </c>
      <c r="H1497" s="48" t="s">
        <v>62</v>
      </c>
      <c r="I1497" s="48" t="s">
        <v>110</v>
      </c>
      <c r="J1497" s="49">
        <v>3</v>
      </c>
      <c r="K1497" s="50">
        <v>1165</v>
      </c>
      <c r="L1497" s="50">
        <v>1159.1500000000001</v>
      </c>
      <c r="M1497" s="48" t="s">
        <v>276</v>
      </c>
      <c r="N1497" s="51">
        <v>1</v>
      </c>
      <c r="O1497" s="51">
        <v>1</v>
      </c>
      <c r="P1497" s="52">
        <v>992.65</v>
      </c>
      <c r="Q1497" s="52">
        <v>992.65</v>
      </c>
      <c r="R1497" s="53" t="str">
        <f>INDEX(SKU_Master!$D$5:$D$34,MATCH($I1497,SKU_Master!$A$5:$A$34,0))</f>
        <v>Laptop</v>
      </c>
      <c r="S1497" s="54">
        <f t="shared" si="322"/>
        <v>5.0214592274677727E-3</v>
      </c>
      <c r="T1497" s="55">
        <f t="shared" si="323"/>
        <v>3495</v>
      </c>
      <c r="U1497" s="55">
        <f t="shared" si="324"/>
        <v>3477.4500000000003</v>
      </c>
      <c r="V1497" s="55">
        <f t="shared" si="325"/>
        <v>-17.549999999999727</v>
      </c>
      <c r="W1497" s="55">
        <f t="shared" si="326"/>
        <v>3477.4500000000003</v>
      </c>
      <c r="X1497" s="55">
        <f t="shared" si="327"/>
        <v>0</v>
      </c>
      <c r="Y1497" s="55">
        <f t="shared" si="328"/>
        <v>2977.95</v>
      </c>
      <c r="Z1497" s="55">
        <f t="shared" si="329"/>
        <v>2977.95</v>
      </c>
      <c r="AA1497" s="55">
        <f t="shared" si="330"/>
        <v>0</v>
      </c>
      <c r="AB1497" s="55">
        <f t="shared" si="331"/>
        <v>499.50000000000045</v>
      </c>
      <c r="AC1497" s="54">
        <f t="shared" si="332"/>
        <v>0.14363973601345825</v>
      </c>
      <c r="AD1497" s="56">
        <f>INDEX(Assumptions!$B$14:$B$16,MATCH($R1497,Assumptions!$A$14:$A$16,0))</f>
        <v>0.12</v>
      </c>
      <c r="AE1497" s="56">
        <f>INDEX(Assumptions!$C$14:$C$16,MATCH($R1497,Assumptions!$A$14:$A$16,0))</f>
        <v>0.08</v>
      </c>
      <c r="AF1497" s="49">
        <f t="shared" si="333"/>
        <v>0</v>
      </c>
      <c r="AG1497" s="49">
        <f t="shared" si="334"/>
        <v>0</v>
      </c>
      <c r="AH1497" s="55">
        <f t="shared" si="335"/>
        <v>0</v>
      </c>
    </row>
    <row r="1498" spans="1:34" x14ac:dyDescent="0.2">
      <c r="A1498" s="48" t="s">
        <v>1252</v>
      </c>
      <c r="B1498" s="48">
        <v>2</v>
      </c>
      <c r="C1498" s="48" t="s">
        <v>1168</v>
      </c>
      <c r="D1498" s="48" t="s">
        <v>1154</v>
      </c>
      <c r="E1498" s="48" t="s">
        <v>322</v>
      </c>
      <c r="F1498" s="48" t="s">
        <v>274</v>
      </c>
      <c r="G1498" s="48" t="s">
        <v>288</v>
      </c>
      <c r="H1498" s="48" t="s">
        <v>62</v>
      </c>
      <c r="I1498" s="48" t="s">
        <v>141</v>
      </c>
      <c r="J1498" s="49">
        <v>3</v>
      </c>
      <c r="K1498" s="50">
        <v>450</v>
      </c>
      <c r="L1498" s="50">
        <v>449.99</v>
      </c>
      <c r="M1498" s="48" t="s">
        <v>276</v>
      </c>
      <c r="N1498" s="51">
        <v>1</v>
      </c>
      <c r="O1498" s="51">
        <v>1</v>
      </c>
      <c r="P1498" s="52">
        <v>351.7</v>
      </c>
      <c r="Q1498" s="52">
        <v>351.7</v>
      </c>
      <c r="R1498" s="53" t="str">
        <f>INDEX(SKU_Master!$D$5:$D$34,MATCH($I1498,SKU_Master!$A$5:$A$34,0))</f>
        <v>Monitor</v>
      </c>
      <c r="S1498" s="54">
        <f t="shared" si="322"/>
        <v>2.2222222222256782E-5</v>
      </c>
      <c r="T1498" s="55">
        <f t="shared" si="323"/>
        <v>1350</v>
      </c>
      <c r="U1498" s="55">
        <f t="shared" si="324"/>
        <v>1349.97</v>
      </c>
      <c r="V1498" s="55">
        <f t="shared" si="325"/>
        <v>-2.9999999999972715E-2</v>
      </c>
      <c r="W1498" s="55">
        <f t="shared" si="326"/>
        <v>1349.97</v>
      </c>
      <c r="X1498" s="55">
        <f t="shared" si="327"/>
        <v>0</v>
      </c>
      <c r="Y1498" s="55">
        <f t="shared" si="328"/>
        <v>1055.0999999999999</v>
      </c>
      <c r="Z1498" s="55">
        <f t="shared" si="329"/>
        <v>1055.0999999999999</v>
      </c>
      <c r="AA1498" s="55">
        <f t="shared" si="330"/>
        <v>0</v>
      </c>
      <c r="AB1498" s="55">
        <f t="shared" si="331"/>
        <v>294.87000000000012</v>
      </c>
      <c r="AC1498" s="54">
        <f t="shared" si="332"/>
        <v>0.21842707615724802</v>
      </c>
      <c r="AD1498" s="56">
        <f>INDEX(Assumptions!$B$14:$B$16,MATCH($R1498,Assumptions!$A$14:$A$16,0))</f>
        <v>0.18</v>
      </c>
      <c r="AE1498" s="56">
        <f>INDEX(Assumptions!$C$14:$C$16,MATCH($R1498,Assumptions!$A$14:$A$16,0))</f>
        <v>0.12</v>
      </c>
      <c r="AF1498" s="49">
        <f t="shared" si="333"/>
        <v>0</v>
      </c>
      <c r="AG1498" s="49">
        <f t="shared" si="334"/>
        <v>0</v>
      </c>
      <c r="AH1498" s="55">
        <f t="shared" si="335"/>
        <v>0</v>
      </c>
    </row>
    <row r="1499" spans="1:34" x14ac:dyDescent="0.2">
      <c r="A1499" s="48" t="s">
        <v>1252</v>
      </c>
      <c r="B1499" s="48">
        <v>3</v>
      </c>
      <c r="C1499" s="48" t="s">
        <v>1168</v>
      </c>
      <c r="D1499" s="48" t="s">
        <v>1154</v>
      </c>
      <c r="E1499" s="48" t="s">
        <v>322</v>
      </c>
      <c r="F1499" s="48" t="s">
        <v>274</v>
      </c>
      <c r="G1499" s="48" t="s">
        <v>288</v>
      </c>
      <c r="H1499" s="48" t="s">
        <v>62</v>
      </c>
      <c r="I1499" s="48" t="s">
        <v>157</v>
      </c>
      <c r="J1499" s="49">
        <v>1</v>
      </c>
      <c r="K1499" s="50">
        <v>135</v>
      </c>
      <c r="L1499" s="50">
        <v>134.66999999999999</v>
      </c>
      <c r="M1499" s="48" t="s">
        <v>276</v>
      </c>
      <c r="N1499" s="51">
        <v>1</v>
      </c>
      <c r="O1499" s="51">
        <v>1</v>
      </c>
      <c r="P1499" s="52">
        <v>86</v>
      </c>
      <c r="Q1499" s="52">
        <v>86</v>
      </c>
      <c r="R1499" s="53" t="str">
        <f>INDEX(SKU_Master!$D$5:$D$34,MATCH($I1499,SKU_Master!$A$5:$A$34,0))</f>
        <v>Accessory</v>
      </c>
      <c r="S1499" s="54">
        <f t="shared" si="322"/>
        <v>2.4444444444445823E-3</v>
      </c>
      <c r="T1499" s="55">
        <f t="shared" si="323"/>
        <v>135</v>
      </c>
      <c r="U1499" s="55">
        <f t="shared" si="324"/>
        <v>134.66999999999999</v>
      </c>
      <c r="V1499" s="55">
        <f t="shared" si="325"/>
        <v>-0.33000000000001251</v>
      </c>
      <c r="W1499" s="55">
        <f t="shared" si="326"/>
        <v>134.66999999999999</v>
      </c>
      <c r="X1499" s="55">
        <f t="shared" si="327"/>
        <v>0</v>
      </c>
      <c r="Y1499" s="55">
        <f t="shared" si="328"/>
        <v>86</v>
      </c>
      <c r="Z1499" s="55">
        <f t="shared" si="329"/>
        <v>86</v>
      </c>
      <c r="AA1499" s="55">
        <f t="shared" si="330"/>
        <v>0</v>
      </c>
      <c r="AB1499" s="55">
        <f t="shared" si="331"/>
        <v>48.669999999999987</v>
      </c>
      <c r="AC1499" s="54">
        <f t="shared" si="332"/>
        <v>0.36140194549639854</v>
      </c>
      <c r="AD1499" s="56">
        <f>INDEX(Assumptions!$B$14:$B$16,MATCH($R1499,Assumptions!$A$14:$A$16,0))</f>
        <v>0.32</v>
      </c>
      <c r="AE1499" s="56">
        <f>INDEX(Assumptions!$C$14:$C$16,MATCH($R1499,Assumptions!$A$14:$A$16,0))</f>
        <v>0.22</v>
      </c>
      <c r="AF1499" s="49">
        <f t="shared" si="333"/>
        <v>0</v>
      </c>
      <c r="AG1499" s="49">
        <f t="shared" si="334"/>
        <v>0</v>
      </c>
      <c r="AH1499" s="55">
        <f t="shared" si="335"/>
        <v>0</v>
      </c>
    </row>
    <row r="1500" spans="1:34" x14ac:dyDescent="0.2">
      <c r="A1500" s="48" t="s">
        <v>1253</v>
      </c>
      <c r="B1500" s="48">
        <v>1</v>
      </c>
      <c r="C1500" s="48" t="s">
        <v>1156</v>
      </c>
      <c r="D1500" s="48" t="s">
        <v>1154</v>
      </c>
      <c r="E1500" s="48" t="s">
        <v>366</v>
      </c>
      <c r="F1500" s="48" t="s">
        <v>297</v>
      </c>
      <c r="G1500" s="48" t="s">
        <v>302</v>
      </c>
      <c r="H1500" s="48" t="s">
        <v>66</v>
      </c>
      <c r="I1500" s="48" t="s">
        <v>113</v>
      </c>
      <c r="J1500" s="49">
        <v>25</v>
      </c>
      <c r="K1500" s="50">
        <v>1655</v>
      </c>
      <c r="L1500" s="50">
        <v>1585.2</v>
      </c>
      <c r="M1500" s="48" t="s">
        <v>276</v>
      </c>
      <c r="N1500" s="51">
        <v>0.92</v>
      </c>
      <c r="O1500" s="51">
        <v>0.92830000000000001</v>
      </c>
      <c r="P1500" s="52">
        <v>1504.8</v>
      </c>
      <c r="Q1500" s="52">
        <v>1504.8</v>
      </c>
      <c r="R1500" s="53" t="str">
        <f>INDEX(SKU_Master!$D$5:$D$34,MATCH($I1500,SKU_Master!$A$5:$A$34,0))</f>
        <v>Laptop</v>
      </c>
      <c r="S1500" s="54">
        <f t="shared" si="322"/>
        <v>4.2175226586102732E-2</v>
      </c>
      <c r="T1500" s="55">
        <f t="shared" si="323"/>
        <v>44972.82608695652</v>
      </c>
      <c r="U1500" s="55">
        <f t="shared" si="324"/>
        <v>43076.086956521736</v>
      </c>
      <c r="V1500" s="55">
        <f t="shared" si="325"/>
        <v>-1896.7391304347839</v>
      </c>
      <c r="W1500" s="55">
        <f t="shared" si="326"/>
        <v>42690.940428740709</v>
      </c>
      <c r="X1500" s="55">
        <f t="shared" si="327"/>
        <v>-385.14652778102754</v>
      </c>
      <c r="Y1500" s="55">
        <f t="shared" si="328"/>
        <v>37620</v>
      </c>
      <c r="Z1500" s="55">
        <f t="shared" si="329"/>
        <v>37620</v>
      </c>
      <c r="AA1500" s="55">
        <f t="shared" si="330"/>
        <v>0</v>
      </c>
      <c r="AB1500" s="55">
        <f t="shared" si="331"/>
        <v>5070.9404287407087</v>
      </c>
      <c r="AC1500" s="54">
        <f t="shared" si="332"/>
        <v>0.11878258894776685</v>
      </c>
      <c r="AD1500" s="56">
        <f>INDEX(Assumptions!$B$14:$B$16,MATCH($R1500,Assumptions!$A$14:$A$16,0))</f>
        <v>0.12</v>
      </c>
      <c r="AE1500" s="56">
        <f>INDEX(Assumptions!$C$14:$C$16,MATCH($R1500,Assumptions!$A$14:$A$16,0))</f>
        <v>0.08</v>
      </c>
      <c r="AF1500" s="49">
        <f t="shared" si="333"/>
        <v>0</v>
      </c>
      <c r="AG1500" s="49">
        <f t="shared" si="334"/>
        <v>0</v>
      </c>
      <c r="AH1500" s="55">
        <f t="shared" si="335"/>
        <v>51.972422708176055</v>
      </c>
    </row>
    <row r="1501" spans="1:34" x14ac:dyDescent="0.2">
      <c r="A1501" s="48" t="s">
        <v>1253</v>
      </c>
      <c r="B1501" s="48">
        <v>2</v>
      </c>
      <c r="C1501" s="48" t="s">
        <v>1156</v>
      </c>
      <c r="D1501" s="48" t="s">
        <v>1154</v>
      </c>
      <c r="E1501" s="48" t="s">
        <v>366</v>
      </c>
      <c r="F1501" s="48" t="s">
        <v>297</v>
      </c>
      <c r="G1501" s="48" t="s">
        <v>302</v>
      </c>
      <c r="H1501" s="48" t="s">
        <v>66</v>
      </c>
      <c r="I1501" s="48" t="s">
        <v>166</v>
      </c>
      <c r="J1501" s="49">
        <v>13</v>
      </c>
      <c r="K1501" s="50">
        <v>255</v>
      </c>
      <c r="L1501" s="50">
        <v>236.9</v>
      </c>
      <c r="M1501" s="48" t="s">
        <v>276</v>
      </c>
      <c r="N1501" s="51">
        <v>0.92</v>
      </c>
      <c r="O1501" s="51">
        <v>0.92830000000000001</v>
      </c>
      <c r="P1501" s="52">
        <v>174.35</v>
      </c>
      <c r="Q1501" s="52">
        <v>174.35</v>
      </c>
      <c r="R1501" s="53" t="str">
        <f>INDEX(SKU_Master!$D$5:$D$34,MATCH($I1501,SKU_Master!$A$5:$A$34,0))</f>
        <v>Accessory</v>
      </c>
      <c r="S1501" s="54">
        <f t="shared" si="322"/>
        <v>7.0980392156862693E-2</v>
      </c>
      <c r="T1501" s="55">
        <f t="shared" si="323"/>
        <v>3603.260869565217</v>
      </c>
      <c r="U1501" s="55">
        <f t="shared" si="324"/>
        <v>3347.5</v>
      </c>
      <c r="V1501" s="55">
        <f t="shared" si="325"/>
        <v>-255.76086956521704</v>
      </c>
      <c r="W1501" s="55">
        <f t="shared" si="326"/>
        <v>3317.5697511580311</v>
      </c>
      <c r="X1501" s="55">
        <f t="shared" si="327"/>
        <v>-29.930248841968933</v>
      </c>
      <c r="Y1501" s="55">
        <f t="shared" si="328"/>
        <v>2266.5499999999997</v>
      </c>
      <c r="Z1501" s="55">
        <f t="shared" si="329"/>
        <v>2266.5499999999997</v>
      </c>
      <c r="AA1501" s="55">
        <f t="shared" si="330"/>
        <v>0</v>
      </c>
      <c r="AB1501" s="55">
        <f t="shared" si="331"/>
        <v>1051.0197511580313</v>
      </c>
      <c r="AC1501" s="54">
        <f t="shared" si="332"/>
        <v>0.31680411566061645</v>
      </c>
      <c r="AD1501" s="56">
        <f>INDEX(Assumptions!$B$14:$B$16,MATCH($R1501,Assumptions!$A$14:$A$16,0))</f>
        <v>0.32</v>
      </c>
      <c r="AE1501" s="56">
        <f>INDEX(Assumptions!$C$14:$C$16,MATCH($R1501,Assumptions!$A$14:$A$16,0))</f>
        <v>0.22</v>
      </c>
      <c r="AF1501" s="49">
        <f t="shared" si="333"/>
        <v>0</v>
      </c>
      <c r="AG1501" s="49">
        <f t="shared" si="334"/>
        <v>0</v>
      </c>
      <c r="AH1501" s="55">
        <f t="shared" si="335"/>
        <v>10.602569212538583</v>
      </c>
    </row>
    <row r="1502" spans="1:34" x14ac:dyDescent="0.2">
      <c r="A1502" s="48" t="s">
        <v>1254</v>
      </c>
      <c r="B1502" s="48">
        <v>1</v>
      </c>
      <c r="C1502" s="48" t="s">
        <v>1255</v>
      </c>
      <c r="D1502" s="48" t="s">
        <v>1154</v>
      </c>
      <c r="E1502" s="48" t="s">
        <v>427</v>
      </c>
      <c r="F1502" s="48" t="s">
        <v>297</v>
      </c>
      <c r="G1502" s="48" t="s">
        <v>302</v>
      </c>
      <c r="H1502" s="48" t="s">
        <v>66</v>
      </c>
      <c r="I1502" s="48" t="s">
        <v>98</v>
      </c>
      <c r="J1502" s="49">
        <v>42</v>
      </c>
      <c r="K1502" s="50">
        <v>1980</v>
      </c>
      <c r="L1502" s="50">
        <v>1830.38</v>
      </c>
      <c r="M1502" s="48" t="s">
        <v>276</v>
      </c>
      <c r="N1502" s="51">
        <v>0.92</v>
      </c>
      <c r="O1502" s="51">
        <v>0.92830000000000001</v>
      </c>
      <c r="P1502" s="52">
        <v>1800.2</v>
      </c>
      <c r="Q1502" s="52">
        <v>1800.2</v>
      </c>
      <c r="R1502" s="53" t="str">
        <f>INDEX(SKU_Master!$D$5:$D$34,MATCH($I1502,SKU_Master!$A$5:$A$34,0))</f>
        <v>Laptop</v>
      </c>
      <c r="S1502" s="54">
        <f t="shared" si="322"/>
        <v>7.5565656565656503E-2</v>
      </c>
      <c r="T1502" s="55">
        <f t="shared" si="323"/>
        <v>90391.304347826081</v>
      </c>
      <c r="U1502" s="55">
        <f t="shared" si="324"/>
        <v>83560.826086956527</v>
      </c>
      <c r="V1502" s="55">
        <f t="shared" si="325"/>
        <v>-6830.4782608695532</v>
      </c>
      <c r="W1502" s="55">
        <f t="shared" si="326"/>
        <v>82813.702466874936</v>
      </c>
      <c r="X1502" s="55">
        <f t="shared" si="327"/>
        <v>-747.12362008159107</v>
      </c>
      <c r="Y1502" s="55">
        <f t="shared" si="328"/>
        <v>75608.400000000009</v>
      </c>
      <c r="Z1502" s="55">
        <f t="shared" si="329"/>
        <v>75608.400000000009</v>
      </c>
      <c r="AA1502" s="55">
        <f t="shared" si="330"/>
        <v>0</v>
      </c>
      <c r="AB1502" s="55">
        <f t="shared" si="331"/>
        <v>7205.3024668749276</v>
      </c>
      <c r="AC1502" s="54">
        <f t="shared" si="332"/>
        <v>8.7006162654749225E-2</v>
      </c>
      <c r="AD1502" s="56">
        <f>INDEX(Assumptions!$B$14:$B$16,MATCH($R1502,Assumptions!$A$14:$A$16,0))</f>
        <v>0.12</v>
      </c>
      <c r="AE1502" s="56">
        <f>INDEX(Assumptions!$C$14:$C$16,MATCH($R1502,Assumptions!$A$14:$A$16,0))</f>
        <v>0.08</v>
      </c>
      <c r="AF1502" s="49">
        <f t="shared" si="333"/>
        <v>0</v>
      </c>
      <c r="AG1502" s="49">
        <f t="shared" si="334"/>
        <v>0</v>
      </c>
      <c r="AH1502" s="55">
        <f t="shared" si="335"/>
        <v>2732.3418291500639</v>
      </c>
    </row>
    <row r="1503" spans="1:34" x14ac:dyDescent="0.2">
      <c r="A1503" s="48" t="s">
        <v>1254</v>
      </c>
      <c r="B1503" s="48">
        <v>2</v>
      </c>
      <c r="C1503" s="48" t="s">
        <v>1255</v>
      </c>
      <c r="D1503" s="48" t="s">
        <v>1154</v>
      </c>
      <c r="E1503" s="48" t="s">
        <v>427</v>
      </c>
      <c r="F1503" s="48" t="s">
        <v>297</v>
      </c>
      <c r="G1503" s="48" t="s">
        <v>302</v>
      </c>
      <c r="H1503" s="48" t="s">
        <v>66</v>
      </c>
      <c r="I1503" s="48" t="s">
        <v>135</v>
      </c>
      <c r="J1503" s="49">
        <v>29</v>
      </c>
      <c r="K1503" s="50">
        <v>255</v>
      </c>
      <c r="L1503" s="50">
        <v>234.87</v>
      </c>
      <c r="M1503" s="48" t="s">
        <v>276</v>
      </c>
      <c r="N1503" s="51">
        <v>0.92</v>
      </c>
      <c r="O1503" s="51">
        <v>0.92830000000000001</v>
      </c>
      <c r="P1503" s="52">
        <v>211.7</v>
      </c>
      <c r="Q1503" s="52">
        <v>211.7</v>
      </c>
      <c r="R1503" s="53" t="str">
        <f>INDEX(SKU_Master!$D$5:$D$34,MATCH($I1503,SKU_Master!$A$5:$A$34,0))</f>
        <v>Monitor</v>
      </c>
      <c r="S1503" s="54">
        <f t="shared" si="322"/>
        <v>7.8941176470588181E-2</v>
      </c>
      <c r="T1503" s="55">
        <f t="shared" si="323"/>
        <v>8038.0434782608691</v>
      </c>
      <c r="U1503" s="55">
        <f t="shared" si="324"/>
        <v>7403.5108695652179</v>
      </c>
      <c r="V1503" s="55">
        <f t="shared" si="325"/>
        <v>-634.53260869565111</v>
      </c>
      <c r="W1503" s="55">
        <f t="shared" si="326"/>
        <v>7337.3155229990307</v>
      </c>
      <c r="X1503" s="55">
        <f t="shared" si="327"/>
        <v>-66.195346566187254</v>
      </c>
      <c r="Y1503" s="55">
        <f t="shared" si="328"/>
        <v>6139.2999999999993</v>
      </c>
      <c r="Z1503" s="55">
        <f t="shared" si="329"/>
        <v>6139.2999999999993</v>
      </c>
      <c r="AA1503" s="55">
        <f t="shared" si="330"/>
        <v>0</v>
      </c>
      <c r="AB1503" s="55">
        <f t="shared" si="331"/>
        <v>1198.0155229990314</v>
      </c>
      <c r="AC1503" s="54">
        <f t="shared" si="332"/>
        <v>0.16327708945374048</v>
      </c>
      <c r="AD1503" s="56">
        <f>INDEX(Assumptions!$B$14:$B$16,MATCH($R1503,Assumptions!$A$14:$A$16,0))</f>
        <v>0.18</v>
      </c>
      <c r="AE1503" s="56">
        <f>INDEX(Assumptions!$C$14:$C$16,MATCH($R1503,Assumptions!$A$14:$A$16,0))</f>
        <v>0.12</v>
      </c>
      <c r="AF1503" s="49">
        <f t="shared" si="333"/>
        <v>0</v>
      </c>
      <c r="AG1503" s="49">
        <f t="shared" si="334"/>
        <v>0</v>
      </c>
      <c r="AH1503" s="55">
        <f t="shared" si="335"/>
        <v>122.70127114079401</v>
      </c>
    </row>
    <row r="1504" spans="1:34" x14ac:dyDescent="0.2">
      <c r="A1504" s="48" t="s">
        <v>1254</v>
      </c>
      <c r="B1504" s="48">
        <v>3</v>
      </c>
      <c r="C1504" s="48" t="s">
        <v>1255</v>
      </c>
      <c r="D1504" s="48" t="s">
        <v>1154</v>
      </c>
      <c r="E1504" s="48" t="s">
        <v>427</v>
      </c>
      <c r="F1504" s="48" t="s">
        <v>297</v>
      </c>
      <c r="G1504" s="48" t="s">
        <v>302</v>
      </c>
      <c r="H1504" s="48" t="s">
        <v>66</v>
      </c>
      <c r="I1504" s="48" t="s">
        <v>161</v>
      </c>
      <c r="J1504" s="49">
        <v>22</v>
      </c>
      <c r="K1504" s="50">
        <v>120</v>
      </c>
      <c r="L1504" s="50">
        <v>114.94</v>
      </c>
      <c r="M1504" s="48" t="s">
        <v>276</v>
      </c>
      <c r="N1504" s="51">
        <v>0.92</v>
      </c>
      <c r="O1504" s="51">
        <v>0.92830000000000001</v>
      </c>
      <c r="P1504" s="52">
        <v>81</v>
      </c>
      <c r="Q1504" s="52">
        <v>81</v>
      </c>
      <c r="R1504" s="53" t="str">
        <f>INDEX(SKU_Master!$D$5:$D$34,MATCH($I1504,SKU_Master!$A$5:$A$34,0))</f>
        <v>Accessory</v>
      </c>
      <c r="S1504" s="54">
        <f t="shared" si="322"/>
        <v>4.2166666666666686E-2</v>
      </c>
      <c r="T1504" s="55">
        <f t="shared" si="323"/>
        <v>2869.565217391304</v>
      </c>
      <c r="U1504" s="55">
        <f t="shared" si="324"/>
        <v>2748.565217391304</v>
      </c>
      <c r="V1504" s="55">
        <f t="shared" si="325"/>
        <v>-121</v>
      </c>
      <c r="W1504" s="55">
        <f t="shared" si="326"/>
        <v>2723.9900894107504</v>
      </c>
      <c r="X1504" s="55">
        <f t="shared" si="327"/>
        <v>-24.575127980553589</v>
      </c>
      <c r="Y1504" s="55">
        <f t="shared" si="328"/>
        <v>1782</v>
      </c>
      <c r="Z1504" s="55">
        <f t="shared" si="329"/>
        <v>1782</v>
      </c>
      <c r="AA1504" s="55">
        <f t="shared" si="330"/>
        <v>0</v>
      </c>
      <c r="AB1504" s="55">
        <f t="shared" si="331"/>
        <v>941.99008941075044</v>
      </c>
      <c r="AC1504" s="54">
        <f t="shared" si="332"/>
        <v>0.34581259787715318</v>
      </c>
      <c r="AD1504" s="56">
        <f>INDEX(Assumptions!$B$14:$B$16,MATCH($R1504,Assumptions!$A$14:$A$16,0))</f>
        <v>0.32</v>
      </c>
      <c r="AE1504" s="56">
        <f>INDEX(Assumptions!$C$14:$C$16,MATCH($R1504,Assumptions!$A$14:$A$16,0))</f>
        <v>0.22</v>
      </c>
      <c r="AF1504" s="49">
        <f t="shared" si="333"/>
        <v>0</v>
      </c>
      <c r="AG1504" s="49">
        <f t="shared" si="334"/>
        <v>0</v>
      </c>
      <c r="AH1504" s="55">
        <f t="shared" si="335"/>
        <v>0</v>
      </c>
    </row>
    <row r="1505" spans="1:34" x14ac:dyDescent="0.2">
      <c r="A1505" s="48" t="s">
        <v>1256</v>
      </c>
      <c r="B1505" s="48">
        <v>1</v>
      </c>
      <c r="C1505" s="48" t="s">
        <v>1257</v>
      </c>
      <c r="D1505" s="48" t="s">
        <v>1258</v>
      </c>
      <c r="E1505" s="48" t="s">
        <v>366</v>
      </c>
      <c r="F1505" s="48" t="s">
        <v>297</v>
      </c>
      <c r="G1505" s="48" t="s">
        <v>302</v>
      </c>
      <c r="H1505" s="48" t="s">
        <v>66</v>
      </c>
      <c r="I1505" s="48" t="s">
        <v>110</v>
      </c>
      <c r="J1505" s="49">
        <v>61</v>
      </c>
      <c r="K1505" s="50">
        <v>1115</v>
      </c>
      <c r="L1505" s="50">
        <v>1041.7</v>
      </c>
      <c r="M1505" s="48" t="s">
        <v>276</v>
      </c>
      <c r="N1505" s="51">
        <v>0.92</v>
      </c>
      <c r="O1505" s="51">
        <v>0.9335</v>
      </c>
      <c r="P1505" s="52">
        <v>1012.65</v>
      </c>
      <c r="Q1505" s="52">
        <v>1012.65</v>
      </c>
      <c r="R1505" s="53" t="str">
        <f>INDEX(SKU_Master!$D$5:$D$34,MATCH($I1505,SKU_Master!$A$5:$A$34,0))</f>
        <v>Laptop</v>
      </c>
      <c r="S1505" s="54">
        <f t="shared" si="322"/>
        <v>6.5739910313901251E-2</v>
      </c>
      <c r="T1505" s="55">
        <f t="shared" si="323"/>
        <v>73929.34782608696</v>
      </c>
      <c r="U1505" s="55">
        <f t="shared" si="324"/>
        <v>69069.239130434784</v>
      </c>
      <c r="V1505" s="55">
        <f t="shared" si="325"/>
        <v>-4860.1086956521758</v>
      </c>
      <c r="W1505" s="55">
        <f t="shared" si="326"/>
        <v>68070.380289234075</v>
      </c>
      <c r="X1505" s="55">
        <f t="shared" si="327"/>
        <v>-998.85884120070841</v>
      </c>
      <c r="Y1505" s="55">
        <f t="shared" si="328"/>
        <v>61771.65</v>
      </c>
      <c r="Z1505" s="55">
        <f t="shared" si="329"/>
        <v>61771.65</v>
      </c>
      <c r="AA1505" s="55">
        <f t="shared" si="330"/>
        <v>0</v>
      </c>
      <c r="AB1505" s="55">
        <f t="shared" si="331"/>
        <v>6298.730289234074</v>
      </c>
      <c r="AC1505" s="54">
        <f t="shared" si="332"/>
        <v>9.2532614956321507E-2</v>
      </c>
      <c r="AD1505" s="56">
        <f>INDEX(Assumptions!$B$14:$B$16,MATCH($R1505,Assumptions!$A$14:$A$16,0))</f>
        <v>0.12</v>
      </c>
      <c r="AE1505" s="56">
        <f>INDEX(Assumptions!$C$14:$C$16,MATCH($R1505,Assumptions!$A$14:$A$16,0))</f>
        <v>0.08</v>
      </c>
      <c r="AF1505" s="49">
        <f t="shared" si="333"/>
        <v>0</v>
      </c>
      <c r="AG1505" s="49">
        <f t="shared" si="334"/>
        <v>0</v>
      </c>
      <c r="AH1505" s="55">
        <f t="shared" si="335"/>
        <v>1869.7153454740146</v>
      </c>
    </row>
    <row r="1506" spans="1:34" x14ac:dyDescent="0.2">
      <c r="A1506" s="48" t="s">
        <v>1256</v>
      </c>
      <c r="B1506" s="48">
        <v>2</v>
      </c>
      <c r="C1506" s="48" t="s">
        <v>1257</v>
      </c>
      <c r="D1506" s="48" t="s">
        <v>1258</v>
      </c>
      <c r="E1506" s="48" t="s">
        <v>366</v>
      </c>
      <c r="F1506" s="48" t="s">
        <v>297</v>
      </c>
      <c r="G1506" s="48" t="s">
        <v>302</v>
      </c>
      <c r="H1506" s="48" t="s">
        <v>66</v>
      </c>
      <c r="I1506" s="48" t="s">
        <v>161</v>
      </c>
      <c r="J1506" s="49">
        <v>63</v>
      </c>
      <c r="K1506" s="50">
        <v>120</v>
      </c>
      <c r="L1506" s="50">
        <v>110.24</v>
      </c>
      <c r="M1506" s="48" t="s">
        <v>276</v>
      </c>
      <c r="N1506" s="51">
        <v>0.92</v>
      </c>
      <c r="O1506" s="51">
        <v>0.9335</v>
      </c>
      <c r="P1506" s="52">
        <v>81</v>
      </c>
      <c r="Q1506" s="52">
        <v>81</v>
      </c>
      <c r="R1506" s="53" t="str">
        <f>INDEX(SKU_Master!$D$5:$D$34,MATCH($I1506,SKU_Master!$A$5:$A$34,0))</f>
        <v>Accessory</v>
      </c>
      <c r="S1506" s="54">
        <f t="shared" si="322"/>
        <v>8.1333333333333369E-2</v>
      </c>
      <c r="T1506" s="55">
        <f t="shared" si="323"/>
        <v>8217.391304347826</v>
      </c>
      <c r="U1506" s="55">
        <f t="shared" si="324"/>
        <v>7549.0434782608691</v>
      </c>
      <c r="V1506" s="55">
        <f t="shared" si="325"/>
        <v>-668.34782608695696</v>
      </c>
      <c r="W1506" s="55">
        <f t="shared" si="326"/>
        <v>7439.8714515265128</v>
      </c>
      <c r="X1506" s="55">
        <f t="shared" si="327"/>
        <v>-109.17202673435622</v>
      </c>
      <c r="Y1506" s="55">
        <f t="shared" si="328"/>
        <v>5103</v>
      </c>
      <c r="Z1506" s="55">
        <f t="shared" si="329"/>
        <v>5103</v>
      </c>
      <c r="AA1506" s="55">
        <f t="shared" si="330"/>
        <v>0</v>
      </c>
      <c r="AB1506" s="55">
        <f t="shared" si="331"/>
        <v>2336.8714515265128</v>
      </c>
      <c r="AC1506" s="54">
        <f t="shared" si="332"/>
        <v>0.31410105224963714</v>
      </c>
      <c r="AD1506" s="56">
        <f>INDEX(Assumptions!$B$14:$B$16,MATCH($R1506,Assumptions!$A$14:$A$16,0))</f>
        <v>0.32</v>
      </c>
      <c r="AE1506" s="56">
        <f>INDEX(Assumptions!$C$14:$C$16,MATCH($R1506,Assumptions!$A$14:$A$16,0))</f>
        <v>0.22</v>
      </c>
      <c r="AF1506" s="49">
        <f t="shared" si="333"/>
        <v>0</v>
      </c>
      <c r="AG1506" s="49">
        <f t="shared" si="334"/>
        <v>0</v>
      </c>
      <c r="AH1506" s="55">
        <f t="shared" si="335"/>
        <v>43.887412961971222</v>
      </c>
    </row>
    <row r="1507" spans="1:34" x14ac:dyDescent="0.2">
      <c r="A1507" s="48" t="s">
        <v>1259</v>
      </c>
      <c r="B1507" s="48">
        <v>1</v>
      </c>
      <c r="C1507" s="48" t="s">
        <v>1260</v>
      </c>
      <c r="D1507" s="48" t="s">
        <v>1258</v>
      </c>
      <c r="E1507" s="48" t="s">
        <v>407</v>
      </c>
      <c r="F1507" s="48" t="s">
        <v>274</v>
      </c>
      <c r="G1507" s="48" t="s">
        <v>302</v>
      </c>
      <c r="H1507" s="48" t="s">
        <v>62</v>
      </c>
      <c r="I1507" s="48" t="s">
        <v>113</v>
      </c>
      <c r="J1507" s="49">
        <v>4</v>
      </c>
      <c r="K1507" s="50">
        <v>1740</v>
      </c>
      <c r="L1507" s="50">
        <v>1732.76</v>
      </c>
      <c r="M1507" s="48" t="s">
        <v>276</v>
      </c>
      <c r="N1507" s="51">
        <v>1</v>
      </c>
      <c r="O1507" s="51">
        <v>1</v>
      </c>
      <c r="P1507" s="52">
        <v>1484.8</v>
      </c>
      <c r="Q1507" s="52">
        <v>1484.8</v>
      </c>
      <c r="R1507" s="53" t="str">
        <f>INDEX(SKU_Master!$D$5:$D$34,MATCH($I1507,SKU_Master!$A$5:$A$34,0))</f>
        <v>Laptop</v>
      </c>
      <c r="S1507" s="54">
        <f t="shared" si="322"/>
        <v>4.1609195402299015E-3</v>
      </c>
      <c r="T1507" s="55">
        <f t="shared" si="323"/>
        <v>6960</v>
      </c>
      <c r="U1507" s="55">
        <f t="shared" si="324"/>
        <v>6931.04</v>
      </c>
      <c r="V1507" s="55">
        <f t="shared" si="325"/>
        <v>-28.960000000000036</v>
      </c>
      <c r="W1507" s="55">
        <f t="shared" si="326"/>
        <v>6931.04</v>
      </c>
      <c r="X1507" s="55">
        <f t="shared" si="327"/>
        <v>0</v>
      </c>
      <c r="Y1507" s="55">
        <f t="shared" si="328"/>
        <v>5939.2</v>
      </c>
      <c r="Z1507" s="55">
        <f t="shared" si="329"/>
        <v>5939.2</v>
      </c>
      <c r="AA1507" s="55">
        <f t="shared" si="330"/>
        <v>0</v>
      </c>
      <c r="AB1507" s="55">
        <f t="shared" si="331"/>
        <v>991.84000000000015</v>
      </c>
      <c r="AC1507" s="54">
        <f t="shared" si="332"/>
        <v>0.14310117962095156</v>
      </c>
      <c r="AD1507" s="56">
        <f>INDEX(Assumptions!$B$14:$B$16,MATCH($R1507,Assumptions!$A$14:$A$16,0))</f>
        <v>0.12</v>
      </c>
      <c r="AE1507" s="56">
        <f>INDEX(Assumptions!$C$14:$C$16,MATCH($R1507,Assumptions!$A$14:$A$16,0))</f>
        <v>0.08</v>
      </c>
      <c r="AF1507" s="49">
        <f t="shared" si="333"/>
        <v>0</v>
      </c>
      <c r="AG1507" s="49">
        <f t="shared" si="334"/>
        <v>0</v>
      </c>
      <c r="AH1507" s="55">
        <f t="shared" si="335"/>
        <v>0</v>
      </c>
    </row>
    <row r="1508" spans="1:34" x14ac:dyDescent="0.2">
      <c r="A1508" s="48" t="s">
        <v>1261</v>
      </c>
      <c r="B1508" s="48">
        <v>1</v>
      </c>
      <c r="C1508" s="48" t="s">
        <v>1262</v>
      </c>
      <c r="D1508" s="48" t="s">
        <v>1258</v>
      </c>
      <c r="E1508" s="48" t="s">
        <v>437</v>
      </c>
      <c r="F1508" s="48" t="s">
        <v>274</v>
      </c>
      <c r="G1508" s="48" t="s">
        <v>302</v>
      </c>
      <c r="H1508" s="48" t="s">
        <v>62</v>
      </c>
      <c r="I1508" s="48" t="s">
        <v>93</v>
      </c>
      <c r="J1508" s="49">
        <v>8</v>
      </c>
      <c r="K1508" s="50">
        <v>1390</v>
      </c>
      <c r="L1508" s="50">
        <v>1329.15</v>
      </c>
      <c r="M1508" s="48" t="s">
        <v>276</v>
      </c>
      <c r="N1508" s="51">
        <v>1</v>
      </c>
      <c r="O1508" s="51">
        <v>1</v>
      </c>
      <c r="P1508" s="52">
        <v>1186.2</v>
      </c>
      <c r="Q1508" s="52">
        <v>1186.2</v>
      </c>
      <c r="R1508" s="53" t="str">
        <f>INDEX(SKU_Master!$D$5:$D$34,MATCH($I1508,SKU_Master!$A$5:$A$34,0))</f>
        <v>Laptop</v>
      </c>
      <c r="S1508" s="54">
        <f t="shared" si="322"/>
        <v>4.3776978417266132E-2</v>
      </c>
      <c r="T1508" s="55">
        <f t="shared" si="323"/>
        <v>11120</v>
      </c>
      <c r="U1508" s="55">
        <f t="shared" si="324"/>
        <v>10633.2</v>
      </c>
      <c r="V1508" s="55">
        <f t="shared" si="325"/>
        <v>-486.79999999999927</v>
      </c>
      <c r="W1508" s="55">
        <f t="shared" si="326"/>
        <v>10633.2</v>
      </c>
      <c r="X1508" s="55">
        <f t="shared" si="327"/>
        <v>0</v>
      </c>
      <c r="Y1508" s="55">
        <f t="shared" si="328"/>
        <v>9489.6</v>
      </c>
      <c r="Z1508" s="55">
        <f t="shared" si="329"/>
        <v>9489.6</v>
      </c>
      <c r="AA1508" s="55">
        <f t="shared" si="330"/>
        <v>0</v>
      </c>
      <c r="AB1508" s="55">
        <f t="shared" si="331"/>
        <v>1143.6000000000004</v>
      </c>
      <c r="AC1508" s="54">
        <f t="shared" si="332"/>
        <v>0.1075499379302562</v>
      </c>
      <c r="AD1508" s="56">
        <f>INDEX(Assumptions!$B$14:$B$16,MATCH($R1508,Assumptions!$A$14:$A$16,0))</f>
        <v>0.12</v>
      </c>
      <c r="AE1508" s="56">
        <f>INDEX(Assumptions!$C$14:$C$16,MATCH($R1508,Assumptions!$A$14:$A$16,0))</f>
        <v>0.08</v>
      </c>
      <c r="AF1508" s="49">
        <f t="shared" si="333"/>
        <v>0</v>
      </c>
      <c r="AG1508" s="49">
        <f t="shared" si="334"/>
        <v>0</v>
      </c>
      <c r="AH1508" s="55">
        <f t="shared" si="335"/>
        <v>132.38399999999979</v>
      </c>
    </row>
    <row r="1509" spans="1:34" x14ac:dyDescent="0.2">
      <c r="A1509" s="48" t="s">
        <v>1261</v>
      </c>
      <c r="B1509" s="48">
        <v>2</v>
      </c>
      <c r="C1509" s="48" t="s">
        <v>1262</v>
      </c>
      <c r="D1509" s="48" t="s">
        <v>1258</v>
      </c>
      <c r="E1509" s="48" t="s">
        <v>437</v>
      </c>
      <c r="F1509" s="48" t="s">
        <v>274</v>
      </c>
      <c r="G1509" s="48" t="s">
        <v>302</v>
      </c>
      <c r="H1509" s="48" t="s">
        <v>62</v>
      </c>
      <c r="I1509" s="48" t="s">
        <v>173</v>
      </c>
      <c r="J1509" s="49">
        <v>8</v>
      </c>
      <c r="K1509" s="50">
        <v>55</v>
      </c>
      <c r="L1509" s="50">
        <v>52.37</v>
      </c>
      <c r="M1509" s="48" t="s">
        <v>276</v>
      </c>
      <c r="N1509" s="51">
        <v>1</v>
      </c>
      <c r="O1509" s="51">
        <v>1</v>
      </c>
      <c r="P1509" s="52">
        <v>34</v>
      </c>
      <c r="Q1509" s="52">
        <v>34</v>
      </c>
      <c r="R1509" s="53" t="str">
        <f>INDEX(SKU_Master!$D$5:$D$34,MATCH($I1509,SKU_Master!$A$5:$A$34,0))</f>
        <v>Accessory</v>
      </c>
      <c r="S1509" s="54">
        <f t="shared" si="322"/>
        <v>4.7818181818181871E-2</v>
      </c>
      <c r="T1509" s="55">
        <f t="shared" si="323"/>
        <v>440</v>
      </c>
      <c r="U1509" s="55">
        <f t="shared" si="324"/>
        <v>418.96</v>
      </c>
      <c r="V1509" s="55">
        <f t="shared" si="325"/>
        <v>-21.04000000000002</v>
      </c>
      <c r="W1509" s="55">
        <f t="shared" si="326"/>
        <v>418.96</v>
      </c>
      <c r="X1509" s="55">
        <f t="shared" si="327"/>
        <v>0</v>
      </c>
      <c r="Y1509" s="55">
        <f t="shared" si="328"/>
        <v>272</v>
      </c>
      <c r="Z1509" s="55">
        <f t="shared" si="329"/>
        <v>272</v>
      </c>
      <c r="AA1509" s="55">
        <f t="shared" si="330"/>
        <v>0</v>
      </c>
      <c r="AB1509" s="55">
        <f t="shared" si="331"/>
        <v>146.95999999999998</v>
      </c>
      <c r="AC1509" s="54">
        <f t="shared" si="332"/>
        <v>0.35077334351728084</v>
      </c>
      <c r="AD1509" s="56">
        <f>INDEX(Assumptions!$B$14:$B$16,MATCH($R1509,Assumptions!$A$14:$A$16,0))</f>
        <v>0.32</v>
      </c>
      <c r="AE1509" s="56">
        <f>INDEX(Assumptions!$C$14:$C$16,MATCH($R1509,Assumptions!$A$14:$A$16,0))</f>
        <v>0.22</v>
      </c>
      <c r="AF1509" s="49">
        <f t="shared" si="333"/>
        <v>0</v>
      </c>
      <c r="AG1509" s="49">
        <f t="shared" si="334"/>
        <v>0</v>
      </c>
      <c r="AH1509" s="55">
        <f t="shared" si="335"/>
        <v>0</v>
      </c>
    </row>
    <row r="1510" spans="1:34" x14ac:dyDescent="0.2">
      <c r="A1510" s="48" t="s">
        <v>1263</v>
      </c>
      <c r="B1510" s="48">
        <v>1</v>
      </c>
      <c r="C1510" s="48" t="s">
        <v>1264</v>
      </c>
      <c r="D1510" s="48" t="s">
        <v>1258</v>
      </c>
      <c r="E1510" s="48" t="s">
        <v>333</v>
      </c>
      <c r="F1510" s="48" t="s">
        <v>297</v>
      </c>
      <c r="G1510" s="48" t="s">
        <v>302</v>
      </c>
      <c r="H1510" s="48" t="s">
        <v>70</v>
      </c>
      <c r="I1510" s="48" t="s">
        <v>98</v>
      </c>
      <c r="J1510" s="49">
        <v>69</v>
      </c>
      <c r="K1510" s="50">
        <v>200480</v>
      </c>
      <c r="L1510" s="50">
        <v>187967.41</v>
      </c>
      <c r="M1510" s="48" t="s">
        <v>276</v>
      </c>
      <c r="N1510" s="51">
        <v>83.5</v>
      </c>
      <c r="O1510" s="51">
        <v>84.612200000000001</v>
      </c>
      <c r="P1510" s="52">
        <v>2011.04</v>
      </c>
      <c r="Q1510" s="52">
        <v>2031.04</v>
      </c>
      <c r="R1510" s="53" t="str">
        <f>INDEX(SKU_Master!$D$5:$D$34,MATCH($I1510,SKU_Master!$A$5:$A$34,0))</f>
        <v>Laptop</v>
      </c>
      <c r="S1510" s="54">
        <f t="shared" si="322"/>
        <v>6.2413158419792447E-2</v>
      </c>
      <c r="T1510" s="55">
        <f t="shared" si="323"/>
        <v>165666.10778443114</v>
      </c>
      <c r="U1510" s="55">
        <f t="shared" si="324"/>
        <v>155326.36275449104</v>
      </c>
      <c r="V1510" s="55">
        <f t="shared" si="325"/>
        <v>-10339.745029940095</v>
      </c>
      <c r="W1510" s="55">
        <f t="shared" si="326"/>
        <v>153284.64795856862</v>
      </c>
      <c r="X1510" s="55">
        <f t="shared" si="327"/>
        <v>-2041.7147959224239</v>
      </c>
      <c r="Y1510" s="55">
        <f t="shared" si="328"/>
        <v>138761.76</v>
      </c>
      <c r="Z1510" s="55">
        <f t="shared" si="329"/>
        <v>140141.76000000001</v>
      </c>
      <c r="AA1510" s="55">
        <f t="shared" si="330"/>
        <v>-1380</v>
      </c>
      <c r="AB1510" s="55">
        <f t="shared" si="331"/>
        <v>13142.887958568608</v>
      </c>
      <c r="AC1510" s="54">
        <f t="shared" si="332"/>
        <v>8.5741710821040637E-2</v>
      </c>
      <c r="AD1510" s="56">
        <f>INDEX(Assumptions!$B$14:$B$16,MATCH($R1510,Assumptions!$A$14:$A$16,0))</f>
        <v>0.12</v>
      </c>
      <c r="AE1510" s="56">
        <f>INDEX(Assumptions!$C$14:$C$16,MATCH($R1510,Assumptions!$A$14:$A$16,0))</f>
        <v>0.08</v>
      </c>
      <c r="AF1510" s="49">
        <f t="shared" si="333"/>
        <v>0</v>
      </c>
      <c r="AG1510" s="49">
        <f t="shared" si="334"/>
        <v>0</v>
      </c>
      <c r="AH1510" s="55">
        <f t="shared" si="335"/>
        <v>5251.2697964596264</v>
      </c>
    </row>
    <row r="1511" spans="1:34" x14ac:dyDescent="0.2">
      <c r="A1511" s="48" t="s">
        <v>1263</v>
      </c>
      <c r="B1511" s="48">
        <v>2</v>
      </c>
      <c r="C1511" s="48" t="s">
        <v>1264</v>
      </c>
      <c r="D1511" s="48" t="s">
        <v>1258</v>
      </c>
      <c r="E1511" s="48" t="s">
        <v>333</v>
      </c>
      <c r="F1511" s="48" t="s">
        <v>297</v>
      </c>
      <c r="G1511" s="48" t="s">
        <v>302</v>
      </c>
      <c r="H1511" s="48" t="s">
        <v>70</v>
      </c>
      <c r="I1511" s="48" t="s">
        <v>135</v>
      </c>
      <c r="J1511" s="49">
        <v>63</v>
      </c>
      <c r="K1511" s="50">
        <v>26950</v>
      </c>
      <c r="L1511" s="50">
        <v>25370.06</v>
      </c>
      <c r="M1511" s="48" t="s">
        <v>276</v>
      </c>
      <c r="N1511" s="51">
        <v>83.5</v>
      </c>
      <c r="O1511" s="51">
        <v>84.612200000000001</v>
      </c>
      <c r="P1511" s="52">
        <v>249.49</v>
      </c>
      <c r="Q1511" s="52">
        <v>269.49</v>
      </c>
      <c r="R1511" s="53" t="str">
        <f>INDEX(SKU_Master!$D$5:$D$34,MATCH($I1511,SKU_Master!$A$5:$A$34,0))</f>
        <v>Monitor</v>
      </c>
      <c r="S1511" s="54">
        <f t="shared" si="322"/>
        <v>5.8624860853432215E-2</v>
      </c>
      <c r="T1511" s="55">
        <f t="shared" si="323"/>
        <v>20333.532934131737</v>
      </c>
      <c r="U1511" s="55">
        <f t="shared" si="324"/>
        <v>19141.482395209579</v>
      </c>
      <c r="V1511" s="55">
        <f t="shared" si="325"/>
        <v>-1192.050538922158</v>
      </c>
      <c r="W1511" s="55">
        <f t="shared" si="326"/>
        <v>18889.873800704863</v>
      </c>
      <c r="X1511" s="55">
        <f t="shared" si="327"/>
        <v>-251.60859450471617</v>
      </c>
      <c r="Y1511" s="55">
        <f t="shared" si="328"/>
        <v>15717.87</v>
      </c>
      <c r="Z1511" s="55">
        <f t="shared" si="329"/>
        <v>16977.87</v>
      </c>
      <c r="AA1511" s="55">
        <f t="shared" si="330"/>
        <v>-1259.9999999999982</v>
      </c>
      <c r="AB1511" s="55">
        <f t="shared" si="331"/>
        <v>1912.0038007048643</v>
      </c>
      <c r="AC1511" s="54">
        <f t="shared" si="332"/>
        <v>0.10121845285348169</v>
      </c>
      <c r="AD1511" s="56">
        <f>INDEX(Assumptions!$B$14:$B$16,MATCH($R1511,Assumptions!$A$14:$A$16,0))</f>
        <v>0.18</v>
      </c>
      <c r="AE1511" s="56">
        <f>INDEX(Assumptions!$C$14:$C$16,MATCH($R1511,Assumptions!$A$14:$A$16,0))</f>
        <v>0.12</v>
      </c>
      <c r="AF1511" s="49">
        <f t="shared" si="333"/>
        <v>1</v>
      </c>
      <c r="AG1511" s="49">
        <f t="shared" si="334"/>
        <v>1</v>
      </c>
      <c r="AH1511" s="55">
        <f t="shared" si="335"/>
        <v>1488.173483422011</v>
      </c>
    </row>
    <row r="1512" spans="1:34" x14ac:dyDescent="0.2">
      <c r="A1512" s="48" t="s">
        <v>1263</v>
      </c>
      <c r="B1512" s="48">
        <v>3</v>
      </c>
      <c r="C1512" s="48" t="s">
        <v>1264</v>
      </c>
      <c r="D1512" s="48" t="s">
        <v>1258</v>
      </c>
      <c r="E1512" s="48" t="s">
        <v>333</v>
      </c>
      <c r="F1512" s="48" t="s">
        <v>297</v>
      </c>
      <c r="G1512" s="48" t="s">
        <v>302</v>
      </c>
      <c r="H1512" s="48" t="s">
        <v>70</v>
      </c>
      <c r="I1512" s="48" t="s">
        <v>177</v>
      </c>
      <c r="J1512" s="49">
        <v>59</v>
      </c>
      <c r="K1512" s="50">
        <v>7520</v>
      </c>
      <c r="L1512" s="50">
        <v>6909.57</v>
      </c>
      <c r="M1512" s="48" t="s">
        <v>276</v>
      </c>
      <c r="N1512" s="51">
        <v>83.5</v>
      </c>
      <c r="O1512" s="51">
        <v>84.612200000000001</v>
      </c>
      <c r="P1512" s="52">
        <v>57.18</v>
      </c>
      <c r="Q1512" s="52">
        <v>62.18</v>
      </c>
      <c r="R1512" s="53" t="str">
        <f>INDEX(SKU_Master!$D$5:$D$34,MATCH($I1512,SKU_Master!$A$5:$A$34,0))</f>
        <v>Accessory</v>
      </c>
      <c r="S1512" s="54">
        <f t="shared" si="322"/>
        <v>8.1174202127659578E-2</v>
      </c>
      <c r="T1512" s="55">
        <f t="shared" si="323"/>
        <v>5313.5329341317365</v>
      </c>
      <c r="U1512" s="55">
        <f t="shared" si="324"/>
        <v>4882.211137724551</v>
      </c>
      <c r="V1512" s="55">
        <f t="shared" si="325"/>
        <v>-431.3217964071855</v>
      </c>
      <c r="W1512" s="55">
        <f t="shared" si="326"/>
        <v>4818.0360515386674</v>
      </c>
      <c r="X1512" s="55">
        <f t="shared" si="327"/>
        <v>-64.175086185883629</v>
      </c>
      <c r="Y1512" s="55">
        <f t="shared" si="328"/>
        <v>3373.62</v>
      </c>
      <c r="Z1512" s="55">
        <f t="shared" si="329"/>
        <v>3668.62</v>
      </c>
      <c r="AA1512" s="55">
        <f t="shared" si="330"/>
        <v>-295</v>
      </c>
      <c r="AB1512" s="55">
        <f t="shared" si="331"/>
        <v>1149.4160515386675</v>
      </c>
      <c r="AC1512" s="54">
        <f t="shared" si="332"/>
        <v>0.23856526585590718</v>
      </c>
      <c r="AD1512" s="56">
        <f>INDEX(Assumptions!$B$14:$B$16,MATCH($R1512,Assumptions!$A$14:$A$16,0))</f>
        <v>0.32</v>
      </c>
      <c r="AE1512" s="56">
        <f>INDEX(Assumptions!$C$14:$C$16,MATCH($R1512,Assumptions!$A$14:$A$16,0))</f>
        <v>0.22</v>
      </c>
      <c r="AF1512" s="49">
        <f t="shared" si="333"/>
        <v>0</v>
      </c>
      <c r="AG1512" s="49">
        <f t="shared" si="334"/>
        <v>0</v>
      </c>
      <c r="AH1512" s="55">
        <f t="shared" si="335"/>
        <v>392.35548495370608</v>
      </c>
    </row>
    <row r="1513" spans="1:34" x14ac:dyDescent="0.2">
      <c r="A1513" s="48" t="s">
        <v>1265</v>
      </c>
      <c r="B1513" s="48">
        <v>1</v>
      </c>
      <c r="C1513" s="48" t="s">
        <v>1266</v>
      </c>
      <c r="D1513" s="48" t="s">
        <v>1258</v>
      </c>
      <c r="E1513" s="48" t="s">
        <v>422</v>
      </c>
      <c r="F1513" s="48" t="s">
        <v>280</v>
      </c>
      <c r="G1513" s="48" t="s">
        <v>281</v>
      </c>
      <c r="H1513" s="48" t="s">
        <v>68</v>
      </c>
      <c r="I1513" s="48" t="s">
        <v>98</v>
      </c>
      <c r="J1513" s="49">
        <v>27</v>
      </c>
      <c r="K1513" s="50">
        <v>2935</v>
      </c>
      <c r="L1513" s="50">
        <v>2838.69</v>
      </c>
      <c r="M1513" s="48" t="s">
        <v>276</v>
      </c>
      <c r="N1513" s="51">
        <v>1.37</v>
      </c>
      <c r="O1513" s="51">
        <v>1.3657999999999999</v>
      </c>
      <c r="P1513" s="52">
        <v>1792.2</v>
      </c>
      <c r="Q1513" s="52">
        <v>1792.2</v>
      </c>
      <c r="R1513" s="53" t="str">
        <f>INDEX(SKU_Master!$D$5:$D$34,MATCH($I1513,SKU_Master!$A$5:$A$34,0))</f>
        <v>Laptop</v>
      </c>
      <c r="S1513" s="54">
        <f t="shared" si="322"/>
        <v>3.2814310051107354E-2</v>
      </c>
      <c r="T1513" s="55">
        <f t="shared" si="323"/>
        <v>57843.065693430653</v>
      </c>
      <c r="U1513" s="55">
        <f t="shared" si="324"/>
        <v>55944.985401459853</v>
      </c>
      <c r="V1513" s="55">
        <f t="shared" si="325"/>
        <v>-1898.0802919708003</v>
      </c>
      <c r="W1513" s="55">
        <f t="shared" si="326"/>
        <v>56117.022990188911</v>
      </c>
      <c r="X1513" s="55">
        <f t="shared" si="327"/>
        <v>172.03758872905746</v>
      </c>
      <c r="Y1513" s="55">
        <f t="shared" si="328"/>
        <v>48389.4</v>
      </c>
      <c r="Z1513" s="55">
        <f t="shared" si="329"/>
        <v>48389.4</v>
      </c>
      <c r="AA1513" s="55">
        <f t="shared" si="330"/>
        <v>0</v>
      </c>
      <c r="AB1513" s="55">
        <f t="shared" si="331"/>
        <v>7727.6229901889092</v>
      </c>
      <c r="AC1513" s="54">
        <f t="shared" si="332"/>
        <v>0.13770550500406892</v>
      </c>
      <c r="AD1513" s="56">
        <f>INDEX(Assumptions!$B$14:$B$16,MATCH($R1513,Assumptions!$A$14:$A$16,0))</f>
        <v>0.12</v>
      </c>
      <c r="AE1513" s="56">
        <f>INDEX(Assumptions!$C$14:$C$16,MATCH($R1513,Assumptions!$A$14:$A$16,0))</f>
        <v>0.08</v>
      </c>
      <c r="AF1513" s="49">
        <f t="shared" si="333"/>
        <v>0</v>
      </c>
      <c r="AG1513" s="49">
        <f t="shared" si="334"/>
        <v>0</v>
      </c>
      <c r="AH1513" s="55">
        <f t="shared" si="335"/>
        <v>0</v>
      </c>
    </row>
    <row r="1514" spans="1:34" x14ac:dyDescent="0.2">
      <c r="A1514" s="48" t="s">
        <v>1265</v>
      </c>
      <c r="B1514" s="48">
        <v>2</v>
      </c>
      <c r="C1514" s="48" t="s">
        <v>1266</v>
      </c>
      <c r="D1514" s="48" t="s">
        <v>1258</v>
      </c>
      <c r="E1514" s="48" t="s">
        <v>422</v>
      </c>
      <c r="F1514" s="48" t="s">
        <v>280</v>
      </c>
      <c r="G1514" s="48" t="s">
        <v>281</v>
      </c>
      <c r="H1514" s="48" t="s">
        <v>68</v>
      </c>
      <c r="I1514" s="48" t="s">
        <v>138</v>
      </c>
      <c r="J1514" s="49">
        <v>10</v>
      </c>
      <c r="K1514" s="50">
        <v>665</v>
      </c>
      <c r="L1514" s="50">
        <v>636.11</v>
      </c>
      <c r="M1514" s="48" t="s">
        <v>276</v>
      </c>
      <c r="N1514" s="51">
        <v>1.37</v>
      </c>
      <c r="O1514" s="51">
        <v>1.3657999999999999</v>
      </c>
      <c r="P1514" s="52">
        <v>373.2</v>
      </c>
      <c r="Q1514" s="52">
        <v>373.2</v>
      </c>
      <c r="R1514" s="53" t="str">
        <f>INDEX(SKU_Master!$D$5:$D$34,MATCH($I1514,SKU_Master!$A$5:$A$34,0))</f>
        <v>Monitor</v>
      </c>
      <c r="S1514" s="54">
        <f t="shared" si="322"/>
        <v>4.3443609022556395E-2</v>
      </c>
      <c r="T1514" s="55">
        <f t="shared" si="323"/>
        <v>4854.0145985401459</v>
      </c>
      <c r="U1514" s="55">
        <f t="shared" si="324"/>
        <v>4643.1386861313867</v>
      </c>
      <c r="V1514" s="55">
        <f t="shared" si="325"/>
        <v>-210.87591240875918</v>
      </c>
      <c r="W1514" s="55">
        <f t="shared" si="326"/>
        <v>4657.4168985210135</v>
      </c>
      <c r="X1514" s="55">
        <f t="shared" si="327"/>
        <v>14.278212389626788</v>
      </c>
      <c r="Y1514" s="55">
        <f t="shared" si="328"/>
        <v>3732</v>
      </c>
      <c r="Z1514" s="55">
        <f t="shared" si="329"/>
        <v>3732</v>
      </c>
      <c r="AA1514" s="55">
        <f t="shared" si="330"/>
        <v>0</v>
      </c>
      <c r="AB1514" s="55">
        <f t="shared" si="331"/>
        <v>925.41689852101354</v>
      </c>
      <c r="AC1514" s="54">
        <f t="shared" si="332"/>
        <v>0.19869745798682623</v>
      </c>
      <c r="AD1514" s="56">
        <f>INDEX(Assumptions!$B$14:$B$16,MATCH($R1514,Assumptions!$A$14:$A$16,0))</f>
        <v>0.18</v>
      </c>
      <c r="AE1514" s="56">
        <f>INDEX(Assumptions!$C$14:$C$16,MATCH($R1514,Assumptions!$A$14:$A$16,0))</f>
        <v>0.12</v>
      </c>
      <c r="AF1514" s="49">
        <f t="shared" si="333"/>
        <v>0</v>
      </c>
      <c r="AG1514" s="49">
        <f t="shared" si="334"/>
        <v>0</v>
      </c>
      <c r="AH1514" s="55">
        <f t="shared" si="335"/>
        <v>0</v>
      </c>
    </row>
    <row r="1515" spans="1:34" x14ac:dyDescent="0.2">
      <c r="A1515" s="48" t="s">
        <v>1265</v>
      </c>
      <c r="B1515" s="48">
        <v>3</v>
      </c>
      <c r="C1515" s="48" t="s">
        <v>1266</v>
      </c>
      <c r="D1515" s="48" t="s">
        <v>1258</v>
      </c>
      <c r="E1515" s="48" t="s">
        <v>422</v>
      </c>
      <c r="F1515" s="48" t="s">
        <v>280</v>
      </c>
      <c r="G1515" s="48" t="s">
        <v>281</v>
      </c>
      <c r="H1515" s="48" t="s">
        <v>68</v>
      </c>
      <c r="I1515" s="48" t="s">
        <v>173</v>
      </c>
      <c r="J1515" s="49">
        <v>17</v>
      </c>
      <c r="K1515" s="50">
        <v>80</v>
      </c>
      <c r="L1515" s="50">
        <v>76.41</v>
      </c>
      <c r="M1515" s="48" t="s">
        <v>276</v>
      </c>
      <c r="N1515" s="51">
        <v>1.37</v>
      </c>
      <c r="O1515" s="51">
        <v>1.3657999999999999</v>
      </c>
      <c r="P1515" s="52">
        <v>37</v>
      </c>
      <c r="Q1515" s="52">
        <v>37</v>
      </c>
      <c r="R1515" s="53" t="str">
        <f>INDEX(SKU_Master!$D$5:$D$34,MATCH($I1515,SKU_Master!$A$5:$A$34,0))</f>
        <v>Accessory</v>
      </c>
      <c r="S1515" s="54">
        <f t="shared" si="322"/>
        <v>4.4874999999999998E-2</v>
      </c>
      <c r="T1515" s="55">
        <f t="shared" si="323"/>
        <v>992.70072992700727</v>
      </c>
      <c r="U1515" s="55">
        <f t="shared" si="324"/>
        <v>948.15328467153279</v>
      </c>
      <c r="V1515" s="55">
        <f t="shared" si="325"/>
        <v>-44.547445255474486</v>
      </c>
      <c r="W1515" s="55">
        <f t="shared" si="326"/>
        <v>951.06897056670095</v>
      </c>
      <c r="X1515" s="55">
        <f t="shared" si="327"/>
        <v>2.915685895168167</v>
      </c>
      <c r="Y1515" s="55">
        <f t="shared" si="328"/>
        <v>629</v>
      </c>
      <c r="Z1515" s="55">
        <f t="shared" si="329"/>
        <v>629</v>
      </c>
      <c r="AA1515" s="55">
        <f t="shared" si="330"/>
        <v>0</v>
      </c>
      <c r="AB1515" s="55">
        <f t="shared" si="331"/>
        <v>322.06897056670095</v>
      </c>
      <c r="AC1515" s="54">
        <f t="shared" si="332"/>
        <v>0.33863892160711956</v>
      </c>
      <c r="AD1515" s="56">
        <f>INDEX(Assumptions!$B$14:$B$16,MATCH($R1515,Assumptions!$A$14:$A$16,0))</f>
        <v>0.32</v>
      </c>
      <c r="AE1515" s="56">
        <f>INDEX(Assumptions!$C$14:$C$16,MATCH($R1515,Assumptions!$A$14:$A$16,0))</f>
        <v>0.22</v>
      </c>
      <c r="AF1515" s="49">
        <f t="shared" si="333"/>
        <v>0</v>
      </c>
      <c r="AG1515" s="49">
        <f t="shared" si="334"/>
        <v>0</v>
      </c>
      <c r="AH1515" s="55">
        <f t="shared" si="335"/>
        <v>0</v>
      </c>
    </row>
    <row r="1516" spans="1:34" x14ac:dyDescent="0.2">
      <c r="A1516" s="48" t="s">
        <v>1267</v>
      </c>
      <c r="B1516" s="48">
        <v>1</v>
      </c>
      <c r="C1516" s="48" t="s">
        <v>1268</v>
      </c>
      <c r="D1516" s="48" t="s">
        <v>1258</v>
      </c>
      <c r="E1516" s="48" t="s">
        <v>325</v>
      </c>
      <c r="F1516" s="48" t="s">
        <v>274</v>
      </c>
      <c r="G1516" s="48" t="s">
        <v>298</v>
      </c>
      <c r="H1516" s="48" t="s">
        <v>62</v>
      </c>
      <c r="I1516" s="48" t="s">
        <v>106</v>
      </c>
      <c r="J1516" s="49">
        <v>5</v>
      </c>
      <c r="K1516" s="50">
        <v>1520</v>
      </c>
      <c r="L1516" s="50">
        <v>1499.77</v>
      </c>
      <c r="M1516" s="48" t="s">
        <v>276</v>
      </c>
      <c r="N1516" s="51">
        <v>1</v>
      </c>
      <c r="O1516" s="51">
        <v>1</v>
      </c>
      <c r="P1516" s="52">
        <v>1298.4000000000001</v>
      </c>
      <c r="Q1516" s="52">
        <v>1298.4000000000001</v>
      </c>
      <c r="R1516" s="53" t="str">
        <f>INDEX(SKU_Master!$D$5:$D$34,MATCH($I1516,SKU_Master!$A$5:$A$34,0))</f>
        <v>Laptop</v>
      </c>
      <c r="S1516" s="54">
        <f t="shared" si="322"/>
        <v>1.330921052631584E-2</v>
      </c>
      <c r="T1516" s="55">
        <f t="shared" si="323"/>
        <v>7600</v>
      </c>
      <c r="U1516" s="55">
        <f t="shared" si="324"/>
        <v>7498.85</v>
      </c>
      <c r="V1516" s="55">
        <f t="shared" si="325"/>
        <v>-101.14999999999964</v>
      </c>
      <c r="W1516" s="55">
        <f t="shared" si="326"/>
        <v>7498.85</v>
      </c>
      <c r="X1516" s="55">
        <f t="shared" si="327"/>
        <v>0</v>
      </c>
      <c r="Y1516" s="55">
        <f t="shared" si="328"/>
        <v>6492</v>
      </c>
      <c r="Z1516" s="55">
        <f t="shared" si="329"/>
        <v>6492</v>
      </c>
      <c r="AA1516" s="55">
        <f t="shared" si="330"/>
        <v>0</v>
      </c>
      <c r="AB1516" s="55">
        <f t="shared" si="331"/>
        <v>1006.8500000000004</v>
      </c>
      <c r="AC1516" s="54">
        <f t="shared" si="332"/>
        <v>0.13426725431232794</v>
      </c>
      <c r="AD1516" s="56">
        <f>INDEX(Assumptions!$B$14:$B$16,MATCH($R1516,Assumptions!$A$14:$A$16,0))</f>
        <v>0.12</v>
      </c>
      <c r="AE1516" s="56">
        <f>INDEX(Assumptions!$C$14:$C$16,MATCH($R1516,Assumptions!$A$14:$A$16,0))</f>
        <v>0.08</v>
      </c>
      <c r="AF1516" s="49">
        <f t="shared" si="333"/>
        <v>0</v>
      </c>
      <c r="AG1516" s="49">
        <f t="shared" si="334"/>
        <v>0</v>
      </c>
      <c r="AH1516" s="55">
        <f t="shared" si="335"/>
        <v>0</v>
      </c>
    </row>
    <row r="1517" spans="1:34" x14ac:dyDescent="0.2">
      <c r="A1517" s="48" t="s">
        <v>1267</v>
      </c>
      <c r="B1517" s="48">
        <v>2</v>
      </c>
      <c r="C1517" s="48" t="s">
        <v>1268</v>
      </c>
      <c r="D1517" s="48" t="s">
        <v>1258</v>
      </c>
      <c r="E1517" s="48" t="s">
        <v>325</v>
      </c>
      <c r="F1517" s="48" t="s">
        <v>274</v>
      </c>
      <c r="G1517" s="48" t="s">
        <v>298</v>
      </c>
      <c r="H1517" s="48" t="s">
        <v>62</v>
      </c>
      <c r="I1517" s="48" t="s">
        <v>135</v>
      </c>
      <c r="J1517" s="49">
        <v>3</v>
      </c>
      <c r="K1517" s="50">
        <v>240</v>
      </c>
      <c r="L1517" s="50">
        <v>238.51</v>
      </c>
      <c r="M1517" s="48" t="s">
        <v>276</v>
      </c>
      <c r="N1517" s="51">
        <v>1</v>
      </c>
      <c r="O1517" s="51">
        <v>1</v>
      </c>
      <c r="P1517" s="52">
        <v>186.7</v>
      </c>
      <c r="Q1517" s="52">
        <v>186.7</v>
      </c>
      <c r="R1517" s="53" t="str">
        <f>INDEX(SKU_Master!$D$5:$D$34,MATCH($I1517,SKU_Master!$A$5:$A$34,0))</f>
        <v>Monitor</v>
      </c>
      <c r="S1517" s="54">
        <f t="shared" si="322"/>
        <v>6.2083333333333712E-3</v>
      </c>
      <c r="T1517" s="55">
        <f t="shared" si="323"/>
        <v>720</v>
      </c>
      <c r="U1517" s="55">
        <f t="shared" si="324"/>
        <v>715.53</v>
      </c>
      <c r="V1517" s="55">
        <f t="shared" si="325"/>
        <v>-4.4700000000000273</v>
      </c>
      <c r="W1517" s="55">
        <f t="shared" si="326"/>
        <v>715.53</v>
      </c>
      <c r="X1517" s="55">
        <f t="shared" si="327"/>
        <v>0</v>
      </c>
      <c r="Y1517" s="55">
        <f t="shared" si="328"/>
        <v>560.09999999999991</v>
      </c>
      <c r="Z1517" s="55">
        <f t="shared" si="329"/>
        <v>560.09999999999991</v>
      </c>
      <c r="AA1517" s="55">
        <f t="shared" si="330"/>
        <v>0</v>
      </c>
      <c r="AB1517" s="55">
        <f t="shared" si="331"/>
        <v>155.43000000000006</v>
      </c>
      <c r="AC1517" s="54">
        <f t="shared" si="332"/>
        <v>0.21722359649490597</v>
      </c>
      <c r="AD1517" s="56">
        <f>INDEX(Assumptions!$B$14:$B$16,MATCH($R1517,Assumptions!$A$14:$A$16,0))</f>
        <v>0.18</v>
      </c>
      <c r="AE1517" s="56">
        <f>INDEX(Assumptions!$C$14:$C$16,MATCH($R1517,Assumptions!$A$14:$A$16,0))</f>
        <v>0.12</v>
      </c>
      <c r="AF1517" s="49">
        <f t="shared" si="333"/>
        <v>0</v>
      </c>
      <c r="AG1517" s="49">
        <f t="shared" si="334"/>
        <v>0</v>
      </c>
      <c r="AH1517" s="55">
        <f t="shared" si="335"/>
        <v>0</v>
      </c>
    </row>
    <row r="1518" spans="1:34" x14ac:dyDescent="0.2">
      <c r="A1518" s="48" t="s">
        <v>1269</v>
      </c>
      <c r="B1518" s="48">
        <v>1</v>
      </c>
      <c r="C1518" s="48" t="s">
        <v>1270</v>
      </c>
      <c r="D1518" s="48" t="s">
        <v>1258</v>
      </c>
      <c r="E1518" s="48" t="s">
        <v>284</v>
      </c>
      <c r="F1518" s="48" t="s">
        <v>274</v>
      </c>
      <c r="G1518" s="48" t="s">
        <v>275</v>
      </c>
      <c r="H1518" s="48" t="s">
        <v>64</v>
      </c>
      <c r="I1518" s="48" t="s">
        <v>110</v>
      </c>
      <c r="J1518" s="49">
        <v>7</v>
      </c>
      <c r="K1518" s="50">
        <v>960</v>
      </c>
      <c r="L1518" s="50">
        <v>957</v>
      </c>
      <c r="M1518" s="48" t="s">
        <v>276</v>
      </c>
      <c r="N1518" s="51">
        <v>0.79</v>
      </c>
      <c r="O1518" s="51">
        <v>0.81979999999999997</v>
      </c>
      <c r="P1518" s="52">
        <v>1016.65</v>
      </c>
      <c r="Q1518" s="52">
        <v>1016.65</v>
      </c>
      <c r="R1518" s="53" t="str">
        <f>INDEX(SKU_Master!$D$5:$D$34,MATCH($I1518,SKU_Master!$A$5:$A$34,0))</f>
        <v>Laptop</v>
      </c>
      <c r="S1518" s="54">
        <f t="shared" si="322"/>
        <v>3.1250000000000444E-3</v>
      </c>
      <c r="T1518" s="55">
        <f t="shared" si="323"/>
        <v>8506.32911392405</v>
      </c>
      <c r="U1518" s="55">
        <f t="shared" si="324"/>
        <v>8479.7468354430384</v>
      </c>
      <c r="V1518" s="55">
        <f t="shared" si="325"/>
        <v>-26.582278481011599</v>
      </c>
      <c r="W1518" s="55">
        <f t="shared" si="326"/>
        <v>8171.5052451817519</v>
      </c>
      <c r="X1518" s="55">
        <f t="shared" si="327"/>
        <v>-308.24159026128655</v>
      </c>
      <c r="Y1518" s="55">
        <f t="shared" si="328"/>
        <v>7116.55</v>
      </c>
      <c r="Z1518" s="55">
        <f t="shared" si="329"/>
        <v>7116.55</v>
      </c>
      <c r="AA1518" s="55">
        <f t="shared" si="330"/>
        <v>0</v>
      </c>
      <c r="AB1518" s="55">
        <f t="shared" si="331"/>
        <v>1054.9552451817517</v>
      </c>
      <c r="AC1518" s="54">
        <f t="shared" si="332"/>
        <v>0.12910170323928946</v>
      </c>
      <c r="AD1518" s="56">
        <f>INDEX(Assumptions!$B$14:$B$16,MATCH($R1518,Assumptions!$A$14:$A$16,0))</f>
        <v>0.12</v>
      </c>
      <c r="AE1518" s="56">
        <f>INDEX(Assumptions!$C$14:$C$16,MATCH($R1518,Assumptions!$A$14:$A$16,0))</f>
        <v>0.08</v>
      </c>
      <c r="AF1518" s="49">
        <f t="shared" si="333"/>
        <v>0</v>
      </c>
      <c r="AG1518" s="49">
        <f t="shared" si="334"/>
        <v>0</v>
      </c>
      <c r="AH1518" s="55">
        <f t="shared" si="335"/>
        <v>0</v>
      </c>
    </row>
    <row r="1519" spans="1:34" x14ac:dyDescent="0.2">
      <c r="A1519" s="48" t="s">
        <v>1269</v>
      </c>
      <c r="B1519" s="48">
        <v>2</v>
      </c>
      <c r="C1519" s="48" t="s">
        <v>1270</v>
      </c>
      <c r="D1519" s="48" t="s">
        <v>1258</v>
      </c>
      <c r="E1519" s="48" t="s">
        <v>284</v>
      </c>
      <c r="F1519" s="48" t="s">
        <v>274</v>
      </c>
      <c r="G1519" s="48" t="s">
        <v>275</v>
      </c>
      <c r="H1519" s="48" t="s">
        <v>64</v>
      </c>
      <c r="I1519" s="48" t="s">
        <v>138</v>
      </c>
      <c r="J1519" s="49">
        <v>6</v>
      </c>
      <c r="K1519" s="50">
        <v>400</v>
      </c>
      <c r="L1519" s="50">
        <v>393.88</v>
      </c>
      <c r="M1519" s="48" t="s">
        <v>276</v>
      </c>
      <c r="N1519" s="51">
        <v>0.79</v>
      </c>
      <c r="O1519" s="51">
        <v>0.81979999999999997</v>
      </c>
      <c r="P1519" s="52">
        <v>388.2</v>
      </c>
      <c r="Q1519" s="52">
        <v>388.2</v>
      </c>
      <c r="R1519" s="53" t="str">
        <f>INDEX(SKU_Master!$D$5:$D$34,MATCH($I1519,SKU_Master!$A$5:$A$34,0))</f>
        <v>Monitor</v>
      </c>
      <c r="S1519" s="54">
        <f t="shared" si="322"/>
        <v>1.529999999999998E-2</v>
      </c>
      <c r="T1519" s="55">
        <f t="shared" si="323"/>
        <v>3037.9746835443038</v>
      </c>
      <c r="U1519" s="55">
        <f t="shared" si="324"/>
        <v>2991.4936708860755</v>
      </c>
      <c r="V1519" s="55">
        <f t="shared" si="325"/>
        <v>-46.481012658228337</v>
      </c>
      <c r="W1519" s="55">
        <f t="shared" si="326"/>
        <v>2882.7518907050498</v>
      </c>
      <c r="X1519" s="55">
        <f t="shared" si="327"/>
        <v>-108.74178018102566</v>
      </c>
      <c r="Y1519" s="55">
        <f t="shared" si="328"/>
        <v>2329.1999999999998</v>
      </c>
      <c r="Z1519" s="55">
        <f t="shared" si="329"/>
        <v>2329.1999999999998</v>
      </c>
      <c r="AA1519" s="55">
        <f t="shared" si="330"/>
        <v>0</v>
      </c>
      <c r="AB1519" s="55">
        <f t="shared" si="331"/>
        <v>553.55189070505003</v>
      </c>
      <c r="AC1519" s="54">
        <f t="shared" si="332"/>
        <v>0.19202203716868083</v>
      </c>
      <c r="AD1519" s="56">
        <f>INDEX(Assumptions!$B$14:$B$16,MATCH($R1519,Assumptions!$A$14:$A$16,0))</f>
        <v>0.18</v>
      </c>
      <c r="AE1519" s="56">
        <f>INDEX(Assumptions!$C$14:$C$16,MATCH($R1519,Assumptions!$A$14:$A$16,0))</f>
        <v>0.12</v>
      </c>
      <c r="AF1519" s="49">
        <f t="shared" si="333"/>
        <v>0</v>
      </c>
      <c r="AG1519" s="49">
        <f t="shared" si="334"/>
        <v>0</v>
      </c>
      <c r="AH1519" s="55">
        <f t="shared" si="335"/>
        <v>0</v>
      </c>
    </row>
    <row r="1520" spans="1:34" x14ac:dyDescent="0.2">
      <c r="A1520" s="48" t="s">
        <v>1269</v>
      </c>
      <c r="B1520" s="48">
        <v>3</v>
      </c>
      <c r="C1520" s="48" t="s">
        <v>1270</v>
      </c>
      <c r="D1520" s="48" t="s">
        <v>1258</v>
      </c>
      <c r="E1520" s="48" t="s">
        <v>284</v>
      </c>
      <c r="F1520" s="48" t="s">
        <v>274</v>
      </c>
      <c r="G1520" s="48" t="s">
        <v>275</v>
      </c>
      <c r="H1520" s="48" t="s">
        <v>64</v>
      </c>
      <c r="I1520" s="48" t="s">
        <v>151</v>
      </c>
      <c r="J1520" s="49">
        <v>7</v>
      </c>
      <c r="K1520" s="50">
        <v>280</v>
      </c>
      <c r="L1520" s="50">
        <v>275.95</v>
      </c>
      <c r="M1520" s="48" t="s">
        <v>276</v>
      </c>
      <c r="N1520" s="51">
        <v>0.79</v>
      </c>
      <c r="O1520" s="51">
        <v>0.81979999999999997</v>
      </c>
      <c r="P1520" s="52">
        <v>222.7</v>
      </c>
      <c r="Q1520" s="52">
        <v>222.7</v>
      </c>
      <c r="R1520" s="53" t="str">
        <f>INDEX(SKU_Master!$D$5:$D$34,MATCH($I1520,SKU_Master!$A$5:$A$34,0))</f>
        <v>Accessory</v>
      </c>
      <c r="S1520" s="54">
        <f t="shared" si="322"/>
        <v>1.4464285714285707E-2</v>
      </c>
      <c r="T1520" s="55">
        <f t="shared" si="323"/>
        <v>2481.0126582278481</v>
      </c>
      <c r="U1520" s="55">
        <f t="shared" si="324"/>
        <v>2445.1265822784808</v>
      </c>
      <c r="V1520" s="55">
        <f t="shared" si="325"/>
        <v>-35.886075949367296</v>
      </c>
      <c r="W1520" s="55">
        <f t="shared" si="326"/>
        <v>2356.2454257135887</v>
      </c>
      <c r="X1520" s="55">
        <f t="shared" si="327"/>
        <v>-88.88115656489208</v>
      </c>
      <c r="Y1520" s="55">
        <f t="shared" si="328"/>
        <v>1558.8999999999999</v>
      </c>
      <c r="Z1520" s="55">
        <f t="shared" si="329"/>
        <v>1558.8999999999999</v>
      </c>
      <c r="AA1520" s="55">
        <f t="shared" si="330"/>
        <v>0</v>
      </c>
      <c r="AB1520" s="55">
        <f t="shared" si="331"/>
        <v>797.34542571358884</v>
      </c>
      <c r="AC1520" s="54">
        <f t="shared" si="332"/>
        <v>0.3383965935857946</v>
      </c>
      <c r="AD1520" s="56">
        <f>INDEX(Assumptions!$B$14:$B$16,MATCH($R1520,Assumptions!$A$14:$A$16,0))</f>
        <v>0.32</v>
      </c>
      <c r="AE1520" s="56">
        <f>INDEX(Assumptions!$C$14:$C$16,MATCH($R1520,Assumptions!$A$14:$A$16,0))</f>
        <v>0.22</v>
      </c>
      <c r="AF1520" s="49">
        <f t="shared" si="333"/>
        <v>0</v>
      </c>
      <c r="AG1520" s="49">
        <f t="shared" si="334"/>
        <v>0</v>
      </c>
      <c r="AH1520" s="55">
        <f t="shared" si="335"/>
        <v>0</v>
      </c>
    </row>
    <row r="1521" spans="1:34" x14ac:dyDescent="0.2">
      <c r="A1521" s="48" t="s">
        <v>1271</v>
      </c>
      <c r="B1521" s="48">
        <v>1</v>
      </c>
      <c r="C1521" s="48" t="s">
        <v>1264</v>
      </c>
      <c r="D1521" s="48" t="s">
        <v>1258</v>
      </c>
      <c r="E1521" s="48" t="s">
        <v>309</v>
      </c>
      <c r="F1521" s="48" t="s">
        <v>280</v>
      </c>
      <c r="G1521" s="48" t="s">
        <v>298</v>
      </c>
      <c r="H1521" s="48" t="s">
        <v>70</v>
      </c>
      <c r="I1521" s="48" t="s">
        <v>108</v>
      </c>
      <c r="J1521" s="49">
        <v>12</v>
      </c>
      <c r="K1521" s="50">
        <v>130190</v>
      </c>
      <c r="L1521" s="50">
        <v>125540.31</v>
      </c>
      <c r="M1521" s="48" t="s">
        <v>276</v>
      </c>
      <c r="N1521" s="51">
        <v>83.5</v>
      </c>
      <c r="O1521" s="51">
        <v>84.612200000000001</v>
      </c>
      <c r="P1521" s="52">
        <v>1305.97</v>
      </c>
      <c r="Q1521" s="52">
        <v>1401.03</v>
      </c>
      <c r="R1521" s="53" t="str">
        <f>INDEX(SKU_Master!$D$5:$D$34,MATCH($I1521,SKU_Master!$A$5:$A$34,0))</f>
        <v>Laptop</v>
      </c>
      <c r="S1521" s="54">
        <f t="shared" si="322"/>
        <v>3.5714647822413403E-2</v>
      </c>
      <c r="T1521" s="55">
        <f t="shared" si="323"/>
        <v>18709.940119760478</v>
      </c>
      <c r="U1521" s="55">
        <f t="shared" si="324"/>
        <v>18041.721197604791</v>
      </c>
      <c r="V1521" s="55">
        <f t="shared" si="325"/>
        <v>-668.21892215568732</v>
      </c>
      <c r="W1521" s="55">
        <f t="shared" si="326"/>
        <v>17804.568608309441</v>
      </c>
      <c r="X1521" s="55">
        <f t="shared" si="327"/>
        <v>-237.15258929535048</v>
      </c>
      <c r="Y1521" s="55">
        <f t="shared" si="328"/>
        <v>15671.64</v>
      </c>
      <c r="Z1521" s="55">
        <f t="shared" si="329"/>
        <v>16812.36</v>
      </c>
      <c r="AA1521" s="55">
        <f t="shared" si="330"/>
        <v>-1140.7200000000012</v>
      </c>
      <c r="AB1521" s="55">
        <f t="shared" si="331"/>
        <v>992.20860830944002</v>
      </c>
      <c r="AC1521" s="54">
        <f t="shared" si="332"/>
        <v>5.5727753372601996E-2</v>
      </c>
      <c r="AD1521" s="56">
        <f>INDEX(Assumptions!$B$14:$B$16,MATCH($R1521,Assumptions!$A$14:$A$16,0))</f>
        <v>0.12</v>
      </c>
      <c r="AE1521" s="56">
        <f>INDEX(Assumptions!$C$14:$C$16,MATCH($R1521,Assumptions!$A$14:$A$16,0))</f>
        <v>0.08</v>
      </c>
      <c r="AF1521" s="49">
        <f t="shared" si="333"/>
        <v>1</v>
      </c>
      <c r="AG1521" s="49">
        <f t="shared" si="334"/>
        <v>1</v>
      </c>
      <c r="AH1521" s="55">
        <f t="shared" si="335"/>
        <v>1144.3396246876928</v>
      </c>
    </row>
    <row r="1522" spans="1:34" x14ac:dyDescent="0.2">
      <c r="A1522" s="48" t="s">
        <v>1272</v>
      </c>
      <c r="B1522" s="48">
        <v>1</v>
      </c>
      <c r="C1522" s="48" t="s">
        <v>1273</v>
      </c>
      <c r="D1522" s="48" t="s">
        <v>1258</v>
      </c>
      <c r="E1522" s="48" t="s">
        <v>273</v>
      </c>
      <c r="F1522" s="48" t="s">
        <v>274</v>
      </c>
      <c r="G1522" s="48" t="s">
        <v>275</v>
      </c>
      <c r="H1522" s="48" t="s">
        <v>66</v>
      </c>
      <c r="I1522" s="48" t="s">
        <v>113</v>
      </c>
      <c r="J1522" s="49">
        <v>9</v>
      </c>
      <c r="K1522" s="50">
        <v>1655</v>
      </c>
      <c r="L1522" s="50">
        <v>1626.67</v>
      </c>
      <c r="M1522" s="48" t="s">
        <v>276</v>
      </c>
      <c r="N1522" s="51">
        <v>0.92</v>
      </c>
      <c r="O1522" s="51">
        <v>0.9335</v>
      </c>
      <c r="P1522" s="52">
        <v>1504.8</v>
      </c>
      <c r="Q1522" s="52">
        <v>1504.8</v>
      </c>
      <c r="R1522" s="53" t="str">
        <f>INDEX(SKU_Master!$D$5:$D$34,MATCH($I1522,SKU_Master!$A$5:$A$34,0))</f>
        <v>Laptop</v>
      </c>
      <c r="S1522" s="54">
        <f t="shared" si="322"/>
        <v>1.7117824773413837E-2</v>
      </c>
      <c r="T1522" s="55">
        <f t="shared" si="323"/>
        <v>16190.217391304348</v>
      </c>
      <c r="U1522" s="55">
        <f t="shared" si="324"/>
        <v>15913.076086956522</v>
      </c>
      <c r="V1522" s="55">
        <f t="shared" si="325"/>
        <v>-277.14130434782601</v>
      </c>
      <c r="W1522" s="55">
        <f t="shared" si="326"/>
        <v>15682.945902517409</v>
      </c>
      <c r="X1522" s="55">
        <f t="shared" si="327"/>
        <v>-230.13018443911278</v>
      </c>
      <c r="Y1522" s="55">
        <f t="shared" si="328"/>
        <v>13543.199999999999</v>
      </c>
      <c r="Z1522" s="55">
        <f t="shared" si="329"/>
        <v>13543.199999999999</v>
      </c>
      <c r="AA1522" s="55">
        <f t="shared" si="330"/>
        <v>0</v>
      </c>
      <c r="AB1522" s="55">
        <f t="shared" si="331"/>
        <v>2139.7459025174103</v>
      </c>
      <c r="AC1522" s="54">
        <f t="shared" si="332"/>
        <v>0.13643775320132556</v>
      </c>
      <c r="AD1522" s="56">
        <f>INDEX(Assumptions!$B$14:$B$16,MATCH($R1522,Assumptions!$A$14:$A$16,0))</f>
        <v>0.12</v>
      </c>
      <c r="AE1522" s="56">
        <f>INDEX(Assumptions!$C$14:$C$16,MATCH($R1522,Assumptions!$A$14:$A$16,0))</f>
        <v>0.08</v>
      </c>
      <c r="AF1522" s="49">
        <f t="shared" si="333"/>
        <v>0</v>
      </c>
      <c r="AG1522" s="49">
        <f t="shared" si="334"/>
        <v>0</v>
      </c>
      <c r="AH1522" s="55">
        <f t="shared" si="335"/>
        <v>0</v>
      </c>
    </row>
    <row r="1523" spans="1:34" x14ac:dyDescent="0.2">
      <c r="A1523" s="48" t="s">
        <v>1274</v>
      </c>
      <c r="B1523" s="48">
        <v>1</v>
      </c>
      <c r="C1523" s="48" t="s">
        <v>1275</v>
      </c>
      <c r="D1523" s="48" t="s">
        <v>1258</v>
      </c>
      <c r="E1523" s="48" t="s">
        <v>305</v>
      </c>
      <c r="F1523" s="48" t="s">
        <v>274</v>
      </c>
      <c r="G1523" s="48" t="s">
        <v>306</v>
      </c>
      <c r="H1523" s="48" t="s">
        <v>62</v>
      </c>
      <c r="I1523" s="48" t="s">
        <v>106</v>
      </c>
      <c r="J1523" s="49">
        <v>9</v>
      </c>
      <c r="K1523" s="50">
        <v>1520</v>
      </c>
      <c r="L1523" s="50">
        <v>1502.65</v>
      </c>
      <c r="M1523" s="48" t="s">
        <v>276</v>
      </c>
      <c r="N1523" s="51">
        <v>1</v>
      </c>
      <c r="O1523" s="51">
        <v>1</v>
      </c>
      <c r="P1523" s="52">
        <v>1298.4000000000001</v>
      </c>
      <c r="Q1523" s="52">
        <v>1298.4000000000001</v>
      </c>
      <c r="R1523" s="53" t="str">
        <f>INDEX(SKU_Master!$D$5:$D$34,MATCH($I1523,SKU_Master!$A$5:$A$34,0))</f>
        <v>Laptop</v>
      </c>
      <c r="S1523" s="54">
        <f t="shared" si="322"/>
        <v>1.1414473684210447E-2</v>
      </c>
      <c r="T1523" s="55">
        <f t="shared" si="323"/>
        <v>13680</v>
      </c>
      <c r="U1523" s="55">
        <f t="shared" si="324"/>
        <v>13523.85</v>
      </c>
      <c r="V1523" s="55">
        <f t="shared" si="325"/>
        <v>-156.14999999999964</v>
      </c>
      <c r="W1523" s="55">
        <f t="shared" si="326"/>
        <v>13523.85</v>
      </c>
      <c r="X1523" s="55">
        <f t="shared" si="327"/>
        <v>0</v>
      </c>
      <c r="Y1523" s="55">
        <f t="shared" si="328"/>
        <v>11685.6</v>
      </c>
      <c r="Z1523" s="55">
        <f t="shared" si="329"/>
        <v>11685.6</v>
      </c>
      <c r="AA1523" s="55">
        <f t="shared" si="330"/>
        <v>0</v>
      </c>
      <c r="AB1523" s="55">
        <f t="shared" si="331"/>
        <v>1838.25</v>
      </c>
      <c r="AC1523" s="54">
        <f t="shared" si="332"/>
        <v>0.135926529797358</v>
      </c>
      <c r="AD1523" s="56">
        <f>INDEX(Assumptions!$B$14:$B$16,MATCH($R1523,Assumptions!$A$14:$A$16,0))</f>
        <v>0.12</v>
      </c>
      <c r="AE1523" s="56">
        <f>INDEX(Assumptions!$C$14:$C$16,MATCH($R1523,Assumptions!$A$14:$A$16,0))</f>
        <v>0.08</v>
      </c>
      <c r="AF1523" s="49">
        <f t="shared" si="333"/>
        <v>0</v>
      </c>
      <c r="AG1523" s="49">
        <f t="shared" si="334"/>
        <v>0</v>
      </c>
      <c r="AH1523" s="55">
        <f t="shared" si="335"/>
        <v>0</v>
      </c>
    </row>
    <row r="1524" spans="1:34" x14ac:dyDescent="0.2">
      <c r="A1524" s="48" t="s">
        <v>1274</v>
      </c>
      <c r="B1524" s="48">
        <v>2</v>
      </c>
      <c r="C1524" s="48" t="s">
        <v>1275</v>
      </c>
      <c r="D1524" s="48" t="s">
        <v>1258</v>
      </c>
      <c r="E1524" s="48" t="s">
        <v>305</v>
      </c>
      <c r="F1524" s="48" t="s">
        <v>274</v>
      </c>
      <c r="G1524" s="48" t="s">
        <v>306</v>
      </c>
      <c r="H1524" s="48" t="s">
        <v>62</v>
      </c>
      <c r="I1524" s="48" t="s">
        <v>144</v>
      </c>
      <c r="J1524" s="49">
        <v>10</v>
      </c>
      <c r="K1524" s="50">
        <v>370</v>
      </c>
      <c r="L1524" s="50">
        <v>366.91</v>
      </c>
      <c r="M1524" s="48" t="s">
        <v>276</v>
      </c>
      <c r="N1524" s="51">
        <v>1</v>
      </c>
      <c r="O1524" s="51">
        <v>1</v>
      </c>
      <c r="P1524" s="52">
        <v>289.60000000000002</v>
      </c>
      <c r="Q1524" s="52">
        <v>289.60000000000002</v>
      </c>
      <c r="R1524" s="53" t="str">
        <f>INDEX(SKU_Master!$D$5:$D$34,MATCH($I1524,SKU_Master!$A$5:$A$34,0))</f>
        <v>Monitor</v>
      </c>
      <c r="S1524" s="54">
        <f t="shared" si="322"/>
        <v>8.3513513513512327E-3</v>
      </c>
      <c r="T1524" s="55">
        <f t="shared" si="323"/>
        <v>3700</v>
      </c>
      <c r="U1524" s="55">
        <f t="shared" si="324"/>
        <v>3669.1000000000004</v>
      </c>
      <c r="V1524" s="55">
        <f t="shared" si="325"/>
        <v>-30.899999999999636</v>
      </c>
      <c r="W1524" s="55">
        <f t="shared" si="326"/>
        <v>3669.1000000000004</v>
      </c>
      <c r="X1524" s="55">
        <f t="shared" si="327"/>
        <v>0</v>
      </c>
      <c r="Y1524" s="55">
        <f t="shared" si="328"/>
        <v>2896</v>
      </c>
      <c r="Z1524" s="55">
        <f t="shared" si="329"/>
        <v>2896</v>
      </c>
      <c r="AA1524" s="55">
        <f t="shared" si="330"/>
        <v>0</v>
      </c>
      <c r="AB1524" s="55">
        <f t="shared" si="331"/>
        <v>773.10000000000036</v>
      </c>
      <c r="AC1524" s="54">
        <f t="shared" si="332"/>
        <v>0.21070562263225323</v>
      </c>
      <c r="AD1524" s="56">
        <f>INDEX(Assumptions!$B$14:$B$16,MATCH($R1524,Assumptions!$A$14:$A$16,0))</f>
        <v>0.18</v>
      </c>
      <c r="AE1524" s="56">
        <f>INDEX(Assumptions!$C$14:$C$16,MATCH($R1524,Assumptions!$A$14:$A$16,0))</f>
        <v>0.12</v>
      </c>
      <c r="AF1524" s="49">
        <f t="shared" si="333"/>
        <v>0</v>
      </c>
      <c r="AG1524" s="49">
        <f t="shared" si="334"/>
        <v>0</v>
      </c>
      <c r="AH1524" s="55">
        <f t="shared" si="335"/>
        <v>0</v>
      </c>
    </row>
    <row r="1525" spans="1:34" x14ac:dyDescent="0.2">
      <c r="A1525" s="48" t="s">
        <v>1274</v>
      </c>
      <c r="B1525" s="48">
        <v>3</v>
      </c>
      <c r="C1525" s="48" t="s">
        <v>1275</v>
      </c>
      <c r="D1525" s="48" t="s">
        <v>1258</v>
      </c>
      <c r="E1525" s="48" t="s">
        <v>305</v>
      </c>
      <c r="F1525" s="48" t="s">
        <v>274</v>
      </c>
      <c r="G1525" s="48" t="s">
        <v>306</v>
      </c>
      <c r="H1525" s="48" t="s">
        <v>62</v>
      </c>
      <c r="I1525" s="48" t="s">
        <v>166</v>
      </c>
      <c r="J1525" s="49">
        <v>5</v>
      </c>
      <c r="K1525" s="50">
        <v>265</v>
      </c>
      <c r="L1525" s="50">
        <v>262.17</v>
      </c>
      <c r="M1525" s="48" t="s">
        <v>276</v>
      </c>
      <c r="N1525" s="51">
        <v>1</v>
      </c>
      <c r="O1525" s="51">
        <v>1</v>
      </c>
      <c r="P1525" s="52">
        <v>169.35</v>
      </c>
      <c r="Q1525" s="52">
        <v>169.35</v>
      </c>
      <c r="R1525" s="53" t="str">
        <f>INDEX(SKU_Master!$D$5:$D$34,MATCH($I1525,SKU_Master!$A$5:$A$34,0))</f>
        <v>Accessory</v>
      </c>
      <c r="S1525" s="54">
        <f t="shared" si="322"/>
        <v>1.0679245283018779E-2</v>
      </c>
      <c r="T1525" s="55">
        <f t="shared" si="323"/>
        <v>1325</v>
      </c>
      <c r="U1525" s="55">
        <f t="shared" si="324"/>
        <v>1310.8500000000001</v>
      </c>
      <c r="V1525" s="55">
        <f t="shared" si="325"/>
        <v>-14.149999999999864</v>
      </c>
      <c r="W1525" s="55">
        <f t="shared" si="326"/>
        <v>1310.8500000000001</v>
      </c>
      <c r="X1525" s="55">
        <f t="shared" si="327"/>
        <v>0</v>
      </c>
      <c r="Y1525" s="55">
        <f t="shared" si="328"/>
        <v>846.75</v>
      </c>
      <c r="Z1525" s="55">
        <f t="shared" si="329"/>
        <v>846.75</v>
      </c>
      <c r="AA1525" s="55">
        <f t="shared" si="330"/>
        <v>0</v>
      </c>
      <c r="AB1525" s="55">
        <f t="shared" si="331"/>
        <v>464.10000000000014</v>
      </c>
      <c r="AC1525" s="54">
        <f t="shared" si="332"/>
        <v>0.3540450852500287</v>
      </c>
      <c r="AD1525" s="56">
        <f>INDEX(Assumptions!$B$14:$B$16,MATCH($R1525,Assumptions!$A$14:$A$16,0))</f>
        <v>0.32</v>
      </c>
      <c r="AE1525" s="56">
        <f>INDEX(Assumptions!$C$14:$C$16,MATCH($R1525,Assumptions!$A$14:$A$16,0))</f>
        <v>0.22</v>
      </c>
      <c r="AF1525" s="49">
        <f t="shared" si="333"/>
        <v>0</v>
      </c>
      <c r="AG1525" s="49">
        <f t="shared" si="334"/>
        <v>0</v>
      </c>
      <c r="AH1525" s="55">
        <f t="shared" si="335"/>
        <v>0</v>
      </c>
    </row>
    <row r="1526" spans="1:34" x14ac:dyDescent="0.2">
      <c r="A1526" s="48" t="s">
        <v>1276</v>
      </c>
      <c r="B1526" s="48">
        <v>1</v>
      </c>
      <c r="C1526" s="48" t="s">
        <v>1270</v>
      </c>
      <c r="D1526" s="48" t="s">
        <v>1258</v>
      </c>
      <c r="E1526" s="48" t="s">
        <v>314</v>
      </c>
      <c r="F1526" s="48" t="s">
        <v>274</v>
      </c>
      <c r="G1526" s="48" t="s">
        <v>298</v>
      </c>
      <c r="H1526" s="48" t="s">
        <v>68</v>
      </c>
      <c r="I1526" s="48" t="s">
        <v>113</v>
      </c>
      <c r="J1526" s="49">
        <v>2</v>
      </c>
      <c r="K1526" s="50">
        <v>2450</v>
      </c>
      <c r="L1526" s="50">
        <v>2418.1799999999998</v>
      </c>
      <c r="M1526" s="48" t="s">
        <v>276</v>
      </c>
      <c r="N1526" s="51">
        <v>1.37</v>
      </c>
      <c r="O1526" s="51">
        <v>1.3657999999999999</v>
      </c>
      <c r="P1526" s="52">
        <v>1496.8</v>
      </c>
      <c r="Q1526" s="52">
        <v>1496.8</v>
      </c>
      <c r="R1526" s="53" t="str">
        <f>INDEX(SKU_Master!$D$5:$D$34,MATCH($I1526,SKU_Master!$A$5:$A$34,0))</f>
        <v>Laptop</v>
      </c>
      <c r="S1526" s="54">
        <f t="shared" si="322"/>
        <v>1.2987755102040865E-2</v>
      </c>
      <c r="T1526" s="55">
        <f t="shared" si="323"/>
        <v>3576.642335766423</v>
      </c>
      <c r="U1526" s="55">
        <f t="shared" si="324"/>
        <v>3530.1897810218975</v>
      </c>
      <c r="V1526" s="55">
        <f t="shared" si="325"/>
        <v>-46.452554744525514</v>
      </c>
      <c r="W1526" s="55">
        <f t="shared" si="326"/>
        <v>3541.0455410748277</v>
      </c>
      <c r="X1526" s="55">
        <f t="shared" si="327"/>
        <v>10.855760052930236</v>
      </c>
      <c r="Y1526" s="55">
        <f t="shared" si="328"/>
        <v>2993.6</v>
      </c>
      <c r="Z1526" s="55">
        <f t="shared" si="329"/>
        <v>2993.6</v>
      </c>
      <c r="AA1526" s="55">
        <f t="shared" si="330"/>
        <v>0</v>
      </c>
      <c r="AB1526" s="55">
        <f t="shared" si="331"/>
        <v>547.44554107482782</v>
      </c>
      <c r="AC1526" s="54">
        <f t="shared" si="332"/>
        <v>0.15459997187967808</v>
      </c>
      <c r="AD1526" s="56">
        <f>INDEX(Assumptions!$B$14:$B$16,MATCH($R1526,Assumptions!$A$14:$A$16,0))</f>
        <v>0.12</v>
      </c>
      <c r="AE1526" s="56">
        <f>INDEX(Assumptions!$C$14:$C$16,MATCH($R1526,Assumptions!$A$14:$A$16,0))</f>
        <v>0.08</v>
      </c>
      <c r="AF1526" s="49">
        <f t="shared" si="333"/>
        <v>0</v>
      </c>
      <c r="AG1526" s="49">
        <f t="shared" si="334"/>
        <v>0</v>
      </c>
      <c r="AH1526" s="55">
        <f t="shared" si="335"/>
        <v>0</v>
      </c>
    </row>
    <row r="1527" spans="1:34" x14ac:dyDescent="0.2">
      <c r="A1527" s="48" t="s">
        <v>1276</v>
      </c>
      <c r="B1527" s="48">
        <v>2</v>
      </c>
      <c r="C1527" s="48" t="s">
        <v>1270</v>
      </c>
      <c r="D1527" s="48" t="s">
        <v>1258</v>
      </c>
      <c r="E1527" s="48" t="s">
        <v>314</v>
      </c>
      <c r="F1527" s="48" t="s">
        <v>274</v>
      </c>
      <c r="G1527" s="48" t="s">
        <v>298</v>
      </c>
      <c r="H1527" s="48" t="s">
        <v>68</v>
      </c>
      <c r="I1527" s="48" t="s">
        <v>138</v>
      </c>
      <c r="J1527" s="49">
        <v>1</v>
      </c>
      <c r="K1527" s="50">
        <v>665</v>
      </c>
      <c r="L1527" s="50">
        <v>663.46</v>
      </c>
      <c r="M1527" s="48" t="s">
        <v>276</v>
      </c>
      <c r="N1527" s="51">
        <v>1.37</v>
      </c>
      <c r="O1527" s="51">
        <v>1.3657999999999999</v>
      </c>
      <c r="P1527" s="52">
        <v>373.2</v>
      </c>
      <c r="Q1527" s="52">
        <v>373.2</v>
      </c>
      <c r="R1527" s="53" t="str">
        <f>INDEX(SKU_Master!$D$5:$D$34,MATCH($I1527,SKU_Master!$A$5:$A$34,0))</f>
        <v>Monitor</v>
      </c>
      <c r="S1527" s="54">
        <f t="shared" si="322"/>
        <v>2.31578947368416E-3</v>
      </c>
      <c r="T1527" s="55">
        <f t="shared" si="323"/>
        <v>485.40145985401455</v>
      </c>
      <c r="U1527" s="55">
        <f t="shared" si="324"/>
        <v>484.27737226277372</v>
      </c>
      <c r="V1527" s="55">
        <f t="shared" si="325"/>
        <v>-1.1240875912408228</v>
      </c>
      <c r="W1527" s="55">
        <f t="shared" si="326"/>
        <v>485.76658368721633</v>
      </c>
      <c r="X1527" s="55">
        <f t="shared" si="327"/>
        <v>1.4892114244426011</v>
      </c>
      <c r="Y1527" s="55">
        <f t="shared" si="328"/>
        <v>373.2</v>
      </c>
      <c r="Z1527" s="55">
        <f t="shared" si="329"/>
        <v>373.2</v>
      </c>
      <c r="AA1527" s="55">
        <f t="shared" si="330"/>
        <v>0</v>
      </c>
      <c r="AB1527" s="55">
        <f t="shared" si="331"/>
        <v>112.56658368721634</v>
      </c>
      <c r="AC1527" s="54">
        <f t="shared" si="332"/>
        <v>0.23172978024296878</v>
      </c>
      <c r="AD1527" s="56">
        <f>INDEX(Assumptions!$B$14:$B$16,MATCH($R1527,Assumptions!$A$14:$A$16,0))</f>
        <v>0.18</v>
      </c>
      <c r="AE1527" s="56">
        <f>INDEX(Assumptions!$C$14:$C$16,MATCH($R1527,Assumptions!$A$14:$A$16,0))</f>
        <v>0.12</v>
      </c>
      <c r="AF1527" s="49">
        <f t="shared" si="333"/>
        <v>0</v>
      </c>
      <c r="AG1527" s="49">
        <f t="shared" si="334"/>
        <v>0</v>
      </c>
      <c r="AH1527" s="55">
        <f t="shared" si="335"/>
        <v>0</v>
      </c>
    </row>
    <row r="1528" spans="1:34" x14ac:dyDescent="0.2">
      <c r="A1528" s="48" t="s">
        <v>1276</v>
      </c>
      <c r="B1528" s="48">
        <v>3</v>
      </c>
      <c r="C1528" s="48" t="s">
        <v>1270</v>
      </c>
      <c r="D1528" s="48" t="s">
        <v>1258</v>
      </c>
      <c r="E1528" s="48" t="s">
        <v>314</v>
      </c>
      <c r="F1528" s="48" t="s">
        <v>274</v>
      </c>
      <c r="G1528" s="48" t="s">
        <v>298</v>
      </c>
      <c r="H1528" s="48" t="s">
        <v>68</v>
      </c>
      <c r="I1528" s="48" t="s">
        <v>177</v>
      </c>
      <c r="J1528" s="49">
        <v>2</v>
      </c>
      <c r="K1528" s="50">
        <v>105</v>
      </c>
      <c r="L1528" s="50">
        <v>104.32</v>
      </c>
      <c r="M1528" s="48" t="s">
        <v>276</v>
      </c>
      <c r="N1528" s="51">
        <v>1.37</v>
      </c>
      <c r="O1528" s="51">
        <v>1.3657999999999999</v>
      </c>
      <c r="P1528" s="52">
        <v>47</v>
      </c>
      <c r="Q1528" s="52">
        <v>47</v>
      </c>
      <c r="R1528" s="53" t="str">
        <f>INDEX(SKU_Master!$D$5:$D$34,MATCH($I1528,SKU_Master!$A$5:$A$34,0))</f>
        <v>Accessory</v>
      </c>
      <c r="S1528" s="54">
        <f t="shared" si="322"/>
        <v>6.4761904761905242E-3</v>
      </c>
      <c r="T1528" s="55">
        <f t="shared" si="323"/>
        <v>153.28467153284672</v>
      </c>
      <c r="U1528" s="55">
        <f t="shared" si="324"/>
        <v>152.29197080291968</v>
      </c>
      <c r="V1528" s="55">
        <f t="shared" si="325"/>
        <v>-0.99270072992703717</v>
      </c>
      <c r="W1528" s="55">
        <f t="shared" si="326"/>
        <v>152.76028701127544</v>
      </c>
      <c r="X1528" s="55">
        <f t="shared" si="327"/>
        <v>0.46831620835575904</v>
      </c>
      <c r="Y1528" s="55">
        <f t="shared" si="328"/>
        <v>94</v>
      </c>
      <c r="Z1528" s="55">
        <f t="shared" si="329"/>
        <v>94</v>
      </c>
      <c r="AA1528" s="55">
        <f t="shared" si="330"/>
        <v>0</v>
      </c>
      <c r="AB1528" s="55">
        <f t="shared" si="331"/>
        <v>58.760287011275437</v>
      </c>
      <c r="AC1528" s="54">
        <f t="shared" si="332"/>
        <v>0.38465682515337424</v>
      </c>
      <c r="AD1528" s="56">
        <f>INDEX(Assumptions!$B$14:$B$16,MATCH($R1528,Assumptions!$A$14:$A$16,0))</f>
        <v>0.32</v>
      </c>
      <c r="AE1528" s="56">
        <f>INDEX(Assumptions!$C$14:$C$16,MATCH($R1528,Assumptions!$A$14:$A$16,0))</f>
        <v>0.22</v>
      </c>
      <c r="AF1528" s="49">
        <f t="shared" si="333"/>
        <v>0</v>
      </c>
      <c r="AG1528" s="49">
        <f t="shared" si="334"/>
        <v>0</v>
      </c>
      <c r="AH1528" s="55">
        <f t="shared" si="335"/>
        <v>0</v>
      </c>
    </row>
    <row r="1529" spans="1:34" x14ac:dyDescent="0.2">
      <c r="A1529" s="48" t="s">
        <v>1277</v>
      </c>
      <c r="B1529" s="48">
        <v>1</v>
      </c>
      <c r="C1529" s="48" t="s">
        <v>1278</v>
      </c>
      <c r="D1529" s="48" t="s">
        <v>1258</v>
      </c>
      <c r="E1529" s="48" t="s">
        <v>417</v>
      </c>
      <c r="F1529" s="48" t="s">
        <v>280</v>
      </c>
      <c r="G1529" s="48" t="s">
        <v>298</v>
      </c>
      <c r="H1529" s="48" t="s">
        <v>62</v>
      </c>
      <c r="I1529" s="48" t="s">
        <v>93</v>
      </c>
      <c r="J1529" s="49">
        <v>14</v>
      </c>
      <c r="K1529" s="50">
        <v>1390</v>
      </c>
      <c r="L1529" s="50">
        <v>1356.5</v>
      </c>
      <c r="M1529" s="48" t="s">
        <v>276</v>
      </c>
      <c r="N1529" s="51">
        <v>1</v>
      </c>
      <c r="O1529" s="51">
        <v>1</v>
      </c>
      <c r="P1529" s="52">
        <v>1186.2</v>
      </c>
      <c r="Q1529" s="52">
        <v>1186.2</v>
      </c>
      <c r="R1529" s="53" t="str">
        <f>INDEX(SKU_Master!$D$5:$D$34,MATCH($I1529,SKU_Master!$A$5:$A$34,0))</f>
        <v>Laptop</v>
      </c>
      <c r="S1529" s="54">
        <f t="shared" si="322"/>
        <v>2.4100719424460459E-2</v>
      </c>
      <c r="T1529" s="55">
        <f t="shared" si="323"/>
        <v>19460</v>
      </c>
      <c r="U1529" s="55">
        <f t="shared" si="324"/>
        <v>18991</v>
      </c>
      <c r="V1529" s="55">
        <f t="shared" si="325"/>
        <v>-469</v>
      </c>
      <c r="W1529" s="55">
        <f t="shared" si="326"/>
        <v>18991</v>
      </c>
      <c r="X1529" s="55">
        <f t="shared" si="327"/>
        <v>0</v>
      </c>
      <c r="Y1529" s="55">
        <f t="shared" si="328"/>
        <v>16606.8</v>
      </c>
      <c r="Z1529" s="55">
        <f t="shared" si="329"/>
        <v>16606.8</v>
      </c>
      <c r="AA1529" s="55">
        <f t="shared" si="330"/>
        <v>0</v>
      </c>
      <c r="AB1529" s="55">
        <f t="shared" si="331"/>
        <v>2384.2000000000007</v>
      </c>
      <c r="AC1529" s="54">
        <f t="shared" si="332"/>
        <v>0.12554367858459273</v>
      </c>
      <c r="AD1529" s="56">
        <f>INDEX(Assumptions!$B$14:$B$16,MATCH($R1529,Assumptions!$A$14:$A$16,0))</f>
        <v>0.12</v>
      </c>
      <c r="AE1529" s="56">
        <f>INDEX(Assumptions!$C$14:$C$16,MATCH($R1529,Assumptions!$A$14:$A$16,0))</f>
        <v>0.08</v>
      </c>
      <c r="AF1529" s="49">
        <f t="shared" si="333"/>
        <v>0</v>
      </c>
      <c r="AG1529" s="49">
        <f t="shared" si="334"/>
        <v>0</v>
      </c>
      <c r="AH1529" s="55">
        <f t="shared" si="335"/>
        <v>0</v>
      </c>
    </row>
    <row r="1530" spans="1:34" x14ac:dyDescent="0.2">
      <c r="A1530" s="48" t="s">
        <v>1277</v>
      </c>
      <c r="B1530" s="48">
        <v>2</v>
      </c>
      <c r="C1530" s="48" t="s">
        <v>1278</v>
      </c>
      <c r="D1530" s="48" t="s">
        <v>1258</v>
      </c>
      <c r="E1530" s="48" t="s">
        <v>417</v>
      </c>
      <c r="F1530" s="48" t="s">
        <v>280</v>
      </c>
      <c r="G1530" s="48" t="s">
        <v>298</v>
      </c>
      <c r="H1530" s="48" t="s">
        <v>62</v>
      </c>
      <c r="I1530" s="48" t="s">
        <v>135</v>
      </c>
      <c r="J1530" s="49">
        <v>9</v>
      </c>
      <c r="K1530" s="50">
        <v>240</v>
      </c>
      <c r="L1530" s="50">
        <v>236.23</v>
      </c>
      <c r="M1530" s="48" t="s">
        <v>276</v>
      </c>
      <c r="N1530" s="51">
        <v>1</v>
      </c>
      <c r="O1530" s="51">
        <v>1</v>
      </c>
      <c r="P1530" s="52">
        <v>186.7</v>
      </c>
      <c r="Q1530" s="52">
        <v>186.7</v>
      </c>
      <c r="R1530" s="53" t="str">
        <f>INDEX(SKU_Master!$D$5:$D$34,MATCH($I1530,SKU_Master!$A$5:$A$34,0))</f>
        <v>Monitor</v>
      </c>
      <c r="S1530" s="54">
        <f t="shared" si="322"/>
        <v>1.5708333333333324E-2</v>
      </c>
      <c r="T1530" s="55">
        <f t="shared" si="323"/>
        <v>2160</v>
      </c>
      <c r="U1530" s="55">
        <f t="shared" si="324"/>
        <v>2126.0699999999997</v>
      </c>
      <c r="V1530" s="55">
        <f t="shared" si="325"/>
        <v>-33.930000000000291</v>
      </c>
      <c r="W1530" s="55">
        <f t="shared" si="326"/>
        <v>2126.0699999999997</v>
      </c>
      <c r="X1530" s="55">
        <f t="shared" si="327"/>
        <v>0</v>
      </c>
      <c r="Y1530" s="55">
        <f t="shared" si="328"/>
        <v>1680.3</v>
      </c>
      <c r="Z1530" s="55">
        <f t="shared" si="329"/>
        <v>1680.3</v>
      </c>
      <c r="AA1530" s="55">
        <f t="shared" si="330"/>
        <v>0</v>
      </c>
      <c r="AB1530" s="55">
        <f t="shared" si="331"/>
        <v>445.76999999999975</v>
      </c>
      <c r="AC1530" s="54">
        <f t="shared" si="332"/>
        <v>0.20966854336875071</v>
      </c>
      <c r="AD1530" s="56">
        <f>INDEX(Assumptions!$B$14:$B$16,MATCH($R1530,Assumptions!$A$14:$A$16,0))</f>
        <v>0.18</v>
      </c>
      <c r="AE1530" s="56">
        <f>INDEX(Assumptions!$C$14:$C$16,MATCH($R1530,Assumptions!$A$14:$A$16,0))</f>
        <v>0.12</v>
      </c>
      <c r="AF1530" s="49">
        <f t="shared" si="333"/>
        <v>0</v>
      </c>
      <c r="AG1530" s="49">
        <f t="shared" si="334"/>
        <v>0</v>
      </c>
      <c r="AH1530" s="55">
        <f t="shared" si="335"/>
        <v>0</v>
      </c>
    </row>
    <row r="1531" spans="1:34" x14ac:dyDescent="0.2">
      <c r="A1531" s="48" t="s">
        <v>1277</v>
      </c>
      <c r="B1531" s="48">
        <v>3</v>
      </c>
      <c r="C1531" s="48" t="s">
        <v>1278</v>
      </c>
      <c r="D1531" s="48" t="s">
        <v>1258</v>
      </c>
      <c r="E1531" s="48" t="s">
        <v>417</v>
      </c>
      <c r="F1531" s="48" t="s">
        <v>280</v>
      </c>
      <c r="G1531" s="48" t="s">
        <v>298</v>
      </c>
      <c r="H1531" s="48" t="s">
        <v>62</v>
      </c>
      <c r="I1531" s="48" t="s">
        <v>166</v>
      </c>
      <c r="J1531" s="49">
        <v>11</v>
      </c>
      <c r="K1531" s="50">
        <v>265</v>
      </c>
      <c r="L1531" s="50">
        <v>259.83999999999997</v>
      </c>
      <c r="M1531" s="48" t="s">
        <v>276</v>
      </c>
      <c r="N1531" s="51">
        <v>1</v>
      </c>
      <c r="O1531" s="51">
        <v>1</v>
      </c>
      <c r="P1531" s="52">
        <v>169.35</v>
      </c>
      <c r="Q1531" s="52">
        <v>169.35</v>
      </c>
      <c r="R1531" s="53" t="str">
        <f>INDEX(SKU_Master!$D$5:$D$34,MATCH($I1531,SKU_Master!$A$5:$A$34,0))</f>
        <v>Accessory</v>
      </c>
      <c r="S1531" s="54">
        <f t="shared" si="322"/>
        <v>1.9471698113207592E-2</v>
      </c>
      <c r="T1531" s="55">
        <f t="shared" si="323"/>
        <v>2915</v>
      </c>
      <c r="U1531" s="55">
        <f t="shared" si="324"/>
        <v>2858.24</v>
      </c>
      <c r="V1531" s="55">
        <f t="shared" si="325"/>
        <v>-56.760000000000218</v>
      </c>
      <c r="W1531" s="55">
        <f t="shared" si="326"/>
        <v>2858.24</v>
      </c>
      <c r="X1531" s="55">
        <f t="shared" si="327"/>
        <v>0</v>
      </c>
      <c r="Y1531" s="55">
        <f t="shared" si="328"/>
        <v>1862.85</v>
      </c>
      <c r="Z1531" s="55">
        <f t="shared" si="329"/>
        <v>1862.85</v>
      </c>
      <c r="AA1531" s="55">
        <f t="shared" si="330"/>
        <v>0</v>
      </c>
      <c r="AB1531" s="55">
        <f t="shared" si="331"/>
        <v>995.38999999999987</v>
      </c>
      <c r="AC1531" s="54">
        <f t="shared" si="332"/>
        <v>0.34825277093596058</v>
      </c>
      <c r="AD1531" s="56">
        <f>INDEX(Assumptions!$B$14:$B$16,MATCH($R1531,Assumptions!$A$14:$A$16,0))</f>
        <v>0.32</v>
      </c>
      <c r="AE1531" s="56">
        <f>INDEX(Assumptions!$C$14:$C$16,MATCH($R1531,Assumptions!$A$14:$A$16,0))</f>
        <v>0.22</v>
      </c>
      <c r="AF1531" s="49">
        <f t="shared" si="333"/>
        <v>0</v>
      </c>
      <c r="AG1531" s="49">
        <f t="shared" si="334"/>
        <v>0</v>
      </c>
      <c r="AH1531" s="55">
        <f t="shared" si="335"/>
        <v>0</v>
      </c>
    </row>
    <row r="1532" spans="1:34" x14ac:dyDescent="0.2">
      <c r="A1532" s="48" t="s">
        <v>1279</v>
      </c>
      <c r="B1532" s="48">
        <v>1</v>
      </c>
      <c r="C1532" s="48" t="s">
        <v>1280</v>
      </c>
      <c r="D1532" s="48" t="s">
        <v>1258</v>
      </c>
      <c r="E1532" s="48" t="s">
        <v>358</v>
      </c>
      <c r="F1532" s="48" t="s">
        <v>274</v>
      </c>
      <c r="G1532" s="48" t="s">
        <v>288</v>
      </c>
      <c r="H1532" s="48" t="s">
        <v>62</v>
      </c>
      <c r="I1532" s="48" t="s">
        <v>121</v>
      </c>
      <c r="J1532" s="49">
        <v>6</v>
      </c>
      <c r="K1532" s="50">
        <v>920</v>
      </c>
      <c r="L1532" s="50">
        <v>917.6</v>
      </c>
      <c r="M1532" s="48" t="s">
        <v>276</v>
      </c>
      <c r="N1532" s="51">
        <v>1</v>
      </c>
      <c r="O1532" s="51">
        <v>1</v>
      </c>
      <c r="P1532" s="52">
        <v>782.4</v>
      </c>
      <c r="Q1532" s="52">
        <v>782.4</v>
      </c>
      <c r="R1532" s="53" t="str">
        <f>INDEX(SKU_Master!$D$5:$D$34,MATCH($I1532,SKU_Master!$A$5:$A$34,0))</f>
        <v>Laptop</v>
      </c>
      <c r="S1532" s="54">
        <f t="shared" si="322"/>
        <v>2.6086956521739202E-3</v>
      </c>
      <c r="T1532" s="55">
        <f t="shared" si="323"/>
        <v>5520</v>
      </c>
      <c r="U1532" s="55">
        <f t="shared" si="324"/>
        <v>5505.6</v>
      </c>
      <c r="V1532" s="55">
        <f t="shared" si="325"/>
        <v>-14.399999999999636</v>
      </c>
      <c r="W1532" s="55">
        <f t="shared" si="326"/>
        <v>5505.6</v>
      </c>
      <c r="X1532" s="55">
        <f t="shared" si="327"/>
        <v>0</v>
      </c>
      <c r="Y1532" s="55">
        <f t="shared" si="328"/>
        <v>4694.3999999999996</v>
      </c>
      <c r="Z1532" s="55">
        <f t="shared" si="329"/>
        <v>4694.3999999999996</v>
      </c>
      <c r="AA1532" s="55">
        <f t="shared" si="330"/>
        <v>0</v>
      </c>
      <c r="AB1532" s="55">
        <f t="shared" si="331"/>
        <v>811.20000000000073</v>
      </c>
      <c r="AC1532" s="54">
        <f t="shared" si="332"/>
        <v>0.14734088927637326</v>
      </c>
      <c r="AD1532" s="56">
        <f>INDEX(Assumptions!$B$14:$B$16,MATCH($R1532,Assumptions!$A$14:$A$16,0))</f>
        <v>0.12</v>
      </c>
      <c r="AE1532" s="56">
        <f>INDEX(Assumptions!$C$14:$C$16,MATCH($R1532,Assumptions!$A$14:$A$16,0))</f>
        <v>0.08</v>
      </c>
      <c r="AF1532" s="49">
        <f t="shared" si="333"/>
        <v>0</v>
      </c>
      <c r="AG1532" s="49">
        <f t="shared" si="334"/>
        <v>0</v>
      </c>
      <c r="AH1532" s="55">
        <f t="shared" si="335"/>
        <v>0</v>
      </c>
    </row>
    <row r="1533" spans="1:34" x14ac:dyDescent="0.2">
      <c r="A1533" s="48" t="s">
        <v>1279</v>
      </c>
      <c r="B1533" s="48">
        <v>2</v>
      </c>
      <c r="C1533" s="48" t="s">
        <v>1280</v>
      </c>
      <c r="D1533" s="48" t="s">
        <v>1258</v>
      </c>
      <c r="E1533" s="48" t="s">
        <v>358</v>
      </c>
      <c r="F1533" s="48" t="s">
        <v>274</v>
      </c>
      <c r="G1533" s="48" t="s">
        <v>288</v>
      </c>
      <c r="H1533" s="48" t="s">
        <v>62</v>
      </c>
      <c r="I1533" s="48" t="s">
        <v>146</v>
      </c>
      <c r="J1533" s="49">
        <v>5</v>
      </c>
      <c r="K1533" s="50">
        <v>235</v>
      </c>
      <c r="L1533" s="50">
        <v>231.74</v>
      </c>
      <c r="M1533" s="48" t="s">
        <v>276</v>
      </c>
      <c r="N1533" s="51">
        <v>1</v>
      </c>
      <c r="O1533" s="51">
        <v>1</v>
      </c>
      <c r="P1533" s="52">
        <v>181.8</v>
      </c>
      <c r="Q1533" s="52">
        <v>181.8</v>
      </c>
      <c r="R1533" s="53" t="str">
        <f>INDEX(SKU_Master!$D$5:$D$34,MATCH($I1533,SKU_Master!$A$5:$A$34,0))</f>
        <v>Monitor</v>
      </c>
      <c r="S1533" s="54">
        <f t="shared" si="322"/>
        <v>1.3872340425531871E-2</v>
      </c>
      <c r="T1533" s="55">
        <f t="shared" si="323"/>
        <v>1175</v>
      </c>
      <c r="U1533" s="55">
        <f t="shared" si="324"/>
        <v>1158.7</v>
      </c>
      <c r="V1533" s="55">
        <f t="shared" si="325"/>
        <v>-16.299999999999955</v>
      </c>
      <c r="W1533" s="55">
        <f t="shared" si="326"/>
        <v>1158.7</v>
      </c>
      <c r="X1533" s="55">
        <f t="shared" si="327"/>
        <v>0</v>
      </c>
      <c r="Y1533" s="55">
        <f t="shared" si="328"/>
        <v>909</v>
      </c>
      <c r="Z1533" s="55">
        <f t="shared" si="329"/>
        <v>909</v>
      </c>
      <c r="AA1533" s="55">
        <f t="shared" si="330"/>
        <v>0</v>
      </c>
      <c r="AB1533" s="55">
        <f t="shared" si="331"/>
        <v>249.70000000000005</v>
      </c>
      <c r="AC1533" s="54">
        <f t="shared" si="332"/>
        <v>0.21550012945542421</v>
      </c>
      <c r="AD1533" s="56">
        <f>INDEX(Assumptions!$B$14:$B$16,MATCH($R1533,Assumptions!$A$14:$A$16,0))</f>
        <v>0.18</v>
      </c>
      <c r="AE1533" s="56">
        <f>INDEX(Assumptions!$C$14:$C$16,MATCH($R1533,Assumptions!$A$14:$A$16,0))</f>
        <v>0.12</v>
      </c>
      <c r="AF1533" s="49">
        <f t="shared" si="333"/>
        <v>0</v>
      </c>
      <c r="AG1533" s="49">
        <f t="shared" si="334"/>
        <v>0</v>
      </c>
      <c r="AH1533" s="55">
        <f t="shared" si="335"/>
        <v>0</v>
      </c>
    </row>
    <row r="1534" spans="1:34" x14ac:dyDescent="0.2">
      <c r="A1534" s="48" t="s">
        <v>1281</v>
      </c>
      <c r="B1534" s="48">
        <v>1</v>
      </c>
      <c r="C1534" s="48" t="s">
        <v>1282</v>
      </c>
      <c r="D1534" s="48" t="s">
        <v>1258</v>
      </c>
      <c r="E1534" s="48" t="s">
        <v>498</v>
      </c>
      <c r="F1534" s="48" t="s">
        <v>280</v>
      </c>
      <c r="G1534" s="48" t="s">
        <v>302</v>
      </c>
      <c r="H1534" s="48" t="s">
        <v>66</v>
      </c>
      <c r="I1534" s="48" t="s">
        <v>110</v>
      </c>
      <c r="J1534" s="49">
        <v>18</v>
      </c>
      <c r="K1534" s="50">
        <v>1115</v>
      </c>
      <c r="L1534" s="50">
        <v>1064.49</v>
      </c>
      <c r="M1534" s="48" t="s">
        <v>276</v>
      </c>
      <c r="N1534" s="51">
        <v>0.92</v>
      </c>
      <c r="O1534" s="51">
        <v>0.9335</v>
      </c>
      <c r="P1534" s="52">
        <v>1012.65</v>
      </c>
      <c r="Q1534" s="52">
        <v>1012.65</v>
      </c>
      <c r="R1534" s="53" t="str">
        <f>INDEX(SKU_Master!$D$5:$D$34,MATCH($I1534,SKU_Master!$A$5:$A$34,0))</f>
        <v>Laptop</v>
      </c>
      <c r="S1534" s="54">
        <f t="shared" si="322"/>
        <v>4.5300448430493301E-2</v>
      </c>
      <c r="T1534" s="55">
        <f t="shared" si="323"/>
        <v>21815.217391304348</v>
      </c>
      <c r="U1534" s="55">
        <f t="shared" si="324"/>
        <v>20826.978260869564</v>
      </c>
      <c r="V1534" s="55">
        <f t="shared" si="325"/>
        <v>-988.23913043478387</v>
      </c>
      <c r="W1534" s="55">
        <f t="shared" si="326"/>
        <v>20525.784681306908</v>
      </c>
      <c r="X1534" s="55">
        <f t="shared" si="327"/>
        <v>-301.19357956265594</v>
      </c>
      <c r="Y1534" s="55">
        <f t="shared" si="328"/>
        <v>18227.7</v>
      </c>
      <c r="Z1534" s="55">
        <f t="shared" si="329"/>
        <v>18227.7</v>
      </c>
      <c r="AA1534" s="55">
        <f t="shared" si="330"/>
        <v>0</v>
      </c>
      <c r="AB1534" s="55">
        <f t="shared" si="331"/>
        <v>2298.0846813069074</v>
      </c>
      <c r="AC1534" s="54">
        <f t="shared" si="332"/>
        <v>0.11196086858495609</v>
      </c>
      <c r="AD1534" s="56">
        <f>INDEX(Assumptions!$B$14:$B$16,MATCH($R1534,Assumptions!$A$14:$A$16,0))</f>
        <v>0.12</v>
      </c>
      <c r="AE1534" s="56">
        <f>INDEX(Assumptions!$C$14:$C$16,MATCH($R1534,Assumptions!$A$14:$A$16,0))</f>
        <v>0.08</v>
      </c>
      <c r="AF1534" s="49">
        <f t="shared" si="333"/>
        <v>0</v>
      </c>
      <c r="AG1534" s="49">
        <f t="shared" si="334"/>
        <v>0</v>
      </c>
      <c r="AH1534" s="55">
        <f t="shared" si="335"/>
        <v>165.00948044992128</v>
      </c>
    </row>
    <row r="1535" spans="1:34" x14ac:dyDescent="0.2">
      <c r="A1535" s="48" t="s">
        <v>1281</v>
      </c>
      <c r="B1535" s="48">
        <v>2</v>
      </c>
      <c r="C1535" s="48" t="s">
        <v>1282</v>
      </c>
      <c r="D1535" s="48" t="s">
        <v>1258</v>
      </c>
      <c r="E1535" s="48" t="s">
        <v>498</v>
      </c>
      <c r="F1535" s="48" t="s">
        <v>280</v>
      </c>
      <c r="G1535" s="48" t="s">
        <v>302</v>
      </c>
      <c r="H1535" s="48" t="s">
        <v>66</v>
      </c>
      <c r="I1535" s="48" t="s">
        <v>135</v>
      </c>
      <c r="J1535" s="49">
        <v>16</v>
      </c>
      <c r="K1535" s="50">
        <v>255</v>
      </c>
      <c r="L1535" s="50">
        <v>247.86</v>
      </c>
      <c r="M1535" s="48" t="s">
        <v>276</v>
      </c>
      <c r="N1535" s="51">
        <v>0.92</v>
      </c>
      <c r="O1535" s="51">
        <v>0.9335</v>
      </c>
      <c r="P1535" s="52">
        <v>211.7</v>
      </c>
      <c r="Q1535" s="52">
        <v>211.7</v>
      </c>
      <c r="R1535" s="53" t="str">
        <f>INDEX(SKU_Master!$D$5:$D$34,MATCH($I1535,SKU_Master!$A$5:$A$34,0))</f>
        <v>Monitor</v>
      </c>
      <c r="S1535" s="54">
        <f t="shared" si="322"/>
        <v>2.7999999999999914E-2</v>
      </c>
      <c r="T1535" s="55">
        <f t="shared" si="323"/>
        <v>4434.782608695652</v>
      </c>
      <c r="U1535" s="55">
        <f t="shared" si="324"/>
        <v>4310.608695652174</v>
      </c>
      <c r="V1535" s="55">
        <f t="shared" si="325"/>
        <v>-124.17391304347802</v>
      </c>
      <c r="W1535" s="55">
        <f t="shared" si="326"/>
        <v>4248.2699517943229</v>
      </c>
      <c r="X1535" s="55">
        <f t="shared" si="327"/>
        <v>-62.338743857851114</v>
      </c>
      <c r="Y1535" s="55">
        <f t="shared" si="328"/>
        <v>3387.2</v>
      </c>
      <c r="Z1535" s="55">
        <f t="shared" si="329"/>
        <v>3387.2</v>
      </c>
      <c r="AA1535" s="55">
        <f t="shared" si="330"/>
        <v>0</v>
      </c>
      <c r="AB1535" s="55">
        <f t="shared" si="331"/>
        <v>861.06995179432306</v>
      </c>
      <c r="AC1535" s="54">
        <f t="shared" si="332"/>
        <v>0.20268720245299779</v>
      </c>
      <c r="AD1535" s="56">
        <f>INDEX(Assumptions!$B$14:$B$16,MATCH($R1535,Assumptions!$A$14:$A$16,0))</f>
        <v>0.18</v>
      </c>
      <c r="AE1535" s="56">
        <f>INDEX(Assumptions!$C$14:$C$16,MATCH($R1535,Assumptions!$A$14:$A$16,0))</f>
        <v>0.12</v>
      </c>
      <c r="AF1535" s="49">
        <f t="shared" si="333"/>
        <v>0</v>
      </c>
      <c r="AG1535" s="49">
        <f t="shared" si="334"/>
        <v>0</v>
      </c>
      <c r="AH1535" s="55">
        <f t="shared" si="335"/>
        <v>0</v>
      </c>
    </row>
    <row r="1536" spans="1:34" x14ac:dyDescent="0.2">
      <c r="A1536" s="48" t="s">
        <v>1281</v>
      </c>
      <c r="B1536" s="48">
        <v>3</v>
      </c>
      <c r="C1536" s="48" t="s">
        <v>1282</v>
      </c>
      <c r="D1536" s="48" t="s">
        <v>1258</v>
      </c>
      <c r="E1536" s="48" t="s">
        <v>498</v>
      </c>
      <c r="F1536" s="48" t="s">
        <v>280</v>
      </c>
      <c r="G1536" s="48" t="s">
        <v>302</v>
      </c>
      <c r="H1536" s="48" t="s">
        <v>66</v>
      </c>
      <c r="I1536" s="48" t="s">
        <v>166</v>
      </c>
      <c r="J1536" s="49">
        <v>15</v>
      </c>
      <c r="K1536" s="50">
        <v>255</v>
      </c>
      <c r="L1536" s="50">
        <v>234.79</v>
      </c>
      <c r="M1536" s="48" t="s">
        <v>276</v>
      </c>
      <c r="N1536" s="51">
        <v>0.92</v>
      </c>
      <c r="O1536" s="51">
        <v>0.9335</v>
      </c>
      <c r="P1536" s="52">
        <v>174.35</v>
      </c>
      <c r="Q1536" s="52">
        <v>174.35</v>
      </c>
      <c r="R1536" s="53" t="str">
        <f>INDEX(SKU_Master!$D$5:$D$34,MATCH($I1536,SKU_Master!$A$5:$A$34,0))</f>
        <v>Accessory</v>
      </c>
      <c r="S1536" s="54">
        <f t="shared" si="322"/>
        <v>7.925490196078433E-2</v>
      </c>
      <c r="T1536" s="55">
        <f t="shared" si="323"/>
        <v>4157.608695652174</v>
      </c>
      <c r="U1536" s="55">
        <f t="shared" si="324"/>
        <v>3828.097826086956</v>
      </c>
      <c r="V1536" s="55">
        <f t="shared" si="325"/>
        <v>-329.51086956521794</v>
      </c>
      <c r="W1536" s="55">
        <f t="shared" si="326"/>
        <v>3772.7370112479912</v>
      </c>
      <c r="X1536" s="55">
        <f t="shared" si="327"/>
        <v>-55.36081483896487</v>
      </c>
      <c r="Y1536" s="55">
        <f t="shared" si="328"/>
        <v>2615.25</v>
      </c>
      <c r="Z1536" s="55">
        <f t="shared" si="329"/>
        <v>2615.25</v>
      </c>
      <c r="AA1536" s="55">
        <f t="shared" si="330"/>
        <v>0</v>
      </c>
      <c r="AB1536" s="55">
        <f t="shared" si="331"/>
        <v>1157.4870112479912</v>
      </c>
      <c r="AC1536" s="54">
        <f t="shared" si="332"/>
        <v>0.30680299416499845</v>
      </c>
      <c r="AD1536" s="56">
        <f>INDEX(Assumptions!$B$14:$B$16,MATCH($R1536,Assumptions!$A$14:$A$16,0))</f>
        <v>0.32</v>
      </c>
      <c r="AE1536" s="56">
        <f>INDEX(Assumptions!$C$14:$C$16,MATCH($R1536,Assumptions!$A$14:$A$16,0))</f>
        <v>0.22</v>
      </c>
      <c r="AF1536" s="49">
        <f t="shared" si="333"/>
        <v>0</v>
      </c>
      <c r="AG1536" s="49">
        <f t="shared" si="334"/>
        <v>0</v>
      </c>
      <c r="AH1536" s="55">
        <f t="shared" si="335"/>
        <v>49.788832351365954</v>
      </c>
    </row>
    <row r="1537" spans="1:34" x14ac:dyDescent="0.2">
      <c r="A1537" s="48" t="s">
        <v>1283</v>
      </c>
      <c r="B1537" s="48">
        <v>1</v>
      </c>
      <c r="C1537" s="48" t="s">
        <v>1257</v>
      </c>
      <c r="D1537" s="48" t="s">
        <v>1258</v>
      </c>
      <c r="E1537" s="48" t="s">
        <v>427</v>
      </c>
      <c r="F1537" s="48" t="s">
        <v>297</v>
      </c>
      <c r="G1537" s="48" t="s">
        <v>302</v>
      </c>
      <c r="H1537" s="48" t="s">
        <v>66</v>
      </c>
      <c r="I1537" s="48" t="s">
        <v>98</v>
      </c>
      <c r="J1537" s="49">
        <v>61</v>
      </c>
      <c r="K1537" s="50">
        <v>1980</v>
      </c>
      <c r="L1537" s="50">
        <v>1882.94</v>
      </c>
      <c r="M1537" s="48" t="s">
        <v>276</v>
      </c>
      <c r="N1537" s="51">
        <v>0.92</v>
      </c>
      <c r="O1537" s="51">
        <v>0.9335</v>
      </c>
      <c r="P1537" s="52">
        <v>1800.2</v>
      </c>
      <c r="Q1537" s="52">
        <v>1800.2</v>
      </c>
      <c r="R1537" s="53" t="str">
        <f>INDEX(SKU_Master!$D$5:$D$34,MATCH($I1537,SKU_Master!$A$5:$A$34,0))</f>
        <v>Laptop</v>
      </c>
      <c r="S1537" s="54">
        <f t="shared" si="322"/>
        <v>4.9020202020201964E-2</v>
      </c>
      <c r="T1537" s="55">
        <f t="shared" si="323"/>
        <v>131282.60869565216</v>
      </c>
      <c r="U1537" s="55">
        <f t="shared" si="324"/>
        <v>124847.10869565216</v>
      </c>
      <c r="V1537" s="55">
        <f t="shared" si="325"/>
        <v>-6435.5</v>
      </c>
      <c r="W1537" s="55">
        <f t="shared" si="326"/>
        <v>123041.60685591858</v>
      </c>
      <c r="X1537" s="55">
        <f t="shared" si="327"/>
        <v>-1805.5018397335807</v>
      </c>
      <c r="Y1537" s="55">
        <f t="shared" si="328"/>
        <v>109812.2</v>
      </c>
      <c r="Z1537" s="55">
        <f t="shared" si="329"/>
        <v>109812.2</v>
      </c>
      <c r="AA1537" s="55">
        <f t="shared" si="330"/>
        <v>0</v>
      </c>
      <c r="AB1537" s="55">
        <f t="shared" si="331"/>
        <v>13229.406855918583</v>
      </c>
      <c r="AC1537" s="54">
        <f t="shared" si="332"/>
        <v>0.10751978289271032</v>
      </c>
      <c r="AD1537" s="56">
        <f>INDEX(Assumptions!$B$14:$B$16,MATCH($R1537,Assumptions!$A$14:$A$16,0))</f>
        <v>0.12</v>
      </c>
      <c r="AE1537" s="56">
        <f>INDEX(Assumptions!$C$14:$C$16,MATCH($R1537,Assumptions!$A$14:$A$16,0))</f>
        <v>0.08</v>
      </c>
      <c r="AF1537" s="49">
        <f t="shared" si="333"/>
        <v>0</v>
      </c>
      <c r="AG1537" s="49">
        <f t="shared" si="334"/>
        <v>0</v>
      </c>
      <c r="AH1537" s="55">
        <f t="shared" si="335"/>
        <v>1535.5859667916448</v>
      </c>
    </row>
    <row r="1538" spans="1:34" x14ac:dyDescent="0.2">
      <c r="A1538" s="48" t="s">
        <v>1283</v>
      </c>
      <c r="B1538" s="48">
        <v>2</v>
      </c>
      <c r="C1538" s="48" t="s">
        <v>1257</v>
      </c>
      <c r="D1538" s="48" t="s">
        <v>1258</v>
      </c>
      <c r="E1538" s="48" t="s">
        <v>427</v>
      </c>
      <c r="F1538" s="48" t="s">
        <v>297</v>
      </c>
      <c r="G1538" s="48" t="s">
        <v>302</v>
      </c>
      <c r="H1538" s="48" t="s">
        <v>66</v>
      </c>
      <c r="I1538" s="48" t="s">
        <v>141</v>
      </c>
      <c r="J1538" s="49">
        <v>29</v>
      </c>
      <c r="K1538" s="50">
        <v>450</v>
      </c>
      <c r="L1538" s="50">
        <v>429.11</v>
      </c>
      <c r="M1538" s="48" t="s">
        <v>276</v>
      </c>
      <c r="N1538" s="51">
        <v>0.92</v>
      </c>
      <c r="O1538" s="51">
        <v>0.9335</v>
      </c>
      <c r="P1538" s="52">
        <v>376.7</v>
      </c>
      <c r="Q1538" s="52">
        <v>376.7</v>
      </c>
      <c r="R1538" s="53" t="str">
        <f>INDEX(SKU_Master!$D$5:$D$34,MATCH($I1538,SKU_Master!$A$5:$A$34,0))</f>
        <v>Monitor</v>
      </c>
      <c r="S1538" s="54">
        <f t="shared" si="322"/>
        <v>4.6422222222222143E-2</v>
      </c>
      <c r="T1538" s="55">
        <f t="shared" si="323"/>
        <v>14184.782608695652</v>
      </c>
      <c r="U1538" s="55">
        <f t="shared" si="324"/>
        <v>13526.29347826087</v>
      </c>
      <c r="V1538" s="55">
        <f t="shared" si="325"/>
        <v>-658.48913043478206</v>
      </c>
      <c r="W1538" s="55">
        <f t="shared" si="326"/>
        <v>13330.680235672202</v>
      </c>
      <c r="X1538" s="55">
        <f t="shared" si="327"/>
        <v>-195.61324258866807</v>
      </c>
      <c r="Y1538" s="55">
        <f t="shared" si="328"/>
        <v>10924.3</v>
      </c>
      <c r="Z1538" s="55">
        <f t="shared" si="329"/>
        <v>10924.3</v>
      </c>
      <c r="AA1538" s="55">
        <f t="shared" si="330"/>
        <v>0</v>
      </c>
      <c r="AB1538" s="55">
        <f t="shared" si="331"/>
        <v>2406.3802356722026</v>
      </c>
      <c r="AC1538" s="54">
        <f t="shared" si="332"/>
        <v>0.18051443685768226</v>
      </c>
      <c r="AD1538" s="56">
        <f>INDEX(Assumptions!$B$14:$B$16,MATCH($R1538,Assumptions!$A$14:$A$16,0))</f>
        <v>0.18</v>
      </c>
      <c r="AE1538" s="56">
        <f>INDEX(Assumptions!$C$14:$C$16,MATCH($R1538,Assumptions!$A$14:$A$16,0))</f>
        <v>0.12</v>
      </c>
      <c r="AF1538" s="49">
        <f t="shared" si="333"/>
        <v>0</v>
      </c>
      <c r="AG1538" s="49">
        <f t="shared" si="334"/>
        <v>0</v>
      </c>
      <c r="AH1538" s="55">
        <f t="shared" si="335"/>
        <v>0</v>
      </c>
    </row>
    <row r="1539" spans="1:34" x14ac:dyDescent="0.2">
      <c r="A1539" s="48" t="s">
        <v>1283</v>
      </c>
      <c r="B1539" s="48">
        <v>3</v>
      </c>
      <c r="C1539" s="48" t="s">
        <v>1257</v>
      </c>
      <c r="D1539" s="48" t="s">
        <v>1258</v>
      </c>
      <c r="E1539" s="48" t="s">
        <v>427</v>
      </c>
      <c r="F1539" s="48" t="s">
        <v>297</v>
      </c>
      <c r="G1539" s="48" t="s">
        <v>302</v>
      </c>
      <c r="H1539" s="48" t="s">
        <v>66</v>
      </c>
      <c r="I1539" s="48" t="s">
        <v>177</v>
      </c>
      <c r="J1539" s="49">
        <v>39</v>
      </c>
      <c r="K1539" s="50">
        <v>75</v>
      </c>
      <c r="L1539" s="50">
        <v>70.739999999999995</v>
      </c>
      <c r="M1539" s="48" t="s">
        <v>276</v>
      </c>
      <c r="N1539" s="51">
        <v>0.92</v>
      </c>
      <c r="O1539" s="51">
        <v>0.9335</v>
      </c>
      <c r="P1539" s="52">
        <v>49</v>
      </c>
      <c r="Q1539" s="52">
        <v>49</v>
      </c>
      <c r="R1539" s="53" t="str">
        <f>INDEX(SKU_Master!$D$5:$D$34,MATCH($I1539,SKU_Master!$A$5:$A$34,0))</f>
        <v>Accessory</v>
      </c>
      <c r="S1539" s="54">
        <f t="shared" si="322"/>
        <v>5.6800000000000073E-2</v>
      </c>
      <c r="T1539" s="55">
        <f t="shared" si="323"/>
        <v>3179.3478260869565</v>
      </c>
      <c r="U1539" s="55">
        <f t="shared" si="324"/>
        <v>2998.760869565217</v>
      </c>
      <c r="V1539" s="55">
        <f t="shared" si="325"/>
        <v>-180.58695652173947</v>
      </c>
      <c r="W1539" s="55">
        <f t="shared" si="326"/>
        <v>2955.3936797000533</v>
      </c>
      <c r="X1539" s="55">
        <f t="shared" si="327"/>
        <v>-43.367189865163709</v>
      </c>
      <c r="Y1539" s="55">
        <f t="shared" si="328"/>
        <v>1911</v>
      </c>
      <c r="Z1539" s="55">
        <f t="shared" si="329"/>
        <v>1911</v>
      </c>
      <c r="AA1539" s="55">
        <f t="shared" si="330"/>
        <v>0</v>
      </c>
      <c r="AB1539" s="55">
        <f t="shared" si="331"/>
        <v>1044.3936797000533</v>
      </c>
      <c r="AC1539" s="54">
        <f t="shared" si="332"/>
        <v>0.35338563754594282</v>
      </c>
      <c r="AD1539" s="56">
        <f>INDEX(Assumptions!$B$14:$B$16,MATCH($R1539,Assumptions!$A$14:$A$16,0))</f>
        <v>0.32</v>
      </c>
      <c r="AE1539" s="56">
        <f>INDEX(Assumptions!$C$14:$C$16,MATCH($R1539,Assumptions!$A$14:$A$16,0))</f>
        <v>0.22</v>
      </c>
      <c r="AF1539" s="49">
        <f t="shared" si="333"/>
        <v>0</v>
      </c>
      <c r="AG1539" s="49">
        <f t="shared" si="334"/>
        <v>0</v>
      </c>
      <c r="AH1539" s="55">
        <f t="shared" si="335"/>
        <v>0</v>
      </c>
    </row>
    <row r="1540" spans="1:34" x14ac:dyDescent="0.2">
      <c r="A1540" s="48" t="s">
        <v>1284</v>
      </c>
      <c r="B1540" s="48">
        <v>1</v>
      </c>
      <c r="C1540" s="48" t="s">
        <v>1266</v>
      </c>
      <c r="D1540" s="48" t="s">
        <v>1258</v>
      </c>
      <c r="E1540" s="48" t="s">
        <v>393</v>
      </c>
      <c r="F1540" s="48" t="s">
        <v>274</v>
      </c>
      <c r="G1540" s="48" t="s">
        <v>275</v>
      </c>
      <c r="H1540" s="48" t="s">
        <v>66</v>
      </c>
      <c r="I1540" s="48" t="s">
        <v>106</v>
      </c>
      <c r="J1540" s="49">
        <v>6</v>
      </c>
      <c r="K1540" s="50">
        <v>1450</v>
      </c>
      <c r="L1540" s="50">
        <v>1425.45</v>
      </c>
      <c r="M1540" s="48" t="s">
        <v>276</v>
      </c>
      <c r="N1540" s="51">
        <v>0.92</v>
      </c>
      <c r="O1540" s="51">
        <v>0.9335</v>
      </c>
      <c r="P1540" s="52">
        <v>1318.4</v>
      </c>
      <c r="Q1540" s="52">
        <v>1318.4</v>
      </c>
      <c r="R1540" s="53" t="str">
        <f>INDEX(SKU_Master!$D$5:$D$34,MATCH($I1540,SKU_Master!$A$5:$A$34,0))</f>
        <v>Laptop</v>
      </c>
      <c r="S1540" s="54">
        <f t="shared" si="322"/>
        <v>1.6931034482758567E-2</v>
      </c>
      <c r="T1540" s="55">
        <f t="shared" si="323"/>
        <v>9456.5217391304341</v>
      </c>
      <c r="U1540" s="55">
        <f t="shared" si="324"/>
        <v>9296.4130434782619</v>
      </c>
      <c r="V1540" s="55">
        <f t="shared" si="325"/>
        <v>-160.10869565217217</v>
      </c>
      <c r="W1540" s="55">
        <f t="shared" si="326"/>
        <v>9161.9710765934669</v>
      </c>
      <c r="X1540" s="55">
        <f t="shared" si="327"/>
        <v>-134.44196688479497</v>
      </c>
      <c r="Y1540" s="55">
        <f t="shared" si="328"/>
        <v>7910.4000000000005</v>
      </c>
      <c r="Z1540" s="55">
        <f t="shared" si="329"/>
        <v>7910.4000000000005</v>
      </c>
      <c r="AA1540" s="55">
        <f t="shared" si="330"/>
        <v>0</v>
      </c>
      <c r="AB1540" s="55">
        <f t="shared" si="331"/>
        <v>1251.5710765934664</v>
      </c>
      <c r="AC1540" s="54">
        <f t="shared" si="332"/>
        <v>0.1366050019292154</v>
      </c>
      <c r="AD1540" s="56">
        <f>INDEX(Assumptions!$B$14:$B$16,MATCH($R1540,Assumptions!$A$14:$A$16,0))</f>
        <v>0.12</v>
      </c>
      <c r="AE1540" s="56">
        <f>INDEX(Assumptions!$C$14:$C$16,MATCH($R1540,Assumptions!$A$14:$A$16,0))</f>
        <v>0.08</v>
      </c>
      <c r="AF1540" s="49">
        <f t="shared" si="333"/>
        <v>0</v>
      </c>
      <c r="AG1540" s="49">
        <f t="shared" si="334"/>
        <v>0</v>
      </c>
      <c r="AH1540" s="55">
        <f t="shared" si="335"/>
        <v>0</v>
      </c>
    </row>
    <row r="1541" spans="1:34" x14ac:dyDescent="0.2">
      <c r="A1541" s="48" t="s">
        <v>1284</v>
      </c>
      <c r="B1541" s="48">
        <v>2</v>
      </c>
      <c r="C1541" s="48" t="s">
        <v>1266</v>
      </c>
      <c r="D1541" s="48" t="s">
        <v>1258</v>
      </c>
      <c r="E1541" s="48" t="s">
        <v>393</v>
      </c>
      <c r="F1541" s="48" t="s">
        <v>274</v>
      </c>
      <c r="G1541" s="48" t="s">
        <v>275</v>
      </c>
      <c r="H1541" s="48" t="s">
        <v>66</v>
      </c>
      <c r="I1541" s="48" t="s">
        <v>161</v>
      </c>
      <c r="J1541" s="49">
        <v>3</v>
      </c>
      <c r="K1541" s="50">
        <v>120</v>
      </c>
      <c r="L1541" s="50">
        <v>118.31</v>
      </c>
      <c r="M1541" s="48" t="s">
        <v>276</v>
      </c>
      <c r="N1541" s="51">
        <v>0.92</v>
      </c>
      <c r="O1541" s="51">
        <v>0.9335</v>
      </c>
      <c r="P1541" s="52">
        <v>81</v>
      </c>
      <c r="Q1541" s="52">
        <v>81</v>
      </c>
      <c r="R1541" s="53" t="str">
        <f>INDEX(SKU_Master!$D$5:$D$34,MATCH($I1541,SKU_Master!$A$5:$A$34,0))</f>
        <v>Accessory</v>
      </c>
      <c r="S1541" s="54">
        <f t="shared" ref="S1541:S1604" si="336">IF(K1541=0,0,1-L1541/K1541)</f>
        <v>1.4083333333333337E-2</v>
      </c>
      <c r="T1541" s="55">
        <f t="shared" ref="T1541:T1604" si="337">J1541*K1541/N1541</f>
        <v>391.30434782608694</v>
      </c>
      <c r="U1541" s="55">
        <f t="shared" ref="U1541:U1604" si="338">J1541*L1541/N1541</f>
        <v>385.79347826086956</v>
      </c>
      <c r="V1541" s="55">
        <f t="shared" ref="V1541:V1604" si="339">U1541-T1541</f>
        <v>-5.5108695652173765</v>
      </c>
      <c r="W1541" s="55">
        <f t="shared" ref="W1541:W1604" si="340">J1541*L1541/O1541</f>
        <v>380.21424745581146</v>
      </c>
      <c r="X1541" s="55">
        <f t="shared" ref="X1541:X1604" si="341">W1541-U1541</f>
        <v>-5.5792308050581028</v>
      </c>
      <c r="Y1541" s="55">
        <f t="shared" ref="Y1541:Y1604" si="342">J1541*P1541</f>
        <v>243</v>
      </c>
      <c r="Z1541" s="55">
        <f t="shared" ref="Z1541:Z1604" si="343">J1541*Q1541</f>
        <v>243</v>
      </c>
      <c r="AA1541" s="55">
        <f t="shared" ref="AA1541:AA1604" si="344">Y1541-Z1541</f>
        <v>0</v>
      </c>
      <c r="AB1541" s="55">
        <f t="shared" ref="AB1541:AB1604" si="345">W1541-Z1541</f>
        <v>137.21424745581146</v>
      </c>
      <c r="AC1541" s="54">
        <f t="shared" ref="AC1541:AC1604" si="346">IF(W1541=0,0,AB1541/W1541)</f>
        <v>0.36088665370636464</v>
      </c>
      <c r="AD1541" s="56">
        <f>INDEX(Assumptions!$B$14:$B$16,MATCH($R1541,Assumptions!$A$14:$A$16,0))</f>
        <v>0.32</v>
      </c>
      <c r="AE1541" s="56">
        <f>INDEX(Assumptions!$C$14:$C$16,MATCH($R1541,Assumptions!$A$14:$A$16,0))</f>
        <v>0.22</v>
      </c>
      <c r="AF1541" s="49">
        <f t="shared" ref="AF1541:AF1604" si="347">IF(AC1541&lt;AE1541,1,0)</f>
        <v>0</v>
      </c>
      <c r="AG1541" s="49">
        <f t="shared" ref="AG1541:AG1604" si="348">IF(AND(AF1541=1,M1541="N"),1,0)</f>
        <v>0</v>
      </c>
      <c r="AH1541" s="55">
        <f t="shared" ref="AH1541:AH1604" si="349">MAX(0,W1541*AD1541-AB1541)</f>
        <v>0</v>
      </c>
    </row>
    <row r="1542" spans="1:34" x14ac:dyDescent="0.2">
      <c r="A1542" s="48" t="s">
        <v>1285</v>
      </c>
      <c r="B1542" s="48">
        <v>1</v>
      </c>
      <c r="C1542" s="48" t="s">
        <v>1286</v>
      </c>
      <c r="D1542" s="48" t="s">
        <v>1258</v>
      </c>
      <c r="E1542" s="48" t="s">
        <v>343</v>
      </c>
      <c r="F1542" s="48" t="s">
        <v>280</v>
      </c>
      <c r="G1542" s="48" t="s">
        <v>281</v>
      </c>
      <c r="H1542" s="48" t="s">
        <v>62</v>
      </c>
      <c r="I1542" s="48" t="s">
        <v>118</v>
      </c>
      <c r="J1542" s="49">
        <v>25</v>
      </c>
      <c r="K1542" s="50">
        <v>1365</v>
      </c>
      <c r="L1542" s="50">
        <v>1341.94</v>
      </c>
      <c r="M1542" s="48" t="s">
        <v>276</v>
      </c>
      <c r="N1542" s="51">
        <v>1</v>
      </c>
      <c r="O1542" s="51">
        <v>1</v>
      </c>
      <c r="P1542" s="52">
        <v>1162.5999999999999</v>
      </c>
      <c r="Q1542" s="52">
        <v>1231.28</v>
      </c>
      <c r="R1542" s="53" t="str">
        <f>INDEX(SKU_Master!$D$5:$D$34,MATCH($I1542,SKU_Master!$A$5:$A$34,0))</f>
        <v>Laptop</v>
      </c>
      <c r="S1542" s="54">
        <f t="shared" si="336"/>
        <v>1.6893772893772807E-2</v>
      </c>
      <c r="T1542" s="55">
        <f t="shared" si="337"/>
        <v>34125</v>
      </c>
      <c r="U1542" s="55">
        <f t="shared" si="338"/>
        <v>33548.5</v>
      </c>
      <c r="V1542" s="55">
        <f t="shared" si="339"/>
        <v>-576.5</v>
      </c>
      <c r="W1542" s="55">
        <f t="shared" si="340"/>
        <v>33548.5</v>
      </c>
      <c r="X1542" s="55">
        <f t="shared" si="341"/>
        <v>0</v>
      </c>
      <c r="Y1542" s="55">
        <f t="shared" si="342"/>
        <v>29064.999999999996</v>
      </c>
      <c r="Z1542" s="55">
        <f t="shared" si="343"/>
        <v>30782</v>
      </c>
      <c r="AA1542" s="55">
        <f t="shared" si="344"/>
        <v>-1717.0000000000036</v>
      </c>
      <c r="AB1542" s="55">
        <f t="shared" si="345"/>
        <v>2766.5</v>
      </c>
      <c r="AC1542" s="54">
        <f t="shared" si="346"/>
        <v>8.246270325051791E-2</v>
      </c>
      <c r="AD1542" s="56">
        <f>INDEX(Assumptions!$B$14:$B$16,MATCH($R1542,Assumptions!$A$14:$A$16,0))</f>
        <v>0.12</v>
      </c>
      <c r="AE1542" s="56">
        <f>INDEX(Assumptions!$C$14:$C$16,MATCH($R1542,Assumptions!$A$14:$A$16,0))</f>
        <v>0.08</v>
      </c>
      <c r="AF1542" s="49">
        <f t="shared" si="347"/>
        <v>0</v>
      </c>
      <c r="AG1542" s="49">
        <f t="shared" si="348"/>
        <v>0</v>
      </c>
      <c r="AH1542" s="55">
        <f t="shared" si="349"/>
        <v>1259.3199999999997</v>
      </c>
    </row>
    <row r="1543" spans="1:34" x14ac:dyDescent="0.2">
      <c r="A1543" s="48" t="s">
        <v>1285</v>
      </c>
      <c r="B1543" s="48">
        <v>2</v>
      </c>
      <c r="C1543" s="48" t="s">
        <v>1286</v>
      </c>
      <c r="D1543" s="48" t="s">
        <v>1258</v>
      </c>
      <c r="E1543" s="48" t="s">
        <v>343</v>
      </c>
      <c r="F1543" s="48" t="s">
        <v>280</v>
      </c>
      <c r="G1543" s="48" t="s">
        <v>281</v>
      </c>
      <c r="H1543" s="48" t="s">
        <v>62</v>
      </c>
      <c r="I1543" s="48" t="s">
        <v>144</v>
      </c>
      <c r="J1543" s="49">
        <v>22</v>
      </c>
      <c r="K1543" s="50">
        <v>370</v>
      </c>
      <c r="L1543" s="50">
        <v>359.37</v>
      </c>
      <c r="M1543" s="48" t="s">
        <v>276</v>
      </c>
      <c r="N1543" s="51">
        <v>1</v>
      </c>
      <c r="O1543" s="51">
        <v>1</v>
      </c>
      <c r="P1543" s="52">
        <v>289.60000000000002</v>
      </c>
      <c r="Q1543" s="52">
        <v>289.60000000000002</v>
      </c>
      <c r="R1543" s="53" t="str">
        <f>INDEX(SKU_Master!$D$5:$D$34,MATCH($I1543,SKU_Master!$A$5:$A$34,0))</f>
        <v>Monitor</v>
      </c>
      <c r="S1543" s="54">
        <f t="shared" si="336"/>
        <v>2.8729729729729758E-2</v>
      </c>
      <c r="T1543" s="55">
        <f t="shared" si="337"/>
        <v>8140</v>
      </c>
      <c r="U1543" s="55">
        <f t="shared" si="338"/>
        <v>7906.14</v>
      </c>
      <c r="V1543" s="55">
        <f t="shared" si="339"/>
        <v>-233.85999999999967</v>
      </c>
      <c r="W1543" s="55">
        <f t="shared" si="340"/>
        <v>7906.14</v>
      </c>
      <c r="X1543" s="55">
        <f t="shared" si="341"/>
        <v>0</v>
      </c>
      <c r="Y1543" s="55">
        <f t="shared" si="342"/>
        <v>6371.2000000000007</v>
      </c>
      <c r="Z1543" s="55">
        <f t="shared" si="343"/>
        <v>6371.2000000000007</v>
      </c>
      <c r="AA1543" s="55">
        <f t="shared" si="344"/>
        <v>0</v>
      </c>
      <c r="AB1543" s="55">
        <f t="shared" si="345"/>
        <v>1534.9399999999996</v>
      </c>
      <c r="AC1543" s="54">
        <f t="shared" si="346"/>
        <v>0.19414530984778913</v>
      </c>
      <c r="AD1543" s="56">
        <f>INDEX(Assumptions!$B$14:$B$16,MATCH($R1543,Assumptions!$A$14:$A$16,0))</f>
        <v>0.18</v>
      </c>
      <c r="AE1543" s="56">
        <f>INDEX(Assumptions!$C$14:$C$16,MATCH($R1543,Assumptions!$A$14:$A$16,0))</f>
        <v>0.12</v>
      </c>
      <c r="AF1543" s="49">
        <f t="shared" si="347"/>
        <v>0</v>
      </c>
      <c r="AG1543" s="49">
        <f t="shared" si="348"/>
        <v>0</v>
      </c>
      <c r="AH1543" s="55">
        <f t="shared" si="349"/>
        <v>0</v>
      </c>
    </row>
    <row r="1544" spans="1:34" x14ac:dyDescent="0.2">
      <c r="A1544" s="48" t="s">
        <v>1287</v>
      </c>
      <c r="B1544" s="48">
        <v>1</v>
      </c>
      <c r="C1544" s="48" t="s">
        <v>1288</v>
      </c>
      <c r="D1544" s="48" t="s">
        <v>1258</v>
      </c>
      <c r="E1544" s="48" t="s">
        <v>366</v>
      </c>
      <c r="F1544" s="48" t="s">
        <v>297</v>
      </c>
      <c r="G1544" s="48" t="s">
        <v>302</v>
      </c>
      <c r="H1544" s="48" t="s">
        <v>66</v>
      </c>
      <c r="I1544" s="48" t="s">
        <v>93</v>
      </c>
      <c r="J1544" s="49">
        <v>58</v>
      </c>
      <c r="K1544" s="50">
        <v>1325</v>
      </c>
      <c r="L1544" s="50">
        <v>1283.6500000000001</v>
      </c>
      <c r="M1544" s="48" t="s">
        <v>276</v>
      </c>
      <c r="N1544" s="51">
        <v>0.92</v>
      </c>
      <c r="O1544" s="51">
        <v>0.9335</v>
      </c>
      <c r="P1544" s="52">
        <v>1206.2</v>
      </c>
      <c r="Q1544" s="52">
        <v>1206.2</v>
      </c>
      <c r="R1544" s="53" t="str">
        <f>INDEX(SKU_Master!$D$5:$D$34,MATCH($I1544,SKU_Master!$A$5:$A$34,0))</f>
        <v>Laptop</v>
      </c>
      <c r="S1544" s="54">
        <f t="shared" si="336"/>
        <v>3.1207547169811223E-2</v>
      </c>
      <c r="T1544" s="55">
        <f t="shared" si="337"/>
        <v>83532.608695652176</v>
      </c>
      <c r="U1544" s="55">
        <f t="shared" si="338"/>
        <v>80925.760869565231</v>
      </c>
      <c r="V1544" s="55">
        <f t="shared" si="339"/>
        <v>-2606.8478260869451</v>
      </c>
      <c r="W1544" s="55">
        <f t="shared" si="340"/>
        <v>79755.436529191225</v>
      </c>
      <c r="X1544" s="55">
        <f t="shared" si="341"/>
        <v>-1170.3243403740053</v>
      </c>
      <c r="Y1544" s="55">
        <f t="shared" si="342"/>
        <v>69959.600000000006</v>
      </c>
      <c r="Z1544" s="55">
        <f t="shared" si="343"/>
        <v>69959.600000000006</v>
      </c>
      <c r="AA1544" s="55">
        <f t="shared" si="344"/>
        <v>0</v>
      </c>
      <c r="AB1544" s="55">
        <f t="shared" si="345"/>
        <v>9795.8365291912196</v>
      </c>
      <c r="AC1544" s="54">
        <f t="shared" si="346"/>
        <v>0.12282343317882603</v>
      </c>
      <c r="AD1544" s="56">
        <f>INDEX(Assumptions!$B$14:$B$16,MATCH($R1544,Assumptions!$A$14:$A$16,0))</f>
        <v>0.12</v>
      </c>
      <c r="AE1544" s="56">
        <f>INDEX(Assumptions!$C$14:$C$16,MATCH($R1544,Assumptions!$A$14:$A$16,0))</f>
        <v>0.08</v>
      </c>
      <c r="AF1544" s="49">
        <f t="shared" si="347"/>
        <v>0</v>
      </c>
      <c r="AG1544" s="49">
        <f t="shared" si="348"/>
        <v>0</v>
      </c>
      <c r="AH1544" s="55">
        <f t="shared" si="349"/>
        <v>0</v>
      </c>
    </row>
    <row r="1545" spans="1:34" x14ac:dyDescent="0.2">
      <c r="A1545" s="48" t="s">
        <v>1287</v>
      </c>
      <c r="B1545" s="48">
        <v>2</v>
      </c>
      <c r="C1545" s="48" t="s">
        <v>1288</v>
      </c>
      <c r="D1545" s="48" t="s">
        <v>1258</v>
      </c>
      <c r="E1545" s="48" t="s">
        <v>366</v>
      </c>
      <c r="F1545" s="48" t="s">
        <v>297</v>
      </c>
      <c r="G1545" s="48" t="s">
        <v>302</v>
      </c>
      <c r="H1545" s="48" t="s">
        <v>66</v>
      </c>
      <c r="I1545" s="48" t="s">
        <v>166</v>
      </c>
      <c r="J1545" s="49">
        <v>25</v>
      </c>
      <c r="K1545" s="50">
        <v>255</v>
      </c>
      <c r="L1545" s="50">
        <v>244.26</v>
      </c>
      <c r="M1545" s="48" t="s">
        <v>276</v>
      </c>
      <c r="N1545" s="51">
        <v>0.92</v>
      </c>
      <c r="O1545" s="51">
        <v>0.9335</v>
      </c>
      <c r="P1545" s="52">
        <v>174.35</v>
      </c>
      <c r="Q1545" s="52">
        <v>174.35</v>
      </c>
      <c r="R1545" s="53" t="str">
        <f>INDEX(SKU_Master!$D$5:$D$34,MATCH($I1545,SKU_Master!$A$5:$A$34,0))</f>
        <v>Accessory</v>
      </c>
      <c r="S1545" s="54">
        <f t="shared" si="336"/>
        <v>4.2117647058823593E-2</v>
      </c>
      <c r="T1545" s="55">
        <f t="shared" si="337"/>
        <v>6929.347826086956</v>
      </c>
      <c r="U1545" s="55">
        <f t="shared" si="338"/>
        <v>6637.5</v>
      </c>
      <c r="V1545" s="55">
        <f t="shared" si="339"/>
        <v>-291.84782608695605</v>
      </c>
      <c r="W1545" s="55">
        <f t="shared" si="340"/>
        <v>6541.5104445634706</v>
      </c>
      <c r="X1545" s="55">
        <f t="shared" si="341"/>
        <v>-95.989555436529372</v>
      </c>
      <c r="Y1545" s="55">
        <f t="shared" si="342"/>
        <v>4358.75</v>
      </c>
      <c r="Z1545" s="55">
        <f t="shared" si="343"/>
        <v>4358.75</v>
      </c>
      <c r="AA1545" s="55">
        <f t="shared" si="344"/>
        <v>0</v>
      </c>
      <c r="AB1545" s="55">
        <f t="shared" si="345"/>
        <v>2182.7604445634706</v>
      </c>
      <c r="AC1545" s="54">
        <f t="shared" si="346"/>
        <v>0.33367835503152377</v>
      </c>
      <c r="AD1545" s="56">
        <f>INDEX(Assumptions!$B$14:$B$16,MATCH($R1545,Assumptions!$A$14:$A$16,0))</f>
        <v>0.32</v>
      </c>
      <c r="AE1545" s="56">
        <f>INDEX(Assumptions!$C$14:$C$16,MATCH($R1545,Assumptions!$A$14:$A$16,0))</f>
        <v>0.22</v>
      </c>
      <c r="AF1545" s="49">
        <f t="shared" si="347"/>
        <v>0</v>
      </c>
      <c r="AG1545" s="49">
        <f t="shared" si="348"/>
        <v>0</v>
      </c>
      <c r="AH1545" s="55">
        <f t="shared" si="349"/>
        <v>0</v>
      </c>
    </row>
    <row r="1546" spans="1:34" x14ac:dyDescent="0.2">
      <c r="A1546" s="48" t="s">
        <v>1289</v>
      </c>
      <c r="B1546" s="48">
        <v>1</v>
      </c>
      <c r="C1546" s="48" t="s">
        <v>1290</v>
      </c>
      <c r="D1546" s="48" t="s">
        <v>1258</v>
      </c>
      <c r="E1546" s="48" t="s">
        <v>355</v>
      </c>
      <c r="F1546" s="48" t="s">
        <v>280</v>
      </c>
      <c r="G1546" s="48" t="s">
        <v>302</v>
      </c>
      <c r="H1546" s="48" t="s">
        <v>62</v>
      </c>
      <c r="I1546" s="48" t="s">
        <v>93</v>
      </c>
      <c r="J1546" s="49">
        <v>18</v>
      </c>
      <c r="K1546" s="50">
        <v>1390</v>
      </c>
      <c r="L1546" s="50">
        <v>1360.51</v>
      </c>
      <c r="M1546" s="48" t="s">
        <v>276</v>
      </c>
      <c r="N1546" s="51">
        <v>1</v>
      </c>
      <c r="O1546" s="51">
        <v>1</v>
      </c>
      <c r="P1546" s="52">
        <v>1186.2</v>
      </c>
      <c r="Q1546" s="52">
        <v>1186.2</v>
      </c>
      <c r="R1546" s="53" t="str">
        <f>INDEX(SKU_Master!$D$5:$D$34,MATCH($I1546,SKU_Master!$A$5:$A$34,0))</f>
        <v>Laptop</v>
      </c>
      <c r="S1546" s="54">
        <f t="shared" si="336"/>
        <v>2.1215827338129545E-2</v>
      </c>
      <c r="T1546" s="55">
        <f t="shared" si="337"/>
        <v>25020</v>
      </c>
      <c r="U1546" s="55">
        <f t="shared" si="338"/>
        <v>24489.18</v>
      </c>
      <c r="V1546" s="55">
        <f t="shared" si="339"/>
        <v>-530.81999999999971</v>
      </c>
      <c r="W1546" s="55">
        <f t="shared" si="340"/>
        <v>24489.18</v>
      </c>
      <c r="X1546" s="55">
        <f t="shared" si="341"/>
        <v>0</v>
      </c>
      <c r="Y1546" s="55">
        <f t="shared" si="342"/>
        <v>21351.600000000002</v>
      </c>
      <c r="Z1546" s="55">
        <f t="shared" si="343"/>
        <v>21351.600000000002</v>
      </c>
      <c r="AA1546" s="55">
        <f t="shared" si="344"/>
        <v>0</v>
      </c>
      <c r="AB1546" s="55">
        <f t="shared" si="345"/>
        <v>3137.5799999999981</v>
      </c>
      <c r="AC1546" s="54">
        <f t="shared" si="346"/>
        <v>0.12812107224496688</v>
      </c>
      <c r="AD1546" s="56">
        <f>INDEX(Assumptions!$B$14:$B$16,MATCH($R1546,Assumptions!$A$14:$A$16,0))</f>
        <v>0.12</v>
      </c>
      <c r="AE1546" s="56">
        <f>INDEX(Assumptions!$C$14:$C$16,MATCH($R1546,Assumptions!$A$14:$A$16,0))</f>
        <v>0.08</v>
      </c>
      <c r="AF1546" s="49">
        <f t="shared" si="347"/>
        <v>0</v>
      </c>
      <c r="AG1546" s="49">
        <f t="shared" si="348"/>
        <v>0</v>
      </c>
      <c r="AH1546" s="55">
        <f t="shared" si="349"/>
        <v>0</v>
      </c>
    </row>
    <row r="1547" spans="1:34" x14ac:dyDescent="0.2">
      <c r="A1547" s="48" t="s">
        <v>1289</v>
      </c>
      <c r="B1547" s="48">
        <v>2</v>
      </c>
      <c r="C1547" s="48" t="s">
        <v>1290</v>
      </c>
      <c r="D1547" s="48" t="s">
        <v>1258</v>
      </c>
      <c r="E1547" s="48" t="s">
        <v>355</v>
      </c>
      <c r="F1547" s="48" t="s">
        <v>280</v>
      </c>
      <c r="G1547" s="48" t="s">
        <v>302</v>
      </c>
      <c r="H1547" s="48" t="s">
        <v>62</v>
      </c>
      <c r="I1547" s="48" t="s">
        <v>146</v>
      </c>
      <c r="J1547" s="49">
        <v>12</v>
      </c>
      <c r="K1547" s="50">
        <v>235</v>
      </c>
      <c r="L1547" s="50">
        <v>225.58</v>
      </c>
      <c r="M1547" s="48" t="s">
        <v>276</v>
      </c>
      <c r="N1547" s="51">
        <v>1</v>
      </c>
      <c r="O1547" s="51">
        <v>1</v>
      </c>
      <c r="P1547" s="52">
        <v>181.8</v>
      </c>
      <c r="Q1547" s="52">
        <v>181.8</v>
      </c>
      <c r="R1547" s="53" t="str">
        <f>INDEX(SKU_Master!$D$5:$D$34,MATCH($I1547,SKU_Master!$A$5:$A$34,0))</f>
        <v>Monitor</v>
      </c>
      <c r="S1547" s="54">
        <f t="shared" si="336"/>
        <v>4.0085106382978686E-2</v>
      </c>
      <c r="T1547" s="55">
        <f t="shared" si="337"/>
        <v>2820</v>
      </c>
      <c r="U1547" s="55">
        <f t="shared" si="338"/>
        <v>2706.96</v>
      </c>
      <c r="V1547" s="55">
        <f t="shared" si="339"/>
        <v>-113.03999999999996</v>
      </c>
      <c r="W1547" s="55">
        <f t="shared" si="340"/>
        <v>2706.96</v>
      </c>
      <c r="X1547" s="55">
        <f t="shared" si="341"/>
        <v>0</v>
      </c>
      <c r="Y1547" s="55">
        <f t="shared" si="342"/>
        <v>2181.6000000000004</v>
      </c>
      <c r="Z1547" s="55">
        <f t="shared" si="343"/>
        <v>2181.6000000000004</v>
      </c>
      <c r="AA1547" s="55">
        <f t="shared" si="344"/>
        <v>0</v>
      </c>
      <c r="AB1547" s="55">
        <f t="shared" si="345"/>
        <v>525.35999999999967</v>
      </c>
      <c r="AC1547" s="54">
        <f t="shared" si="346"/>
        <v>0.19407748913910797</v>
      </c>
      <c r="AD1547" s="56">
        <f>INDEX(Assumptions!$B$14:$B$16,MATCH($R1547,Assumptions!$A$14:$A$16,0))</f>
        <v>0.18</v>
      </c>
      <c r="AE1547" s="56">
        <f>INDEX(Assumptions!$C$14:$C$16,MATCH($R1547,Assumptions!$A$14:$A$16,0))</f>
        <v>0.12</v>
      </c>
      <c r="AF1547" s="49">
        <f t="shared" si="347"/>
        <v>0</v>
      </c>
      <c r="AG1547" s="49">
        <f t="shared" si="348"/>
        <v>0</v>
      </c>
      <c r="AH1547" s="55">
        <f t="shared" si="349"/>
        <v>0</v>
      </c>
    </row>
    <row r="1548" spans="1:34" x14ac:dyDescent="0.2">
      <c r="A1548" s="48" t="s">
        <v>1289</v>
      </c>
      <c r="B1548" s="48">
        <v>3</v>
      </c>
      <c r="C1548" s="48" t="s">
        <v>1290</v>
      </c>
      <c r="D1548" s="48" t="s">
        <v>1258</v>
      </c>
      <c r="E1548" s="48" t="s">
        <v>355</v>
      </c>
      <c r="F1548" s="48" t="s">
        <v>280</v>
      </c>
      <c r="G1548" s="48" t="s">
        <v>302</v>
      </c>
      <c r="H1548" s="48" t="s">
        <v>62</v>
      </c>
      <c r="I1548" s="48" t="s">
        <v>151</v>
      </c>
      <c r="J1548" s="49">
        <v>10</v>
      </c>
      <c r="K1548" s="50">
        <v>335</v>
      </c>
      <c r="L1548" s="50">
        <v>323.33</v>
      </c>
      <c r="M1548" s="48" t="s">
        <v>276</v>
      </c>
      <c r="N1548" s="51">
        <v>1</v>
      </c>
      <c r="O1548" s="51">
        <v>1</v>
      </c>
      <c r="P1548" s="52">
        <v>216.7</v>
      </c>
      <c r="Q1548" s="52">
        <v>216.7</v>
      </c>
      <c r="R1548" s="53" t="str">
        <f>INDEX(SKU_Master!$D$5:$D$34,MATCH($I1548,SKU_Master!$A$5:$A$34,0))</f>
        <v>Accessory</v>
      </c>
      <c r="S1548" s="54">
        <f t="shared" si="336"/>
        <v>3.4835820895522396E-2</v>
      </c>
      <c r="T1548" s="55">
        <f t="shared" si="337"/>
        <v>3350</v>
      </c>
      <c r="U1548" s="55">
        <f t="shared" si="338"/>
        <v>3233.2999999999997</v>
      </c>
      <c r="V1548" s="55">
        <f t="shared" si="339"/>
        <v>-116.70000000000027</v>
      </c>
      <c r="W1548" s="55">
        <f t="shared" si="340"/>
        <v>3233.2999999999997</v>
      </c>
      <c r="X1548" s="55">
        <f t="shared" si="341"/>
        <v>0</v>
      </c>
      <c r="Y1548" s="55">
        <f t="shared" si="342"/>
        <v>2167</v>
      </c>
      <c r="Z1548" s="55">
        <f t="shared" si="343"/>
        <v>2167</v>
      </c>
      <c r="AA1548" s="55">
        <f t="shared" si="344"/>
        <v>0</v>
      </c>
      <c r="AB1548" s="55">
        <f t="shared" si="345"/>
        <v>1066.2999999999997</v>
      </c>
      <c r="AC1548" s="54">
        <f t="shared" si="346"/>
        <v>0.32978690501963931</v>
      </c>
      <c r="AD1548" s="56">
        <f>INDEX(Assumptions!$B$14:$B$16,MATCH($R1548,Assumptions!$A$14:$A$16,0))</f>
        <v>0.32</v>
      </c>
      <c r="AE1548" s="56">
        <f>INDEX(Assumptions!$C$14:$C$16,MATCH($R1548,Assumptions!$A$14:$A$16,0))</f>
        <v>0.22</v>
      </c>
      <c r="AF1548" s="49">
        <f t="shared" si="347"/>
        <v>0</v>
      </c>
      <c r="AG1548" s="49">
        <f t="shared" si="348"/>
        <v>0</v>
      </c>
      <c r="AH1548" s="55">
        <f t="shared" si="349"/>
        <v>0</v>
      </c>
    </row>
    <row r="1549" spans="1:34" x14ac:dyDescent="0.2">
      <c r="A1549" s="48" t="s">
        <v>1291</v>
      </c>
      <c r="B1549" s="48">
        <v>1</v>
      </c>
      <c r="C1549" s="48" t="s">
        <v>1292</v>
      </c>
      <c r="D1549" s="48" t="s">
        <v>1258</v>
      </c>
      <c r="E1549" s="48" t="s">
        <v>498</v>
      </c>
      <c r="F1549" s="48" t="s">
        <v>280</v>
      </c>
      <c r="G1549" s="48" t="s">
        <v>302</v>
      </c>
      <c r="H1549" s="48" t="s">
        <v>66</v>
      </c>
      <c r="I1549" s="48" t="s">
        <v>113</v>
      </c>
      <c r="J1549" s="49">
        <v>16</v>
      </c>
      <c r="K1549" s="50">
        <v>1655</v>
      </c>
      <c r="L1549" s="50">
        <v>1593.79</v>
      </c>
      <c r="M1549" s="48" t="s">
        <v>276</v>
      </c>
      <c r="N1549" s="51">
        <v>0.92</v>
      </c>
      <c r="O1549" s="51">
        <v>0.9335</v>
      </c>
      <c r="P1549" s="52">
        <v>1504.8</v>
      </c>
      <c r="Q1549" s="52">
        <v>1504.8</v>
      </c>
      <c r="R1549" s="53" t="str">
        <f>INDEX(SKU_Master!$D$5:$D$34,MATCH($I1549,SKU_Master!$A$5:$A$34,0))</f>
        <v>Laptop</v>
      </c>
      <c r="S1549" s="54">
        <f t="shared" si="336"/>
        <v>3.6984894259818768E-2</v>
      </c>
      <c r="T1549" s="55">
        <f t="shared" si="337"/>
        <v>28782.608695652172</v>
      </c>
      <c r="U1549" s="55">
        <f t="shared" si="338"/>
        <v>27718.086956521736</v>
      </c>
      <c r="V1549" s="55">
        <f t="shared" si="339"/>
        <v>-1064.5217391304359</v>
      </c>
      <c r="W1549" s="55">
        <f t="shared" si="340"/>
        <v>27317.236207820031</v>
      </c>
      <c r="X1549" s="55">
        <f t="shared" si="341"/>
        <v>-400.85074870170502</v>
      </c>
      <c r="Y1549" s="55">
        <f t="shared" si="342"/>
        <v>24076.799999999999</v>
      </c>
      <c r="Z1549" s="55">
        <f t="shared" si="343"/>
        <v>24076.799999999999</v>
      </c>
      <c r="AA1549" s="55">
        <f t="shared" si="344"/>
        <v>0</v>
      </c>
      <c r="AB1549" s="55">
        <f t="shared" si="345"/>
        <v>3240.436207820032</v>
      </c>
      <c r="AC1549" s="54">
        <f t="shared" si="346"/>
        <v>0.11862240320242942</v>
      </c>
      <c r="AD1549" s="56">
        <f>INDEX(Assumptions!$B$14:$B$16,MATCH($R1549,Assumptions!$A$14:$A$16,0))</f>
        <v>0.12</v>
      </c>
      <c r="AE1549" s="56">
        <f>INDEX(Assumptions!$C$14:$C$16,MATCH($R1549,Assumptions!$A$14:$A$16,0))</f>
        <v>0.08</v>
      </c>
      <c r="AF1549" s="49">
        <f t="shared" si="347"/>
        <v>0</v>
      </c>
      <c r="AG1549" s="49">
        <f t="shared" si="348"/>
        <v>0</v>
      </c>
      <c r="AH1549" s="55">
        <f t="shared" si="349"/>
        <v>37.632137118371702</v>
      </c>
    </row>
    <row r="1550" spans="1:34" x14ac:dyDescent="0.2">
      <c r="A1550" s="48" t="s">
        <v>1291</v>
      </c>
      <c r="B1550" s="48">
        <v>2</v>
      </c>
      <c r="C1550" s="48" t="s">
        <v>1292</v>
      </c>
      <c r="D1550" s="48" t="s">
        <v>1258</v>
      </c>
      <c r="E1550" s="48" t="s">
        <v>498</v>
      </c>
      <c r="F1550" s="48" t="s">
        <v>280</v>
      </c>
      <c r="G1550" s="48" t="s">
        <v>302</v>
      </c>
      <c r="H1550" s="48" t="s">
        <v>66</v>
      </c>
      <c r="I1550" s="48" t="s">
        <v>177</v>
      </c>
      <c r="J1550" s="49">
        <v>18</v>
      </c>
      <c r="K1550" s="50">
        <v>75</v>
      </c>
      <c r="L1550" s="50">
        <v>69.36</v>
      </c>
      <c r="M1550" s="48" t="s">
        <v>276</v>
      </c>
      <c r="N1550" s="51">
        <v>0.92</v>
      </c>
      <c r="O1550" s="51">
        <v>0.9335</v>
      </c>
      <c r="P1550" s="52">
        <v>49</v>
      </c>
      <c r="Q1550" s="52">
        <v>49</v>
      </c>
      <c r="R1550" s="53" t="str">
        <f>INDEX(SKU_Master!$D$5:$D$34,MATCH($I1550,SKU_Master!$A$5:$A$34,0))</f>
        <v>Accessory</v>
      </c>
      <c r="S1550" s="54">
        <f t="shared" si="336"/>
        <v>7.5200000000000045E-2</v>
      </c>
      <c r="T1550" s="55">
        <f t="shared" si="337"/>
        <v>1467.391304347826</v>
      </c>
      <c r="U1550" s="55">
        <f t="shared" si="338"/>
        <v>1357.0434782608695</v>
      </c>
      <c r="V1550" s="55">
        <f t="shared" si="339"/>
        <v>-110.3478260869565</v>
      </c>
      <c r="W1550" s="55">
        <f t="shared" si="340"/>
        <v>1337.418318157472</v>
      </c>
      <c r="X1550" s="55">
        <f t="shared" si="341"/>
        <v>-19.625160103397548</v>
      </c>
      <c r="Y1550" s="55">
        <f t="shared" si="342"/>
        <v>882</v>
      </c>
      <c r="Z1550" s="55">
        <f t="shared" si="343"/>
        <v>882</v>
      </c>
      <c r="AA1550" s="55">
        <f t="shared" si="344"/>
        <v>0</v>
      </c>
      <c r="AB1550" s="55">
        <f t="shared" si="345"/>
        <v>455.41831815747196</v>
      </c>
      <c r="AC1550" s="54">
        <f t="shared" si="346"/>
        <v>0.34052047289504039</v>
      </c>
      <c r="AD1550" s="56">
        <f>INDEX(Assumptions!$B$14:$B$16,MATCH($R1550,Assumptions!$A$14:$A$16,0))</f>
        <v>0.32</v>
      </c>
      <c r="AE1550" s="56">
        <f>INDEX(Assumptions!$C$14:$C$16,MATCH($R1550,Assumptions!$A$14:$A$16,0))</f>
        <v>0.22</v>
      </c>
      <c r="AF1550" s="49">
        <f t="shared" si="347"/>
        <v>0</v>
      </c>
      <c r="AG1550" s="49">
        <f t="shared" si="348"/>
        <v>0</v>
      </c>
      <c r="AH1550" s="55">
        <f t="shared" si="349"/>
        <v>0</v>
      </c>
    </row>
    <row r="1551" spans="1:34" x14ac:dyDescent="0.2">
      <c r="A1551" s="48" t="s">
        <v>1293</v>
      </c>
      <c r="B1551" s="48">
        <v>1</v>
      </c>
      <c r="C1551" s="48" t="s">
        <v>1294</v>
      </c>
      <c r="D1551" s="48" t="s">
        <v>1258</v>
      </c>
      <c r="E1551" s="48" t="s">
        <v>296</v>
      </c>
      <c r="F1551" s="48" t="s">
        <v>297</v>
      </c>
      <c r="G1551" s="48" t="s">
        <v>298</v>
      </c>
      <c r="H1551" s="48" t="s">
        <v>66</v>
      </c>
      <c r="I1551" s="48" t="s">
        <v>115</v>
      </c>
      <c r="J1551" s="49">
        <v>27</v>
      </c>
      <c r="K1551" s="50">
        <v>820</v>
      </c>
      <c r="L1551" s="50">
        <v>800.64</v>
      </c>
      <c r="M1551" s="48" t="s">
        <v>276</v>
      </c>
      <c r="N1551" s="51">
        <v>0.92</v>
      </c>
      <c r="O1551" s="51">
        <v>0.9335</v>
      </c>
      <c r="P1551" s="52">
        <v>743.6</v>
      </c>
      <c r="Q1551" s="52">
        <v>743.6</v>
      </c>
      <c r="R1551" s="53" t="str">
        <f>INDEX(SKU_Master!$D$5:$D$34,MATCH($I1551,SKU_Master!$A$5:$A$34,0))</f>
        <v>Laptop</v>
      </c>
      <c r="S1551" s="54">
        <f t="shared" si="336"/>
        <v>2.3609756097560997E-2</v>
      </c>
      <c r="T1551" s="55">
        <f t="shared" si="337"/>
        <v>24065.217391304348</v>
      </c>
      <c r="U1551" s="55">
        <f t="shared" si="338"/>
        <v>23497.043478260868</v>
      </c>
      <c r="V1551" s="55">
        <f t="shared" si="339"/>
        <v>-568.17391304347984</v>
      </c>
      <c r="W1551" s="55">
        <f t="shared" si="340"/>
        <v>23157.236207820031</v>
      </c>
      <c r="X1551" s="55">
        <f t="shared" si="341"/>
        <v>-339.80727044083687</v>
      </c>
      <c r="Y1551" s="55">
        <f t="shared" si="342"/>
        <v>20077.2</v>
      </c>
      <c r="Z1551" s="55">
        <f t="shared" si="343"/>
        <v>20077.2</v>
      </c>
      <c r="AA1551" s="55">
        <f t="shared" si="344"/>
        <v>0</v>
      </c>
      <c r="AB1551" s="55">
        <f t="shared" si="345"/>
        <v>3080.0362078200305</v>
      </c>
      <c r="AC1551" s="54">
        <f t="shared" si="346"/>
        <v>0.13300534572342121</v>
      </c>
      <c r="AD1551" s="56">
        <f>INDEX(Assumptions!$B$14:$B$16,MATCH($R1551,Assumptions!$A$14:$A$16,0))</f>
        <v>0.12</v>
      </c>
      <c r="AE1551" s="56">
        <f>INDEX(Assumptions!$C$14:$C$16,MATCH($R1551,Assumptions!$A$14:$A$16,0))</f>
        <v>0.08</v>
      </c>
      <c r="AF1551" s="49">
        <f t="shared" si="347"/>
        <v>0</v>
      </c>
      <c r="AG1551" s="49">
        <f t="shared" si="348"/>
        <v>0</v>
      </c>
      <c r="AH1551" s="55">
        <f t="shared" si="349"/>
        <v>0</v>
      </c>
    </row>
    <row r="1552" spans="1:34" x14ac:dyDescent="0.2">
      <c r="A1552" s="48" t="s">
        <v>1293</v>
      </c>
      <c r="B1552" s="48">
        <v>2</v>
      </c>
      <c r="C1552" s="48" t="s">
        <v>1294</v>
      </c>
      <c r="D1552" s="48" t="s">
        <v>1258</v>
      </c>
      <c r="E1552" s="48" t="s">
        <v>296</v>
      </c>
      <c r="F1552" s="48" t="s">
        <v>297</v>
      </c>
      <c r="G1552" s="48" t="s">
        <v>298</v>
      </c>
      <c r="H1552" s="48" t="s">
        <v>66</v>
      </c>
      <c r="I1552" s="48" t="s">
        <v>141</v>
      </c>
      <c r="J1552" s="49">
        <v>32</v>
      </c>
      <c r="K1552" s="50">
        <v>450</v>
      </c>
      <c r="L1552" s="50">
        <v>433.27</v>
      </c>
      <c r="M1552" s="48" t="s">
        <v>276</v>
      </c>
      <c r="N1552" s="51">
        <v>0.92</v>
      </c>
      <c r="O1552" s="51">
        <v>0.9335</v>
      </c>
      <c r="P1552" s="52">
        <v>376.7</v>
      </c>
      <c r="Q1552" s="52">
        <v>376.7</v>
      </c>
      <c r="R1552" s="53" t="str">
        <f>INDEX(SKU_Master!$D$5:$D$34,MATCH($I1552,SKU_Master!$A$5:$A$34,0))</f>
        <v>Monitor</v>
      </c>
      <c r="S1552" s="54">
        <f t="shared" si="336"/>
        <v>3.7177777777777865E-2</v>
      </c>
      <c r="T1552" s="55">
        <f t="shared" si="337"/>
        <v>15652.173913043478</v>
      </c>
      <c r="U1552" s="55">
        <f t="shared" si="338"/>
        <v>15070.260869565216</v>
      </c>
      <c r="V1552" s="55">
        <f t="shared" si="339"/>
        <v>-581.9130434782619</v>
      </c>
      <c r="W1552" s="55">
        <f t="shared" si="340"/>
        <v>14852.319228709159</v>
      </c>
      <c r="X1552" s="55">
        <f t="shared" si="341"/>
        <v>-217.94164085605735</v>
      </c>
      <c r="Y1552" s="55">
        <f t="shared" si="342"/>
        <v>12054.4</v>
      </c>
      <c r="Z1552" s="55">
        <f t="shared" si="343"/>
        <v>12054.4</v>
      </c>
      <c r="AA1552" s="55">
        <f t="shared" si="344"/>
        <v>0</v>
      </c>
      <c r="AB1552" s="55">
        <f t="shared" si="345"/>
        <v>2797.9192287091591</v>
      </c>
      <c r="AC1552" s="54">
        <f t="shared" si="346"/>
        <v>0.18838264823320333</v>
      </c>
      <c r="AD1552" s="56">
        <f>INDEX(Assumptions!$B$14:$B$16,MATCH($R1552,Assumptions!$A$14:$A$16,0))</f>
        <v>0.18</v>
      </c>
      <c r="AE1552" s="56">
        <f>INDEX(Assumptions!$C$14:$C$16,MATCH($R1552,Assumptions!$A$14:$A$16,0))</f>
        <v>0.12</v>
      </c>
      <c r="AF1552" s="49">
        <f t="shared" si="347"/>
        <v>0</v>
      </c>
      <c r="AG1552" s="49">
        <f t="shared" si="348"/>
        <v>0</v>
      </c>
      <c r="AH1552" s="55">
        <f t="shared" si="349"/>
        <v>0</v>
      </c>
    </row>
    <row r="1553" spans="1:34" x14ac:dyDescent="0.2">
      <c r="A1553" s="48" t="s">
        <v>1293</v>
      </c>
      <c r="B1553" s="48">
        <v>3</v>
      </c>
      <c r="C1553" s="48" t="s">
        <v>1294</v>
      </c>
      <c r="D1553" s="48" t="s">
        <v>1258</v>
      </c>
      <c r="E1553" s="48" t="s">
        <v>296</v>
      </c>
      <c r="F1553" s="48" t="s">
        <v>297</v>
      </c>
      <c r="G1553" s="48" t="s">
        <v>298</v>
      </c>
      <c r="H1553" s="48" t="s">
        <v>66</v>
      </c>
      <c r="I1553" s="48" t="s">
        <v>151</v>
      </c>
      <c r="J1553" s="49">
        <v>30</v>
      </c>
      <c r="K1553" s="50">
        <v>325</v>
      </c>
      <c r="L1553" s="50">
        <v>313.27</v>
      </c>
      <c r="M1553" s="48" t="s">
        <v>276</v>
      </c>
      <c r="N1553" s="51">
        <v>0.92</v>
      </c>
      <c r="O1553" s="51">
        <v>0.9335</v>
      </c>
      <c r="P1553" s="52">
        <v>221.7</v>
      </c>
      <c r="Q1553" s="52">
        <v>221.7</v>
      </c>
      <c r="R1553" s="53" t="str">
        <f>INDEX(SKU_Master!$D$5:$D$34,MATCH($I1553,SKU_Master!$A$5:$A$34,0))</f>
        <v>Accessory</v>
      </c>
      <c r="S1553" s="54">
        <f t="shared" si="336"/>
        <v>3.6092307692307757E-2</v>
      </c>
      <c r="T1553" s="55">
        <f t="shared" si="337"/>
        <v>10597.826086956522</v>
      </c>
      <c r="U1553" s="55">
        <f t="shared" si="338"/>
        <v>10215.32608695652</v>
      </c>
      <c r="V1553" s="55">
        <f t="shared" si="339"/>
        <v>-382.50000000000182</v>
      </c>
      <c r="W1553" s="55">
        <f t="shared" si="340"/>
        <v>10067.595072308515</v>
      </c>
      <c r="X1553" s="55">
        <f t="shared" si="341"/>
        <v>-147.73101464800493</v>
      </c>
      <c r="Y1553" s="55">
        <f t="shared" si="342"/>
        <v>6651</v>
      </c>
      <c r="Z1553" s="55">
        <f t="shared" si="343"/>
        <v>6651</v>
      </c>
      <c r="AA1553" s="55">
        <f t="shared" si="344"/>
        <v>0</v>
      </c>
      <c r="AB1553" s="55">
        <f t="shared" si="345"/>
        <v>3416.5950723085152</v>
      </c>
      <c r="AC1553" s="54">
        <f t="shared" si="346"/>
        <v>0.33936556325214662</v>
      </c>
      <c r="AD1553" s="56">
        <f>INDEX(Assumptions!$B$14:$B$16,MATCH($R1553,Assumptions!$A$14:$A$16,0))</f>
        <v>0.32</v>
      </c>
      <c r="AE1553" s="56">
        <f>INDEX(Assumptions!$C$14:$C$16,MATCH($R1553,Assumptions!$A$14:$A$16,0))</f>
        <v>0.22</v>
      </c>
      <c r="AF1553" s="49">
        <f t="shared" si="347"/>
        <v>0</v>
      </c>
      <c r="AG1553" s="49">
        <f t="shared" si="348"/>
        <v>0</v>
      </c>
      <c r="AH1553" s="55">
        <f t="shared" si="349"/>
        <v>0</v>
      </c>
    </row>
    <row r="1554" spans="1:34" x14ac:dyDescent="0.2">
      <c r="A1554" s="48" t="s">
        <v>1295</v>
      </c>
      <c r="B1554" s="48">
        <v>1</v>
      </c>
      <c r="C1554" s="48" t="s">
        <v>1270</v>
      </c>
      <c r="D1554" s="48" t="s">
        <v>1258</v>
      </c>
      <c r="E1554" s="48" t="s">
        <v>558</v>
      </c>
      <c r="F1554" s="48" t="s">
        <v>280</v>
      </c>
      <c r="G1554" s="48" t="s">
        <v>288</v>
      </c>
      <c r="H1554" s="48" t="s">
        <v>62</v>
      </c>
      <c r="I1554" s="48" t="s">
        <v>108</v>
      </c>
      <c r="J1554" s="49">
        <v>28</v>
      </c>
      <c r="K1554" s="50">
        <v>1345</v>
      </c>
      <c r="L1554" s="50">
        <v>1310.25</v>
      </c>
      <c r="M1554" s="48" t="s">
        <v>276</v>
      </c>
      <c r="N1554" s="51">
        <v>1</v>
      </c>
      <c r="O1554" s="51">
        <v>1</v>
      </c>
      <c r="P1554" s="52">
        <v>1145</v>
      </c>
      <c r="Q1554" s="52">
        <v>1212.6199999999999</v>
      </c>
      <c r="R1554" s="53" t="str">
        <f>INDEX(SKU_Master!$D$5:$D$34,MATCH($I1554,SKU_Master!$A$5:$A$34,0))</f>
        <v>Laptop</v>
      </c>
      <c r="S1554" s="54">
        <f t="shared" si="336"/>
        <v>2.5836431226765821E-2</v>
      </c>
      <c r="T1554" s="55">
        <f t="shared" si="337"/>
        <v>37660</v>
      </c>
      <c r="U1554" s="55">
        <f t="shared" si="338"/>
        <v>36687</v>
      </c>
      <c r="V1554" s="55">
        <f t="shared" si="339"/>
        <v>-973</v>
      </c>
      <c r="W1554" s="55">
        <f t="shared" si="340"/>
        <v>36687</v>
      </c>
      <c r="X1554" s="55">
        <f t="shared" si="341"/>
        <v>0</v>
      </c>
      <c r="Y1554" s="55">
        <f t="shared" si="342"/>
        <v>32060</v>
      </c>
      <c r="Z1554" s="55">
        <f t="shared" si="343"/>
        <v>33953.360000000001</v>
      </c>
      <c r="AA1554" s="55">
        <f t="shared" si="344"/>
        <v>-1893.3600000000006</v>
      </c>
      <c r="AB1554" s="55">
        <f t="shared" si="345"/>
        <v>2733.6399999999994</v>
      </c>
      <c r="AC1554" s="54">
        <f t="shared" si="346"/>
        <v>7.4512497614958956E-2</v>
      </c>
      <c r="AD1554" s="56">
        <f>INDEX(Assumptions!$B$14:$B$16,MATCH($R1554,Assumptions!$A$14:$A$16,0))</f>
        <v>0.12</v>
      </c>
      <c r="AE1554" s="56">
        <f>INDEX(Assumptions!$C$14:$C$16,MATCH($R1554,Assumptions!$A$14:$A$16,0))</f>
        <v>0.08</v>
      </c>
      <c r="AF1554" s="49">
        <f t="shared" si="347"/>
        <v>1</v>
      </c>
      <c r="AG1554" s="49">
        <f t="shared" si="348"/>
        <v>1</v>
      </c>
      <c r="AH1554" s="55">
        <f t="shared" si="349"/>
        <v>1668.8000000000002</v>
      </c>
    </row>
    <row r="1555" spans="1:34" x14ac:dyDescent="0.2">
      <c r="A1555" s="48" t="s">
        <v>1296</v>
      </c>
      <c r="B1555" s="48">
        <v>1</v>
      </c>
      <c r="C1555" s="48" t="s">
        <v>1273</v>
      </c>
      <c r="D1555" s="48" t="s">
        <v>1258</v>
      </c>
      <c r="E1555" s="48" t="s">
        <v>279</v>
      </c>
      <c r="F1555" s="48" t="s">
        <v>280</v>
      </c>
      <c r="G1555" s="48" t="s">
        <v>281</v>
      </c>
      <c r="H1555" s="48" t="s">
        <v>64</v>
      </c>
      <c r="I1555" s="48" t="s">
        <v>103</v>
      </c>
      <c r="J1555" s="49">
        <v>6</v>
      </c>
      <c r="K1555" s="50">
        <v>940</v>
      </c>
      <c r="L1555" s="50">
        <v>917.87</v>
      </c>
      <c r="M1555" s="48" t="s">
        <v>276</v>
      </c>
      <c r="N1555" s="51">
        <v>0.79</v>
      </c>
      <c r="O1555" s="51">
        <v>0.81979999999999997</v>
      </c>
      <c r="P1555" s="52">
        <v>992.6</v>
      </c>
      <c r="Q1555" s="52">
        <v>992.6</v>
      </c>
      <c r="R1555" s="53" t="str">
        <f>INDEX(SKU_Master!$D$5:$D$34,MATCH($I1555,SKU_Master!$A$5:$A$34,0))</f>
        <v>Laptop</v>
      </c>
      <c r="S1555" s="54">
        <f t="shared" si="336"/>
        <v>2.3542553191489346E-2</v>
      </c>
      <c r="T1555" s="55">
        <f t="shared" si="337"/>
        <v>7139.2405063291135</v>
      </c>
      <c r="U1555" s="55">
        <f t="shared" si="338"/>
        <v>6971.164556962025</v>
      </c>
      <c r="V1555" s="55">
        <f t="shared" si="339"/>
        <v>-168.07594936708847</v>
      </c>
      <c r="W1555" s="55">
        <f t="shared" si="340"/>
        <v>6717.7604293730183</v>
      </c>
      <c r="X1555" s="55">
        <f t="shared" si="341"/>
        <v>-253.40412758900675</v>
      </c>
      <c r="Y1555" s="55">
        <f t="shared" si="342"/>
        <v>5955.6</v>
      </c>
      <c r="Z1555" s="55">
        <f t="shared" si="343"/>
        <v>5955.6</v>
      </c>
      <c r="AA1555" s="55">
        <f t="shared" si="344"/>
        <v>0</v>
      </c>
      <c r="AB1555" s="55">
        <f t="shared" si="345"/>
        <v>762.16042937301791</v>
      </c>
      <c r="AC1555" s="54">
        <f t="shared" si="346"/>
        <v>0.113454541492804</v>
      </c>
      <c r="AD1555" s="56">
        <f>INDEX(Assumptions!$B$14:$B$16,MATCH($R1555,Assumptions!$A$14:$A$16,0))</f>
        <v>0.12</v>
      </c>
      <c r="AE1555" s="56">
        <f>INDEX(Assumptions!$C$14:$C$16,MATCH($R1555,Assumptions!$A$14:$A$16,0))</f>
        <v>0.08</v>
      </c>
      <c r="AF1555" s="49">
        <f t="shared" si="347"/>
        <v>0</v>
      </c>
      <c r="AG1555" s="49">
        <f t="shared" si="348"/>
        <v>0</v>
      </c>
      <c r="AH1555" s="55">
        <f t="shared" si="349"/>
        <v>43.970822151744301</v>
      </c>
    </row>
    <row r="1556" spans="1:34" x14ac:dyDescent="0.2">
      <c r="A1556" s="48" t="s">
        <v>1296</v>
      </c>
      <c r="B1556" s="48">
        <v>2</v>
      </c>
      <c r="C1556" s="48" t="s">
        <v>1273</v>
      </c>
      <c r="D1556" s="48" t="s">
        <v>1258</v>
      </c>
      <c r="E1556" s="48" t="s">
        <v>279</v>
      </c>
      <c r="F1556" s="48" t="s">
        <v>280</v>
      </c>
      <c r="G1556" s="48" t="s">
        <v>281</v>
      </c>
      <c r="H1556" s="48" t="s">
        <v>64</v>
      </c>
      <c r="I1556" s="48" t="s">
        <v>157</v>
      </c>
      <c r="J1556" s="49">
        <v>4</v>
      </c>
      <c r="K1556" s="50">
        <v>115</v>
      </c>
      <c r="L1556" s="50">
        <v>111.36</v>
      </c>
      <c r="M1556" s="48" t="s">
        <v>276</v>
      </c>
      <c r="N1556" s="51">
        <v>0.79</v>
      </c>
      <c r="O1556" s="51">
        <v>0.81979999999999997</v>
      </c>
      <c r="P1556" s="52">
        <v>92</v>
      </c>
      <c r="Q1556" s="52">
        <v>92</v>
      </c>
      <c r="R1556" s="53" t="str">
        <f>INDEX(SKU_Master!$D$5:$D$34,MATCH($I1556,SKU_Master!$A$5:$A$34,0))</f>
        <v>Accessory</v>
      </c>
      <c r="S1556" s="54">
        <f t="shared" si="336"/>
        <v>3.1652173913043535E-2</v>
      </c>
      <c r="T1556" s="55">
        <f t="shared" si="337"/>
        <v>582.27848101265818</v>
      </c>
      <c r="U1556" s="55">
        <f t="shared" si="338"/>
        <v>563.84810126582272</v>
      </c>
      <c r="V1556" s="55">
        <f t="shared" si="339"/>
        <v>-18.430379746835456</v>
      </c>
      <c r="W1556" s="55">
        <f t="shared" si="340"/>
        <v>543.35203708221513</v>
      </c>
      <c r="X1556" s="55">
        <f t="shared" si="341"/>
        <v>-20.496064183607587</v>
      </c>
      <c r="Y1556" s="55">
        <f t="shared" si="342"/>
        <v>368</v>
      </c>
      <c r="Z1556" s="55">
        <f t="shared" si="343"/>
        <v>368</v>
      </c>
      <c r="AA1556" s="55">
        <f t="shared" si="344"/>
        <v>0</v>
      </c>
      <c r="AB1556" s="55">
        <f t="shared" si="345"/>
        <v>175.35203708221513</v>
      </c>
      <c r="AC1556" s="54">
        <f t="shared" si="346"/>
        <v>0.32272270114942525</v>
      </c>
      <c r="AD1556" s="56">
        <f>INDEX(Assumptions!$B$14:$B$16,MATCH($R1556,Assumptions!$A$14:$A$16,0))</f>
        <v>0.32</v>
      </c>
      <c r="AE1556" s="56">
        <f>INDEX(Assumptions!$C$14:$C$16,MATCH($R1556,Assumptions!$A$14:$A$16,0))</f>
        <v>0.22</v>
      </c>
      <c r="AF1556" s="49">
        <f t="shared" si="347"/>
        <v>0</v>
      </c>
      <c r="AG1556" s="49">
        <f t="shared" si="348"/>
        <v>0</v>
      </c>
      <c r="AH1556" s="55">
        <f t="shared" si="349"/>
        <v>0</v>
      </c>
    </row>
    <row r="1557" spans="1:34" x14ac:dyDescent="0.2">
      <c r="A1557" s="48" t="s">
        <v>1297</v>
      </c>
      <c r="B1557" s="48">
        <v>1</v>
      </c>
      <c r="C1557" s="48" t="s">
        <v>1268</v>
      </c>
      <c r="D1557" s="48" t="s">
        <v>1258</v>
      </c>
      <c r="E1557" s="48" t="s">
        <v>284</v>
      </c>
      <c r="F1557" s="48" t="s">
        <v>274</v>
      </c>
      <c r="G1557" s="48" t="s">
        <v>275</v>
      </c>
      <c r="H1557" s="48" t="s">
        <v>64</v>
      </c>
      <c r="I1557" s="48" t="s">
        <v>106</v>
      </c>
      <c r="J1557" s="49">
        <v>2</v>
      </c>
      <c r="K1557" s="50">
        <v>1250</v>
      </c>
      <c r="L1557" s="50">
        <v>1241.82</v>
      </c>
      <c r="M1557" s="48" t="s">
        <v>276</v>
      </c>
      <c r="N1557" s="51">
        <v>0.79</v>
      </c>
      <c r="O1557" s="51">
        <v>0.81979999999999997</v>
      </c>
      <c r="P1557" s="52">
        <v>1322.4</v>
      </c>
      <c r="Q1557" s="52">
        <v>1322.4</v>
      </c>
      <c r="R1557" s="53" t="str">
        <f>INDEX(SKU_Master!$D$5:$D$34,MATCH($I1557,SKU_Master!$A$5:$A$34,0))</f>
        <v>Laptop</v>
      </c>
      <c r="S1557" s="54">
        <f t="shared" si="336"/>
        <v>6.5440000000001053E-3</v>
      </c>
      <c r="T1557" s="55">
        <f t="shared" si="337"/>
        <v>3164.5569620253164</v>
      </c>
      <c r="U1557" s="55">
        <f t="shared" si="338"/>
        <v>3143.8481012658226</v>
      </c>
      <c r="V1557" s="55">
        <f t="shared" si="339"/>
        <v>-20.708860759493746</v>
      </c>
      <c r="W1557" s="55">
        <f t="shared" si="340"/>
        <v>3029.5681873627714</v>
      </c>
      <c r="X1557" s="55">
        <f t="shared" si="341"/>
        <v>-114.27991390305124</v>
      </c>
      <c r="Y1557" s="55">
        <f t="shared" si="342"/>
        <v>2644.8</v>
      </c>
      <c r="Z1557" s="55">
        <f t="shared" si="343"/>
        <v>2644.8</v>
      </c>
      <c r="AA1557" s="55">
        <f t="shared" si="344"/>
        <v>0</v>
      </c>
      <c r="AB1557" s="55">
        <f t="shared" si="345"/>
        <v>384.76818736277119</v>
      </c>
      <c r="AC1557" s="54">
        <f t="shared" si="346"/>
        <v>0.12700430014011685</v>
      </c>
      <c r="AD1557" s="56">
        <f>INDEX(Assumptions!$B$14:$B$16,MATCH($R1557,Assumptions!$A$14:$A$16,0))</f>
        <v>0.12</v>
      </c>
      <c r="AE1557" s="56">
        <f>INDEX(Assumptions!$C$14:$C$16,MATCH($R1557,Assumptions!$A$14:$A$16,0))</f>
        <v>0.08</v>
      </c>
      <c r="AF1557" s="49">
        <f t="shared" si="347"/>
        <v>0</v>
      </c>
      <c r="AG1557" s="49">
        <f t="shared" si="348"/>
        <v>0</v>
      </c>
      <c r="AH1557" s="55">
        <f t="shared" si="349"/>
        <v>0</v>
      </c>
    </row>
    <row r="1558" spans="1:34" x14ac:dyDescent="0.2">
      <c r="A1558" s="48" t="s">
        <v>1297</v>
      </c>
      <c r="B1558" s="48">
        <v>2</v>
      </c>
      <c r="C1558" s="48" t="s">
        <v>1268</v>
      </c>
      <c r="D1558" s="48" t="s">
        <v>1258</v>
      </c>
      <c r="E1558" s="48" t="s">
        <v>284</v>
      </c>
      <c r="F1558" s="48" t="s">
        <v>274</v>
      </c>
      <c r="G1558" s="48" t="s">
        <v>275</v>
      </c>
      <c r="H1558" s="48" t="s">
        <v>64</v>
      </c>
      <c r="I1558" s="48" t="s">
        <v>135</v>
      </c>
      <c r="J1558" s="49">
        <v>1</v>
      </c>
      <c r="K1558" s="50">
        <v>225</v>
      </c>
      <c r="L1558" s="50">
        <v>223.23</v>
      </c>
      <c r="M1558" s="48" t="s">
        <v>276</v>
      </c>
      <c r="N1558" s="51">
        <v>0.79</v>
      </c>
      <c r="O1558" s="51">
        <v>0.81979999999999997</v>
      </c>
      <c r="P1558" s="52">
        <v>216.7</v>
      </c>
      <c r="Q1558" s="52">
        <v>216.7</v>
      </c>
      <c r="R1558" s="53" t="str">
        <f>INDEX(SKU_Master!$D$5:$D$34,MATCH($I1558,SKU_Master!$A$5:$A$34,0))</f>
        <v>Monitor</v>
      </c>
      <c r="S1558" s="54">
        <f t="shared" si="336"/>
        <v>7.8666666666666885E-3</v>
      </c>
      <c r="T1558" s="55">
        <f t="shared" si="337"/>
        <v>284.81012658227849</v>
      </c>
      <c r="U1558" s="55">
        <f t="shared" si="338"/>
        <v>282.56962025316454</v>
      </c>
      <c r="V1558" s="55">
        <f t="shared" si="339"/>
        <v>-2.2405063291139413</v>
      </c>
      <c r="W1558" s="55">
        <f t="shared" si="340"/>
        <v>272.29812149304706</v>
      </c>
      <c r="X1558" s="55">
        <f t="shared" si="341"/>
        <v>-10.271498760117481</v>
      </c>
      <c r="Y1558" s="55">
        <f t="shared" si="342"/>
        <v>216.7</v>
      </c>
      <c r="Z1558" s="55">
        <f t="shared" si="343"/>
        <v>216.7</v>
      </c>
      <c r="AA1558" s="55">
        <f t="shared" si="344"/>
        <v>0</v>
      </c>
      <c r="AB1558" s="55">
        <f t="shared" si="345"/>
        <v>55.598121493047074</v>
      </c>
      <c r="AC1558" s="54">
        <f t="shared" si="346"/>
        <v>0.20418106885275275</v>
      </c>
      <c r="AD1558" s="56">
        <f>INDEX(Assumptions!$B$14:$B$16,MATCH($R1558,Assumptions!$A$14:$A$16,0))</f>
        <v>0.18</v>
      </c>
      <c r="AE1558" s="56">
        <f>INDEX(Assumptions!$C$14:$C$16,MATCH($R1558,Assumptions!$A$14:$A$16,0))</f>
        <v>0.12</v>
      </c>
      <c r="AF1558" s="49">
        <f t="shared" si="347"/>
        <v>0</v>
      </c>
      <c r="AG1558" s="49">
        <f t="shared" si="348"/>
        <v>0</v>
      </c>
      <c r="AH1558" s="55">
        <f t="shared" si="349"/>
        <v>0</v>
      </c>
    </row>
    <row r="1559" spans="1:34" x14ac:dyDescent="0.2">
      <c r="A1559" s="48" t="s">
        <v>1298</v>
      </c>
      <c r="B1559" s="48">
        <v>1</v>
      </c>
      <c r="C1559" s="48" t="s">
        <v>1275</v>
      </c>
      <c r="D1559" s="48" t="s">
        <v>1258</v>
      </c>
      <c r="E1559" s="48" t="s">
        <v>336</v>
      </c>
      <c r="F1559" s="48" t="s">
        <v>274</v>
      </c>
      <c r="G1559" s="48" t="s">
        <v>288</v>
      </c>
      <c r="H1559" s="48" t="s">
        <v>62</v>
      </c>
      <c r="I1559" s="48" t="s">
        <v>123</v>
      </c>
      <c r="J1559" s="49">
        <v>9</v>
      </c>
      <c r="K1559" s="50">
        <v>1465</v>
      </c>
      <c r="L1559" s="50">
        <v>1452.44</v>
      </c>
      <c r="M1559" s="48" t="s">
        <v>276</v>
      </c>
      <c r="N1559" s="51">
        <v>1</v>
      </c>
      <c r="O1559" s="51">
        <v>1</v>
      </c>
      <c r="P1559" s="52">
        <v>1249.25</v>
      </c>
      <c r="Q1559" s="52">
        <v>1249.25</v>
      </c>
      <c r="R1559" s="53" t="str">
        <f>INDEX(SKU_Master!$D$5:$D$34,MATCH($I1559,SKU_Master!$A$5:$A$34,0))</f>
        <v>Laptop</v>
      </c>
      <c r="S1559" s="54">
        <f t="shared" si="336"/>
        <v>8.5733788395904176E-3</v>
      </c>
      <c r="T1559" s="55">
        <f t="shared" si="337"/>
        <v>13185</v>
      </c>
      <c r="U1559" s="55">
        <f t="shared" si="338"/>
        <v>13071.960000000001</v>
      </c>
      <c r="V1559" s="55">
        <f t="shared" si="339"/>
        <v>-113.03999999999905</v>
      </c>
      <c r="W1559" s="55">
        <f t="shared" si="340"/>
        <v>13071.960000000001</v>
      </c>
      <c r="X1559" s="55">
        <f t="shared" si="341"/>
        <v>0</v>
      </c>
      <c r="Y1559" s="55">
        <f t="shared" si="342"/>
        <v>11243.25</v>
      </c>
      <c r="Z1559" s="55">
        <f t="shared" si="343"/>
        <v>11243.25</v>
      </c>
      <c r="AA1559" s="55">
        <f t="shared" si="344"/>
        <v>0</v>
      </c>
      <c r="AB1559" s="55">
        <f t="shared" si="345"/>
        <v>1828.7100000000009</v>
      </c>
      <c r="AC1559" s="54">
        <f t="shared" si="346"/>
        <v>0.13989562391561791</v>
      </c>
      <c r="AD1559" s="56">
        <f>INDEX(Assumptions!$B$14:$B$16,MATCH($R1559,Assumptions!$A$14:$A$16,0))</f>
        <v>0.12</v>
      </c>
      <c r="AE1559" s="56">
        <f>INDEX(Assumptions!$C$14:$C$16,MATCH($R1559,Assumptions!$A$14:$A$16,0))</f>
        <v>0.08</v>
      </c>
      <c r="AF1559" s="49">
        <f t="shared" si="347"/>
        <v>0</v>
      </c>
      <c r="AG1559" s="49">
        <f t="shared" si="348"/>
        <v>0</v>
      </c>
      <c r="AH1559" s="55">
        <f t="shared" si="349"/>
        <v>0</v>
      </c>
    </row>
    <row r="1560" spans="1:34" x14ac:dyDescent="0.2">
      <c r="A1560" s="48" t="s">
        <v>1298</v>
      </c>
      <c r="B1560" s="48">
        <v>2</v>
      </c>
      <c r="C1560" s="48" t="s">
        <v>1275</v>
      </c>
      <c r="D1560" s="48" t="s">
        <v>1258</v>
      </c>
      <c r="E1560" s="48" t="s">
        <v>336</v>
      </c>
      <c r="F1560" s="48" t="s">
        <v>274</v>
      </c>
      <c r="G1560" s="48" t="s">
        <v>288</v>
      </c>
      <c r="H1560" s="48" t="s">
        <v>62</v>
      </c>
      <c r="I1560" s="48" t="s">
        <v>157</v>
      </c>
      <c r="J1560" s="49">
        <v>6</v>
      </c>
      <c r="K1560" s="50">
        <v>135</v>
      </c>
      <c r="L1560" s="50">
        <v>134.43</v>
      </c>
      <c r="M1560" s="48" t="s">
        <v>276</v>
      </c>
      <c r="N1560" s="51">
        <v>1</v>
      </c>
      <c r="O1560" s="51">
        <v>1</v>
      </c>
      <c r="P1560" s="52">
        <v>86</v>
      </c>
      <c r="Q1560" s="52">
        <v>86</v>
      </c>
      <c r="R1560" s="53" t="str">
        <f>INDEX(SKU_Master!$D$5:$D$34,MATCH($I1560,SKU_Master!$A$5:$A$34,0))</f>
        <v>Accessory</v>
      </c>
      <c r="S1560" s="54">
        <f t="shared" si="336"/>
        <v>4.2222222222221273E-3</v>
      </c>
      <c r="T1560" s="55">
        <f t="shared" si="337"/>
        <v>810</v>
      </c>
      <c r="U1560" s="55">
        <f t="shared" si="338"/>
        <v>806.58</v>
      </c>
      <c r="V1560" s="55">
        <f t="shared" si="339"/>
        <v>-3.4199999999999591</v>
      </c>
      <c r="W1560" s="55">
        <f t="shared" si="340"/>
        <v>806.58</v>
      </c>
      <c r="X1560" s="55">
        <f t="shared" si="341"/>
        <v>0</v>
      </c>
      <c r="Y1560" s="55">
        <f t="shared" si="342"/>
        <v>516</v>
      </c>
      <c r="Z1560" s="55">
        <f t="shared" si="343"/>
        <v>516</v>
      </c>
      <c r="AA1560" s="55">
        <f t="shared" si="344"/>
        <v>0</v>
      </c>
      <c r="AB1560" s="55">
        <f t="shared" si="345"/>
        <v>290.58000000000004</v>
      </c>
      <c r="AC1560" s="54">
        <f t="shared" si="346"/>
        <v>0.36026184631406682</v>
      </c>
      <c r="AD1560" s="56">
        <f>INDEX(Assumptions!$B$14:$B$16,MATCH($R1560,Assumptions!$A$14:$A$16,0))</f>
        <v>0.32</v>
      </c>
      <c r="AE1560" s="56">
        <f>INDEX(Assumptions!$C$14:$C$16,MATCH($R1560,Assumptions!$A$14:$A$16,0))</f>
        <v>0.22</v>
      </c>
      <c r="AF1560" s="49">
        <f t="shared" si="347"/>
        <v>0</v>
      </c>
      <c r="AG1560" s="49">
        <f t="shared" si="348"/>
        <v>0</v>
      </c>
      <c r="AH1560" s="55">
        <f t="shared" si="349"/>
        <v>0</v>
      </c>
    </row>
    <row r="1561" spans="1:34" x14ac:dyDescent="0.2">
      <c r="A1561" s="48" t="s">
        <v>1299</v>
      </c>
      <c r="B1561" s="48">
        <v>1</v>
      </c>
      <c r="C1561" s="48" t="s">
        <v>1257</v>
      </c>
      <c r="D1561" s="48" t="s">
        <v>1258</v>
      </c>
      <c r="E1561" s="48" t="s">
        <v>498</v>
      </c>
      <c r="F1561" s="48" t="s">
        <v>280</v>
      </c>
      <c r="G1561" s="48" t="s">
        <v>302</v>
      </c>
      <c r="H1561" s="48" t="s">
        <v>66</v>
      </c>
      <c r="I1561" s="48" t="s">
        <v>118</v>
      </c>
      <c r="J1561" s="49">
        <v>19</v>
      </c>
      <c r="K1561" s="50">
        <v>1300</v>
      </c>
      <c r="L1561" s="50">
        <v>1226.6199999999999</v>
      </c>
      <c r="M1561" s="48" t="s">
        <v>276</v>
      </c>
      <c r="N1561" s="51">
        <v>0.92</v>
      </c>
      <c r="O1561" s="51">
        <v>0.9335</v>
      </c>
      <c r="P1561" s="52">
        <v>1182.5999999999999</v>
      </c>
      <c r="Q1561" s="52">
        <v>1251.28</v>
      </c>
      <c r="R1561" s="53" t="str">
        <f>INDEX(SKU_Master!$D$5:$D$34,MATCH($I1561,SKU_Master!$A$5:$A$34,0))</f>
        <v>Laptop</v>
      </c>
      <c r="S1561" s="54">
        <f t="shared" si="336"/>
        <v>5.6446153846153924E-2</v>
      </c>
      <c r="T1561" s="55">
        <f t="shared" si="337"/>
        <v>26847.82608695652</v>
      </c>
      <c r="U1561" s="55">
        <f t="shared" si="338"/>
        <v>25332.369565217388</v>
      </c>
      <c r="V1561" s="55">
        <f t="shared" si="339"/>
        <v>-1515.4565217391319</v>
      </c>
      <c r="W1561" s="55">
        <f t="shared" si="340"/>
        <v>24966.020353508302</v>
      </c>
      <c r="X1561" s="55">
        <f t="shared" si="341"/>
        <v>-366.34921170908638</v>
      </c>
      <c r="Y1561" s="55">
        <f t="shared" si="342"/>
        <v>22469.399999999998</v>
      </c>
      <c r="Z1561" s="55">
        <f t="shared" si="343"/>
        <v>23774.32</v>
      </c>
      <c r="AA1561" s="55">
        <f t="shared" si="344"/>
        <v>-1304.9200000000019</v>
      </c>
      <c r="AB1561" s="55">
        <f t="shared" si="345"/>
        <v>1191.7003535083022</v>
      </c>
      <c r="AC1561" s="54">
        <f t="shared" si="346"/>
        <v>4.7732892012196118E-2</v>
      </c>
      <c r="AD1561" s="56">
        <f>INDEX(Assumptions!$B$14:$B$16,MATCH($R1561,Assumptions!$A$14:$A$16,0))</f>
        <v>0.12</v>
      </c>
      <c r="AE1561" s="56">
        <f>INDEX(Assumptions!$C$14:$C$16,MATCH($R1561,Assumptions!$A$14:$A$16,0))</f>
        <v>0.08</v>
      </c>
      <c r="AF1561" s="49">
        <f t="shared" si="347"/>
        <v>1</v>
      </c>
      <c r="AG1561" s="49">
        <f t="shared" si="348"/>
        <v>1</v>
      </c>
      <c r="AH1561" s="55">
        <f t="shared" si="349"/>
        <v>1804.2220889126938</v>
      </c>
    </row>
    <row r="1562" spans="1:34" x14ac:dyDescent="0.2">
      <c r="A1562" s="48" t="s">
        <v>1299</v>
      </c>
      <c r="B1562" s="48">
        <v>2</v>
      </c>
      <c r="C1562" s="48" t="s">
        <v>1257</v>
      </c>
      <c r="D1562" s="48" t="s">
        <v>1258</v>
      </c>
      <c r="E1562" s="48" t="s">
        <v>498</v>
      </c>
      <c r="F1562" s="48" t="s">
        <v>280</v>
      </c>
      <c r="G1562" s="48" t="s">
        <v>302</v>
      </c>
      <c r="H1562" s="48" t="s">
        <v>66</v>
      </c>
      <c r="I1562" s="48" t="s">
        <v>146</v>
      </c>
      <c r="J1562" s="49">
        <v>15</v>
      </c>
      <c r="K1562" s="50">
        <v>250</v>
      </c>
      <c r="L1562" s="50">
        <v>245.01</v>
      </c>
      <c r="M1562" s="48" t="s">
        <v>276</v>
      </c>
      <c r="N1562" s="51">
        <v>0.92</v>
      </c>
      <c r="O1562" s="51">
        <v>0.9335</v>
      </c>
      <c r="P1562" s="52">
        <v>206.8</v>
      </c>
      <c r="Q1562" s="52">
        <v>206.8</v>
      </c>
      <c r="R1562" s="53" t="str">
        <f>INDEX(SKU_Master!$D$5:$D$34,MATCH($I1562,SKU_Master!$A$5:$A$34,0))</f>
        <v>Monitor</v>
      </c>
      <c r="S1562" s="54">
        <f t="shared" si="336"/>
        <v>1.9960000000000089E-2</v>
      </c>
      <c r="T1562" s="55">
        <f t="shared" si="337"/>
        <v>4076.086956521739</v>
      </c>
      <c r="U1562" s="55">
        <f t="shared" si="338"/>
        <v>3994.7282608695646</v>
      </c>
      <c r="V1562" s="55">
        <f t="shared" si="339"/>
        <v>-81.358695652174447</v>
      </c>
      <c r="W1562" s="55">
        <f t="shared" si="340"/>
        <v>3936.9576861274768</v>
      </c>
      <c r="X1562" s="55">
        <f t="shared" si="341"/>
        <v>-57.770574742087774</v>
      </c>
      <c r="Y1562" s="55">
        <f t="shared" si="342"/>
        <v>3102</v>
      </c>
      <c r="Z1562" s="55">
        <f t="shared" si="343"/>
        <v>3102</v>
      </c>
      <c r="AA1562" s="55">
        <f t="shared" si="344"/>
        <v>0</v>
      </c>
      <c r="AB1562" s="55">
        <f t="shared" si="345"/>
        <v>834.95768612747679</v>
      </c>
      <c r="AC1562" s="54">
        <f t="shared" si="346"/>
        <v>0.21208195583853712</v>
      </c>
      <c r="AD1562" s="56">
        <f>INDEX(Assumptions!$B$14:$B$16,MATCH($R1562,Assumptions!$A$14:$A$16,0))</f>
        <v>0.18</v>
      </c>
      <c r="AE1562" s="56">
        <f>INDEX(Assumptions!$C$14:$C$16,MATCH($R1562,Assumptions!$A$14:$A$16,0))</f>
        <v>0.12</v>
      </c>
      <c r="AF1562" s="49">
        <f t="shared" si="347"/>
        <v>0</v>
      </c>
      <c r="AG1562" s="49">
        <f t="shared" si="348"/>
        <v>0</v>
      </c>
      <c r="AH1562" s="55">
        <f t="shared" si="349"/>
        <v>0</v>
      </c>
    </row>
    <row r="1563" spans="1:34" x14ac:dyDescent="0.2">
      <c r="A1563" s="48" t="s">
        <v>1299</v>
      </c>
      <c r="B1563" s="48">
        <v>3</v>
      </c>
      <c r="C1563" s="48" t="s">
        <v>1257</v>
      </c>
      <c r="D1563" s="48" t="s">
        <v>1258</v>
      </c>
      <c r="E1563" s="48" t="s">
        <v>498</v>
      </c>
      <c r="F1563" s="48" t="s">
        <v>280</v>
      </c>
      <c r="G1563" s="48" t="s">
        <v>302</v>
      </c>
      <c r="H1563" s="48" t="s">
        <v>66</v>
      </c>
      <c r="I1563" s="48" t="s">
        <v>151</v>
      </c>
      <c r="J1563" s="49">
        <v>12</v>
      </c>
      <c r="K1563" s="50">
        <v>325</v>
      </c>
      <c r="L1563" s="50">
        <v>304.5</v>
      </c>
      <c r="M1563" s="48" t="s">
        <v>276</v>
      </c>
      <c r="N1563" s="51">
        <v>0.92</v>
      </c>
      <c r="O1563" s="51">
        <v>0.9335</v>
      </c>
      <c r="P1563" s="52">
        <v>221.7</v>
      </c>
      <c r="Q1563" s="52">
        <v>221.7</v>
      </c>
      <c r="R1563" s="53" t="str">
        <f>INDEX(SKU_Master!$D$5:$D$34,MATCH($I1563,SKU_Master!$A$5:$A$34,0))</f>
        <v>Accessory</v>
      </c>
      <c r="S1563" s="54">
        <f t="shared" si="336"/>
        <v>6.307692307692303E-2</v>
      </c>
      <c r="T1563" s="55">
        <f t="shared" si="337"/>
        <v>4239.1304347826081</v>
      </c>
      <c r="U1563" s="55">
        <f t="shared" si="338"/>
        <v>3971.7391304347825</v>
      </c>
      <c r="V1563" s="55">
        <f t="shared" si="339"/>
        <v>-267.39130434782555</v>
      </c>
      <c r="W1563" s="55">
        <f t="shared" si="340"/>
        <v>3914.3010176754151</v>
      </c>
      <c r="X1563" s="55">
        <f t="shared" si="341"/>
        <v>-57.438112759367414</v>
      </c>
      <c r="Y1563" s="55">
        <f t="shared" si="342"/>
        <v>2660.3999999999996</v>
      </c>
      <c r="Z1563" s="55">
        <f t="shared" si="343"/>
        <v>2660.3999999999996</v>
      </c>
      <c r="AA1563" s="55">
        <f t="shared" si="344"/>
        <v>0</v>
      </c>
      <c r="AB1563" s="55">
        <f t="shared" si="345"/>
        <v>1253.9010176754155</v>
      </c>
      <c r="AC1563" s="54">
        <f t="shared" si="346"/>
        <v>0.32033842364532028</v>
      </c>
      <c r="AD1563" s="56">
        <f>INDEX(Assumptions!$B$14:$B$16,MATCH($R1563,Assumptions!$A$14:$A$16,0))</f>
        <v>0.32</v>
      </c>
      <c r="AE1563" s="56">
        <f>INDEX(Assumptions!$C$14:$C$16,MATCH($R1563,Assumptions!$A$14:$A$16,0))</f>
        <v>0.22</v>
      </c>
      <c r="AF1563" s="49">
        <f t="shared" si="347"/>
        <v>0</v>
      </c>
      <c r="AG1563" s="49">
        <f t="shared" si="348"/>
        <v>0</v>
      </c>
      <c r="AH1563" s="55">
        <f t="shared" si="349"/>
        <v>0</v>
      </c>
    </row>
    <row r="1564" spans="1:34" x14ac:dyDescent="0.2">
      <c r="A1564" s="48" t="s">
        <v>1300</v>
      </c>
      <c r="B1564" s="48">
        <v>1</v>
      </c>
      <c r="C1564" s="48" t="s">
        <v>1301</v>
      </c>
      <c r="D1564" s="48" t="s">
        <v>1258</v>
      </c>
      <c r="E1564" s="48" t="s">
        <v>407</v>
      </c>
      <c r="F1564" s="48" t="s">
        <v>274</v>
      </c>
      <c r="G1564" s="48" t="s">
        <v>302</v>
      </c>
      <c r="H1564" s="48" t="s">
        <v>62</v>
      </c>
      <c r="I1564" s="48" t="s">
        <v>93</v>
      </c>
      <c r="J1564" s="49">
        <v>4</v>
      </c>
      <c r="K1564" s="50">
        <v>1390</v>
      </c>
      <c r="L1564" s="50">
        <v>1315.32</v>
      </c>
      <c r="M1564" s="48" t="s">
        <v>276</v>
      </c>
      <c r="N1564" s="51">
        <v>1</v>
      </c>
      <c r="O1564" s="51">
        <v>1</v>
      </c>
      <c r="P1564" s="52">
        <v>1186.2</v>
      </c>
      <c r="Q1564" s="52">
        <v>1186.2</v>
      </c>
      <c r="R1564" s="53" t="str">
        <f>INDEX(SKU_Master!$D$5:$D$34,MATCH($I1564,SKU_Master!$A$5:$A$34,0))</f>
        <v>Laptop</v>
      </c>
      <c r="S1564" s="54">
        <f t="shared" si="336"/>
        <v>5.3726618705036033E-2</v>
      </c>
      <c r="T1564" s="55">
        <f t="shared" si="337"/>
        <v>5560</v>
      </c>
      <c r="U1564" s="55">
        <f t="shared" si="338"/>
        <v>5261.28</v>
      </c>
      <c r="V1564" s="55">
        <f t="shared" si="339"/>
        <v>-298.72000000000025</v>
      </c>
      <c r="W1564" s="55">
        <f t="shared" si="340"/>
        <v>5261.28</v>
      </c>
      <c r="X1564" s="55">
        <f t="shared" si="341"/>
        <v>0</v>
      </c>
      <c r="Y1564" s="55">
        <f t="shared" si="342"/>
        <v>4744.8</v>
      </c>
      <c r="Z1564" s="55">
        <f t="shared" si="343"/>
        <v>4744.8</v>
      </c>
      <c r="AA1564" s="55">
        <f t="shared" si="344"/>
        <v>0</v>
      </c>
      <c r="AB1564" s="55">
        <f t="shared" si="345"/>
        <v>516.47999999999956</v>
      </c>
      <c r="AC1564" s="54">
        <f t="shared" si="346"/>
        <v>9.8166225709333019E-2</v>
      </c>
      <c r="AD1564" s="56">
        <f>INDEX(Assumptions!$B$14:$B$16,MATCH($R1564,Assumptions!$A$14:$A$16,0))</f>
        <v>0.12</v>
      </c>
      <c r="AE1564" s="56">
        <f>INDEX(Assumptions!$C$14:$C$16,MATCH($R1564,Assumptions!$A$14:$A$16,0))</f>
        <v>0.08</v>
      </c>
      <c r="AF1564" s="49">
        <f t="shared" si="347"/>
        <v>0</v>
      </c>
      <c r="AG1564" s="49">
        <f t="shared" si="348"/>
        <v>0</v>
      </c>
      <c r="AH1564" s="55">
        <f t="shared" si="349"/>
        <v>114.87360000000035</v>
      </c>
    </row>
    <row r="1565" spans="1:34" x14ac:dyDescent="0.2">
      <c r="A1565" s="48" t="s">
        <v>1300</v>
      </c>
      <c r="B1565" s="48">
        <v>2</v>
      </c>
      <c r="C1565" s="48" t="s">
        <v>1301</v>
      </c>
      <c r="D1565" s="48" t="s">
        <v>1258</v>
      </c>
      <c r="E1565" s="48" t="s">
        <v>407</v>
      </c>
      <c r="F1565" s="48" t="s">
        <v>274</v>
      </c>
      <c r="G1565" s="48" t="s">
        <v>302</v>
      </c>
      <c r="H1565" s="48" t="s">
        <v>62</v>
      </c>
      <c r="I1565" s="48" t="s">
        <v>138</v>
      </c>
      <c r="J1565" s="49">
        <v>3</v>
      </c>
      <c r="K1565" s="50">
        <v>455</v>
      </c>
      <c r="L1565" s="50">
        <v>435.66</v>
      </c>
      <c r="M1565" s="48" t="s">
        <v>276</v>
      </c>
      <c r="N1565" s="51">
        <v>1</v>
      </c>
      <c r="O1565" s="51">
        <v>1</v>
      </c>
      <c r="P1565" s="52">
        <v>358.2</v>
      </c>
      <c r="Q1565" s="52">
        <v>358.2</v>
      </c>
      <c r="R1565" s="53" t="str">
        <f>INDEX(SKU_Master!$D$5:$D$34,MATCH($I1565,SKU_Master!$A$5:$A$34,0))</f>
        <v>Monitor</v>
      </c>
      <c r="S1565" s="54">
        <f t="shared" si="336"/>
        <v>4.2505494505494457E-2</v>
      </c>
      <c r="T1565" s="55">
        <f t="shared" si="337"/>
        <v>1365</v>
      </c>
      <c r="U1565" s="55">
        <f t="shared" si="338"/>
        <v>1306.98</v>
      </c>
      <c r="V1565" s="55">
        <f t="shared" si="339"/>
        <v>-58.019999999999982</v>
      </c>
      <c r="W1565" s="55">
        <f t="shared" si="340"/>
        <v>1306.98</v>
      </c>
      <c r="X1565" s="55">
        <f t="shared" si="341"/>
        <v>0</v>
      </c>
      <c r="Y1565" s="55">
        <f t="shared" si="342"/>
        <v>1074.5999999999999</v>
      </c>
      <c r="Z1565" s="55">
        <f t="shared" si="343"/>
        <v>1074.5999999999999</v>
      </c>
      <c r="AA1565" s="55">
        <f t="shared" si="344"/>
        <v>0</v>
      </c>
      <c r="AB1565" s="55">
        <f t="shared" si="345"/>
        <v>232.38000000000011</v>
      </c>
      <c r="AC1565" s="54">
        <f t="shared" si="346"/>
        <v>0.17779920121195436</v>
      </c>
      <c r="AD1565" s="56">
        <f>INDEX(Assumptions!$B$14:$B$16,MATCH($R1565,Assumptions!$A$14:$A$16,0))</f>
        <v>0.18</v>
      </c>
      <c r="AE1565" s="56">
        <f>INDEX(Assumptions!$C$14:$C$16,MATCH($R1565,Assumptions!$A$14:$A$16,0))</f>
        <v>0.12</v>
      </c>
      <c r="AF1565" s="49">
        <f t="shared" si="347"/>
        <v>0</v>
      </c>
      <c r="AG1565" s="49">
        <f t="shared" si="348"/>
        <v>0</v>
      </c>
      <c r="AH1565" s="55">
        <f t="shared" si="349"/>
        <v>2.8763999999998759</v>
      </c>
    </row>
    <row r="1566" spans="1:34" x14ac:dyDescent="0.2">
      <c r="A1566" s="48" t="s">
        <v>1300</v>
      </c>
      <c r="B1566" s="48">
        <v>3</v>
      </c>
      <c r="C1566" s="48" t="s">
        <v>1301</v>
      </c>
      <c r="D1566" s="48" t="s">
        <v>1258</v>
      </c>
      <c r="E1566" s="48" t="s">
        <v>407</v>
      </c>
      <c r="F1566" s="48" t="s">
        <v>274</v>
      </c>
      <c r="G1566" s="48" t="s">
        <v>302</v>
      </c>
      <c r="H1566" s="48" t="s">
        <v>62</v>
      </c>
      <c r="I1566" s="48" t="s">
        <v>161</v>
      </c>
      <c r="J1566" s="49">
        <v>4</v>
      </c>
      <c r="K1566" s="50">
        <v>120</v>
      </c>
      <c r="L1566" s="50">
        <v>117.85</v>
      </c>
      <c r="M1566" s="48" t="s">
        <v>276</v>
      </c>
      <c r="N1566" s="51">
        <v>1</v>
      </c>
      <c r="O1566" s="51">
        <v>1</v>
      </c>
      <c r="P1566" s="52">
        <v>76</v>
      </c>
      <c r="Q1566" s="52">
        <v>76</v>
      </c>
      <c r="R1566" s="53" t="str">
        <f>INDEX(SKU_Master!$D$5:$D$34,MATCH($I1566,SKU_Master!$A$5:$A$34,0))</f>
        <v>Accessory</v>
      </c>
      <c r="S1566" s="54">
        <f t="shared" si="336"/>
        <v>1.7916666666666692E-2</v>
      </c>
      <c r="T1566" s="55">
        <f t="shared" si="337"/>
        <v>480</v>
      </c>
      <c r="U1566" s="55">
        <f t="shared" si="338"/>
        <v>471.4</v>
      </c>
      <c r="V1566" s="55">
        <f t="shared" si="339"/>
        <v>-8.6000000000000227</v>
      </c>
      <c r="W1566" s="55">
        <f t="shared" si="340"/>
        <v>471.4</v>
      </c>
      <c r="X1566" s="55">
        <f t="shared" si="341"/>
        <v>0</v>
      </c>
      <c r="Y1566" s="55">
        <f t="shared" si="342"/>
        <v>304</v>
      </c>
      <c r="Z1566" s="55">
        <f t="shared" si="343"/>
        <v>304</v>
      </c>
      <c r="AA1566" s="55">
        <f t="shared" si="344"/>
        <v>0</v>
      </c>
      <c r="AB1566" s="55">
        <f t="shared" si="345"/>
        <v>167.39999999999998</v>
      </c>
      <c r="AC1566" s="54">
        <f t="shared" si="346"/>
        <v>0.35511243105642765</v>
      </c>
      <c r="AD1566" s="56">
        <f>INDEX(Assumptions!$B$14:$B$16,MATCH($R1566,Assumptions!$A$14:$A$16,0))</f>
        <v>0.32</v>
      </c>
      <c r="AE1566" s="56">
        <f>INDEX(Assumptions!$C$14:$C$16,MATCH($R1566,Assumptions!$A$14:$A$16,0))</f>
        <v>0.22</v>
      </c>
      <c r="AF1566" s="49">
        <f t="shared" si="347"/>
        <v>0</v>
      </c>
      <c r="AG1566" s="49">
        <f t="shared" si="348"/>
        <v>0</v>
      </c>
      <c r="AH1566" s="55">
        <f t="shared" si="349"/>
        <v>0</v>
      </c>
    </row>
    <row r="1567" spans="1:34" x14ac:dyDescent="0.2">
      <c r="A1567" s="48" t="s">
        <v>1302</v>
      </c>
      <c r="B1567" s="48">
        <v>1</v>
      </c>
      <c r="C1567" s="48" t="s">
        <v>1303</v>
      </c>
      <c r="D1567" s="48" t="s">
        <v>1258</v>
      </c>
      <c r="E1567" s="48" t="s">
        <v>410</v>
      </c>
      <c r="F1567" s="48" t="s">
        <v>297</v>
      </c>
      <c r="G1567" s="48" t="s">
        <v>302</v>
      </c>
      <c r="H1567" s="48" t="s">
        <v>64</v>
      </c>
      <c r="I1567" s="48" t="s">
        <v>118</v>
      </c>
      <c r="J1567" s="49">
        <v>69</v>
      </c>
      <c r="K1567" s="50">
        <v>1120</v>
      </c>
      <c r="L1567" s="50">
        <v>1021.05</v>
      </c>
      <c r="M1567" s="48" t="s">
        <v>276</v>
      </c>
      <c r="N1567" s="51">
        <v>0.79</v>
      </c>
      <c r="O1567" s="51">
        <v>0.81979999999999997</v>
      </c>
      <c r="P1567" s="52">
        <v>1186.5999999999999</v>
      </c>
      <c r="Q1567" s="52">
        <v>1255.28</v>
      </c>
      <c r="R1567" s="53" t="str">
        <f>INDEX(SKU_Master!$D$5:$D$34,MATCH($I1567,SKU_Master!$A$5:$A$34,0))</f>
        <v>Laptop</v>
      </c>
      <c r="S1567" s="54">
        <f t="shared" si="336"/>
        <v>8.8348214285714377E-2</v>
      </c>
      <c r="T1567" s="55">
        <f t="shared" si="337"/>
        <v>97822.784810126584</v>
      </c>
      <c r="U1567" s="55">
        <f t="shared" si="338"/>
        <v>89180.3164556962</v>
      </c>
      <c r="V1567" s="55">
        <f t="shared" si="339"/>
        <v>-8642.4683544303844</v>
      </c>
      <c r="W1567" s="55">
        <f t="shared" si="340"/>
        <v>85938.582581117342</v>
      </c>
      <c r="X1567" s="55">
        <f t="shared" si="341"/>
        <v>-3241.7338745788584</v>
      </c>
      <c r="Y1567" s="55">
        <f t="shared" si="342"/>
        <v>81875.399999999994</v>
      </c>
      <c r="Z1567" s="55">
        <f t="shared" si="343"/>
        <v>86614.319999999992</v>
      </c>
      <c r="AA1567" s="55">
        <f t="shared" si="344"/>
        <v>-4738.9199999999983</v>
      </c>
      <c r="AB1567" s="55">
        <f t="shared" si="345"/>
        <v>-675.73741888265067</v>
      </c>
      <c r="AC1567" s="54">
        <f t="shared" si="346"/>
        <v>-7.8630272758434521E-3</v>
      </c>
      <c r="AD1567" s="56">
        <f>INDEX(Assumptions!$B$14:$B$16,MATCH($R1567,Assumptions!$A$14:$A$16,0))</f>
        <v>0.12</v>
      </c>
      <c r="AE1567" s="56">
        <f>INDEX(Assumptions!$C$14:$C$16,MATCH($R1567,Assumptions!$A$14:$A$16,0))</f>
        <v>0.08</v>
      </c>
      <c r="AF1567" s="49">
        <f t="shared" si="347"/>
        <v>1</v>
      </c>
      <c r="AG1567" s="49">
        <f t="shared" si="348"/>
        <v>1</v>
      </c>
      <c r="AH1567" s="55">
        <f t="shared" si="349"/>
        <v>10988.36732861673</v>
      </c>
    </row>
    <row r="1568" spans="1:34" x14ac:dyDescent="0.2">
      <c r="A1568" s="48" t="s">
        <v>1302</v>
      </c>
      <c r="B1568" s="48">
        <v>2</v>
      </c>
      <c r="C1568" s="48" t="s">
        <v>1303</v>
      </c>
      <c r="D1568" s="48" t="s">
        <v>1258</v>
      </c>
      <c r="E1568" s="48" t="s">
        <v>410</v>
      </c>
      <c r="F1568" s="48" t="s">
        <v>297</v>
      </c>
      <c r="G1568" s="48" t="s">
        <v>302</v>
      </c>
      <c r="H1568" s="48" t="s">
        <v>64</v>
      </c>
      <c r="I1568" s="48" t="s">
        <v>144</v>
      </c>
      <c r="J1568" s="49">
        <v>57</v>
      </c>
      <c r="K1568" s="50">
        <v>330</v>
      </c>
      <c r="L1568" s="50">
        <v>306.12</v>
      </c>
      <c r="M1568" s="48" t="s">
        <v>276</v>
      </c>
      <c r="N1568" s="51">
        <v>0.79</v>
      </c>
      <c r="O1568" s="51">
        <v>0.81979999999999997</v>
      </c>
      <c r="P1568" s="52">
        <v>319.60000000000002</v>
      </c>
      <c r="Q1568" s="52">
        <v>319.60000000000002</v>
      </c>
      <c r="R1568" s="53" t="str">
        <f>INDEX(SKU_Master!$D$5:$D$34,MATCH($I1568,SKU_Master!$A$5:$A$34,0))</f>
        <v>Monitor</v>
      </c>
      <c r="S1568" s="54">
        <f t="shared" si="336"/>
        <v>7.2363636363636297E-2</v>
      </c>
      <c r="T1568" s="55">
        <f t="shared" si="337"/>
        <v>23810.126582278481</v>
      </c>
      <c r="U1568" s="55">
        <f t="shared" si="338"/>
        <v>22087.139240506327</v>
      </c>
      <c r="V1568" s="55">
        <f t="shared" si="339"/>
        <v>-1722.9873417721537</v>
      </c>
      <c r="W1568" s="55">
        <f t="shared" si="340"/>
        <v>21284.264454745062</v>
      </c>
      <c r="X1568" s="55">
        <f t="shared" si="341"/>
        <v>-802.87478576126523</v>
      </c>
      <c r="Y1568" s="55">
        <f t="shared" si="342"/>
        <v>18217.2</v>
      </c>
      <c r="Z1568" s="55">
        <f t="shared" si="343"/>
        <v>18217.2</v>
      </c>
      <c r="AA1568" s="55">
        <f t="shared" si="344"/>
        <v>0</v>
      </c>
      <c r="AB1568" s="55">
        <f t="shared" si="345"/>
        <v>3067.0644547450611</v>
      </c>
      <c r="AC1568" s="54">
        <f t="shared" si="346"/>
        <v>0.14410009146739847</v>
      </c>
      <c r="AD1568" s="56">
        <f>INDEX(Assumptions!$B$14:$B$16,MATCH($R1568,Assumptions!$A$14:$A$16,0))</f>
        <v>0.18</v>
      </c>
      <c r="AE1568" s="56">
        <f>INDEX(Assumptions!$C$14:$C$16,MATCH($R1568,Assumptions!$A$14:$A$16,0))</f>
        <v>0.12</v>
      </c>
      <c r="AF1568" s="49">
        <f t="shared" si="347"/>
        <v>0</v>
      </c>
      <c r="AG1568" s="49">
        <f t="shared" si="348"/>
        <v>0</v>
      </c>
      <c r="AH1568" s="55">
        <f t="shared" si="349"/>
        <v>764.10314710905004</v>
      </c>
    </row>
    <row r="1569" spans="1:34" x14ac:dyDescent="0.2">
      <c r="A1569" s="48" t="s">
        <v>1302</v>
      </c>
      <c r="B1569" s="48">
        <v>3</v>
      </c>
      <c r="C1569" s="48" t="s">
        <v>1303</v>
      </c>
      <c r="D1569" s="48" t="s">
        <v>1258</v>
      </c>
      <c r="E1569" s="48" t="s">
        <v>410</v>
      </c>
      <c r="F1569" s="48" t="s">
        <v>297</v>
      </c>
      <c r="G1569" s="48" t="s">
        <v>302</v>
      </c>
      <c r="H1569" s="48" t="s">
        <v>64</v>
      </c>
      <c r="I1569" s="48" t="s">
        <v>161</v>
      </c>
      <c r="J1569" s="49">
        <v>46</v>
      </c>
      <c r="K1569" s="50">
        <v>105</v>
      </c>
      <c r="L1569" s="50">
        <v>96.89</v>
      </c>
      <c r="M1569" s="48" t="s">
        <v>276</v>
      </c>
      <c r="N1569" s="51">
        <v>0.79</v>
      </c>
      <c r="O1569" s="51">
        <v>0.81979999999999997</v>
      </c>
      <c r="P1569" s="52">
        <v>82</v>
      </c>
      <c r="Q1569" s="52">
        <v>82</v>
      </c>
      <c r="R1569" s="53" t="str">
        <f>INDEX(SKU_Master!$D$5:$D$34,MATCH($I1569,SKU_Master!$A$5:$A$34,0))</f>
        <v>Accessory</v>
      </c>
      <c r="S1569" s="54">
        <f t="shared" si="336"/>
        <v>7.7238095238095217E-2</v>
      </c>
      <c r="T1569" s="55">
        <f t="shared" si="337"/>
        <v>6113.9240506329115</v>
      </c>
      <c r="U1569" s="55">
        <f t="shared" si="338"/>
        <v>5641.6962025316452</v>
      </c>
      <c r="V1569" s="55">
        <f t="shared" si="339"/>
        <v>-472.22784810126632</v>
      </c>
      <c r="W1569" s="55">
        <f t="shared" si="340"/>
        <v>5436.6186874847517</v>
      </c>
      <c r="X1569" s="55">
        <f t="shared" si="341"/>
        <v>-205.0775150468935</v>
      </c>
      <c r="Y1569" s="55">
        <f t="shared" si="342"/>
        <v>3772</v>
      </c>
      <c r="Z1569" s="55">
        <f t="shared" si="343"/>
        <v>3772</v>
      </c>
      <c r="AA1569" s="55">
        <f t="shared" si="344"/>
        <v>0</v>
      </c>
      <c r="AB1569" s="55">
        <f t="shared" si="345"/>
        <v>1664.6186874847517</v>
      </c>
      <c r="AC1569" s="54">
        <f t="shared" si="346"/>
        <v>0.30618639694498906</v>
      </c>
      <c r="AD1569" s="56">
        <f>INDEX(Assumptions!$B$14:$B$16,MATCH($R1569,Assumptions!$A$14:$A$16,0))</f>
        <v>0.32</v>
      </c>
      <c r="AE1569" s="56">
        <f>INDEX(Assumptions!$C$14:$C$16,MATCH($R1569,Assumptions!$A$14:$A$16,0))</f>
        <v>0.22</v>
      </c>
      <c r="AF1569" s="49">
        <f t="shared" si="347"/>
        <v>0</v>
      </c>
      <c r="AG1569" s="49">
        <f t="shared" si="348"/>
        <v>0</v>
      </c>
      <c r="AH1569" s="55">
        <f t="shared" si="349"/>
        <v>75.099292510368969</v>
      </c>
    </row>
    <row r="1570" spans="1:34" x14ac:dyDescent="0.2">
      <c r="A1570" s="48" t="s">
        <v>1304</v>
      </c>
      <c r="B1570" s="48">
        <v>1</v>
      </c>
      <c r="C1570" s="48" t="s">
        <v>1305</v>
      </c>
      <c r="D1570" s="48" t="s">
        <v>1258</v>
      </c>
      <c r="E1570" s="48" t="s">
        <v>384</v>
      </c>
      <c r="F1570" s="48" t="s">
        <v>297</v>
      </c>
      <c r="G1570" s="48" t="s">
        <v>281</v>
      </c>
      <c r="H1570" s="48" t="s">
        <v>70</v>
      </c>
      <c r="I1570" s="48" t="s">
        <v>108</v>
      </c>
      <c r="J1570" s="49">
        <v>19</v>
      </c>
      <c r="K1570" s="50">
        <v>130190</v>
      </c>
      <c r="L1570" s="50">
        <v>127167.84</v>
      </c>
      <c r="M1570" s="48" t="s">
        <v>276</v>
      </c>
      <c r="N1570" s="51">
        <v>83.5</v>
      </c>
      <c r="O1570" s="51">
        <v>84.612200000000001</v>
      </c>
      <c r="P1570" s="52">
        <v>1305.97</v>
      </c>
      <c r="Q1570" s="52">
        <v>1401.03</v>
      </c>
      <c r="R1570" s="53" t="str">
        <f>INDEX(SKU_Master!$D$5:$D$34,MATCH($I1570,SKU_Master!$A$5:$A$34,0))</f>
        <v>Laptop</v>
      </c>
      <c r="S1570" s="54">
        <f t="shared" si="336"/>
        <v>2.3213457254781522E-2</v>
      </c>
      <c r="T1570" s="55">
        <f t="shared" si="337"/>
        <v>29624.071856287424</v>
      </c>
      <c r="U1570" s="55">
        <f t="shared" si="338"/>
        <v>28936.394730538923</v>
      </c>
      <c r="V1570" s="55">
        <f t="shared" si="339"/>
        <v>-687.67712574850157</v>
      </c>
      <c r="W1570" s="55">
        <f t="shared" si="340"/>
        <v>28556.035181687745</v>
      </c>
      <c r="X1570" s="55">
        <f t="shared" si="341"/>
        <v>-380.35954885117826</v>
      </c>
      <c r="Y1570" s="55">
        <f t="shared" si="342"/>
        <v>24813.43</v>
      </c>
      <c r="Z1570" s="55">
        <f t="shared" si="343"/>
        <v>26619.57</v>
      </c>
      <c r="AA1570" s="55">
        <f t="shared" si="344"/>
        <v>-1806.1399999999994</v>
      </c>
      <c r="AB1570" s="55">
        <f t="shared" si="345"/>
        <v>1936.4651816877449</v>
      </c>
      <c r="AC1570" s="54">
        <f t="shared" si="346"/>
        <v>6.7812816778204235E-2</v>
      </c>
      <c r="AD1570" s="56">
        <f>INDEX(Assumptions!$B$14:$B$16,MATCH($R1570,Assumptions!$A$14:$A$16,0))</f>
        <v>0.12</v>
      </c>
      <c r="AE1570" s="56">
        <f>INDEX(Assumptions!$C$14:$C$16,MATCH($R1570,Assumptions!$A$14:$A$16,0))</f>
        <v>0.08</v>
      </c>
      <c r="AF1570" s="49">
        <f t="shared" si="347"/>
        <v>1</v>
      </c>
      <c r="AG1570" s="49">
        <f t="shared" si="348"/>
        <v>1</v>
      </c>
      <c r="AH1570" s="55">
        <f t="shared" si="349"/>
        <v>1490.2590401147845</v>
      </c>
    </row>
    <row r="1571" spans="1:34" x14ac:dyDescent="0.2">
      <c r="A1571" s="48" t="s">
        <v>1304</v>
      </c>
      <c r="B1571" s="48">
        <v>2</v>
      </c>
      <c r="C1571" s="48" t="s">
        <v>1305</v>
      </c>
      <c r="D1571" s="48" t="s">
        <v>1258</v>
      </c>
      <c r="E1571" s="48" t="s">
        <v>384</v>
      </c>
      <c r="F1571" s="48" t="s">
        <v>297</v>
      </c>
      <c r="G1571" s="48" t="s">
        <v>281</v>
      </c>
      <c r="H1571" s="48" t="s">
        <v>70</v>
      </c>
      <c r="I1571" s="48" t="s">
        <v>135</v>
      </c>
      <c r="J1571" s="49">
        <v>11</v>
      </c>
      <c r="K1571" s="50">
        <v>26950</v>
      </c>
      <c r="L1571" s="50">
        <v>26235.279999999999</v>
      </c>
      <c r="M1571" s="48" t="s">
        <v>276</v>
      </c>
      <c r="N1571" s="51">
        <v>83.5</v>
      </c>
      <c r="O1571" s="51">
        <v>84.612200000000001</v>
      </c>
      <c r="P1571" s="52">
        <v>249.49</v>
      </c>
      <c r="Q1571" s="52">
        <v>269.49</v>
      </c>
      <c r="R1571" s="53" t="str">
        <f>INDEX(SKU_Master!$D$5:$D$34,MATCH($I1571,SKU_Master!$A$5:$A$34,0))</f>
        <v>Monitor</v>
      </c>
      <c r="S1571" s="54">
        <f t="shared" si="336"/>
        <v>2.6520222634508372E-2</v>
      </c>
      <c r="T1571" s="55">
        <f t="shared" si="337"/>
        <v>3550.2994011976048</v>
      </c>
      <c r="U1571" s="55">
        <f t="shared" si="338"/>
        <v>3456.1446706586821</v>
      </c>
      <c r="V1571" s="55">
        <f t="shared" si="339"/>
        <v>-94.154730538922649</v>
      </c>
      <c r="W1571" s="55">
        <f t="shared" si="340"/>
        <v>3410.7147669012265</v>
      </c>
      <c r="X1571" s="55">
        <f t="shared" si="341"/>
        <v>-45.429903757455577</v>
      </c>
      <c r="Y1571" s="55">
        <f t="shared" si="342"/>
        <v>2744.3900000000003</v>
      </c>
      <c r="Z1571" s="55">
        <f t="shared" si="343"/>
        <v>2964.3900000000003</v>
      </c>
      <c r="AA1571" s="55">
        <f t="shared" si="344"/>
        <v>-220</v>
      </c>
      <c r="AB1571" s="55">
        <f t="shared" si="345"/>
        <v>446.32476690122621</v>
      </c>
      <c r="AC1571" s="54">
        <f t="shared" si="346"/>
        <v>0.13085959905897684</v>
      </c>
      <c r="AD1571" s="56">
        <f>INDEX(Assumptions!$B$14:$B$16,MATCH($R1571,Assumptions!$A$14:$A$16,0))</f>
        <v>0.18</v>
      </c>
      <c r="AE1571" s="56">
        <f>INDEX(Assumptions!$C$14:$C$16,MATCH($R1571,Assumptions!$A$14:$A$16,0))</f>
        <v>0.12</v>
      </c>
      <c r="AF1571" s="49">
        <f t="shared" si="347"/>
        <v>0</v>
      </c>
      <c r="AG1571" s="49">
        <f t="shared" si="348"/>
        <v>0</v>
      </c>
      <c r="AH1571" s="55">
        <f t="shared" si="349"/>
        <v>167.60389114099451</v>
      </c>
    </row>
    <row r="1572" spans="1:34" x14ac:dyDescent="0.2">
      <c r="A1572" s="48" t="s">
        <v>1306</v>
      </c>
      <c r="B1572" s="48">
        <v>1</v>
      </c>
      <c r="C1572" s="48" t="s">
        <v>1273</v>
      </c>
      <c r="D1572" s="48" t="s">
        <v>1258</v>
      </c>
      <c r="E1572" s="48" t="s">
        <v>558</v>
      </c>
      <c r="F1572" s="48" t="s">
        <v>280</v>
      </c>
      <c r="G1572" s="48" t="s">
        <v>288</v>
      </c>
      <c r="H1572" s="48" t="s">
        <v>62</v>
      </c>
      <c r="I1572" s="48" t="s">
        <v>118</v>
      </c>
      <c r="J1572" s="49">
        <v>27</v>
      </c>
      <c r="K1572" s="50">
        <v>1365</v>
      </c>
      <c r="L1572" s="50">
        <v>1332.72</v>
      </c>
      <c r="M1572" s="48" t="s">
        <v>276</v>
      </c>
      <c r="N1572" s="51">
        <v>1</v>
      </c>
      <c r="O1572" s="51">
        <v>1</v>
      </c>
      <c r="P1572" s="52">
        <v>1162.5999999999999</v>
      </c>
      <c r="Q1572" s="52">
        <v>1231.28</v>
      </c>
      <c r="R1572" s="53" t="str">
        <f>INDEX(SKU_Master!$D$5:$D$34,MATCH($I1572,SKU_Master!$A$5:$A$34,0))</f>
        <v>Laptop</v>
      </c>
      <c r="S1572" s="54">
        <f t="shared" si="336"/>
        <v>2.3648351648351662E-2</v>
      </c>
      <c r="T1572" s="55">
        <f t="shared" si="337"/>
        <v>36855</v>
      </c>
      <c r="U1572" s="55">
        <f t="shared" si="338"/>
        <v>35983.440000000002</v>
      </c>
      <c r="V1572" s="55">
        <f t="shared" si="339"/>
        <v>-871.55999999999767</v>
      </c>
      <c r="W1572" s="55">
        <f t="shared" si="340"/>
        <v>35983.440000000002</v>
      </c>
      <c r="X1572" s="55">
        <f t="shared" si="341"/>
        <v>0</v>
      </c>
      <c r="Y1572" s="55">
        <f t="shared" si="342"/>
        <v>31390.199999999997</v>
      </c>
      <c r="Z1572" s="55">
        <f t="shared" si="343"/>
        <v>33244.559999999998</v>
      </c>
      <c r="AA1572" s="55">
        <f t="shared" si="344"/>
        <v>-1854.3600000000006</v>
      </c>
      <c r="AB1572" s="55">
        <f t="shared" si="345"/>
        <v>2738.8800000000047</v>
      </c>
      <c r="AC1572" s="54">
        <f t="shared" si="346"/>
        <v>7.6115012905936849E-2</v>
      </c>
      <c r="AD1572" s="56">
        <f>INDEX(Assumptions!$B$14:$B$16,MATCH($R1572,Assumptions!$A$14:$A$16,0))</f>
        <v>0.12</v>
      </c>
      <c r="AE1572" s="56">
        <f>INDEX(Assumptions!$C$14:$C$16,MATCH($R1572,Assumptions!$A$14:$A$16,0))</f>
        <v>0.08</v>
      </c>
      <c r="AF1572" s="49">
        <f t="shared" si="347"/>
        <v>1</v>
      </c>
      <c r="AG1572" s="49">
        <f t="shared" si="348"/>
        <v>1</v>
      </c>
      <c r="AH1572" s="55">
        <f t="shared" si="349"/>
        <v>1579.1327999999958</v>
      </c>
    </row>
    <row r="1573" spans="1:34" x14ac:dyDescent="0.2">
      <c r="A1573" s="48" t="s">
        <v>1306</v>
      </c>
      <c r="B1573" s="48">
        <v>2</v>
      </c>
      <c r="C1573" s="48" t="s">
        <v>1273</v>
      </c>
      <c r="D1573" s="48" t="s">
        <v>1258</v>
      </c>
      <c r="E1573" s="48" t="s">
        <v>558</v>
      </c>
      <c r="F1573" s="48" t="s">
        <v>280</v>
      </c>
      <c r="G1573" s="48" t="s">
        <v>288</v>
      </c>
      <c r="H1573" s="48" t="s">
        <v>62</v>
      </c>
      <c r="I1573" s="48" t="s">
        <v>138</v>
      </c>
      <c r="J1573" s="49">
        <v>32</v>
      </c>
      <c r="K1573" s="50">
        <v>455</v>
      </c>
      <c r="L1573" s="50">
        <v>438.2</v>
      </c>
      <c r="M1573" s="48" t="s">
        <v>276</v>
      </c>
      <c r="N1573" s="51">
        <v>1</v>
      </c>
      <c r="O1573" s="51">
        <v>1</v>
      </c>
      <c r="P1573" s="52">
        <v>358.2</v>
      </c>
      <c r="Q1573" s="52">
        <v>358.2</v>
      </c>
      <c r="R1573" s="53" t="str">
        <f>INDEX(SKU_Master!$D$5:$D$34,MATCH($I1573,SKU_Master!$A$5:$A$34,0))</f>
        <v>Monitor</v>
      </c>
      <c r="S1573" s="54">
        <f t="shared" si="336"/>
        <v>3.6923076923076947E-2</v>
      </c>
      <c r="T1573" s="55">
        <f t="shared" si="337"/>
        <v>14560</v>
      </c>
      <c r="U1573" s="55">
        <f t="shared" si="338"/>
        <v>14022.4</v>
      </c>
      <c r="V1573" s="55">
        <f t="shared" si="339"/>
        <v>-537.60000000000036</v>
      </c>
      <c r="W1573" s="55">
        <f t="shared" si="340"/>
        <v>14022.4</v>
      </c>
      <c r="X1573" s="55">
        <f t="shared" si="341"/>
        <v>0</v>
      </c>
      <c r="Y1573" s="55">
        <f t="shared" si="342"/>
        <v>11462.4</v>
      </c>
      <c r="Z1573" s="55">
        <f t="shared" si="343"/>
        <v>11462.4</v>
      </c>
      <c r="AA1573" s="55">
        <f t="shared" si="344"/>
        <v>0</v>
      </c>
      <c r="AB1573" s="55">
        <f t="shared" si="345"/>
        <v>2560</v>
      </c>
      <c r="AC1573" s="54">
        <f t="shared" si="346"/>
        <v>0.18256503879507074</v>
      </c>
      <c r="AD1573" s="56">
        <f>INDEX(Assumptions!$B$14:$B$16,MATCH($R1573,Assumptions!$A$14:$A$16,0))</f>
        <v>0.18</v>
      </c>
      <c r="AE1573" s="56">
        <f>INDEX(Assumptions!$C$14:$C$16,MATCH($R1573,Assumptions!$A$14:$A$16,0))</f>
        <v>0.12</v>
      </c>
      <c r="AF1573" s="49">
        <f t="shared" si="347"/>
        <v>0</v>
      </c>
      <c r="AG1573" s="49">
        <f t="shared" si="348"/>
        <v>0</v>
      </c>
      <c r="AH1573" s="55">
        <f t="shared" si="349"/>
        <v>0</v>
      </c>
    </row>
    <row r="1574" spans="1:34" x14ac:dyDescent="0.2">
      <c r="A1574" s="48" t="s">
        <v>1307</v>
      </c>
      <c r="B1574" s="48">
        <v>1</v>
      </c>
      <c r="C1574" s="48" t="s">
        <v>1275</v>
      </c>
      <c r="D1574" s="48" t="s">
        <v>1258</v>
      </c>
      <c r="E1574" s="48" t="s">
        <v>305</v>
      </c>
      <c r="F1574" s="48" t="s">
        <v>274</v>
      </c>
      <c r="G1574" s="48" t="s">
        <v>306</v>
      </c>
      <c r="H1574" s="48" t="s">
        <v>62</v>
      </c>
      <c r="I1574" s="48" t="s">
        <v>108</v>
      </c>
      <c r="J1574" s="49">
        <v>6</v>
      </c>
      <c r="K1574" s="50">
        <v>1345</v>
      </c>
      <c r="L1574" s="50">
        <v>1330.42</v>
      </c>
      <c r="M1574" s="48" t="s">
        <v>276</v>
      </c>
      <c r="N1574" s="51">
        <v>1</v>
      </c>
      <c r="O1574" s="51">
        <v>1</v>
      </c>
      <c r="P1574" s="52">
        <v>1145</v>
      </c>
      <c r="Q1574" s="52">
        <v>1212.6199999999999</v>
      </c>
      <c r="R1574" s="53" t="str">
        <f>INDEX(SKU_Master!$D$5:$D$34,MATCH($I1574,SKU_Master!$A$5:$A$34,0))</f>
        <v>Laptop</v>
      </c>
      <c r="S1574" s="54">
        <f t="shared" si="336"/>
        <v>1.0840148698884722E-2</v>
      </c>
      <c r="T1574" s="55">
        <f t="shared" si="337"/>
        <v>8070</v>
      </c>
      <c r="U1574" s="55">
        <f t="shared" si="338"/>
        <v>7982.52</v>
      </c>
      <c r="V1574" s="55">
        <f t="shared" si="339"/>
        <v>-87.479999999999563</v>
      </c>
      <c r="W1574" s="55">
        <f t="shared" si="340"/>
        <v>7982.52</v>
      </c>
      <c r="X1574" s="55">
        <f t="shared" si="341"/>
        <v>0</v>
      </c>
      <c r="Y1574" s="55">
        <f t="shared" si="342"/>
        <v>6870</v>
      </c>
      <c r="Z1574" s="55">
        <f t="shared" si="343"/>
        <v>7275.7199999999993</v>
      </c>
      <c r="AA1574" s="55">
        <f t="shared" si="344"/>
        <v>-405.71999999999935</v>
      </c>
      <c r="AB1574" s="55">
        <f t="shared" si="345"/>
        <v>706.80000000000109</v>
      </c>
      <c r="AC1574" s="54">
        <f t="shared" si="346"/>
        <v>8.8543467476436141E-2</v>
      </c>
      <c r="AD1574" s="56">
        <f>INDEX(Assumptions!$B$14:$B$16,MATCH($R1574,Assumptions!$A$14:$A$16,0))</f>
        <v>0.12</v>
      </c>
      <c r="AE1574" s="56">
        <f>INDEX(Assumptions!$C$14:$C$16,MATCH($R1574,Assumptions!$A$14:$A$16,0))</f>
        <v>0.08</v>
      </c>
      <c r="AF1574" s="49">
        <f t="shared" si="347"/>
        <v>0</v>
      </c>
      <c r="AG1574" s="49">
        <f t="shared" si="348"/>
        <v>0</v>
      </c>
      <c r="AH1574" s="55">
        <f t="shared" si="349"/>
        <v>251.10239999999897</v>
      </c>
    </row>
    <row r="1575" spans="1:34" x14ac:dyDescent="0.2">
      <c r="A1575" s="48" t="s">
        <v>1307</v>
      </c>
      <c r="B1575" s="48">
        <v>2</v>
      </c>
      <c r="C1575" s="48" t="s">
        <v>1275</v>
      </c>
      <c r="D1575" s="48" t="s">
        <v>1258</v>
      </c>
      <c r="E1575" s="48" t="s">
        <v>305</v>
      </c>
      <c r="F1575" s="48" t="s">
        <v>274</v>
      </c>
      <c r="G1575" s="48" t="s">
        <v>306</v>
      </c>
      <c r="H1575" s="48" t="s">
        <v>62</v>
      </c>
      <c r="I1575" s="48" t="s">
        <v>135</v>
      </c>
      <c r="J1575" s="49">
        <v>7</v>
      </c>
      <c r="K1575" s="50">
        <v>240</v>
      </c>
      <c r="L1575" s="50">
        <v>237.24</v>
      </c>
      <c r="M1575" s="48" t="s">
        <v>276</v>
      </c>
      <c r="N1575" s="51">
        <v>1</v>
      </c>
      <c r="O1575" s="51">
        <v>1</v>
      </c>
      <c r="P1575" s="52">
        <v>186.7</v>
      </c>
      <c r="Q1575" s="52">
        <v>186.7</v>
      </c>
      <c r="R1575" s="53" t="str">
        <f>INDEX(SKU_Master!$D$5:$D$34,MATCH($I1575,SKU_Master!$A$5:$A$34,0))</f>
        <v>Monitor</v>
      </c>
      <c r="S1575" s="54">
        <f t="shared" si="336"/>
        <v>1.1499999999999955E-2</v>
      </c>
      <c r="T1575" s="55">
        <f t="shared" si="337"/>
        <v>1680</v>
      </c>
      <c r="U1575" s="55">
        <f t="shared" si="338"/>
        <v>1660.68</v>
      </c>
      <c r="V1575" s="55">
        <f t="shared" si="339"/>
        <v>-19.319999999999936</v>
      </c>
      <c r="W1575" s="55">
        <f t="shared" si="340"/>
        <v>1660.68</v>
      </c>
      <c r="X1575" s="55">
        <f t="shared" si="341"/>
        <v>0</v>
      </c>
      <c r="Y1575" s="55">
        <f t="shared" si="342"/>
        <v>1306.8999999999999</v>
      </c>
      <c r="Z1575" s="55">
        <f t="shared" si="343"/>
        <v>1306.8999999999999</v>
      </c>
      <c r="AA1575" s="55">
        <f t="shared" si="344"/>
        <v>0</v>
      </c>
      <c r="AB1575" s="55">
        <f t="shared" si="345"/>
        <v>353.7800000000002</v>
      </c>
      <c r="AC1575" s="54">
        <f t="shared" si="346"/>
        <v>0.21303321530939145</v>
      </c>
      <c r="AD1575" s="56">
        <f>INDEX(Assumptions!$B$14:$B$16,MATCH($R1575,Assumptions!$A$14:$A$16,0))</f>
        <v>0.18</v>
      </c>
      <c r="AE1575" s="56">
        <f>INDEX(Assumptions!$C$14:$C$16,MATCH($R1575,Assumptions!$A$14:$A$16,0))</f>
        <v>0.12</v>
      </c>
      <c r="AF1575" s="49">
        <f t="shared" si="347"/>
        <v>0</v>
      </c>
      <c r="AG1575" s="49">
        <f t="shared" si="348"/>
        <v>0</v>
      </c>
      <c r="AH1575" s="55">
        <f t="shared" si="349"/>
        <v>0</v>
      </c>
    </row>
    <row r="1576" spans="1:34" x14ac:dyDescent="0.2">
      <c r="A1576" s="48" t="s">
        <v>1307</v>
      </c>
      <c r="B1576" s="48">
        <v>3</v>
      </c>
      <c r="C1576" s="48" t="s">
        <v>1275</v>
      </c>
      <c r="D1576" s="48" t="s">
        <v>1258</v>
      </c>
      <c r="E1576" s="48" t="s">
        <v>305</v>
      </c>
      <c r="F1576" s="48" t="s">
        <v>274</v>
      </c>
      <c r="G1576" s="48" t="s">
        <v>306</v>
      </c>
      <c r="H1576" s="48" t="s">
        <v>62</v>
      </c>
      <c r="I1576" s="48" t="s">
        <v>164</v>
      </c>
      <c r="J1576" s="49">
        <v>3</v>
      </c>
      <c r="K1576" s="50">
        <v>190</v>
      </c>
      <c r="L1576" s="50">
        <v>187.09</v>
      </c>
      <c r="M1576" s="48" t="s">
        <v>276</v>
      </c>
      <c r="N1576" s="51">
        <v>1</v>
      </c>
      <c r="O1576" s="51">
        <v>1</v>
      </c>
      <c r="P1576" s="52">
        <v>121</v>
      </c>
      <c r="Q1576" s="52">
        <v>121</v>
      </c>
      <c r="R1576" s="53" t="str">
        <f>INDEX(SKU_Master!$D$5:$D$34,MATCH($I1576,SKU_Master!$A$5:$A$34,0))</f>
        <v>Accessory</v>
      </c>
      <c r="S1576" s="54">
        <f t="shared" si="336"/>
        <v>1.5315789473684172E-2</v>
      </c>
      <c r="T1576" s="55">
        <f t="shared" si="337"/>
        <v>570</v>
      </c>
      <c r="U1576" s="55">
        <f t="shared" si="338"/>
        <v>561.27</v>
      </c>
      <c r="V1576" s="55">
        <f t="shared" si="339"/>
        <v>-8.7300000000000182</v>
      </c>
      <c r="W1576" s="55">
        <f t="shared" si="340"/>
        <v>561.27</v>
      </c>
      <c r="X1576" s="55">
        <f t="shared" si="341"/>
        <v>0</v>
      </c>
      <c r="Y1576" s="55">
        <f t="shared" si="342"/>
        <v>363</v>
      </c>
      <c r="Z1576" s="55">
        <f t="shared" si="343"/>
        <v>363</v>
      </c>
      <c r="AA1576" s="55">
        <f t="shared" si="344"/>
        <v>0</v>
      </c>
      <c r="AB1576" s="55">
        <f t="shared" si="345"/>
        <v>198.26999999999998</v>
      </c>
      <c r="AC1576" s="54">
        <f t="shared" si="346"/>
        <v>0.35325244534715911</v>
      </c>
      <c r="AD1576" s="56">
        <f>INDEX(Assumptions!$B$14:$B$16,MATCH($R1576,Assumptions!$A$14:$A$16,0))</f>
        <v>0.32</v>
      </c>
      <c r="AE1576" s="56">
        <f>INDEX(Assumptions!$C$14:$C$16,MATCH($R1576,Assumptions!$A$14:$A$16,0))</f>
        <v>0.22</v>
      </c>
      <c r="AF1576" s="49">
        <f t="shared" si="347"/>
        <v>0</v>
      </c>
      <c r="AG1576" s="49">
        <f t="shared" si="348"/>
        <v>0</v>
      </c>
      <c r="AH1576" s="55">
        <f t="shared" si="349"/>
        <v>0</v>
      </c>
    </row>
    <row r="1577" spans="1:34" x14ac:dyDescent="0.2">
      <c r="A1577" s="48" t="s">
        <v>1308</v>
      </c>
      <c r="B1577" s="48">
        <v>1</v>
      </c>
      <c r="C1577" s="48" t="s">
        <v>1262</v>
      </c>
      <c r="D1577" s="48" t="s">
        <v>1258</v>
      </c>
      <c r="E1577" s="48" t="s">
        <v>333</v>
      </c>
      <c r="F1577" s="48" t="s">
        <v>297</v>
      </c>
      <c r="G1577" s="48" t="s">
        <v>302</v>
      </c>
      <c r="H1577" s="48" t="s">
        <v>70</v>
      </c>
      <c r="I1577" s="48" t="s">
        <v>115</v>
      </c>
      <c r="J1577" s="49">
        <v>55</v>
      </c>
      <c r="K1577" s="50">
        <v>83560</v>
      </c>
      <c r="L1577" s="50">
        <v>81458.28</v>
      </c>
      <c r="M1577" s="48" t="s">
        <v>276</v>
      </c>
      <c r="N1577" s="51">
        <v>83.5</v>
      </c>
      <c r="O1577" s="51">
        <v>84.612200000000001</v>
      </c>
      <c r="P1577" s="52">
        <v>838.22</v>
      </c>
      <c r="Q1577" s="52">
        <v>858.22</v>
      </c>
      <c r="R1577" s="53" t="str">
        <f>INDEX(SKU_Master!$D$5:$D$34,MATCH($I1577,SKU_Master!$A$5:$A$34,0))</f>
        <v>Laptop</v>
      </c>
      <c r="S1577" s="54">
        <f t="shared" si="336"/>
        <v>2.515222594542843E-2</v>
      </c>
      <c r="T1577" s="55">
        <f t="shared" si="337"/>
        <v>55039.520958083835</v>
      </c>
      <c r="U1577" s="55">
        <f t="shared" si="338"/>
        <v>53655.154491017965</v>
      </c>
      <c r="V1577" s="55">
        <f t="shared" si="339"/>
        <v>-1384.3664670658691</v>
      </c>
      <c r="W1577" s="55">
        <f t="shared" si="340"/>
        <v>52949.874840744007</v>
      </c>
      <c r="X1577" s="55">
        <f t="shared" si="341"/>
        <v>-705.2796502739584</v>
      </c>
      <c r="Y1577" s="55">
        <f t="shared" si="342"/>
        <v>46102.1</v>
      </c>
      <c r="Z1577" s="55">
        <f t="shared" si="343"/>
        <v>47202.1</v>
      </c>
      <c r="AA1577" s="55">
        <f t="shared" si="344"/>
        <v>-1100</v>
      </c>
      <c r="AB1577" s="55">
        <f t="shared" si="345"/>
        <v>5747.7748407440085</v>
      </c>
      <c r="AC1577" s="54">
        <f t="shared" si="346"/>
        <v>0.10855124507907611</v>
      </c>
      <c r="AD1577" s="56">
        <f>INDEX(Assumptions!$B$14:$B$16,MATCH($R1577,Assumptions!$A$14:$A$16,0))</f>
        <v>0.12</v>
      </c>
      <c r="AE1577" s="56">
        <f>INDEX(Assumptions!$C$14:$C$16,MATCH($R1577,Assumptions!$A$14:$A$16,0))</f>
        <v>0.08</v>
      </c>
      <c r="AF1577" s="49">
        <f t="shared" si="347"/>
        <v>0</v>
      </c>
      <c r="AG1577" s="49">
        <f t="shared" si="348"/>
        <v>0</v>
      </c>
      <c r="AH1577" s="55">
        <f t="shared" si="349"/>
        <v>606.21014014527191</v>
      </c>
    </row>
    <row r="1578" spans="1:34" x14ac:dyDescent="0.2">
      <c r="A1578" s="48" t="s">
        <v>1308</v>
      </c>
      <c r="B1578" s="48">
        <v>2</v>
      </c>
      <c r="C1578" s="48" t="s">
        <v>1262</v>
      </c>
      <c r="D1578" s="48" t="s">
        <v>1258</v>
      </c>
      <c r="E1578" s="48" t="s">
        <v>333</v>
      </c>
      <c r="F1578" s="48" t="s">
        <v>297</v>
      </c>
      <c r="G1578" s="48" t="s">
        <v>302</v>
      </c>
      <c r="H1578" s="48" t="s">
        <v>70</v>
      </c>
      <c r="I1578" s="48" t="s">
        <v>138</v>
      </c>
      <c r="J1578" s="49">
        <v>26</v>
      </c>
      <c r="K1578" s="50">
        <v>47515</v>
      </c>
      <c r="L1578" s="50">
        <v>45085.89</v>
      </c>
      <c r="M1578" s="48" t="s">
        <v>276</v>
      </c>
      <c r="N1578" s="51">
        <v>83.5</v>
      </c>
      <c r="O1578" s="51">
        <v>84.612200000000001</v>
      </c>
      <c r="P1578" s="52">
        <v>439.85</v>
      </c>
      <c r="Q1578" s="52">
        <v>459.85</v>
      </c>
      <c r="R1578" s="53" t="str">
        <f>INDEX(SKU_Master!$D$5:$D$34,MATCH($I1578,SKU_Master!$A$5:$A$34,0))</f>
        <v>Monitor</v>
      </c>
      <c r="S1578" s="54">
        <f t="shared" si="336"/>
        <v>5.1123013785120519E-2</v>
      </c>
      <c r="T1578" s="55">
        <f t="shared" si="337"/>
        <v>14795.089820359281</v>
      </c>
      <c r="U1578" s="55">
        <f t="shared" si="338"/>
        <v>14038.720239520957</v>
      </c>
      <c r="V1578" s="55">
        <f t="shared" si="339"/>
        <v>-756.3695808383236</v>
      </c>
      <c r="W1578" s="55">
        <f t="shared" si="340"/>
        <v>13854.185802992948</v>
      </c>
      <c r="X1578" s="55">
        <f t="shared" si="341"/>
        <v>-184.53443652800888</v>
      </c>
      <c r="Y1578" s="55">
        <f t="shared" si="342"/>
        <v>11436.1</v>
      </c>
      <c r="Z1578" s="55">
        <f t="shared" si="343"/>
        <v>11956.1</v>
      </c>
      <c r="AA1578" s="55">
        <f t="shared" si="344"/>
        <v>-520</v>
      </c>
      <c r="AB1578" s="55">
        <f t="shared" si="345"/>
        <v>1898.0858029929477</v>
      </c>
      <c r="AC1578" s="54">
        <f t="shared" si="346"/>
        <v>0.13700450029931752</v>
      </c>
      <c r="AD1578" s="56">
        <f>INDEX(Assumptions!$B$14:$B$16,MATCH($R1578,Assumptions!$A$14:$A$16,0))</f>
        <v>0.18</v>
      </c>
      <c r="AE1578" s="56">
        <f>INDEX(Assumptions!$C$14:$C$16,MATCH($R1578,Assumptions!$A$14:$A$16,0))</f>
        <v>0.12</v>
      </c>
      <c r="AF1578" s="49">
        <f t="shared" si="347"/>
        <v>0</v>
      </c>
      <c r="AG1578" s="49">
        <f t="shared" si="348"/>
        <v>0</v>
      </c>
      <c r="AH1578" s="55">
        <f t="shared" si="349"/>
        <v>595.66764154578277</v>
      </c>
    </row>
    <row r="1579" spans="1:34" x14ac:dyDescent="0.2">
      <c r="A1579" s="48" t="s">
        <v>1308</v>
      </c>
      <c r="B1579" s="48">
        <v>3</v>
      </c>
      <c r="C1579" s="48" t="s">
        <v>1262</v>
      </c>
      <c r="D1579" s="48" t="s">
        <v>1258</v>
      </c>
      <c r="E1579" s="48" t="s">
        <v>333</v>
      </c>
      <c r="F1579" s="48" t="s">
        <v>297</v>
      </c>
      <c r="G1579" s="48" t="s">
        <v>302</v>
      </c>
      <c r="H1579" s="48" t="s">
        <v>70</v>
      </c>
      <c r="I1579" s="48" t="s">
        <v>161</v>
      </c>
      <c r="J1579" s="49">
        <v>54</v>
      </c>
      <c r="K1579" s="50">
        <v>12195</v>
      </c>
      <c r="L1579" s="50">
        <v>11894.17</v>
      </c>
      <c r="M1579" s="48" t="s">
        <v>276</v>
      </c>
      <c r="N1579" s="51">
        <v>83.5</v>
      </c>
      <c r="O1579" s="51">
        <v>84.612200000000001</v>
      </c>
      <c r="P1579" s="52">
        <v>92.7</v>
      </c>
      <c r="Q1579" s="52">
        <v>97.7</v>
      </c>
      <c r="R1579" s="53" t="str">
        <f>INDEX(SKU_Master!$D$5:$D$34,MATCH($I1579,SKU_Master!$A$5:$A$34,0))</f>
        <v>Accessory</v>
      </c>
      <c r="S1579" s="54">
        <f t="shared" si="336"/>
        <v>2.4668306683066854E-2</v>
      </c>
      <c r="T1579" s="55">
        <f t="shared" si="337"/>
        <v>7886.5868263473058</v>
      </c>
      <c r="U1579" s="55">
        <f t="shared" si="338"/>
        <v>7692.0380838323363</v>
      </c>
      <c r="V1579" s="55">
        <f t="shared" si="339"/>
        <v>-194.54874251496949</v>
      </c>
      <c r="W1579" s="55">
        <f t="shared" si="340"/>
        <v>7590.9287313177065</v>
      </c>
      <c r="X1579" s="55">
        <f t="shared" si="341"/>
        <v>-101.10935251462979</v>
      </c>
      <c r="Y1579" s="55">
        <f t="shared" si="342"/>
        <v>5005.8</v>
      </c>
      <c r="Z1579" s="55">
        <f t="shared" si="343"/>
        <v>5275.8</v>
      </c>
      <c r="AA1579" s="55">
        <f t="shared" si="344"/>
        <v>-270</v>
      </c>
      <c r="AB1579" s="55">
        <f t="shared" si="345"/>
        <v>2315.1287313177063</v>
      </c>
      <c r="AC1579" s="54">
        <f t="shared" si="346"/>
        <v>0.30498622938801112</v>
      </c>
      <c r="AD1579" s="56">
        <f>INDEX(Assumptions!$B$14:$B$16,MATCH($R1579,Assumptions!$A$14:$A$16,0))</f>
        <v>0.32</v>
      </c>
      <c r="AE1579" s="56">
        <f>INDEX(Assumptions!$C$14:$C$16,MATCH($R1579,Assumptions!$A$14:$A$16,0))</f>
        <v>0.22</v>
      </c>
      <c r="AF1579" s="49">
        <f t="shared" si="347"/>
        <v>0</v>
      </c>
      <c r="AG1579" s="49">
        <f t="shared" si="348"/>
        <v>0</v>
      </c>
      <c r="AH1579" s="55">
        <f t="shared" si="349"/>
        <v>113.96846270395963</v>
      </c>
    </row>
    <row r="1580" spans="1:34" x14ac:dyDescent="0.2">
      <c r="A1580" s="48" t="s">
        <v>1309</v>
      </c>
      <c r="B1580" s="48">
        <v>1</v>
      </c>
      <c r="C1580" s="48" t="s">
        <v>1310</v>
      </c>
      <c r="D1580" s="48" t="s">
        <v>1258</v>
      </c>
      <c r="E1580" s="48" t="s">
        <v>287</v>
      </c>
      <c r="F1580" s="48" t="s">
        <v>274</v>
      </c>
      <c r="G1580" s="48" t="s">
        <v>288</v>
      </c>
      <c r="H1580" s="48" t="s">
        <v>62</v>
      </c>
      <c r="I1580" s="48" t="s">
        <v>115</v>
      </c>
      <c r="J1580" s="49">
        <v>3</v>
      </c>
      <c r="K1580" s="50">
        <v>850</v>
      </c>
      <c r="L1580" s="50">
        <v>838.99</v>
      </c>
      <c r="M1580" s="48" t="s">
        <v>276</v>
      </c>
      <c r="N1580" s="51">
        <v>1</v>
      </c>
      <c r="O1580" s="51">
        <v>1</v>
      </c>
      <c r="P1580" s="52">
        <v>723.6</v>
      </c>
      <c r="Q1580" s="52">
        <v>723.6</v>
      </c>
      <c r="R1580" s="53" t="str">
        <f>INDEX(SKU_Master!$D$5:$D$34,MATCH($I1580,SKU_Master!$A$5:$A$34,0))</f>
        <v>Laptop</v>
      </c>
      <c r="S1580" s="54">
        <f t="shared" si="336"/>
        <v>1.2952941176470611E-2</v>
      </c>
      <c r="T1580" s="55">
        <f t="shared" si="337"/>
        <v>2550</v>
      </c>
      <c r="U1580" s="55">
        <f t="shared" si="338"/>
        <v>2516.9700000000003</v>
      </c>
      <c r="V1580" s="55">
        <f t="shared" si="339"/>
        <v>-33.029999999999745</v>
      </c>
      <c r="W1580" s="55">
        <f t="shared" si="340"/>
        <v>2516.9700000000003</v>
      </c>
      <c r="X1580" s="55">
        <f t="shared" si="341"/>
        <v>0</v>
      </c>
      <c r="Y1580" s="55">
        <f t="shared" si="342"/>
        <v>2170.8000000000002</v>
      </c>
      <c r="Z1580" s="55">
        <f t="shared" si="343"/>
        <v>2170.8000000000002</v>
      </c>
      <c r="AA1580" s="55">
        <f t="shared" si="344"/>
        <v>0</v>
      </c>
      <c r="AB1580" s="55">
        <f t="shared" si="345"/>
        <v>346.17000000000007</v>
      </c>
      <c r="AC1580" s="54">
        <f t="shared" si="346"/>
        <v>0.13753441638160172</v>
      </c>
      <c r="AD1580" s="56">
        <f>INDEX(Assumptions!$B$14:$B$16,MATCH($R1580,Assumptions!$A$14:$A$16,0))</f>
        <v>0.12</v>
      </c>
      <c r="AE1580" s="56">
        <f>INDEX(Assumptions!$C$14:$C$16,MATCH($R1580,Assumptions!$A$14:$A$16,0))</f>
        <v>0.08</v>
      </c>
      <c r="AF1580" s="49">
        <f t="shared" si="347"/>
        <v>0</v>
      </c>
      <c r="AG1580" s="49">
        <f t="shared" si="348"/>
        <v>0</v>
      </c>
      <c r="AH1580" s="55">
        <f t="shared" si="349"/>
        <v>0</v>
      </c>
    </row>
    <row r="1581" spans="1:34" x14ac:dyDescent="0.2">
      <c r="A1581" s="48" t="s">
        <v>1311</v>
      </c>
      <c r="B1581" s="48">
        <v>1</v>
      </c>
      <c r="C1581" s="48" t="s">
        <v>1262</v>
      </c>
      <c r="D1581" s="48" t="s">
        <v>1258</v>
      </c>
      <c r="E1581" s="48" t="s">
        <v>296</v>
      </c>
      <c r="F1581" s="48" t="s">
        <v>297</v>
      </c>
      <c r="G1581" s="48" t="s">
        <v>298</v>
      </c>
      <c r="H1581" s="48" t="s">
        <v>66</v>
      </c>
      <c r="I1581" s="48" t="s">
        <v>93</v>
      </c>
      <c r="J1581" s="49">
        <v>42</v>
      </c>
      <c r="K1581" s="50">
        <v>1325</v>
      </c>
      <c r="L1581" s="50">
        <v>1286.6500000000001</v>
      </c>
      <c r="M1581" s="48" t="s">
        <v>276</v>
      </c>
      <c r="N1581" s="51">
        <v>0.92</v>
      </c>
      <c r="O1581" s="51">
        <v>0.9335</v>
      </c>
      <c r="P1581" s="52">
        <v>1206.2</v>
      </c>
      <c r="Q1581" s="52">
        <v>1206.2</v>
      </c>
      <c r="R1581" s="53" t="str">
        <f>INDEX(SKU_Master!$D$5:$D$34,MATCH($I1581,SKU_Master!$A$5:$A$34,0))</f>
        <v>Laptop</v>
      </c>
      <c r="S1581" s="54">
        <f t="shared" si="336"/>
        <v>2.8943396226415063E-2</v>
      </c>
      <c r="T1581" s="55">
        <f t="shared" si="337"/>
        <v>60489.130434782608</v>
      </c>
      <c r="U1581" s="55">
        <f t="shared" si="338"/>
        <v>58738.369565217392</v>
      </c>
      <c r="V1581" s="55">
        <f t="shared" si="339"/>
        <v>-1750.7608695652161</v>
      </c>
      <c r="W1581" s="55">
        <f t="shared" si="340"/>
        <v>57888.912694161758</v>
      </c>
      <c r="X1581" s="55">
        <f t="shared" si="341"/>
        <v>-849.45687105563411</v>
      </c>
      <c r="Y1581" s="55">
        <f t="shared" si="342"/>
        <v>50660.4</v>
      </c>
      <c r="Z1581" s="55">
        <f t="shared" si="343"/>
        <v>50660.4</v>
      </c>
      <c r="AA1581" s="55">
        <f t="shared" si="344"/>
        <v>0</v>
      </c>
      <c r="AB1581" s="55">
        <f t="shared" si="345"/>
        <v>7228.5126941617564</v>
      </c>
      <c r="AC1581" s="54">
        <f t="shared" si="346"/>
        <v>0.12486869000893792</v>
      </c>
      <c r="AD1581" s="56">
        <f>INDEX(Assumptions!$B$14:$B$16,MATCH($R1581,Assumptions!$A$14:$A$16,0))</f>
        <v>0.12</v>
      </c>
      <c r="AE1581" s="56">
        <f>INDEX(Assumptions!$C$14:$C$16,MATCH($R1581,Assumptions!$A$14:$A$16,0))</f>
        <v>0.08</v>
      </c>
      <c r="AF1581" s="49">
        <f t="shared" si="347"/>
        <v>0</v>
      </c>
      <c r="AG1581" s="49">
        <f t="shared" si="348"/>
        <v>0</v>
      </c>
      <c r="AH1581" s="55">
        <f t="shared" si="349"/>
        <v>0</v>
      </c>
    </row>
    <row r="1582" spans="1:34" x14ac:dyDescent="0.2">
      <c r="A1582" s="48" t="s">
        <v>1311</v>
      </c>
      <c r="B1582" s="48">
        <v>2</v>
      </c>
      <c r="C1582" s="48" t="s">
        <v>1262</v>
      </c>
      <c r="D1582" s="48" t="s">
        <v>1258</v>
      </c>
      <c r="E1582" s="48" t="s">
        <v>296</v>
      </c>
      <c r="F1582" s="48" t="s">
        <v>297</v>
      </c>
      <c r="G1582" s="48" t="s">
        <v>298</v>
      </c>
      <c r="H1582" s="48" t="s">
        <v>66</v>
      </c>
      <c r="I1582" s="48" t="s">
        <v>135</v>
      </c>
      <c r="J1582" s="49">
        <v>47</v>
      </c>
      <c r="K1582" s="50">
        <v>255</v>
      </c>
      <c r="L1582" s="50">
        <v>244.29</v>
      </c>
      <c r="M1582" s="48" t="s">
        <v>276</v>
      </c>
      <c r="N1582" s="51">
        <v>0.92</v>
      </c>
      <c r="O1582" s="51">
        <v>0.9335</v>
      </c>
      <c r="P1582" s="52">
        <v>211.7</v>
      </c>
      <c r="Q1582" s="52">
        <v>211.7</v>
      </c>
      <c r="R1582" s="53" t="str">
        <f>INDEX(SKU_Master!$D$5:$D$34,MATCH($I1582,SKU_Master!$A$5:$A$34,0))</f>
        <v>Monitor</v>
      </c>
      <c r="S1582" s="54">
        <f t="shared" si="336"/>
        <v>4.2000000000000037E-2</v>
      </c>
      <c r="T1582" s="55">
        <f t="shared" si="337"/>
        <v>13027.173913043478</v>
      </c>
      <c r="U1582" s="55">
        <f t="shared" si="338"/>
        <v>12480.03260869565</v>
      </c>
      <c r="V1582" s="55">
        <f t="shared" si="339"/>
        <v>-547.14130434782783</v>
      </c>
      <c r="W1582" s="55">
        <f t="shared" si="340"/>
        <v>12299.550080342795</v>
      </c>
      <c r="X1582" s="55">
        <f t="shared" si="341"/>
        <v>-180.4825283528553</v>
      </c>
      <c r="Y1582" s="55">
        <f t="shared" si="342"/>
        <v>9949.9</v>
      </c>
      <c r="Z1582" s="55">
        <f t="shared" si="343"/>
        <v>9949.9</v>
      </c>
      <c r="AA1582" s="55">
        <f t="shared" si="344"/>
        <v>0</v>
      </c>
      <c r="AB1582" s="55">
        <f t="shared" si="345"/>
        <v>2349.6500803427953</v>
      </c>
      <c r="AC1582" s="54">
        <f t="shared" si="346"/>
        <v>0.19103544967047359</v>
      </c>
      <c r="AD1582" s="56">
        <f>INDEX(Assumptions!$B$14:$B$16,MATCH($R1582,Assumptions!$A$14:$A$16,0))</f>
        <v>0.18</v>
      </c>
      <c r="AE1582" s="56">
        <f>INDEX(Assumptions!$C$14:$C$16,MATCH($R1582,Assumptions!$A$14:$A$16,0))</f>
        <v>0.12</v>
      </c>
      <c r="AF1582" s="49">
        <f t="shared" si="347"/>
        <v>0</v>
      </c>
      <c r="AG1582" s="49">
        <f t="shared" si="348"/>
        <v>0</v>
      </c>
      <c r="AH1582" s="55">
        <f t="shared" si="349"/>
        <v>0</v>
      </c>
    </row>
    <row r="1583" spans="1:34" x14ac:dyDescent="0.2">
      <c r="A1583" s="48" t="s">
        <v>1311</v>
      </c>
      <c r="B1583" s="48">
        <v>3</v>
      </c>
      <c r="C1583" s="48" t="s">
        <v>1262</v>
      </c>
      <c r="D1583" s="48" t="s">
        <v>1258</v>
      </c>
      <c r="E1583" s="48" t="s">
        <v>296</v>
      </c>
      <c r="F1583" s="48" t="s">
        <v>297</v>
      </c>
      <c r="G1583" s="48" t="s">
        <v>298</v>
      </c>
      <c r="H1583" s="48" t="s">
        <v>66</v>
      </c>
      <c r="I1583" s="48" t="s">
        <v>173</v>
      </c>
      <c r="J1583" s="49">
        <v>40</v>
      </c>
      <c r="K1583" s="50">
        <v>60</v>
      </c>
      <c r="L1583" s="50">
        <v>58.57</v>
      </c>
      <c r="M1583" s="48" t="s">
        <v>276</v>
      </c>
      <c r="N1583" s="51">
        <v>0.92</v>
      </c>
      <c r="O1583" s="51">
        <v>0.9335</v>
      </c>
      <c r="P1583" s="52">
        <v>39</v>
      </c>
      <c r="Q1583" s="52">
        <v>39</v>
      </c>
      <c r="R1583" s="53" t="str">
        <f>INDEX(SKU_Master!$D$5:$D$34,MATCH($I1583,SKU_Master!$A$5:$A$34,0))</f>
        <v>Accessory</v>
      </c>
      <c r="S1583" s="54">
        <f t="shared" si="336"/>
        <v>2.3833333333333373E-2</v>
      </c>
      <c r="T1583" s="55">
        <f t="shared" si="337"/>
        <v>2608.695652173913</v>
      </c>
      <c r="U1583" s="55">
        <f t="shared" si="338"/>
        <v>2546.521739130435</v>
      </c>
      <c r="V1583" s="55">
        <f t="shared" si="339"/>
        <v>-62.173913043478024</v>
      </c>
      <c r="W1583" s="55">
        <f t="shared" si="340"/>
        <v>2509.6946973754689</v>
      </c>
      <c r="X1583" s="55">
        <f t="shared" si="341"/>
        <v>-36.827041754966103</v>
      </c>
      <c r="Y1583" s="55">
        <f t="shared" si="342"/>
        <v>1560</v>
      </c>
      <c r="Z1583" s="55">
        <f t="shared" si="343"/>
        <v>1560</v>
      </c>
      <c r="AA1583" s="55">
        <f t="shared" si="344"/>
        <v>0</v>
      </c>
      <c r="AB1583" s="55">
        <f t="shared" si="345"/>
        <v>949.69469737546888</v>
      </c>
      <c r="AC1583" s="54">
        <f t="shared" si="346"/>
        <v>0.37841044903534238</v>
      </c>
      <c r="AD1583" s="56">
        <f>INDEX(Assumptions!$B$14:$B$16,MATCH($R1583,Assumptions!$A$14:$A$16,0))</f>
        <v>0.32</v>
      </c>
      <c r="AE1583" s="56">
        <f>INDEX(Assumptions!$C$14:$C$16,MATCH($R1583,Assumptions!$A$14:$A$16,0))</f>
        <v>0.22</v>
      </c>
      <c r="AF1583" s="49">
        <f t="shared" si="347"/>
        <v>0</v>
      </c>
      <c r="AG1583" s="49">
        <f t="shared" si="348"/>
        <v>0</v>
      </c>
      <c r="AH1583" s="55">
        <f t="shared" si="349"/>
        <v>0</v>
      </c>
    </row>
    <row r="1584" spans="1:34" x14ac:dyDescent="0.2">
      <c r="A1584" s="48" t="s">
        <v>1312</v>
      </c>
      <c r="B1584" s="48">
        <v>1</v>
      </c>
      <c r="C1584" s="48" t="s">
        <v>1262</v>
      </c>
      <c r="D1584" s="48" t="s">
        <v>1258</v>
      </c>
      <c r="E1584" s="48" t="s">
        <v>417</v>
      </c>
      <c r="F1584" s="48" t="s">
        <v>280</v>
      </c>
      <c r="G1584" s="48" t="s">
        <v>298</v>
      </c>
      <c r="H1584" s="48" t="s">
        <v>62</v>
      </c>
      <c r="I1584" s="48" t="s">
        <v>103</v>
      </c>
      <c r="J1584" s="49">
        <v>6</v>
      </c>
      <c r="K1584" s="50">
        <v>1135</v>
      </c>
      <c r="L1584" s="50">
        <v>1104.8699999999999</v>
      </c>
      <c r="M1584" s="48" t="s">
        <v>276</v>
      </c>
      <c r="N1584" s="51">
        <v>1</v>
      </c>
      <c r="O1584" s="51">
        <v>1</v>
      </c>
      <c r="P1584" s="52">
        <v>968.6</v>
      </c>
      <c r="Q1584" s="52">
        <v>968.6</v>
      </c>
      <c r="R1584" s="53" t="str">
        <f>INDEX(SKU_Master!$D$5:$D$34,MATCH($I1584,SKU_Master!$A$5:$A$34,0))</f>
        <v>Laptop</v>
      </c>
      <c r="S1584" s="54">
        <f t="shared" si="336"/>
        <v>2.6546255506608052E-2</v>
      </c>
      <c r="T1584" s="55">
        <f t="shared" si="337"/>
        <v>6810</v>
      </c>
      <c r="U1584" s="55">
        <f t="shared" si="338"/>
        <v>6629.2199999999993</v>
      </c>
      <c r="V1584" s="55">
        <f t="shared" si="339"/>
        <v>-180.78000000000065</v>
      </c>
      <c r="W1584" s="55">
        <f t="shared" si="340"/>
        <v>6629.2199999999993</v>
      </c>
      <c r="X1584" s="55">
        <f t="shared" si="341"/>
        <v>0</v>
      </c>
      <c r="Y1584" s="55">
        <f t="shared" si="342"/>
        <v>5811.6</v>
      </c>
      <c r="Z1584" s="55">
        <f t="shared" si="343"/>
        <v>5811.6</v>
      </c>
      <c r="AA1584" s="55">
        <f t="shared" si="344"/>
        <v>0</v>
      </c>
      <c r="AB1584" s="55">
        <f t="shared" si="345"/>
        <v>817.61999999999898</v>
      </c>
      <c r="AC1584" s="54">
        <f t="shared" si="346"/>
        <v>0.12333577705974444</v>
      </c>
      <c r="AD1584" s="56">
        <f>INDEX(Assumptions!$B$14:$B$16,MATCH($R1584,Assumptions!$A$14:$A$16,0))</f>
        <v>0.12</v>
      </c>
      <c r="AE1584" s="56">
        <f>INDEX(Assumptions!$C$14:$C$16,MATCH($R1584,Assumptions!$A$14:$A$16,0))</f>
        <v>0.08</v>
      </c>
      <c r="AF1584" s="49">
        <f t="shared" si="347"/>
        <v>0</v>
      </c>
      <c r="AG1584" s="49">
        <f t="shared" si="348"/>
        <v>0</v>
      </c>
      <c r="AH1584" s="55">
        <f t="shared" si="349"/>
        <v>0</v>
      </c>
    </row>
    <row r="1585" spans="1:34" x14ac:dyDescent="0.2">
      <c r="A1585" s="48" t="s">
        <v>1312</v>
      </c>
      <c r="B1585" s="48">
        <v>2</v>
      </c>
      <c r="C1585" s="48" t="s">
        <v>1262</v>
      </c>
      <c r="D1585" s="48" t="s">
        <v>1258</v>
      </c>
      <c r="E1585" s="48" t="s">
        <v>417</v>
      </c>
      <c r="F1585" s="48" t="s">
        <v>280</v>
      </c>
      <c r="G1585" s="48" t="s">
        <v>298</v>
      </c>
      <c r="H1585" s="48" t="s">
        <v>62</v>
      </c>
      <c r="I1585" s="48" t="s">
        <v>161</v>
      </c>
      <c r="J1585" s="49">
        <v>3</v>
      </c>
      <c r="K1585" s="50">
        <v>120</v>
      </c>
      <c r="L1585" s="50">
        <v>117.48</v>
      </c>
      <c r="M1585" s="48" t="s">
        <v>276</v>
      </c>
      <c r="N1585" s="51">
        <v>1</v>
      </c>
      <c r="O1585" s="51">
        <v>1</v>
      </c>
      <c r="P1585" s="52">
        <v>76</v>
      </c>
      <c r="Q1585" s="52">
        <v>76</v>
      </c>
      <c r="R1585" s="53" t="str">
        <f>INDEX(SKU_Master!$D$5:$D$34,MATCH($I1585,SKU_Master!$A$5:$A$34,0))</f>
        <v>Accessory</v>
      </c>
      <c r="S1585" s="54">
        <f t="shared" si="336"/>
        <v>2.1000000000000019E-2</v>
      </c>
      <c r="T1585" s="55">
        <f t="shared" si="337"/>
        <v>360</v>
      </c>
      <c r="U1585" s="55">
        <f t="shared" si="338"/>
        <v>352.44</v>
      </c>
      <c r="V1585" s="55">
        <f t="shared" si="339"/>
        <v>-7.5600000000000023</v>
      </c>
      <c r="W1585" s="55">
        <f t="shared" si="340"/>
        <v>352.44</v>
      </c>
      <c r="X1585" s="55">
        <f t="shared" si="341"/>
        <v>0</v>
      </c>
      <c r="Y1585" s="55">
        <f t="shared" si="342"/>
        <v>228</v>
      </c>
      <c r="Z1585" s="55">
        <f t="shared" si="343"/>
        <v>228</v>
      </c>
      <c r="AA1585" s="55">
        <f t="shared" si="344"/>
        <v>0</v>
      </c>
      <c r="AB1585" s="55">
        <f t="shared" si="345"/>
        <v>124.44</v>
      </c>
      <c r="AC1585" s="54">
        <f t="shared" si="346"/>
        <v>0.35308137555328567</v>
      </c>
      <c r="AD1585" s="56">
        <f>INDEX(Assumptions!$B$14:$B$16,MATCH($R1585,Assumptions!$A$14:$A$16,0))</f>
        <v>0.32</v>
      </c>
      <c r="AE1585" s="56">
        <f>INDEX(Assumptions!$C$14:$C$16,MATCH($R1585,Assumptions!$A$14:$A$16,0))</f>
        <v>0.22</v>
      </c>
      <c r="AF1585" s="49">
        <f t="shared" si="347"/>
        <v>0</v>
      </c>
      <c r="AG1585" s="49">
        <f t="shared" si="348"/>
        <v>0</v>
      </c>
      <c r="AH1585" s="55">
        <f t="shared" si="349"/>
        <v>0</v>
      </c>
    </row>
    <row r="1586" spans="1:34" x14ac:dyDescent="0.2">
      <c r="A1586" s="48" t="s">
        <v>1313</v>
      </c>
      <c r="B1586" s="48">
        <v>1</v>
      </c>
      <c r="C1586" s="48" t="s">
        <v>1292</v>
      </c>
      <c r="D1586" s="48" t="s">
        <v>1258</v>
      </c>
      <c r="E1586" s="48" t="s">
        <v>317</v>
      </c>
      <c r="F1586" s="48" t="s">
        <v>280</v>
      </c>
      <c r="G1586" s="48" t="s">
        <v>306</v>
      </c>
      <c r="H1586" s="48" t="s">
        <v>62</v>
      </c>
      <c r="I1586" s="48" t="s">
        <v>113</v>
      </c>
      <c r="J1586" s="49">
        <v>12</v>
      </c>
      <c r="K1586" s="50">
        <v>1740</v>
      </c>
      <c r="L1586" s="50">
        <v>1673.45</v>
      </c>
      <c r="M1586" s="48" t="s">
        <v>276</v>
      </c>
      <c r="N1586" s="51">
        <v>1</v>
      </c>
      <c r="O1586" s="51">
        <v>1</v>
      </c>
      <c r="P1586" s="52">
        <v>1484.8</v>
      </c>
      <c r="Q1586" s="52">
        <v>1484.8</v>
      </c>
      <c r="R1586" s="53" t="str">
        <f>INDEX(SKU_Master!$D$5:$D$34,MATCH($I1586,SKU_Master!$A$5:$A$34,0))</f>
        <v>Laptop</v>
      </c>
      <c r="S1586" s="54">
        <f t="shared" si="336"/>
        <v>3.8247126436781631E-2</v>
      </c>
      <c r="T1586" s="55">
        <f t="shared" si="337"/>
        <v>20880</v>
      </c>
      <c r="U1586" s="55">
        <f t="shared" si="338"/>
        <v>20081.400000000001</v>
      </c>
      <c r="V1586" s="55">
        <f t="shared" si="339"/>
        <v>-798.59999999999854</v>
      </c>
      <c r="W1586" s="55">
        <f t="shared" si="340"/>
        <v>20081.400000000001</v>
      </c>
      <c r="X1586" s="55">
        <f t="shared" si="341"/>
        <v>0</v>
      </c>
      <c r="Y1586" s="55">
        <f t="shared" si="342"/>
        <v>17817.599999999999</v>
      </c>
      <c r="Z1586" s="55">
        <f t="shared" si="343"/>
        <v>17817.599999999999</v>
      </c>
      <c r="AA1586" s="55">
        <f t="shared" si="344"/>
        <v>0</v>
      </c>
      <c r="AB1586" s="55">
        <f t="shared" si="345"/>
        <v>2263.8000000000029</v>
      </c>
      <c r="AC1586" s="54">
        <f t="shared" si="346"/>
        <v>0.11273118408079132</v>
      </c>
      <c r="AD1586" s="56">
        <f>INDEX(Assumptions!$B$14:$B$16,MATCH($R1586,Assumptions!$A$14:$A$16,0))</f>
        <v>0.12</v>
      </c>
      <c r="AE1586" s="56">
        <f>INDEX(Assumptions!$C$14:$C$16,MATCH($R1586,Assumptions!$A$14:$A$16,0))</f>
        <v>0.08</v>
      </c>
      <c r="AF1586" s="49">
        <f t="shared" si="347"/>
        <v>0</v>
      </c>
      <c r="AG1586" s="49">
        <f t="shared" si="348"/>
        <v>0</v>
      </c>
      <c r="AH1586" s="55">
        <f t="shared" si="349"/>
        <v>145.96799999999712</v>
      </c>
    </row>
    <row r="1587" spans="1:34" x14ac:dyDescent="0.2">
      <c r="A1587" s="48" t="s">
        <v>1314</v>
      </c>
      <c r="B1587" s="48">
        <v>1</v>
      </c>
      <c r="C1587" s="48" t="s">
        <v>1294</v>
      </c>
      <c r="D1587" s="48" t="s">
        <v>1258</v>
      </c>
      <c r="E1587" s="48" t="s">
        <v>355</v>
      </c>
      <c r="F1587" s="48" t="s">
        <v>280</v>
      </c>
      <c r="G1587" s="48" t="s">
        <v>302</v>
      </c>
      <c r="H1587" s="48" t="s">
        <v>62</v>
      </c>
      <c r="I1587" s="48" t="s">
        <v>108</v>
      </c>
      <c r="J1587" s="49">
        <v>7</v>
      </c>
      <c r="K1587" s="50">
        <v>1345</v>
      </c>
      <c r="L1587" s="50">
        <v>1329.74</v>
      </c>
      <c r="M1587" s="48" t="s">
        <v>276</v>
      </c>
      <c r="N1587" s="51">
        <v>1</v>
      </c>
      <c r="O1587" s="51">
        <v>1</v>
      </c>
      <c r="P1587" s="52">
        <v>1145</v>
      </c>
      <c r="Q1587" s="52">
        <v>1212.6199999999999</v>
      </c>
      <c r="R1587" s="53" t="str">
        <f>INDEX(SKU_Master!$D$5:$D$34,MATCH($I1587,SKU_Master!$A$5:$A$34,0))</f>
        <v>Laptop</v>
      </c>
      <c r="S1587" s="54">
        <f t="shared" si="336"/>
        <v>1.1345724907063204E-2</v>
      </c>
      <c r="T1587" s="55">
        <f t="shared" si="337"/>
        <v>9415</v>
      </c>
      <c r="U1587" s="55">
        <f t="shared" si="338"/>
        <v>9308.18</v>
      </c>
      <c r="V1587" s="55">
        <f t="shared" si="339"/>
        <v>-106.81999999999971</v>
      </c>
      <c r="W1587" s="55">
        <f t="shared" si="340"/>
        <v>9308.18</v>
      </c>
      <c r="X1587" s="55">
        <f t="shared" si="341"/>
        <v>0</v>
      </c>
      <c r="Y1587" s="55">
        <f t="shared" si="342"/>
        <v>8015</v>
      </c>
      <c r="Z1587" s="55">
        <f t="shared" si="343"/>
        <v>8488.34</v>
      </c>
      <c r="AA1587" s="55">
        <f t="shared" si="344"/>
        <v>-473.34000000000015</v>
      </c>
      <c r="AB1587" s="55">
        <f t="shared" si="345"/>
        <v>819.84000000000015</v>
      </c>
      <c r="AC1587" s="54">
        <f t="shared" si="346"/>
        <v>8.8077368508129417E-2</v>
      </c>
      <c r="AD1587" s="56">
        <f>INDEX(Assumptions!$B$14:$B$16,MATCH($R1587,Assumptions!$A$14:$A$16,0))</f>
        <v>0.12</v>
      </c>
      <c r="AE1587" s="56">
        <f>INDEX(Assumptions!$C$14:$C$16,MATCH($R1587,Assumptions!$A$14:$A$16,0))</f>
        <v>0.08</v>
      </c>
      <c r="AF1587" s="49">
        <f t="shared" si="347"/>
        <v>0</v>
      </c>
      <c r="AG1587" s="49">
        <f t="shared" si="348"/>
        <v>0</v>
      </c>
      <c r="AH1587" s="55">
        <f t="shared" si="349"/>
        <v>297.14159999999993</v>
      </c>
    </row>
    <row r="1588" spans="1:34" x14ac:dyDescent="0.2">
      <c r="A1588" s="48" t="s">
        <v>1314</v>
      </c>
      <c r="B1588" s="48">
        <v>2</v>
      </c>
      <c r="C1588" s="48" t="s">
        <v>1294</v>
      </c>
      <c r="D1588" s="48" t="s">
        <v>1258</v>
      </c>
      <c r="E1588" s="48" t="s">
        <v>355</v>
      </c>
      <c r="F1588" s="48" t="s">
        <v>280</v>
      </c>
      <c r="G1588" s="48" t="s">
        <v>302</v>
      </c>
      <c r="H1588" s="48" t="s">
        <v>62</v>
      </c>
      <c r="I1588" s="48" t="s">
        <v>177</v>
      </c>
      <c r="J1588" s="49">
        <v>2</v>
      </c>
      <c r="K1588" s="50">
        <v>70</v>
      </c>
      <c r="L1588" s="50">
        <v>65.739999999999995</v>
      </c>
      <c r="M1588" s="48" t="s">
        <v>276</v>
      </c>
      <c r="N1588" s="51">
        <v>1</v>
      </c>
      <c r="O1588" s="51">
        <v>1</v>
      </c>
      <c r="P1588" s="52">
        <v>44</v>
      </c>
      <c r="Q1588" s="52">
        <v>44</v>
      </c>
      <c r="R1588" s="53" t="str">
        <f>INDEX(SKU_Master!$D$5:$D$34,MATCH($I1588,SKU_Master!$A$5:$A$34,0))</f>
        <v>Accessory</v>
      </c>
      <c r="S1588" s="54">
        <f t="shared" si="336"/>
        <v>6.0857142857142943E-2</v>
      </c>
      <c r="T1588" s="55">
        <f t="shared" si="337"/>
        <v>140</v>
      </c>
      <c r="U1588" s="55">
        <f t="shared" si="338"/>
        <v>131.47999999999999</v>
      </c>
      <c r="V1588" s="55">
        <f t="shared" si="339"/>
        <v>-8.5200000000000102</v>
      </c>
      <c r="W1588" s="55">
        <f t="shared" si="340"/>
        <v>131.47999999999999</v>
      </c>
      <c r="X1588" s="55">
        <f t="shared" si="341"/>
        <v>0</v>
      </c>
      <c r="Y1588" s="55">
        <f t="shared" si="342"/>
        <v>88</v>
      </c>
      <c r="Z1588" s="55">
        <f t="shared" si="343"/>
        <v>88</v>
      </c>
      <c r="AA1588" s="55">
        <f t="shared" si="344"/>
        <v>0</v>
      </c>
      <c r="AB1588" s="55">
        <f t="shared" si="345"/>
        <v>43.47999999999999</v>
      </c>
      <c r="AC1588" s="54">
        <f t="shared" si="346"/>
        <v>0.33069668390629747</v>
      </c>
      <c r="AD1588" s="56">
        <f>INDEX(Assumptions!$B$14:$B$16,MATCH($R1588,Assumptions!$A$14:$A$16,0))</f>
        <v>0.32</v>
      </c>
      <c r="AE1588" s="56">
        <f>INDEX(Assumptions!$C$14:$C$16,MATCH($R1588,Assumptions!$A$14:$A$16,0))</f>
        <v>0.22</v>
      </c>
      <c r="AF1588" s="49">
        <f t="shared" si="347"/>
        <v>0</v>
      </c>
      <c r="AG1588" s="49">
        <f t="shared" si="348"/>
        <v>0</v>
      </c>
      <c r="AH1588" s="55">
        <f t="shared" si="349"/>
        <v>0</v>
      </c>
    </row>
    <row r="1589" spans="1:34" x14ac:dyDescent="0.2">
      <c r="A1589" s="48" t="s">
        <v>1315</v>
      </c>
      <c r="B1589" s="48">
        <v>1</v>
      </c>
      <c r="C1589" s="48" t="s">
        <v>1266</v>
      </c>
      <c r="D1589" s="48" t="s">
        <v>1258</v>
      </c>
      <c r="E1589" s="48" t="s">
        <v>333</v>
      </c>
      <c r="F1589" s="48" t="s">
        <v>297</v>
      </c>
      <c r="G1589" s="48" t="s">
        <v>302</v>
      </c>
      <c r="H1589" s="48" t="s">
        <v>70</v>
      </c>
      <c r="I1589" s="48" t="s">
        <v>106</v>
      </c>
      <c r="J1589" s="49">
        <v>38</v>
      </c>
      <c r="K1589" s="50">
        <v>147165</v>
      </c>
      <c r="L1589" s="50">
        <v>137733.65</v>
      </c>
      <c r="M1589" s="48" t="s">
        <v>276</v>
      </c>
      <c r="N1589" s="51">
        <v>83.5</v>
      </c>
      <c r="O1589" s="51">
        <v>84.612200000000001</v>
      </c>
      <c r="P1589" s="52">
        <v>1476.24</v>
      </c>
      <c r="Q1589" s="52">
        <v>1496.24</v>
      </c>
      <c r="R1589" s="53" t="str">
        <f>INDEX(SKU_Master!$D$5:$D$34,MATCH($I1589,SKU_Master!$A$5:$A$34,0))</f>
        <v>Laptop</v>
      </c>
      <c r="S1589" s="54">
        <f t="shared" si="336"/>
        <v>6.4086909251520496E-2</v>
      </c>
      <c r="T1589" s="55">
        <f t="shared" si="337"/>
        <v>66973.293413173655</v>
      </c>
      <c r="U1589" s="55">
        <f t="shared" si="338"/>
        <v>62681.182035928148</v>
      </c>
      <c r="V1589" s="55">
        <f t="shared" si="339"/>
        <v>-4292.1113772455064</v>
      </c>
      <c r="W1589" s="55">
        <f t="shared" si="340"/>
        <v>61857.258173171249</v>
      </c>
      <c r="X1589" s="55">
        <f t="shared" si="341"/>
        <v>-823.92386275689933</v>
      </c>
      <c r="Y1589" s="55">
        <f t="shared" si="342"/>
        <v>56097.120000000003</v>
      </c>
      <c r="Z1589" s="55">
        <f t="shared" si="343"/>
        <v>56857.120000000003</v>
      </c>
      <c r="AA1589" s="55">
        <f t="shared" si="344"/>
        <v>-760</v>
      </c>
      <c r="AB1589" s="55">
        <f t="shared" si="345"/>
        <v>5000.1381731712463</v>
      </c>
      <c r="AC1589" s="54">
        <f t="shared" si="346"/>
        <v>8.0833491830064788E-2</v>
      </c>
      <c r="AD1589" s="56">
        <f>INDEX(Assumptions!$B$14:$B$16,MATCH($R1589,Assumptions!$A$14:$A$16,0))</f>
        <v>0.12</v>
      </c>
      <c r="AE1589" s="56">
        <f>INDEX(Assumptions!$C$14:$C$16,MATCH($R1589,Assumptions!$A$14:$A$16,0))</f>
        <v>0.08</v>
      </c>
      <c r="AF1589" s="49">
        <f t="shared" si="347"/>
        <v>0</v>
      </c>
      <c r="AG1589" s="49">
        <f t="shared" si="348"/>
        <v>0</v>
      </c>
      <c r="AH1589" s="55">
        <f t="shared" si="349"/>
        <v>2422.7328076093036</v>
      </c>
    </row>
    <row r="1590" spans="1:34" x14ac:dyDescent="0.2">
      <c r="A1590" s="48" t="s">
        <v>1315</v>
      </c>
      <c r="B1590" s="48">
        <v>2</v>
      </c>
      <c r="C1590" s="48" t="s">
        <v>1266</v>
      </c>
      <c r="D1590" s="48" t="s">
        <v>1258</v>
      </c>
      <c r="E1590" s="48" t="s">
        <v>333</v>
      </c>
      <c r="F1590" s="48" t="s">
        <v>297</v>
      </c>
      <c r="G1590" s="48" t="s">
        <v>302</v>
      </c>
      <c r="H1590" s="48" t="s">
        <v>70</v>
      </c>
      <c r="I1590" s="48" t="s">
        <v>135</v>
      </c>
      <c r="J1590" s="49">
        <v>28</v>
      </c>
      <c r="K1590" s="50">
        <v>26950</v>
      </c>
      <c r="L1590" s="50">
        <v>24519.11</v>
      </c>
      <c r="M1590" s="48" t="s">
        <v>276</v>
      </c>
      <c r="N1590" s="51">
        <v>83.5</v>
      </c>
      <c r="O1590" s="51">
        <v>84.612200000000001</v>
      </c>
      <c r="P1590" s="52">
        <v>249.49</v>
      </c>
      <c r="Q1590" s="52">
        <v>269.49</v>
      </c>
      <c r="R1590" s="53" t="str">
        <f>INDEX(SKU_Master!$D$5:$D$34,MATCH($I1590,SKU_Master!$A$5:$A$34,0))</f>
        <v>Monitor</v>
      </c>
      <c r="S1590" s="54">
        <f t="shared" si="336"/>
        <v>9.0199999999999947E-2</v>
      </c>
      <c r="T1590" s="55">
        <f t="shared" si="337"/>
        <v>9037.1257485029946</v>
      </c>
      <c r="U1590" s="55">
        <f t="shared" si="338"/>
        <v>8221.9770059880248</v>
      </c>
      <c r="V1590" s="55">
        <f t="shared" si="339"/>
        <v>-815.14874251496985</v>
      </c>
      <c r="W1590" s="55">
        <f t="shared" si="340"/>
        <v>8113.9017777578183</v>
      </c>
      <c r="X1590" s="55">
        <f t="shared" si="341"/>
        <v>-108.07522823020645</v>
      </c>
      <c r="Y1590" s="55">
        <f t="shared" si="342"/>
        <v>6985.72</v>
      </c>
      <c r="Z1590" s="55">
        <f t="shared" si="343"/>
        <v>7545.72</v>
      </c>
      <c r="AA1590" s="55">
        <f t="shared" si="344"/>
        <v>-560</v>
      </c>
      <c r="AB1590" s="55">
        <f t="shared" si="345"/>
        <v>568.18177775781805</v>
      </c>
      <c r="AC1590" s="54">
        <f t="shared" si="346"/>
        <v>7.0025715533720501E-2</v>
      </c>
      <c r="AD1590" s="56">
        <f>INDEX(Assumptions!$B$14:$B$16,MATCH($R1590,Assumptions!$A$14:$A$16,0))</f>
        <v>0.18</v>
      </c>
      <c r="AE1590" s="56">
        <f>INDEX(Assumptions!$C$14:$C$16,MATCH($R1590,Assumptions!$A$14:$A$16,0))</f>
        <v>0.12</v>
      </c>
      <c r="AF1590" s="49">
        <f t="shared" si="347"/>
        <v>1</v>
      </c>
      <c r="AG1590" s="49">
        <f t="shared" si="348"/>
        <v>1</v>
      </c>
      <c r="AH1590" s="55">
        <f t="shared" si="349"/>
        <v>892.32054223858927</v>
      </c>
    </row>
    <row r="1591" spans="1:34" x14ac:dyDescent="0.2">
      <c r="A1591" s="48" t="s">
        <v>1316</v>
      </c>
      <c r="B1591" s="48">
        <v>1</v>
      </c>
      <c r="C1591" s="48" t="s">
        <v>1273</v>
      </c>
      <c r="D1591" s="48" t="s">
        <v>1258</v>
      </c>
      <c r="E1591" s="48" t="s">
        <v>358</v>
      </c>
      <c r="F1591" s="48" t="s">
        <v>274</v>
      </c>
      <c r="G1591" s="48" t="s">
        <v>288</v>
      </c>
      <c r="H1591" s="48" t="s">
        <v>62</v>
      </c>
      <c r="I1591" s="48" t="s">
        <v>113</v>
      </c>
      <c r="J1591" s="49">
        <v>6</v>
      </c>
      <c r="K1591" s="50">
        <v>1740</v>
      </c>
      <c r="L1591" s="50">
        <v>1730.8</v>
      </c>
      <c r="M1591" s="48" t="s">
        <v>276</v>
      </c>
      <c r="N1591" s="51">
        <v>1</v>
      </c>
      <c r="O1591" s="51">
        <v>1</v>
      </c>
      <c r="P1591" s="52">
        <v>1484.8</v>
      </c>
      <c r="Q1591" s="52">
        <v>1484.8</v>
      </c>
      <c r="R1591" s="53" t="str">
        <f>INDEX(SKU_Master!$D$5:$D$34,MATCH($I1591,SKU_Master!$A$5:$A$34,0))</f>
        <v>Laptop</v>
      </c>
      <c r="S1591" s="54">
        <f t="shared" si="336"/>
        <v>5.2873563218390762E-3</v>
      </c>
      <c r="T1591" s="55">
        <f t="shared" si="337"/>
        <v>10440</v>
      </c>
      <c r="U1591" s="55">
        <f t="shared" si="338"/>
        <v>10384.799999999999</v>
      </c>
      <c r="V1591" s="55">
        <f t="shared" si="339"/>
        <v>-55.200000000000728</v>
      </c>
      <c r="W1591" s="55">
        <f t="shared" si="340"/>
        <v>10384.799999999999</v>
      </c>
      <c r="X1591" s="55">
        <f t="shared" si="341"/>
        <v>0</v>
      </c>
      <c r="Y1591" s="55">
        <f t="shared" si="342"/>
        <v>8908.7999999999993</v>
      </c>
      <c r="Z1591" s="55">
        <f t="shared" si="343"/>
        <v>8908.7999999999993</v>
      </c>
      <c r="AA1591" s="55">
        <f t="shared" si="344"/>
        <v>0</v>
      </c>
      <c r="AB1591" s="55">
        <f t="shared" si="345"/>
        <v>1476</v>
      </c>
      <c r="AC1591" s="54">
        <f t="shared" si="346"/>
        <v>0.14213080656343888</v>
      </c>
      <c r="AD1591" s="56">
        <f>INDEX(Assumptions!$B$14:$B$16,MATCH($R1591,Assumptions!$A$14:$A$16,0))</f>
        <v>0.12</v>
      </c>
      <c r="AE1591" s="56">
        <f>INDEX(Assumptions!$C$14:$C$16,MATCH($R1591,Assumptions!$A$14:$A$16,0))</f>
        <v>0.08</v>
      </c>
      <c r="AF1591" s="49">
        <f t="shared" si="347"/>
        <v>0</v>
      </c>
      <c r="AG1591" s="49">
        <f t="shared" si="348"/>
        <v>0</v>
      </c>
      <c r="AH1591" s="55">
        <f t="shared" si="349"/>
        <v>0</v>
      </c>
    </row>
    <row r="1592" spans="1:34" x14ac:dyDescent="0.2">
      <c r="A1592" s="48" t="s">
        <v>1316</v>
      </c>
      <c r="B1592" s="48">
        <v>2</v>
      </c>
      <c r="C1592" s="48" t="s">
        <v>1273</v>
      </c>
      <c r="D1592" s="48" t="s">
        <v>1258</v>
      </c>
      <c r="E1592" s="48" t="s">
        <v>358</v>
      </c>
      <c r="F1592" s="48" t="s">
        <v>274</v>
      </c>
      <c r="G1592" s="48" t="s">
        <v>288</v>
      </c>
      <c r="H1592" s="48" t="s">
        <v>62</v>
      </c>
      <c r="I1592" s="48" t="s">
        <v>151</v>
      </c>
      <c r="J1592" s="49">
        <v>3</v>
      </c>
      <c r="K1592" s="50">
        <v>335</v>
      </c>
      <c r="L1592" s="50">
        <v>334.85</v>
      </c>
      <c r="M1592" s="48" t="s">
        <v>276</v>
      </c>
      <c r="N1592" s="51">
        <v>1</v>
      </c>
      <c r="O1592" s="51">
        <v>1</v>
      </c>
      <c r="P1592" s="52">
        <v>216.7</v>
      </c>
      <c r="Q1592" s="52">
        <v>216.7</v>
      </c>
      <c r="R1592" s="53" t="str">
        <f>INDEX(SKU_Master!$D$5:$D$34,MATCH($I1592,SKU_Master!$A$5:$A$34,0))</f>
        <v>Accessory</v>
      </c>
      <c r="S1592" s="54">
        <f t="shared" si="336"/>
        <v>4.477611940297832E-4</v>
      </c>
      <c r="T1592" s="55">
        <f t="shared" si="337"/>
        <v>1005</v>
      </c>
      <c r="U1592" s="55">
        <f t="shared" si="338"/>
        <v>1004.5500000000001</v>
      </c>
      <c r="V1592" s="55">
        <f t="shared" si="339"/>
        <v>-0.44999999999993179</v>
      </c>
      <c r="W1592" s="55">
        <f t="shared" si="340"/>
        <v>1004.5500000000001</v>
      </c>
      <c r="X1592" s="55">
        <f t="shared" si="341"/>
        <v>0</v>
      </c>
      <c r="Y1592" s="55">
        <f t="shared" si="342"/>
        <v>650.09999999999991</v>
      </c>
      <c r="Z1592" s="55">
        <f t="shared" si="343"/>
        <v>650.09999999999991</v>
      </c>
      <c r="AA1592" s="55">
        <f t="shared" si="344"/>
        <v>0</v>
      </c>
      <c r="AB1592" s="55">
        <f t="shared" si="345"/>
        <v>354.45000000000016</v>
      </c>
      <c r="AC1592" s="54">
        <f t="shared" si="346"/>
        <v>0.35284455726444691</v>
      </c>
      <c r="AD1592" s="56">
        <f>INDEX(Assumptions!$B$14:$B$16,MATCH($R1592,Assumptions!$A$14:$A$16,0))</f>
        <v>0.32</v>
      </c>
      <c r="AE1592" s="56">
        <f>INDEX(Assumptions!$C$14:$C$16,MATCH($R1592,Assumptions!$A$14:$A$16,0))</f>
        <v>0.22</v>
      </c>
      <c r="AF1592" s="49">
        <f t="shared" si="347"/>
        <v>0</v>
      </c>
      <c r="AG1592" s="49">
        <f t="shared" si="348"/>
        <v>0</v>
      </c>
      <c r="AH1592" s="55">
        <f t="shared" si="349"/>
        <v>0</v>
      </c>
    </row>
    <row r="1593" spans="1:34" x14ac:dyDescent="0.2">
      <c r="A1593" s="48" t="s">
        <v>1317</v>
      </c>
      <c r="B1593" s="48">
        <v>1</v>
      </c>
      <c r="C1593" s="48" t="s">
        <v>1275</v>
      </c>
      <c r="D1593" s="48" t="s">
        <v>1258</v>
      </c>
      <c r="E1593" s="48" t="s">
        <v>395</v>
      </c>
      <c r="F1593" s="48" t="s">
        <v>280</v>
      </c>
      <c r="G1593" s="48" t="s">
        <v>281</v>
      </c>
      <c r="H1593" s="48" t="s">
        <v>66</v>
      </c>
      <c r="I1593" s="48" t="s">
        <v>118</v>
      </c>
      <c r="J1593" s="49">
        <v>7</v>
      </c>
      <c r="K1593" s="50">
        <v>1300</v>
      </c>
      <c r="L1593" s="50">
        <v>1253.1600000000001</v>
      </c>
      <c r="M1593" s="48" t="s">
        <v>276</v>
      </c>
      <c r="N1593" s="51">
        <v>0.92</v>
      </c>
      <c r="O1593" s="51">
        <v>0.9335</v>
      </c>
      <c r="P1593" s="52">
        <v>1182.5999999999999</v>
      </c>
      <c r="Q1593" s="52">
        <v>1251.28</v>
      </c>
      <c r="R1593" s="53" t="str">
        <f>INDEX(SKU_Master!$D$5:$D$34,MATCH($I1593,SKU_Master!$A$5:$A$34,0))</f>
        <v>Laptop</v>
      </c>
      <c r="S1593" s="54">
        <f t="shared" si="336"/>
        <v>3.60307692307692E-2</v>
      </c>
      <c r="T1593" s="55">
        <f t="shared" si="337"/>
        <v>9891.3043478260861</v>
      </c>
      <c r="U1593" s="55">
        <f t="shared" si="338"/>
        <v>9534.9130434782619</v>
      </c>
      <c r="V1593" s="55">
        <f t="shared" si="339"/>
        <v>-356.39130434782419</v>
      </c>
      <c r="W1593" s="55">
        <f t="shared" si="340"/>
        <v>9397.0219603642217</v>
      </c>
      <c r="X1593" s="55">
        <f t="shared" si="341"/>
        <v>-137.89108311404016</v>
      </c>
      <c r="Y1593" s="55">
        <f t="shared" si="342"/>
        <v>8278.1999999999989</v>
      </c>
      <c r="Z1593" s="55">
        <f t="shared" si="343"/>
        <v>8758.9599999999991</v>
      </c>
      <c r="AA1593" s="55">
        <f t="shared" si="344"/>
        <v>-480.76000000000022</v>
      </c>
      <c r="AB1593" s="55">
        <f t="shared" si="345"/>
        <v>638.06196036422261</v>
      </c>
      <c r="AC1593" s="54">
        <f t="shared" si="346"/>
        <v>6.7900443678381245E-2</v>
      </c>
      <c r="AD1593" s="56">
        <f>INDEX(Assumptions!$B$14:$B$16,MATCH($R1593,Assumptions!$A$14:$A$16,0))</f>
        <v>0.12</v>
      </c>
      <c r="AE1593" s="56">
        <f>INDEX(Assumptions!$C$14:$C$16,MATCH($R1593,Assumptions!$A$14:$A$16,0))</f>
        <v>0.08</v>
      </c>
      <c r="AF1593" s="49">
        <f t="shared" si="347"/>
        <v>1</v>
      </c>
      <c r="AG1593" s="49">
        <f t="shared" si="348"/>
        <v>1</v>
      </c>
      <c r="AH1593" s="55">
        <f t="shared" si="349"/>
        <v>489.58067487948392</v>
      </c>
    </row>
    <row r="1594" spans="1:34" x14ac:dyDescent="0.2">
      <c r="A1594" s="48" t="s">
        <v>1318</v>
      </c>
      <c r="B1594" s="48">
        <v>1</v>
      </c>
      <c r="C1594" s="48" t="s">
        <v>1290</v>
      </c>
      <c r="D1594" s="48" t="s">
        <v>1258</v>
      </c>
      <c r="E1594" s="48" t="s">
        <v>346</v>
      </c>
      <c r="F1594" s="48" t="s">
        <v>297</v>
      </c>
      <c r="G1594" s="48" t="s">
        <v>302</v>
      </c>
      <c r="H1594" s="48" t="s">
        <v>62</v>
      </c>
      <c r="I1594" s="48" t="s">
        <v>93</v>
      </c>
      <c r="J1594" s="49">
        <v>36</v>
      </c>
      <c r="K1594" s="50">
        <v>1390</v>
      </c>
      <c r="L1594" s="50">
        <v>1344.77</v>
      </c>
      <c r="M1594" s="48" t="s">
        <v>276</v>
      </c>
      <c r="N1594" s="51">
        <v>1</v>
      </c>
      <c r="O1594" s="51">
        <v>1</v>
      </c>
      <c r="P1594" s="52">
        <v>1186.2</v>
      </c>
      <c r="Q1594" s="52">
        <v>1186.2</v>
      </c>
      <c r="R1594" s="53" t="str">
        <f>INDEX(SKU_Master!$D$5:$D$34,MATCH($I1594,SKU_Master!$A$5:$A$34,0))</f>
        <v>Laptop</v>
      </c>
      <c r="S1594" s="54">
        <f t="shared" si="336"/>
        <v>3.2539568345323788E-2</v>
      </c>
      <c r="T1594" s="55">
        <f t="shared" si="337"/>
        <v>50040</v>
      </c>
      <c r="U1594" s="55">
        <f t="shared" si="338"/>
        <v>48411.72</v>
      </c>
      <c r="V1594" s="55">
        <f t="shared" si="339"/>
        <v>-1628.2799999999988</v>
      </c>
      <c r="W1594" s="55">
        <f t="shared" si="340"/>
        <v>48411.72</v>
      </c>
      <c r="X1594" s="55">
        <f t="shared" si="341"/>
        <v>0</v>
      </c>
      <c r="Y1594" s="55">
        <f t="shared" si="342"/>
        <v>42703.200000000004</v>
      </c>
      <c r="Z1594" s="55">
        <f t="shared" si="343"/>
        <v>42703.200000000004</v>
      </c>
      <c r="AA1594" s="55">
        <f t="shared" si="344"/>
        <v>0</v>
      </c>
      <c r="AB1594" s="55">
        <f t="shared" si="345"/>
        <v>5708.5199999999968</v>
      </c>
      <c r="AC1594" s="54">
        <f t="shared" si="346"/>
        <v>0.1179160748678212</v>
      </c>
      <c r="AD1594" s="56">
        <f>INDEX(Assumptions!$B$14:$B$16,MATCH($R1594,Assumptions!$A$14:$A$16,0))</f>
        <v>0.12</v>
      </c>
      <c r="AE1594" s="56">
        <f>INDEX(Assumptions!$C$14:$C$16,MATCH($R1594,Assumptions!$A$14:$A$16,0))</f>
        <v>0.08</v>
      </c>
      <c r="AF1594" s="49">
        <f t="shared" si="347"/>
        <v>0</v>
      </c>
      <c r="AG1594" s="49">
        <f t="shared" si="348"/>
        <v>0</v>
      </c>
      <c r="AH1594" s="55">
        <f t="shared" si="349"/>
        <v>100.88640000000305</v>
      </c>
    </row>
    <row r="1595" spans="1:34" x14ac:dyDescent="0.2">
      <c r="A1595" s="48" t="s">
        <v>1318</v>
      </c>
      <c r="B1595" s="48">
        <v>2</v>
      </c>
      <c r="C1595" s="48" t="s">
        <v>1290</v>
      </c>
      <c r="D1595" s="48" t="s">
        <v>1258</v>
      </c>
      <c r="E1595" s="48" t="s">
        <v>346</v>
      </c>
      <c r="F1595" s="48" t="s">
        <v>297</v>
      </c>
      <c r="G1595" s="48" t="s">
        <v>302</v>
      </c>
      <c r="H1595" s="48" t="s">
        <v>62</v>
      </c>
      <c r="I1595" s="48" t="s">
        <v>135</v>
      </c>
      <c r="J1595" s="49">
        <v>27</v>
      </c>
      <c r="K1595" s="50">
        <v>240</v>
      </c>
      <c r="L1595" s="50">
        <v>232</v>
      </c>
      <c r="M1595" s="48" t="s">
        <v>276</v>
      </c>
      <c r="N1595" s="51">
        <v>1</v>
      </c>
      <c r="O1595" s="51">
        <v>1</v>
      </c>
      <c r="P1595" s="52">
        <v>186.7</v>
      </c>
      <c r="Q1595" s="52">
        <v>186.7</v>
      </c>
      <c r="R1595" s="53" t="str">
        <f>INDEX(SKU_Master!$D$5:$D$34,MATCH($I1595,SKU_Master!$A$5:$A$34,0))</f>
        <v>Monitor</v>
      </c>
      <c r="S1595" s="54">
        <f t="shared" si="336"/>
        <v>3.3333333333333326E-2</v>
      </c>
      <c r="T1595" s="55">
        <f t="shared" si="337"/>
        <v>6480</v>
      </c>
      <c r="U1595" s="55">
        <f t="shared" si="338"/>
        <v>6264</v>
      </c>
      <c r="V1595" s="55">
        <f t="shared" si="339"/>
        <v>-216</v>
      </c>
      <c r="W1595" s="55">
        <f t="shared" si="340"/>
        <v>6264</v>
      </c>
      <c r="X1595" s="55">
        <f t="shared" si="341"/>
        <v>0</v>
      </c>
      <c r="Y1595" s="55">
        <f t="shared" si="342"/>
        <v>5040.8999999999996</v>
      </c>
      <c r="Z1595" s="55">
        <f t="shared" si="343"/>
        <v>5040.8999999999996</v>
      </c>
      <c r="AA1595" s="55">
        <f t="shared" si="344"/>
        <v>0</v>
      </c>
      <c r="AB1595" s="55">
        <f t="shared" si="345"/>
        <v>1223.1000000000004</v>
      </c>
      <c r="AC1595" s="54">
        <f t="shared" si="346"/>
        <v>0.19525862068965524</v>
      </c>
      <c r="AD1595" s="56">
        <f>INDEX(Assumptions!$B$14:$B$16,MATCH($R1595,Assumptions!$A$14:$A$16,0))</f>
        <v>0.18</v>
      </c>
      <c r="AE1595" s="56">
        <f>INDEX(Assumptions!$C$14:$C$16,MATCH($R1595,Assumptions!$A$14:$A$16,0))</f>
        <v>0.12</v>
      </c>
      <c r="AF1595" s="49">
        <f t="shared" si="347"/>
        <v>0</v>
      </c>
      <c r="AG1595" s="49">
        <f t="shared" si="348"/>
        <v>0</v>
      </c>
      <c r="AH1595" s="55">
        <f t="shared" si="349"/>
        <v>0</v>
      </c>
    </row>
    <row r="1596" spans="1:34" x14ac:dyDescent="0.2">
      <c r="A1596" s="48" t="s">
        <v>1318</v>
      </c>
      <c r="B1596" s="48">
        <v>3</v>
      </c>
      <c r="C1596" s="48" t="s">
        <v>1290</v>
      </c>
      <c r="D1596" s="48" t="s">
        <v>1258</v>
      </c>
      <c r="E1596" s="48" t="s">
        <v>346</v>
      </c>
      <c r="F1596" s="48" t="s">
        <v>297</v>
      </c>
      <c r="G1596" s="48" t="s">
        <v>302</v>
      </c>
      <c r="H1596" s="48" t="s">
        <v>62</v>
      </c>
      <c r="I1596" s="48" t="s">
        <v>177</v>
      </c>
      <c r="J1596" s="49">
        <v>38</v>
      </c>
      <c r="K1596" s="50">
        <v>70</v>
      </c>
      <c r="L1596" s="50">
        <v>64.849999999999994</v>
      </c>
      <c r="M1596" s="48" t="s">
        <v>276</v>
      </c>
      <c r="N1596" s="51">
        <v>1</v>
      </c>
      <c r="O1596" s="51">
        <v>1</v>
      </c>
      <c r="P1596" s="52">
        <v>44</v>
      </c>
      <c r="Q1596" s="52">
        <v>44</v>
      </c>
      <c r="R1596" s="53" t="str">
        <f>INDEX(SKU_Master!$D$5:$D$34,MATCH($I1596,SKU_Master!$A$5:$A$34,0))</f>
        <v>Accessory</v>
      </c>
      <c r="S1596" s="54">
        <f t="shared" si="336"/>
        <v>7.3571428571428621E-2</v>
      </c>
      <c r="T1596" s="55">
        <f t="shared" si="337"/>
        <v>2660</v>
      </c>
      <c r="U1596" s="55">
        <f t="shared" si="338"/>
        <v>2464.2999999999997</v>
      </c>
      <c r="V1596" s="55">
        <f t="shared" si="339"/>
        <v>-195.70000000000027</v>
      </c>
      <c r="W1596" s="55">
        <f t="shared" si="340"/>
        <v>2464.2999999999997</v>
      </c>
      <c r="X1596" s="55">
        <f t="shared" si="341"/>
        <v>0</v>
      </c>
      <c r="Y1596" s="55">
        <f t="shared" si="342"/>
        <v>1672</v>
      </c>
      <c r="Z1596" s="55">
        <f t="shared" si="343"/>
        <v>1672</v>
      </c>
      <c r="AA1596" s="55">
        <f t="shared" si="344"/>
        <v>0</v>
      </c>
      <c r="AB1596" s="55">
        <f t="shared" si="345"/>
        <v>792.29999999999973</v>
      </c>
      <c r="AC1596" s="54">
        <f t="shared" si="346"/>
        <v>0.32151117964533532</v>
      </c>
      <c r="AD1596" s="56">
        <f>INDEX(Assumptions!$B$14:$B$16,MATCH($R1596,Assumptions!$A$14:$A$16,0))</f>
        <v>0.32</v>
      </c>
      <c r="AE1596" s="56">
        <f>INDEX(Assumptions!$C$14:$C$16,MATCH($R1596,Assumptions!$A$14:$A$16,0))</f>
        <v>0.22</v>
      </c>
      <c r="AF1596" s="49">
        <f t="shared" si="347"/>
        <v>0</v>
      </c>
      <c r="AG1596" s="49">
        <f t="shared" si="348"/>
        <v>0</v>
      </c>
      <c r="AH1596" s="55">
        <f t="shared" si="349"/>
        <v>0</v>
      </c>
    </row>
    <row r="1597" spans="1:34" x14ac:dyDescent="0.2">
      <c r="A1597" s="48" t="s">
        <v>1319</v>
      </c>
      <c r="B1597" s="48">
        <v>1</v>
      </c>
      <c r="C1597" s="48" t="s">
        <v>1310</v>
      </c>
      <c r="D1597" s="48" t="s">
        <v>1258</v>
      </c>
      <c r="E1597" s="48" t="s">
        <v>311</v>
      </c>
      <c r="F1597" s="48" t="s">
        <v>297</v>
      </c>
      <c r="G1597" s="48" t="s">
        <v>302</v>
      </c>
      <c r="H1597" s="48" t="s">
        <v>62</v>
      </c>
      <c r="I1597" s="48" t="s">
        <v>108</v>
      </c>
      <c r="J1597" s="49">
        <v>46</v>
      </c>
      <c r="K1597" s="50">
        <v>1345</v>
      </c>
      <c r="L1597" s="50">
        <v>1288.83</v>
      </c>
      <c r="M1597" s="48" t="s">
        <v>276</v>
      </c>
      <c r="N1597" s="51">
        <v>1</v>
      </c>
      <c r="O1597" s="51">
        <v>1</v>
      </c>
      <c r="P1597" s="52">
        <v>1145</v>
      </c>
      <c r="Q1597" s="52">
        <v>1212.6199999999999</v>
      </c>
      <c r="R1597" s="53" t="str">
        <f>INDEX(SKU_Master!$D$5:$D$34,MATCH($I1597,SKU_Master!$A$5:$A$34,0))</f>
        <v>Laptop</v>
      </c>
      <c r="S1597" s="54">
        <f t="shared" si="336"/>
        <v>4.1762081784386673E-2</v>
      </c>
      <c r="T1597" s="55">
        <f t="shared" si="337"/>
        <v>61870</v>
      </c>
      <c r="U1597" s="55">
        <f t="shared" si="338"/>
        <v>59286.179999999993</v>
      </c>
      <c r="V1597" s="55">
        <f t="shared" si="339"/>
        <v>-2583.820000000007</v>
      </c>
      <c r="W1597" s="55">
        <f t="shared" si="340"/>
        <v>59286.179999999993</v>
      </c>
      <c r="X1597" s="55">
        <f t="shared" si="341"/>
        <v>0</v>
      </c>
      <c r="Y1597" s="55">
        <f t="shared" si="342"/>
        <v>52670</v>
      </c>
      <c r="Z1597" s="55">
        <f t="shared" si="343"/>
        <v>55780.52</v>
      </c>
      <c r="AA1597" s="55">
        <f t="shared" si="344"/>
        <v>-3110.5199999999968</v>
      </c>
      <c r="AB1597" s="55">
        <f t="shared" si="345"/>
        <v>3505.6599999999962</v>
      </c>
      <c r="AC1597" s="54">
        <f t="shared" si="346"/>
        <v>5.9131149957713527E-2</v>
      </c>
      <c r="AD1597" s="56">
        <f>INDEX(Assumptions!$B$14:$B$16,MATCH($R1597,Assumptions!$A$14:$A$16,0))</f>
        <v>0.12</v>
      </c>
      <c r="AE1597" s="56">
        <f>INDEX(Assumptions!$C$14:$C$16,MATCH($R1597,Assumptions!$A$14:$A$16,0))</f>
        <v>0.08</v>
      </c>
      <c r="AF1597" s="49">
        <f t="shared" si="347"/>
        <v>1</v>
      </c>
      <c r="AG1597" s="49">
        <f t="shared" si="348"/>
        <v>1</v>
      </c>
      <c r="AH1597" s="55">
        <f t="shared" si="349"/>
        <v>3608.6816000000026</v>
      </c>
    </row>
    <row r="1598" spans="1:34" x14ac:dyDescent="0.2">
      <c r="A1598" s="48" t="s">
        <v>1319</v>
      </c>
      <c r="B1598" s="48">
        <v>2</v>
      </c>
      <c r="C1598" s="48" t="s">
        <v>1310</v>
      </c>
      <c r="D1598" s="48" t="s">
        <v>1258</v>
      </c>
      <c r="E1598" s="48" t="s">
        <v>311</v>
      </c>
      <c r="F1598" s="48" t="s">
        <v>297</v>
      </c>
      <c r="G1598" s="48" t="s">
        <v>302</v>
      </c>
      <c r="H1598" s="48" t="s">
        <v>62</v>
      </c>
      <c r="I1598" s="48" t="s">
        <v>138</v>
      </c>
      <c r="J1598" s="49">
        <v>19</v>
      </c>
      <c r="K1598" s="50">
        <v>455</v>
      </c>
      <c r="L1598" s="50">
        <v>429.82</v>
      </c>
      <c r="M1598" s="48" t="s">
        <v>276</v>
      </c>
      <c r="N1598" s="51">
        <v>1</v>
      </c>
      <c r="O1598" s="51">
        <v>1</v>
      </c>
      <c r="P1598" s="52">
        <v>358.2</v>
      </c>
      <c r="Q1598" s="52">
        <v>358.2</v>
      </c>
      <c r="R1598" s="53" t="str">
        <f>INDEX(SKU_Master!$D$5:$D$34,MATCH($I1598,SKU_Master!$A$5:$A$34,0))</f>
        <v>Monitor</v>
      </c>
      <c r="S1598" s="54">
        <f t="shared" si="336"/>
        <v>5.5340659340659348E-2</v>
      </c>
      <c r="T1598" s="55">
        <f t="shared" si="337"/>
        <v>8645</v>
      </c>
      <c r="U1598" s="55">
        <f t="shared" si="338"/>
        <v>8166.58</v>
      </c>
      <c r="V1598" s="55">
        <f t="shared" si="339"/>
        <v>-478.42000000000007</v>
      </c>
      <c r="W1598" s="55">
        <f t="shared" si="340"/>
        <v>8166.58</v>
      </c>
      <c r="X1598" s="55">
        <f t="shared" si="341"/>
        <v>0</v>
      </c>
      <c r="Y1598" s="55">
        <f t="shared" si="342"/>
        <v>6805.8</v>
      </c>
      <c r="Z1598" s="55">
        <f t="shared" si="343"/>
        <v>6805.8</v>
      </c>
      <c r="AA1598" s="55">
        <f t="shared" si="344"/>
        <v>0</v>
      </c>
      <c r="AB1598" s="55">
        <f t="shared" si="345"/>
        <v>1360.7799999999997</v>
      </c>
      <c r="AC1598" s="54">
        <f t="shared" si="346"/>
        <v>0.16662789074496298</v>
      </c>
      <c r="AD1598" s="56">
        <f>INDEX(Assumptions!$B$14:$B$16,MATCH($R1598,Assumptions!$A$14:$A$16,0))</f>
        <v>0.18</v>
      </c>
      <c r="AE1598" s="56">
        <f>INDEX(Assumptions!$C$14:$C$16,MATCH($R1598,Assumptions!$A$14:$A$16,0))</f>
        <v>0.12</v>
      </c>
      <c r="AF1598" s="49">
        <f t="shared" si="347"/>
        <v>0</v>
      </c>
      <c r="AG1598" s="49">
        <f t="shared" si="348"/>
        <v>0</v>
      </c>
      <c r="AH1598" s="55">
        <f t="shared" si="349"/>
        <v>109.20440000000008</v>
      </c>
    </row>
    <row r="1599" spans="1:34" x14ac:dyDescent="0.2">
      <c r="A1599" s="48" t="s">
        <v>1319</v>
      </c>
      <c r="B1599" s="48">
        <v>3</v>
      </c>
      <c r="C1599" s="48" t="s">
        <v>1310</v>
      </c>
      <c r="D1599" s="48" t="s">
        <v>1258</v>
      </c>
      <c r="E1599" s="48" t="s">
        <v>311</v>
      </c>
      <c r="F1599" s="48" t="s">
        <v>297</v>
      </c>
      <c r="G1599" s="48" t="s">
        <v>302</v>
      </c>
      <c r="H1599" s="48" t="s">
        <v>62</v>
      </c>
      <c r="I1599" s="48" t="s">
        <v>151</v>
      </c>
      <c r="J1599" s="49">
        <v>25</v>
      </c>
      <c r="K1599" s="50">
        <v>335</v>
      </c>
      <c r="L1599" s="50">
        <v>326.37</v>
      </c>
      <c r="M1599" s="48" t="s">
        <v>276</v>
      </c>
      <c r="N1599" s="51">
        <v>1</v>
      </c>
      <c r="O1599" s="51">
        <v>1</v>
      </c>
      <c r="P1599" s="52">
        <v>216.7</v>
      </c>
      <c r="Q1599" s="52">
        <v>216.7</v>
      </c>
      <c r="R1599" s="53" t="str">
        <f>INDEX(SKU_Master!$D$5:$D$34,MATCH($I1599,SKU_Master!$A$5:$A$34,0))</f>
        <v>Accessory</v>
      </c>
      <c r="S1599" s="54">
        <f t="shared" si="336"/>
        <v>2.5761194029850776E-2</v>
      </c>
      <c r="T1599" s="55">
        <f t="shared" si="337"/>
        <v>8375</v>
      </c>
      <c r="U1599" s="55">
        <f t="shared" si="338"/>
        <v>8159.25</v>
      </c>
      <c r="V1599" s="55">
        <f t="shared" si="339"/>
        <v>-215.75</v>
      </c>
      <c r="W1599" s="55">
        <f t="shared" si="340"/>
        <v>8159.25</v>
      </c>
      <c r="X1599" s="55">
        <f t="shared" si="341"/>
        <v>0</v>
      </c>
      <c r="Y1599" s="55">
        <f t="shared" si="342"/>
        <v>5417.5</v>
      </c>
      <c r="Z1599" s="55">
        <f t="shared" si="343"/>
        <v>5417.5</v>
      </c>
      <c r="AA1599" s="55">
        <f t="shared" si="344"/>
        <v>0</v>
      </c>
      <c r="AB1599" s="55">
        <f t="shared" si="345"/>
        <v>2741.75</v>
      </c>
      <c r="AC1599" s="54">
        <f t="shared" si="346"/>
        <v>0.33602965958881026</v>
      </c>
      <c r="AD1599" s="56">
        <f>INDEX(Assumptions!$B$14:$B$16,MATCH($R1599,Assumptions!$A$14:$A$16,0))</f>
        <v>0.32</v>
      </c>
      <c r="AE1599" s="56">
        <f>INDEX(Assumptions!$C$14:$C$16,MATCH($R1599,Assumptions!$A$14:$A$16,0))</f>
        <v>0.22</v>
      </c>
      <c r="AF1599" s="49">
        <f t="shared" si="347"/>
        <v>0</v>
      </c>
      <c r="AG1599" s="49">
        <f t="shared" si="348"/>
        <v>0</v>
      </c>
      <c r="AH1599" s="55">
        <f t="shared" si="349"/>
        <v>0</v>
      </c>
    </row>
    <row r="1600" spans="1:34" x14ac:dyDescent="0.2">
      <c r="A1600" s="48" t="s">
        <v>1320</v>
      </c>
      <c r="B1600" s="48">
        <v>1</v>
      </c>
      <c r="C1600" s="48" t="s">
        <v>1280</v>
      </c>
      <c r="D1600" s="48" t="s">
        <v>1258</v>
      </c>
      <c r="E1600" s="48" t="s">
        <v>311</v>
      </c>
      <c r="F1600" s="48" t="s">
        <v>297</v>
      </c>
      <c r="G1600" s="48" t="s">
        <v>302</v>
      </c>
      <c r="H1600" s="48" t="s">
        <v>62</v>
      </c>
      <c r="I1600" s="48" t="s">
        <v>93</v>
      </c>
      <c r="J1600" s="49">
        <v>65</v>
      </c>
      <c r="K1600" s="50">
        <v>1390</v>
      </c>
      <c r="L1600" s="50">
        <v>1329.47</v>
      </c>
      <c r="M1600" s="48" t="s">
        <v>276</v>
      </c>
      <c r="N1600" s="51">
        <v>1</v>
      </c>
      <c r="O1600" s="51">
        <v>1</v>
      </c>
      <c r="P1600" s="52">
        <v>1186.2</v>
      </c>
      <c r="Q1600" s="52">
        <v>1186.2</v>
      </c>
      <c r="R1600" s="53" t="str">
        <f>INDEX(SKU_Master!$D$5:$D$34,MATCH($I1600,SKU_Master!$A$5:$A$34,0))</f>
        <v>Laptop</v>
      </c>
      <c r="S1600" s="54">
        <f t="shared" si="336"/>
        <v>4.3546762589928067E-2</v>
      </c>
      <c r="T1600" s="55">
        <f t="shared" si="337"/>
        <v>90350</v>
      </c>
      <c r="U1600" s="55">
        <f t="shared" si="338"/>
        <v>86415.55</v>
      </c>
      <c r="V1600" s="55">
        <f t="shared" si="339"/>
        <v>-3934.4499999999971</v>
      </c>
      <c r="W1600" s="55">
        <f t="shared" si="340"/>
        <v>86415.55</v>
      </c>
      <c r="X1600" s="55">
        <f t="shared" si="341"/>
        <v>0</v>
      </c>
      <c r="Y1600" s="55">
        <f t="shared" si="342"/>
        <v>77103</v>
      </c>
      <c r="Z1600" s="55">
        <f t="shared" si="343"/>
        <v>77103</v>
      </c>
      <c r="AA1600" s="55">
        <f t="shared" si="344"/>
        <v>0</v>
      </c>
      <c r="AB1600" s="55">
        <f t="shared" si="345"/>
        <v>9312.5500000000029</v>
      </c>
      <c r="AC1600" s="54">
        <f t="shared" si="346"/>
        <v>0.1077647483583684</v>
      </c>
      <c r="AD1600" s="56">
        <f>INDEX(Assumptions!$B$14:$B$16,MATCH($R1600,Assumptions!$A$14:$A$16,0))</f>
        <v>0.12</v>
      </c>
      <c r="AE1600" s="56">
        <f>INDEX(Assumptions!$C$14:$C$16,MATCH($R1600,Assumptions!$A$14:$A$16,0))</f>
        <v>0.08</v>
      </c>
      <c r="AF1600" s="49">
        <f t="shared" si="347"/>
        <v>0</v>
      </c>
      <c r="AG1600" s="49">
        <f t="shared" si="348"/>
        <v>0</v>
      </c>
      <c r="AH1600" s="55">
        <f t="shared" si="349"/>
        <v>1057.3159999999971</v>
      </c>
    </row>
    <row r="1601" spans="1:34" x14ac:dyDescent="0.2">
      <c r="A1601" s="48" t="s">
        <v>1320</v>
      </c>
      <c r="B1601" s="48">
        <v>2</v>
      </c>
      <c r="C1601" s="48" t="s">
        <v>1280</v>
      </c>
      <c r="D1601" s="48" t="s">
        <v>1258</v>
      </c>
      <c r="E1601" s="48" t="s">
        <v>311</v>
      </c>
      <c r="F1601" s="48" t="s">
        <v>297</v>
      </c>
      <c r="G1601" s="48" t="s">
        <v>302</v>
      </c>
      <c r="H1601" s="48" t="s">
        <v>62</v>
      </c>
      <c r="I1601" s="48" t="s">
        <v>138</v>
      </c>
      <c r="J1601" s="49">
        <v>75</v>
      </c>
      <c r="K1601" s="50">
        <v>455</v>
      </c>
      <c r="L1601" s="50">
        <v>440.13</v>
      </c>
      <c r="M1601" s="48" t="s">
        <v>276</v>
      </c>
      <c r="N1601" s="51">
        <v>1</v>
      </c>
      <c r="O1601" s="51">
        <v>1</v>
      </c>
      <c r="P1601" s="52">
        <v>358.2</v>
      </c>
      <c r="Q1601" s="52">
        <v>358.2</v>
      </c>
      <c r="R1601" s="53" t="str">
        <f>INDEX(SKU_Master!$D$5:$D$34,MATCH($I1601,SKU_Master!$A$5:$A$34,0))</f>
        <v>Monitor</v>
      </c>
      <c r="S1601" s="54">
        <f t="shared" si="336"/>
        <v>3.2681318681318738E-2</v>
      </c>
      <c r="T1601" s="55">
        <f t="shared" si="337"/>
        <v>34125</v>
      </c>
      <c r="U1601" s="55">
        <f t="shared" si="338"/>
        <v>33009.75</v>
      </c>
      <c r="V1601" s="55">
        <f t="shared" si="339"/>
        <v>-1115.25</v>
      </c>
      <c r="W1601" s="55">
        <f t="shared" si="340"/>
        <v>33009.75</v>
      </c>
      <c r="X1601" s="55">
        <f t="shared" si="341"/>
        <v>0</v>
      </c>
      <c r="Y1601" s="55">
        <f t="shared" si="342"/>
        <v>26865</v>
      </c>
      <c r="Z1601" s="55">
        <f t="shared" si="343"/>
        <v>26865</v>
      </c>
      <c r="AA1601" s="55">
        <f t="shared" si="344"/>
        <v>0</v>
      </c>
      <c r="AB1601" s="55">
        <f t="shared" si="345"/>
        <v>6144.75</v>
      </c>
      <c r="AC1601" s="54">
        <f t="shared" si="346"/>
        <v>0.18614954672483131</v>
      </c>
      <c r="AD1601" s="56">
        <f>INDEX(Assumptions!$B$14:$B$16,MATCH($R1601,Assumptions!$A$14:$A$16,0))</f>
        <v>0.18</v>
      </c>
      <c r="AE1601" s="56">
        <f>INDEX(Assumptions!$C$14:$C$16,MATCH($R1601,Assumptions!$A$14:$A$16,0))</f>
        <v>0.12</v>
      </c>
      <c r="AF1601" s="49">
        <f t="shared" si="347"/>
        <v>0</v>
      </c>
      <c r="AG1601" s="49">
        <f t="shared" si="348"/>
        <v>0</v>
      </c>
      <c r="AH1601" s="55">
        <f t="shared" si="349"/>
        <v>0</v>
      </c>
    </row>
    <row r="1602" spans="1:34" x14ac:dyDescent="0.2">
      <c r="A1602" s="48" t="s">
        <v>1320</v>
      </c>
      <c r="B1602" s="48">
        <v>3</v>
      </c>
      <c r="C1602" s="48" t="s">
        <v>1280</v>
      </c>
      <c r="D1602" s="48" t="s">
        <v>1258</v>
      </c>
      <c r="E1602" s="48" t="s">
        <v>311</v>
      </c>
      <c r="F1602" s="48" t="s">
        <v>297</v>
      </c>
      <c r="G1602" s="48" t="s">
        <v>302</v>
      </c>
      <c r="H1602" s="48" t="s">
        <v>62</v>
      </c>
      <c r="I1602" s="48" t="s">
        <v>151</v>
      </c>
      <c r="J1602" s="49">
        <v>39</v>
      </c>
      <c r="K1602" s="50">
        <v>335</v>
      </c>
      <c r="L1602" s="50">
        <v>307.16000000000003</v>
      </c>
      <c r="M1602" s="48" t="s">
        <v>276</v>
      </c>
      <c r="N1602" s="51">
        <v>1</v>
      </c>
      <c r="O1602" s="51">
        <v>1</v>
      </c>
      <c r="P1602" s="52">
        <v>216.7</v>
      </c>
      <c r="Q1602" s="52">
        <v>216.7</v>
      </c>
      <c r="R1602" s="53" t="str">
        <f>INDEX(SKU_Master!$D$5:$D$34,MATCH($I1602,SKU_Master!$A$5:$A$34,0))</f>
        <v>Accessory</v>
      </c>
      <c r="S1602" s="54">
        <f t="shared" si="336"/>
        <v>8.3104477611940175E-2</v>
      </c>
      <c r="T1602" s="55">
        <f t="shared" si="337"/>
        <v>13065</v>
      </c>
      <c r="U1602" s="55">
        <f t="shared" si="338"/>
        <v>11979.240000000002</v>
      </c>
      <c r="V1602" s="55">
        <f t="shared" si="339"/>
        <v>-1085.7599999999984</v>
      </c>
      <c r="W1602" s="55">
        <f t="shared" si="340"/>
        <v>11979.240000000002</v>
      </c>
      <c r="X1602" s="55">
        <f t="shared" si="341"/>
        <v>0</v>
      </c>
      <c r="Y1602" s="55">
        <f t="shared" si="342"/>
        <v>8451.2999999999993</v>
      </c>
      <c r="Z1602" s="55">
        <f t="shared" si="343"/>
        <v>8451.2999999999993</v>
      </c>
      <c r="AA1602" s="55">
        <f t="shared" si="344"/>
        <v>0</v>
      </c>
      <c r="AB1602" s="55">
        <f t="shared" si="345"/>
        <v>3527.9400000000023</v>
      </c>
      <c r="AC1602" s="54">
        <f t="shared" si="346"/>
        <v>0.29450449277249657</v>
      </c>
      <c r="AD1602" s="56">
        <f>INDEX(Assumptions!$B$14:$B$16,MATCH($R1602,Assumptions!$A$14:$A$16,0))</f>
        <v>0.32</v>
      </c>
      <c r="AE1602" s="56">
        <f>INDEX(Assumptions!$C$14:$C$16,MATCH($R1602,Assumptions!$A$14:$A$16,0))</f>
        <v>0.22</v>
      </c>
      <c r="AF1602" s="49">
        <f t="shared" si="347"/>
        <v>0</v>
      </c>
      <c r="AG1602" s="49">
        <f t="shared" si="348"/>
        <v>0</v>
      </c>
      <c r="AH1602" s="55">
        <f t="shared" si="349"/>
        <v>305.41679999999815</v>
      </c>
    </row>
    <row r="1603" spans="1:34" x14ac:dyDescent="0.2">
      <c r="A1603" s="48" t="s">
        <v>1321</v>
      </c>
      <c r="B1603" s="48">
        <v>1</v>
      </c>
      <c r="C1603" s="48" t="s">
        <v>1322</v>
      </c>
      <c r="D1603" s="48" t="s">
        <v>1258</v>
      </c>
      <c r="E1603" s="48" t="s">
        <v>317</v>
      </c>
      <c r="F1603" s="48" t="s">
        <v>280</v>
      </c>
      <c r="G1603" s="48" t="s">
        <v>306</v>
      </c>
      <c r="H1603" s="48" t="s">
        <v>62</v>
      </c>
      <c r="I1603" s="48" t="s">
        <v>93</v>
      </c>
      <c r="J1603" s="49">
        <v>16</v>
      </c>
      <c r="K1603" s="50">
        <v>1390</v>
      </c>
      <c r="L1603" s="50">
        <v>1370.63</v>
      </c>
      <c r="M1603" s="48" t="s">
        <v>276</v>
      </c>
      <c r="N1603" s="51">
        <v>1</v>
      </c>
      <c r="O1603" s="51">
        <v>1</v>
      </c>
      <c r="P1603" s="52">
        <v>1186.2</v>
      </c>
      <c r="Q1603" s="52">
        <v>1186.2</v>
      </c>
      <c r="R1603" s="53" t="str">
        <f>INDEX(SKU_Master!$D$5:$D$34,MATCH($I1603,SKU_Master!$A$5:$A$34,0))</f>
        <v>Laptop</v>
      </c>
      <c r="S1603" s="54">
        <f t="shared" si="336"/>
        <v>1.3935251798561032E-2</v>
      </c>
      <c r="T1603" s="55">
        <f t="shared" si="337"/>
        <v>22240</v>
      </c>
      <c r="U1603" s="55">
        <f t="shared" si="338"/>
        <v>21930.080000000002</v>
      </c>
      <c r="V1603" s="55">
        <f t="shared" si="339"/>
        <v>-309.91999999999825</v>
      </c>
      <c r="W1603" s="55">
        <f t="shared" si="340"/>
        <v>21930.080000000002</v>
      </c>
      <c r="X1603" s="55">
        <f t="shared" si="341"/>
        <v>0</v>
      </c>
      <c r="Y1603" s="55">
        <f t="shared" si="342"/>
        <v>18979.2</v>
      </c>
      <c r="Z1603" s="55">
        <f t="shared" si="343"/>
        <v>18979.2</v>
      </c>
      <c r="AA1603" s="55">
        <f t="shared" si="344"/>
        <v>0</v>
      </c>
      <c r="AB1603" s="55">
        <f t="shared" si="345"/>
        <v>2950.880000000001</v>
      </c>
      <c r="AC1603" s="54">
        <f t="shared" si="346"/>
        <v>0.13455856066188546</v>
      </c>
      <c r="AD1603" s="56">
        <f>INDEX(Assumptions!$B$14:$B$16,MATCH($R1603,Assumptions!$A$14:$A$16,0))</f>
        <v>0.12</v>
      </c>
      <c r="AE1603" s="56">
        <f>INDEX(Assumptions!$C$14:$C$16,MATCH($R1603,Assumptions!$A$14:$A$16,0))</f>
        <v>0.08</v>
      </c>
      <c r="AF1603" s="49">
        <f t="shared" si="347"/>
        <v>0</v>
      </c>
      <c r="AG1603" s="49">
        <f t="shared" si="348"/>
        <v>0</v>
      </c>
      <c r="AH1603" s="55">
        <f t="shared" si="349"/>
        <v>0</v>
      </c>
    </row>
    <row r="1604" spans="1:34" x14ac:dyDescent="0.2">
      <c r="A1604" s="48" t="s">
        <v>1321</v>
      </c>
      <c r="B1604" s="48">
        <v>2</v>
      </c>
      <c r="C1604" s="48" t="s">
        <v>1322</v>
      </c>
      <c r="D1604" s="48" t="s">
        <v>1258</v>
      </c>
      <c r="E1604" s="48" t="s">
        <v>317</v>
      </c>
      <c r="F1604" s="48" t="s">
        <v>280</v>
      </c>
      <c r="G1604" s="48" t="s">
        <v>306</v>
      </c>
      <c r="H1604" s="48" t="s">
        <v>62</v>
      </c>
      <c r="I1604" s="48" t="s">
        <v>151</v>
      </c>
      <c r="J1604" s="49">
        <v>17</v>
      </c>
      <c r="K1604" s="50">
        <v>335</v>
      </c>
      <c r="L1604" s="50">
        <v>323.77999999999997</v>
      </c>
      <c r="M1604" s="48" t="s">
        <v>276</v>
      </c>
      <c r="N1604" s="51">
        <v>1</v>
      </c>
      <c r="O1604" s="51">
        <v>1</v>
      </c>
      <c r="P1604" s="52">
        <v>216.7</v>
      </c>
      <c r="Q1604" s="52">
        <v>216.7</v>
      </c>
      <c r="R1604" s="53" t="str">
        <f>INDEX(SKU_Master!$D$5:$D$34,MATCH($I1604,SKU_Master!$A$5:$A$34,0))</f>
        <v>Accessory</v>
      </c>
      <c r="S1604" s="54">
        <f t="shared" si="336"/>
        <v>3.3492537313432935E-2</v>
      </c>
      <c r="T1604" s="55">
        <f t="shared" si="337"/>
        <v>5695</v>
      </c>
      <c r="U1604" s="55">
        <f t="shared" si="338"/>
        <v>5504.2599999999993</v>
      </c>
      <c r="V1604" s="55">
        <f t="shared" si="339"/>
        <v>-190.74000000000069</v>
      </c>
      <c r="W1604" s="55">
        <f t="shared" si="340"/>
        <v>5504.2599999999993</v>
      </c>
      <c r="X1604" s="55">
        <f t="shared" si="341"/>
        <v>0</v>
      </c>
      <c r="Y1604" s="55">
        <f t="shared" si="342"/>
        <v>3683.8999999999996</v>
      </c>
      <c r="Z1604" s="55">
        <f t="shared" si="343"/>
        <v>3683.8999999999996</v>
      </c>
      <c r="AA1604" s="55">
        <f t="shared" si="344"/>
        <v>0</v>
      </c>
      <c r="AB1604" s="55">
        <f t="shared" si="345"/>
        <v>1820.3599999999997</v>
      </c>
      <c r="AC1604" s="54">
        <f t="shared" si="346"/>
        <v>0.330718389029588</v>
      </c>
      <c r="AD1604" s="56">
        <f>INDEX(Assumptions!$B$14:$B$16,MATCH($R1604,Assumptions!$A$14:$A$16,0))</f>
        <v>0.32</v>
      </c>
      <c r="AE1604" s="56">
        <f>INDEX(Assumptions!$C$14:$C$16,MATCH($R1604,Assumptions!$A$14:$A$16,0))</f>
        <v>0.22</v>
      </c>
      <c r="AF1604" s="49">
        <f t="shared" si="347"/>
        <v>0</v>
      </c>
      <c r="AG1604" s="49">
        <f t="shared" si="348"/>
        <v>0</v>
      </c>
      <c r="AH1604" s="55">
        <f t="shared" si="349"/>
        <v>0</v>
      </c>
    </row>
    <row r="1605" spans="1:34" x14ac:dyDescent="0.2">
      <c r="A1605" s="48" t="s">
        <v>1323</v>
      </c>
      <c r="B1605" s="48">
        <v>1</v>
      </c>
      <c r="C1605" s="48" t="s">
        <v>1286</v>
      </c>
      <c r="D1605" s="48" t="s">
        <v>1258</v>
      </c>
      <c r="E1605" s="48" t="s">
        <v>355</v>
      </c>
      <c r="F1605" s="48" t="s">
        <v>280</v>
      </c>
      <c r="G1605" s="48" t="s">
        <v>302</v>
      </c>
      <c r="H1605" s="48" t="s">
        <v>62</v>
      </c>
      <c r="I1605" s="48" t="s">
        <v>118</v>
      </c>
      <c r="J1605" s="49">
        <v>12</v>
      </c>
      <c r="K1605" s="50">
        <v>1365</v>
      </c>
      <c r="L1605" s="50">
        <v>1274.78</v>
      </c>
      <c r="M1605" s="48" t="s">
        <v>276</v>
      </c>
      <c r="N1605" s="51">
        <v>1</v>
      </c>
      <c r="O1605" s="51">
        <v>1</v>
      </c>
      <c r="P1605" s="52">
        <v>1162.5999999999999</v>
      </c>
      <c r="Q1605" s="52">
        <v>1231.28</v>
      </c>
      <c r="R1605" s="53" t="str">
        <f>INDEX(SKU_Master!$D$5:$D$34,MATCH($I1605,SKU_Master!$A$5:$A$34,0))</f>
        <v>Laptop</v>
      </c>
      <c r="S1605" s="54">
        <f t="shared" ref="S1605:S1668" si="350">IF(K1605=0,0,1-L1605/K1605)</f>
        <v>6.6095238095238096E-2</v>
      </c>
      <c r="T1605" s="55">
        <f t="shared" ref="T1605:T1668" si="351">J1605*K1605/N1605</f>
        <v>16380</v>
      </c>
      <c r="U1605" s="55">
        <f t="shared" ref="U1605:U1668" si="352">J1605*L1605/N1605</f>
        <v>15297.36</v>
      </c>
      <c r="V1605" s="55">
        <f t="shared" ref="V1605:V1668" si="353">U1605-T1605</f>
        <v>-1082.6399999999994</v>
      </c>
      <c r="W1605" s="55">
        <f t="shared" ref="W1605:W1668" si="354">J1605*L1605/O1605</f>
        <v>15297.36</v>
      </c>
      <c r="X1605" s="55">
        <f t="shared" ref="X1605:X1668" si="355">W1605-U1605</f>
        <v>0</v>
      </c>
      <c r="Y1605" s="55">
        <f t="shared" ref="Y1605:Y1668" si="356">J1605*P1605</f>
        <v>13951.199999999999</v>
      </c>
      <c r="Z1605" s="55">
        <f t="shared" ref="Z1605:Z1668" si="357">J1605*Q1605</f>
        <v>14775.36</v>
      </c>
      <c r="AA1605" s="55">
        <f t="shared" ref="AA1605:AA1668" si="358">Y1605-Z1605</f>
        <v>-824.16000000000167</v>
      </c>
      <c r="AB1605" s="55">
        <f t="shared" ref="AB1605:AB1668" si="359">W1605-Z1605</f>
        <v>522</v>
      </c>
      <c r="AC1605" s="54">
        <f t="shared" ref="AC1605:AC1668" si="360">IF(W1605=0,0,AB1605/W1605)</f>
        <v>3.4123535041340462E-2</v>
      </c>
      <c r="AD1605" s="56">
        <f>INDEX(Assumptions!$B$14:$B$16,MATCH($R1605,Assumptions!$A$14:$A$16,0))</f>
        <v>0.12</v>
      </c>
      <c r="AE1605" s="56">
        <f>INDEX(Assumptions!$C$14:$C$16,MATCH($R1605,Assumptions!$A$14:$A$16,0))</f>
        <v>0.08</v>
      </c>
      <c r="AF1605" s="49">
        <f t="shared" ref="AF1605:AF1668" si="361">IF(AC1605&lt;AE1605,1,0)</f>
        <v>1</v>
      </c>
      <c r="AG1605" s="49">
        <f t="shared" ref="AG1605:AG1668" si="362">IF(AND(AF1605=1,M1605="N"),1,0)</f>
        <v>1</v>
      </c>
      <c r="AH1605" s="55">
        <f t="shared" ref="AH1605:AH1668" si="363">MAX(0,W1605*AD1605-AB1605)</f>
        <v>1313.6831999999999</v>
      </c>
    </row>
    <row r="1606" spans="1:34" x14ac:dyDescent="0.2">
      <c r="A1606" s="48" t="s">
        <v>1323</v>
      </c>
      <c r="B1606" s="48">
        <v>2</v>
      </c>
      <c r="C1606" s="48" t="s">
        <v>1286</v>
      </c>
      <c r="D1606" s="48" t="s">
        <v>1258</v>
      </c>
      <c r="E1606" s="48" t="s">
        <v>355</v>
      </c>
      <c r="F1606" s="48" t="s">
        <v>280</v>
      </c>
      <c r="G1606" s="48" t="s">
        <v>302</v>
      </c>
      <c r="H1606" s="48" t="s">
        <v>62</v>
      </c>
      <c r="I1606" s="48" t="s">
        <v>146</v>
      </c>
      <c r="J1606" s="49">
        <v>13</v>
      </c>
      <c r="K1606" s="50">
        <v>235</v>
      </c>
      <c r="L1606" s="50">
        <v>222.44</v>
      </c>
      <c r="M1606" s="48" t="s">
        <v>276</v>
      </c>
      <c r="N1606" s="51">
        <v>1</v>
      </c>
      <c r="O1606" s="51">
        <v>1</v>
      </c>
      <c r="P1606" s="52">
        <v>181.8</v>
      </c>
      <c r="Q1606" s="52">
        <v>181.8</v>
      </c>
      <c r="R1606" s="53" t="str">
        <f>INDEX(SKU_Master!$D$5:$D$34,MATCH($I1606,SKU_Master!$A$5:$A$34,0))</f>
        <v>Monitor</v>
      </c>
      <c r="S1606" s="54">
        <f t="shared" si="350"/>
        <v>5.3446808510638322E-2</v>
      </c>
      <c r="T1606" s="55">
        <f t="shared" si="351"/>
        <v>3055</v>
      </c>
      <c r="U1606" s="55">
        <f t="shared" si="352"/>
        <v>2891.72</v>
      </c>
      <c r="V1606" s="55">
        <f t="shared" si="353"/>
        <v>-163.2800000000002</v>
      </c>
      <c r="W1606" s="55">
        <f t="shared" si="354"/>
        <v>2891.72</v>
      </c>
      <c r="X1606" s="55">
        <f t="shared" si="355"/>
        <v>0</v>
      </c>
      <c r="Y1606" s="55">
        <f t="shared" si="356"/>
        <v>2363.4</v>
      </c>
      <c r="Z1606" s="55">
        <f t="shared" si="357"/>
        <v>2363.4</v>
      </c>
      <c r="AA1606" s="55">
        <f t="shared" si="358"/>
        <v>0</v>
      </c>
      <c r="AB1606" s="55">
        <f t="shared" si="359"/>
        <v>528.31999999999971</v>
      </c>
      <c r="AC1606" s="54">
        <f t="shared" si="360"/>
        <v>0.18270095306599524</v>
      </c>
      <c r="AD1606" s="56">
        <f>INDEX(Assumptions!$B$14:$B$16,MATCH($R1606,Assumptions!$A$14:$A$16,0))</f>
        <v>0.18</v>
      </c>
      <c r="AE1606" s="56">
        <f>INDEX(Assumptions!$C$14:$C$16,MATCH($R1606,Assumptions!$A$14:$A$16,0))</f>
        <v>0.12</v>
      </c>
      <c r="AF1606" s="49">
        <f t="shared" si="361"/>
        <v>0</v>
      </c>
      <c r="AG1606" s="49">
        <f t="shared" si="362"/>
        <v>0</v>
      </c>
      <c r="AH1606" s="55">
        <f t="shared" si="363"/>
        <v>0</v>
      </c>
    </row>
    <row r="1607" spans="1:34" x14ac:dyDescent="0.2">
      <c r="A1607" s="48" t="s">
        <v>1323</v>
      </c>
      <c r="B1607" s="48">
        <v>3</v>
      </c>
      <c r="C1607" s="48" t="s">
        <v>1286</v>
      </c>
      <c r="D1607" s="48" t="s">
        <v>1258</v>
      </c>
      <c r="E1607" s="48" t="s">
        <v>355</v>
      </c>
      <c r="F1607" s="48" t="s">
        <v>280</v>
      </c>
      <c r="G1607" s="48" t="s">
        <v>302</v>
      </c>
      <c r="H1607" s="48" t="s">
        <v>62</v>
      </c>
      <c r="I1607" s="48" t="s">
        <v>157</v>
      </c>
      <c r="J1607" s="49">
        <v>13</v>
      </c>
      <c r="K1607" s="50">
        <v>135</v>
      </c>
      <c r="L1607" s="50">
        <v>133.47999999999999</v>
      </c>
      <c r="M1607" s="48" t="s">
        <v>276</v>
      </c>
      <c r="N1607" s="51">
        <v>1</v>
      </c>
      <c r="O1607" s="51">
        <v>1</v>
      </c>
      <c r="P1607" s="52">
        <v>86</v>
      </c>
      <c r="Q1607" s="52">
        <v>86</v>
      </c>
      <c r="R1607" s="53" t="str">
        <f>INDEX(SKU_Master!$D$5:$D$34,MATCH($I1607,SKU_Master!$A$5:$A$34,0))</f>
        <v>Accessory</v>
      </c>
      <c r="S1607" s="54">
        <f t="shared" si="350"/>
        <v>1.1259259259259302E-2</v>
      </c>
      <c r="T1607" s="55">
        <f t="shared" si="351"/>
        <v>1755</v>
      </c>
      <c r="U1607" s="55">
        <f t="shared" si="352"/>
        <v>1735.2399999999998</v>
      </c>
      <c r="V1607" s="55">
        <f t="shared" si="353"/>
        <v>-19.760000000000218</v>
      </c>
      <c r="W1607" s="55">
        <f t="shared" si="354"/>
        <v>1735.2399999999998</v>
      </c>
      <c r="X1607" s="55">
        <f t="shared" si="355"/>
        <v>0</v>
      </c>
      <c r="Y1607" s="55">
        <f t="shared" si="356"/>
        <v>1118</v>
      </c>
      <c r="Z1607" s="55">
        <f t="shared" si="357"/>
        <v>1118</v>
      </c>
      <c r="AA1607" s="55">
        <f t="shared" si="358"/>
        <v>0</v>
      </c>
      <c r="AB1607" s="55">
        <f t="shared" si="359"/>
        <v>617.23999999999978</v>
      </c>
      <c r="AC1607" s="54">
        <f t="shared" si="360"/>
        <v>0.35570872040755164</v>
      </c>
      <c r="AD1607" s="56">
        <f>INDEX(Assumptions!$B$14:$B$16,MATCH($R1607,Assumptions!$A$14:$A$16,0))</f>
        <v>0.32</v>
      </c>
      <c r="AE1607" s="56">
        <f>INDEX(Assumptions!$C$14:$C$16,MATCH($R1607,Assumptions!$A$14:$A$16,0))</f>
        <v>0.22</v>
      </c>
      <c r="AF1607" s="49">
        <f t="shared" si="361"/>
        <v>0</v>
      </c>
      <c r="AG1607" s="49">
        <f t="shared" si="362"/>
        <v>0</v>
      </c>
      <c r="AH1607" s="55">
        <f t="shared" si="363"/>
        <v>0</v>
      </c>
    </row>
    <row r="1608" spans="1:34" x14ac:dyDescent="0.2">
      <c r="A1608" s="48" t="s">
        <v>1324</v>
      </c>
      <c r="B1608" s="48">
        <v>1</v>
      </c>
      <c r="C1608" s="48" t="s">
        <v>1290</v>
      </c>
      <c r="D1608" s="48" t="s">
        <v>1258</v>
      </c>
      <c r="E1608" s="48" t="s">
        <v>309</v>
      </c>
      <c r="F1608" s="48" t="s">
        <v>280</v>
      </c>
      <c r="G1608" s="48" t="s">
        <v>298</v>
      </c>
      <c r="H1608" s="48" t="s">
        <v>70</v>
      </c>
      <c r="I1608" s="48" t="s">
        <v>93</v>
      </c>
      <c r="J1608" s="49">
        <v>8</v>
      </c>
      <c r="K1608" s="50">
        <v>134750</v>
      </c>
      <c r="L1608" s="50">
        <v>131708.04999999999</v>
      </c>
      <c r="M1608" s="48" t="s">
        <v>276</v>
      </c>
      <c r="N1608" s="51">
        <v>83.5</v>
      </c>
      <c r="O1608" s="51">
        <v>84.612200000000001</v>
      </c>
      <c r="P1608" s="52">
        <v>1351.7</v>
      </c>
      <c r="Q1608" s="52">
        <v>1371.7</v>
      </c>
      <c r="R1608" s="53" t="str">
        <f>INDEX(SKU_Master!$D$5:$D$34,MATCH($I1608,SKU_Master!$A$5:$A$34,0))</f>
        <v>Laptop</v>
      </c>
      <c r="S1608" s="54">
        <f t="shared" si="350"/>
        <v>2.2574768089053898E-2</v>
      </c>
      <c r="T1608" s="55">
        <f t="shared" si="351"/>
        <v>12910.179640718563</v>
      </c>
      <c r="U1608" s="55">
        <f t="shared" si="352"/>
        <v>12618.735329341316</v>
      </c>
      <c r="V1608" s="55">
        <f t="shared" si="353"/>
        <v>-291.44431137724678</v>
      </c>
      <c r="W1608" s="55">
        <f t="shared" si="354"/>
        <v>12452.866135143631</v>
      </c>
      <c r="X1608" s="55">
        <f t="shared" si="355"/>
        <v>-165.86919419768492</v>
      </c>
      <c r="Y1608" s="55">
        <f t="shared" si="356"/>
        <v>10813.6</v>
      </c>
      <c r="Z1608" s="55">
        <f t="shared" si="357"/>
        <v>10973.6</v>
      </c>
      <c r="AA1608" s="55">
        <f t="shared" si="358"/>
        <v>-160</v>
      </c>
      <c r="AB1608" s="55">
        <f t="shared" si="359"/>
        <v>1479.2661351436309</v>
      </c>
      <c r="AC1608" s="54">
        <f t="shared" si="360"/>
        <v>0.1187892103785607</v>
      </c>
      <c r="AD1608" s="56">
        <f>INDEX(Assumptions!$B$14:$B$16,MATCH($R1608,Assumptions!$A$14:$A$16,0))</f>
        <v>0.12</v>
      </c>
      <c r="AE1608" s="56">
        <f>INDEX(Assumptions!$C$14:$C$16,MATCH($R1608,Assumptions!$A$14:$A$16,0))</f>
        <v>0.08</v>
      </c>
      <c r="AF1608" s="49">
        <f t="shared" si="361"/>
        <v>0</v>
      </c>
      <c r="AG1608" s="49">
        <f t="shared" si="362"/>
        <v>0</v>
      </c>
      <c r="AH1608" s="55">
        <f t="shared" si="363"/>
        <v>15.07780107360486</v>
      </c>
    </row>
    <row r="1609" spans="1:34" x14ac:dyDescent="0.2">
      <c r="A1609" s="48" t="s">
        <v>1324</v>
      </c>
      <c r="B1609" s="48">
        <v>2</v>
      </c>
      <c r="C1609" s="48" t="s">
        <v>1290</v>
      </c>
      <c r="D1609" s="48" t="s">
        <v>1258</v>
      </c>
      <c r="E1609" s="48" t="s">
        <v>309</v>
      </c>
      <c r="F1609" s="48" t="s">
        <v>280</v>
      </c>
      <c r="G1609" s="48" t="s">
        <v>298</v>
      </c>
      <c r="H1609" s="48" t="s">
        <v>70</v>
      </c>
      <c r="I1609" s="48" t="s">
        <v>151</v>
      </c>
      <c r="J1609" s="49">
        <v>9</v>
      </c>
      <c r="K1609" s="50">
        <v>32735</v>
      </c>
      <c r="L1609" s="50">
        <v>31373.37</v>
      </c>
      <c r="M1609" s="48" t="s">
        <v>276</v>
      </c>
      <c r="N1609" s="51">
        <v>83.5</v>
      </c>
      <c r="O1609" s="51">
        <v>84.612200000000001</v>
      </c>
      <c r="P1609" s="52">
        <v>248.88</v>
      </c>
      <c r="Q1609" s="52">
        <v>253.88</v>
      </c>
      <c r="R1609" s="53" t="str">
        <f>INDEX(SKU_Master!$D$5:$D$34,MATCH($I1609,SKU_Master!$A$5:$A$34,0))</f>
        <v>Accessory</v>
      </c>
      <c r="S1609" s="54">
        <f t="shared" si="350"/>
        <v>4.1595539941958193E-2</v>
      </c>
      <c r="T1609" s="55">
        <f t="shared" si="351"/>
        <v>3528.3233532934132</v>
      </c>
      <c r="U1609" s="55">
        <f t="shared" si="352"/>
        <v>3381.5608383233534</v>
      </c>
      <c r="V1609" s="55">
        <f t="shared" si="353"/>
        <v>-146.76251497005978</v>
      </c>
      <c r="W1609" s="55">
        <f t="shared" si="354"/>
        <v>3337.1113149167613</v>
      </c>
      <c r="X1609" s="55">
        <f t="shared" si="355"/>
        <v>-44.449523406592107</v>
      </c>
      <c r="Y1609" s="55">
        <f t="shared" si="356"/>
        <v>2239.92</v>
      </c>
      <c r="Z1609" s="55">
        <f t="shared" si="357"/>
        <v>2284.92</v>
      </c>
      <c r="AA1609" s="55">
        <f t="shared" si="358"/>
        <v>-45</v>
      </c>
      <c r="AB1609" s="55">
        <f t="shared" si="359"/>
        <v>1052.1913149167613</v>
      </c>
      <c r="AC1609" s="54">
        <f t="shared" si="360"/>
        <v>0.31530003515720495</v>
      </c>
      <c r="AD1609" s="56">
        <f>INDEX(Assumptions!$B$14:$B$16,MATCH($R1609,Assumptions!$A$14:$A$16,0))</f>
        <v>0.32</v>
      </c>
      <c r="AE1609" s="56">
        <f>INDEX(Assumptions!$C$14:$C$16,MATCH($R1609,Assumptions!$A$14:$A$16,0))</f>
        <v>0.22</v>
      </c>
      <c r="AF1609" s="49">
        <f t="shared" si="361"/>
        <v>0</v>
      </c>
      <c r="AG1609" s="49">
        <f t="shared" si="362"/>
        <v>0</v>
      </c>
      <c r="AH1609" s="55">
        <f t="shared" si="363"/>
        <v>15.68430585660235</v>
      </c>
    </row>
    <row r="1610" spans="1:34" x14ac:dyDescent="0.2">
      <c r="A1610" s="48" t="s">
        <v>1325</v>
      </c>
      <c r="B1610" s="48">
        <v>1</v>
      </c>
      <c r="C1610" s="48" t="s">
        <v>1286</v>
      </c>
      <c r="D1610" s="48" t="s">
        <v>1258</v>
      </c>
      <c r="E1610" s="48" t="s">
        <v>374</v>
      </c>
      <c r="F1610" s="48" t="s">
        <v>274</v>
      </c>
      <c r="G1610" s="48" t="s">
        <v>281</v>
      </c>
      <c r="H1610" s="48" t="s">
        <v>62</v>
      </c>
      <c r="I1610" s="48" t="s">
        <v>98</v>
      </c>
      <c r="J1610" s="49">
        <v>2</v>
      </c>
      <c r="K1610" s="50">
        <v>2085</v>
      </c>
      <c r="L1610" s="50">
        <v>2049.6799999999998</v>
      </c>
      <c r="M1610" s="48" t="s">
        <v>276</v>
      </c>
      <c r="N1610" s="51">
        <v>1</v>
      </c>
      <c r="O1610" s="51">
        <v>1</v>
      </c>
      <c r="P1610" s="52">
        <v>1780.2</v>
      </c>
      <c r="Q1610" s="52">
        <v>1780.2</v>
      </c>
      <c r="R1610" s="53" t="str">
        <f>INDEX(SKU_Master!$D$5:$D$34,MATCH($I1610,SKU_Master!$A$5:$A$34,0))</f>
        <v>Laptop</v>
      </c>
      <c r="S1610" s="54">
        <f t="shared" si="350"/>
        <v>1.6940047961630733E-2</v>
      </c>
      <c r="T1610" s="55">
        <f t="shared" si="351"/>
        <v>4170</v>
      </c>
      <c r="U1610" s="55">
        <f t="shared" si="352"/>
        <v>4099.3599999999997</v>
      </c>
      <c r="V1610" s="55">
        <f t="shared" si="353"/>
        <v>-70.640000000000327</v>
      </c>
      <c r="W1610" s="55">
        <f t="shared" si="354"/>
        <v>4099.3599999999997</v>
      </c>
      <c r="X1610" s="55">
        <f t="shared" si="355"/>
        <v>0</v>
      </c>
      <c r="Y1610" s="55">
        <f t="shared" si="356"/>
        <v>3560.4</v>
      </c>
      <c r="Z1610" s="55">
        <f t="shared" si="357"/>
        <v>3560.4</v>
      </c>
      <c r="AA1610" s="55">
        <f t="shared" si="358"/>
        <v>0</v>
      </c>
      <c r="AB1610" s="55">
        <f t="shared" si="359"/>
        <v>538.95999999999958</v>
      </c>
      <c r="AC1610" s="54">
        <f t="shared" si="360"/>
        <v>0.13147418133562302</v>
      </c>
      <c r="AD1610" s="56">
        <f>INDEX(Assumptions!$B$14:$B$16,MATCH($R1610,Assumptions!$A$14:$A$16,0))</f>
        <v>0.12</v>
      </c>
      <c r="AE1610" s="56">
        <f>INDEX(Assumptions!$C$14:$C$16,MATCH($R1610,Assumptions!$A$14:$A$16,0))</f>
        <v>0.08</v>
      </c>
      <c r="AF1610" s="49">
        <f t="shared" si="361"/>
        <v>0</v>
      </c>
      <c r="AG1610" s="49">
        <f t="shared" si="362"/>
        <v>0</v>
      </c>
      <c r="AH1610" s="55">
        <f t="shared" si="363"/>
        <v>0</v>
      </c>
    </row>
    <row r="1611" spans="1:34" x14ac:dyDescent="0.2">
      <c r="A1611" s="48" t="s">
        <v>1325</v>
      </c>
      <c r="B1611" s="48">
        <v>2</v>
      </c>
      <c r="C1611" s="48" t="s">
        <v>1286</v>
      </c>
      <c r="D1611" s="48" t="s">
        <v>1258</v>
      </c>
      <c r="E1611" s="48" t="s">
        <v>374</v>
      </c>
      <c r="F1611" s="48" t="s">
        <v>274</v>
      </c>
      <c r="G1611" s="48" t="s">
        <v>281</v>
      </c>
      <c r="H1611" s="48" t="s">
        <v>62</v>
      </c>
      <c r="I1611" s="48" t="s">
        <v>135</v>
      </c>
      <c r="J1611" s="49">
        <v>2</v>
      </c>
      <c r="K1611" s="50">
        <v>240</v>
      </c>
      <c r="L1611" s="50">
        <v>237.34</v>
      </c>
      <c r="M1611" s="48" t="s">
        <v>276</v>
      </c>
      <c r="N1611" s="51">
        <v>1</v>
      </c>
      <c r="O1611" s="51">
        <v>1</v>
      </c>
      <c r="P1611" s="52">
        <v>186.7</v>
      </c>
      <c r="Q1611" s="52">
        <v>186.7</v>
      </c>
      <c r="R1611" s="53" t="str">
        <f>INDEX(SKU_Master!$D$5:$D$34,MATCH($I1611,SKU_Master!$A$5:$A$34,0))</f>
        <v>Monitor</v>
      </c>
      <c r="S1611" s="54">
        <f t="shared" si="350"/>
        <v>1.1083333333333334E-2</v>
      </c>
      <c r="T1611" s="55">
        <f t="shared" si="351"/>
        <v>480</v>
      </c>
      <c r="U1611" s="55">
        <f t="shared" si="352"/>
        <v>474.68</v>
      </c>
      <c r="V1611" s="55">
        <f t="shared" si="353"/>
        <v>-5.3199999999999932</v>
      </c>
      <c r="W1611" s="55">
        <f t="shared" si="354"/>
        <v>474.68</v>
      </c>
      <c r="X1611" s="55">
        <f t="shared" si="355"/>
        <v>0</v>
      </c>
      <c r="Y1611" s="55">
        <f t="shared" si="356"/>
        <v>373.4</v>
      </c>
      <c r="Z1611" s="55">
        <f t="shared" si="357"/>
        <v>373.4</v>
      </c>
      <c r="AA1611" s="55">
        <f t="shared" si="358"/>
        <v>0</v>
      </c>
      <c r="AB1611" s="55">
        <f t="shared" si="359"/>
        <v>101.28000000000003</v>
      </c>
      <c r="AC1611" s="54">
        <f t="shared" si="360"/>
        <v>0.21336479312378873</v>
      </c>
      <c r="AD1611" s="56">
        <f>INDEX(Assumptions!$B$14:$B$16,MATCH($R1611,Assumptions!$A$14:$A$16,0))</f>
        <v>0.18</v>
      </c>
      <c r="AE1611" s="56">
        <f>INDEX(Assumptions!$C$14:$C$16,MATCH($R1611,Assumptions!$A$14:$A$16,0))</f>
        <v>0.12</v>
      </c>
      <c r="AF1611" s="49">
        <f t="shared" si="361"/>
        <v>0</v>
      </c>
      <c r="AG1611" s="49">
        <f t="shared" si="362"/>
        <v>0</v>
      </c>
      <c r="AH1611" s="55">
        <f t="shared" si="363"/>
        <v>0</v>
      </c>
    </row>
    <row r="1612" spans="1:34" x14ac:dyDescent="0.2">
      <c r="A1612" s="48" t="s">
        <v>1325</v>
      </c>
      <c r="B1612" s="48">
        <v>3</v>
      </c>
      <c r="C1612" s="48" t="s">
        <v>1286</v>
      </c>
      <c r="D1612" s="48" t="s">
        <v>1258</v>
      </c>
      <c r="E1612" s="48" t="s">
        <v>374</v>
      </c>
      <c r="F1612" s="48" t="s">
        <v>274</v>
      </c>
      <c r="G1612" s="48" t="s">
        <v>281</v>
      </c>
      <c r="H1612" s="48" t="s">
        <v>62</v>
      </c>
      <c r="I1612" s="48" t="s">
        <v>157</v>
      </c>
      <c r="J1612" s="49">
        <v>1</v>
      </c>
      <c r="K1612" s="50">
        <v>135</v>
      </c>
      <c r="L1612" s="50">
        <v>132.31</v>
      </c>
      <c r="M1612" s="48" t="s">
        <v>276</v>
      </c>
      <c r="N1612" s="51">
        <v>1</v>
      </c>
      <c r="O1612" s="51">
        <v>1</v>
      </c>
      <c r="P1612" s="52">
        <v>86</v>
      </c>
      <c r="Q1612" s="52">
        <v>86</v>
      </c>
      <c r="R1612" s="53" t="str">
        <f>INDEX(SKU_Master!$D$5:$D$34,MATCH($I1612,SKU_Master!$A$5:$A$34,0))</f>
        <v>Accessory</v>
      </c>
      <c r="S1612" s="54">
        <f t="shared" si="350"/>
        <v>1.9925925925925903E-2</v>
      </c>
      <c r="T1612" s="55">
        <f t="shared" si="351"/>
        <v>135</v>
      </c>
      <c r="U1612" s="55">
        <f t="shared" si="352"/>
        <v>132.31</v>
      </c>
      <c r="V1612" s="55">
        <f t="shared" si="353"/>
        <v>-2.6899999999999977</v>
      </c>
      <c r="W1612" s="55">
        <f t="shared" si="354"/>
        <v>132.31</v>
      </c>
      <c r="X1612" s="55">
        <f t="shared" si="355"/>
        <v>0</v>
      </c>
      <c r="Y1612" s="55">
        <f t="shared" si="356"/>
        <v>86</v>
      </c>
      <c r="Z1612" s="55">
        <f t="shared" si="357"/>
        <v>86</v>
      </c>
      <c r="AA1612" s="55">
        <f t="shared" si="358"/>
        <v>0</v>
      </c>
      <c r="AB1612" s="55">
        <f t="shared" si="359"/>
        <v>46.31</v>
      </c>
      <c r="AC1612" s="54">
        <f t="shared" si="360"/>
        <v>0.35001133701156378</v>
      </c>
      <c r="AD1612" s="56">
        <f>INDEX(Assumptions!$B$14:$B$16,MATCH($R1612,Assumptions!$A$14:$A$16,0))</f>
        <v>0.32</v>
      </c>
      <c r="AE1612" s="56">
        <f>INDEX(Assumptions!$C$14:$C$16,MATCH($R1612,Assumptions!$A$14:$A$16,0))</f>
        <v>0.22</v>
      </c>
      <c r="AF1612" s="49">
        <f t="shared" si="361"/>
        <v>0</v>
      </c>
      <c r="AG1612" s="49">
        <f t="shared" si="362"/>
        <v>0</v>
      </c>
      <c r="AH1612" s="55">
        <f t="shared" si="363"/>
        <v>0</v>
      </c>
    </row>
    <row r="1613" spans="1:34" x14ac:dyDescent="0.2">
      <c r="A1613" s="48" t="s">
        <v>1326</v>
      </c>
      <c r="B1613" s="48">
        <v>1</v>
      </c>
      <c r="C1613" s="48" t="s">
        <v>1327</v>
      </c>
      <c r="D1613" s="48" t="s">
        <v>1258</v>
      </c>
      <c r="E1613" s="48" t="s">
        <v>296</v>
      </c>
      <c r="F1613" s="48" t="s">
        <v>297</v>
      </c>
      <c r="G1613" s="48" t="s">
        <v>298</v>
      </c>
      <c r="H1613" s="48" t="s">
        <v>66</v>
      </c>
      <c r="I1613" s="48" t="s">
        <v>115</v>
      </c>
      <c r="J1613" s="49">
        <v>55</v>
      </c>
      <c r="K1613" s="50">
        <v>820</v>
      </c>
      <c r="L1613" s="50">
        <v>786.97</v>
      </c>
      <c r="M1613" s="48" t="s">
        <v>276</v>
      </c>
      <c r="N1613" s="51">
        <v>0.92</v>
      </c>
      <c r="O1613" s="51">
        <v>0.9335</v>
      </c>
      <c r="P1613" s="52">
        <v>743.6</v>
      </c>
      <c r="Q1613" s="52">
        <v>743.6</v>
      </c>
      <c r="R1613" s="53" t="str">
        <f>INDEX(SKU_Master!$D$5:$D$34,MATCH($I1613,SKU_Master!$A$5:$A$34,0))</f>
        <v>Laptop</v>
      </c>
      <c r="S1613" s="54">
        <f t="shared" si="350"/>
        <v>4.0280487804878029E-2</v>
      </c>
      <c r="T1613" s="55">
        <f t="shared" si="351"/>
        <v>49021.739130434784</v>
      </c>
      <c r="U1613" s="55">
        <f t="shared" si="352"/>
        <v>47047.119565217385</v>
      </c>
      <c r="V1613" s="55">
        <f t="shared" si="353"/>
        <v>-1974.6195652173992</v>
      </c>
      <c r="W1613" s="55">
        <f t="shared" si="354"/>
        <v>46366.738082485266</v>
      </c>
      <c r="X1613" s="55">
        <f t="shared" si="355"/>
        <v>-680.38148273211846</v>
      </c>
      <c r="Y1613" s="55">
        <f t="shared" si="356"/>
        <v>40898</v>
      </c>
      <c r="Z1613" s="55">
        <f t="shared" si="357"/>
        <v>40898</v>
      </c>
      <c r="AA1613" s="55">
        <f t="shared" si="358"/>
        <v>0</v>
      </c>
      <c r="AB1613" s="55">
        <f t="shared" si="359"/>
        <v>5468.7380824852662</v>
      </c>
      <c r="AC1613" s="54">
        <f t="shared" si="360"/>
        <v>0.11794528381005621</v>
      </c>
      <c r="AD1613" s="56">
        <f>INDEX(Assumptions!$B$14:$B$16,MATCH($R1613,Assumptions!$A$14:$A$16,0))</f>
        <v>0.12</v>
      </c>
      <c r="AE1613" s="56">
        <f>INDEX(Assumptions!$C$14:$C$16,MATCH($R1613,Assumptions!$A$14:$A$16,0))</f>
        <v>0.08</v>
      </c>
      <c r="AF1613" s="49">
        <f t="shared" si="361"/>
        <v>0</v>
      </c>
      <c r="AG1613" s="49">
        <f t="shared" si="362"/>
        <v>0</v>
      </c>
      <c r="AH1613" s="55">
        <f t="shared" si="363"/>
        <v>95.270487412965849</v>
      </c>
    </row>
    <row r="1614" spans="1:34" x14ac:dyDescent="0.2">
      <c r="A1614" s="48" t="s">
        <v>1326</v>
      </c>
      <c r="B1614" s="48">
        <v>2</v>
      </c>
      <c r="C1614" s="48" t="s">
        <v>1327</v>
      </c>
      <c r="D1614" s="48" t="s">
        <v>1258</v>
      </c>
      <c r="E1614" s="48" t="s">
        <v>296</v>
      </c>
      <c r="F1614" s="48" t="s">
        <v>297</v>
      </c>
      <c r="G1614" s="48" t="s">
        <v>298</v>
      </c>
      <c r="H1614" s="48" t="s">
        <v>66</v>
      </c>
      <c r="I1614" s="48" t="s">
        <v>141</v>
      </c>
      <c r="J1614" s="49">
        <v>61</v>
      </c>
      <c r="K1614" s="50">
        <v>450</v>
      </c>
      <c r="L1614" s="50">
        <v>437.63</v>
      </c>
      <c r="M1614" s="48" t="s">
        <v>276</v>
      </c>
      <c r="N1614" s="51">
        <v>0.92</v>
      </c>
      <c r="O1614" s="51">
        <v>0.9335</v>
      </c>
      <c r="P1614" s="52">
        <v>376.7</v>
      </c>
      <c r="Q1614" s="52">
        <v>376.7</v>
      </c>
      <c r="R1614" s="53" t="str">
        <f>INDEX(SKU_Master!$D$5:$D$34,MATCH($I1614,SKU_Master!$A$5:$A$34,0))</f>
        <v>Monitor</v>
      </c>
      <c r="S1614" s="54">
        <f t="shared" si="350"/>
        <v>2.7488888888888896E-2</v>
      </c>
      <c r="T1614" s="55">
        <f t="shared" si="351"/>
        <v>29836.956521739128</v>
      </c>
      <c r="U1614" s="55">
        <f t="shared" si="352"/>
        <v>29016.771739130432</v>
      </c>
      <c r="V1614" s="55">
        <f t="shared" si="353"/>
        <v>-820.18478260869597</v>
      </c>
      <c r="W1614" s="55">
        <f t="shared" si="354"/>
        <v>28597.139796464919</v>
      </c>
      <c r="X1614" s="55">
        <f t="shared" si="355"/>
        <v>-419.63194266551363</v>
      </c>
      <c r="Y1614" s="55">
        <f t="shared" si="356"/>
        <v>22978.7</v>
      </c>
      <c r="Z1614" s="55">
        <f t="shared" si="357"/>
        <v>22978.7</v>
      </c>
      <c r="AA1614" s="55">
        <f t="shared" si="358"/>
        <v>0</v>
      </c>
      <c r="AB1614" s="55">
        <f t="shared" si="359"/>
        <v>5618.4397964649179</v>
      </c>
      <c r="AC1614" s="54">
        <f t="shared" si="360"/>
        <v>0.19646859218974935</v>
      </c>
      <c r="AD1614" s="56">
        <f>INDEX(Assumptions!$B$14:$B$16,MATCH($R1614,Assumptions!$A$14:$A$16,0))</f>
        <v>0.18</v>
      </c>
      <c r="AE1614" s="56">
        <f>INDEX(Assumptions!$C$14:$C$16,MATCH($R1614,Assumptions!$A$14:$A$16,0))</f>
        <v>0.12</v>
      </c>
      <c r="AF1614" s="49">
        <f t="shared" si="361"/>
        <v>0</v>
      </c>
      <c r="AG1614" s="49">
        <f t="shared" si="362"/>
        <v>0</v>
      </c>
      <c r="AH1614" s="55">
        <f t="shared" si="363"/>
        <v>0</v>
      </c>
    </row>
    <row r="1615" spans="1:34" x14ac:dyDescent="0.2">
      <c r="A1615" s="48" t="s">
        <v>1326</v>
      </c>
      <c r="B1615" s="48">
        <v>3</v>
      </c>
      <c r="C1615" s="48" t="s">
        <v>1327</v>
      </c>
      <c r="D1615" s="48" t="s">
        <v>1258</v>
      </c>
      <c r="E1615" s="48" t="s">
        <v>296</v>
      </c>
      <c r="F1615" s="48" t="s">
        <v>297</v>
      </c>
      <c r="G1615" s="48" t="s">
        <v>298</v>
      </c>
      <c r="H1615" s="48" t="s">
        <v>66</v>
      </c>
      <c r="I1615" s="48" t="s">
        <v>166</v>
      </c>
      <c r="J1615" s="49">
        <v>39</v>
      </c>
      <c r="K1615" s="50">
        <v>255</v>
      </c>
      <c r="L1615" s="50">
        <v>246.08</v>
      </c>
      <c r="M1615" s="48" t="s">
        <v>276</v>
      </c>
      <c r="N1615" s="51">
        <v>0.92</v>
      </c>
      <c r="O1615" s="51">
        <v>0.9335</v>
      </c>
      <c r="P1615" s="52">
        <v>174.35</v>
      </c>
      <c r="Q1615" s="52">
        <v>174.35</v>
      </c>
      <c r="R1615" s="53" t="str">
        <f>INDEX(SKU_Master!$D$5:$D$34,MATCH($I1615,SKU_Master!$A$5:$A$34,0))</f>
        <v>Accessory</v>
      </c>
      <c r="S1615" s="54">
        <f t="shared" si="350"/>
        <v>3.4980392156862661E-2</v>
      </c>
      <c r="T1615" s="55">
        <f t="shared" si="351"/>
        <v>10809.782608695652</v>
      </c>
      <c r="U1615" s="55">
        <f t="shared" si="352"/>
        <v>10431.652173913044</v>
      </c>
      <c r="V1615" s="55">
        <f t="shared" si="353"/>
        <v>-378.13043478260806</v>
      </c>
      <c r="W1615" s="55">
        <f t="shared" si="354"/>
        <v>10280.792715586504</v>
      </c>
      <c r="X1615" s="55">
        <f t="shared" si="355"/>
        <v>-150.85945832654033</v>
      </c>
      <c r="Y1615" s="55">
        <f t="shared" si="356"/>
        <v>6799.65</v>
      </c>
      <c r="Z1615" s="55">
        <f t="shared" si="357"/>
        <v>6799.65</v>
      </c>
      <c r="AA1615" s="55">
        <f t="shared" si="358"/>
        <v>0</v>
      </c>
      <c r="AB1615" s="55">
        <f t="shared" si="359"/>
        <v>3481.142715586504</v>
      </c>
      <c r="AC1615" s="54">
        <f t="shared" si="360"/>
        <v>0.33860644912223681</v>
      </c>
      <c r="AD1615" s="56">
        <f>INDEX(Assumptions!$B$14:$B$16,MATCH($R1615,Assumptions!$A$14:$A$16,0))</f>
        <v>0.32</v>
      </c>
      <c r="AE1615" s="56">
        <f>INDEX(Assumptions!$C$14:$C$16,MATCH($R1615,Assumptions!$A$14:$A$16,0))</f>
        <v>0.22</v>
      </c>
      <c r="AF1615" s="49">
        <f t="shared" si="361"/>
        <v>0</v>
      </c>
      <c r="AG1615" s="49">
        <f t="shared" si="362"/>
        <v>0</v>
      </c>
      <c r="AH1615" s="55">
        <f t="shared" si="363"/>
        <v>0</v>
      </c>
    </row>
    <row r="1616" spans="1:34" x14ac:dyDescent="0.2">
      <c r="A1616" s="48" t="s">
        <v>1328</v>
      </c>
      <c r="B1616" s="48">
        <v>1</v>
      </c>
      <c r="C1616" s="48" t="s">
        <v>1329</v>
      </c>
      <c r="D1616" s="48" t="s">
        <v>1258</v>
      </c>
      <c r="E1616" s="48" t="s">
        <v>362</v>
      </c>
      <c r="F1616" s="48" t="s">
        <v>280</v>
      </c>
      <c r="G1616" s="48" t="s">
        <v>275</v>
      </c>
      <c r="H1616" s="48" t="s">
        <v>62</v>
      </c>
      <c r="I1616" s="48" t="s">
        <v>108</v>
      </c>
      <c r="J1616" s="49">
        <v>29</v>
      </c>
      <c r="K1616" s="50">
        <v>1345</v>
      </c>
      <c r="L1616" s="50">
        <v>1289.31</v>
      </c>
      <c r="M1616" s="48" t="s">
        <v>276</v>
      </c>
      <c r="N1616" s="51">
        <v>1</v>
      </c>
      <c r="O1616" s="51">
        <v>1</v>
      </c>
      <c r="P1616" s="52">
        <v>1145</v>
      </c>
      <c r="Q1616" s="52">
        <v>1212.6199999999999</v>
      </c>
      <c r="R1616" s="53" t="str">
        <f>INDEX(SKU_Master!$D$5:$D$34,MATCH($I1616,SKU_Master!$A$5:$A$34,0))</f>
        <v>Laptop</v>
      </c>
      <c r="S1616" s="54">
        <f t="shared" si="350"/>
        <v>4.1405204460966627E-2</v>
      </c>
      <c r="T1616" s="55">
        <f t="shared" si="351"/>
        <v>39005</v>
      </c>
      <c r="U1616" s="55">
        <f t="shared" si="352"/>
        <v>37389.99</v>
      </c>
      <c r="V1616" s="55">
        <f t="shared" si="353"/>
        <v>-1615.010000000002</v>
      </c>
      <c r="W1616" s="55">
        <f t="shared" si="354"/>
        <v>37389.99</v>
      </c>
      <c r="X1616" s="55">
        <f t="shared" si="355"/>
        <v>0</v>
      </c>
      <c r="Y1616" s="55">
        <f t="shared" si="356"/>
        <v>33205</v>
      </c>
      <c r="Z1616" s="55">
        <f t="shared" si="357"/>
        <v>35165.979999999996</v>
      </c>
      <c r="AA1616" s="55">
        <f t="shared" si="358"/>
        <v>-1960.9799999999959</v>
      </c>
      <c r="AB1616" s="55">
        <f t="shared" si="359"/>
        <v>2224.010000000002</v>
      </c>
      <c r="AC1616" s="54">
        <f t="shared" si="360"/>
        <v>5.9481428050662817E-2</v>
      </c>
      <c r="AD1616" s="56">
        <f>INDEX(Assumptions!$B$14:$B$16,MATCH($R1616,Assumptions!$A$14:$A$16,0))</f>
        <v>0.12</v>
      </c>
      <c r="AE1616" s="56">
        <f>INDEX(Assumptions!$C$14:$C$16,MATCH($R1616,Assumptions!$A$14:$A$16,0))</f>
        <v>0.08</v>
      </c>
      <c r="AF1616" s="49">
        <f t="shared" si="361"/>
        <v>1</v>
      </c>
      <c r="AG1616" s="49">
        <f t="shared" si="362"/>
        <v>1</v>
      </c>
      <c r="AH1616" s="55">
        <f t="shared" si="363"/>
        <v>2262.7887999999975</v>
      </c>
    </row>
    <row r="1617" spans="1:34" x14ac:dyDescent="0.2">
      <c r="A1617" s="48" t="s">
        <v>1328</v>
      </c>
      <c r="B1617" s="48">
        <v>2</v>
      </c>
      <c r="C1617" s="48" t="s">
        <v>1329</v>
      </c>
      <c r="D1617" s="48" t="s">
        <v>1258</v>
      </c>
      <c r="E1617" s="48" t="s">
        <v>362</v>
      </c>
      <c r="F1617" s="48" t="s">
        <v>280</v>
      </c>
      <c r="G1617" s="48" t="s">
        <v>275</v>
      </c>
      <c r="H1617" s="48" t="s">
        <v>62</v>
      </c>
      <c r="I1617" s="48" t="s">
        <v>177</v>
      </c>
      <c r="J1617" s="49">
        <v>29</v>
      </c>
      <c r="K1617" s="50">
        <v>70</v>
      </c>
      <c r="L1617" s="50">
        <v>69.14</v>
      </c>
      <c r="M1617" s="48" t="s">
        <v>276</v>
      </c>
      <c r="N1617" s="51">
        <v>1</v>
      </c>
      <c r="O1617" s="51">
        <v>1</v>
      </c>
      <c r="P1617" s="52">
        <v>44</v>
      </c>
      <c r="Q1617" s="52">
        <v>44</v>
      </c>
      <c r="R1617" s="53" t="str">
        <f>INDEX(SKU_Master!$D$5:$D$34,MATCH($I1617,SKU_Master!$A$5:$A$34,0))</f>
        <v>Accessory</v>
      </c>
      <c r="S1617" s="54">
        <f t="shared" si="350"/>
        <v>1.2285714285714233E-2</v>
      </c>
      <c r="T1617" s="55">
        <f t="shared" si="351"/>
        <v>2030</v>
      </c>
      <c r="U1617" s="55">
        <f t="shared" si="352"/>
        <v>2005.06</v>
      </c>
      <c r="V1617" s="55">
        <f t="shared" si="353"/>
        <v>-24.940000000000055</v>
      </c>
      <c r="W1617" s="55">
        <f t="shared" si="354"/>
        <v>2005.06</v>
      </c>
      <c r="X1617" s="55">
        <f t="shared" si="355"/>
        <v>0</v>
      </c>
      <c r="Y1617" s="55">
        <f t="shared" si="356"/>
        <v>1276</v>
      </c>
      <c r="Z1617" s="55">
        <f t="shared" si="357"/>
        <v>1276</v>
      </c>
      <c r="AA1617" s="55">
        <f t="shared" si="358"/>
        <v>0</v>
      </c>
      <c r="AB1617" s="55">
        <f t="shared" si="359"/>
        <v>729.06</v>
      </c>
      <c r="AC1617" s="54">
        <f t="shared" si="360"/>
        <v>0.36361006653167482</v>
      </c>
      <c r="AD1617" s="56">
        <f>INDEX(Assumptions!$B$14:$B$16,MATCH($R1617,Assumptions!$A$14:$A$16,0))</f>
        <v>0.32</v>
      </c>
      <c r="AE1617" s="56">
        <f>INDEX(Assumptions!$C$14:$C$16,MATCH($R1617,Assumptions!$A$14:$A$16,0))</f>
        <v>0.22</v>
      </c>
      <c r="AF1617" s="49">
        <f t="shared" si="361"/>
        <v>0</v>
      </c>
      <c r="AG1617" s="49">
        <f t="shared" si="362"/>
        <v>0</v>
      </c>
      <c r="AH1617" s="55">
        <f t="shared" si="363"/>
        <v>0</v>
      </c>
    </row>
    <row r="1618" spans="1:34" x14ac:dyDescent="0.2">
      <c r="A1618" s="48" t="s">
        <v>1330</v>
      </c>
      <c r="B1618" s="48">
        <v>1</v>
      </c>
      <c r="C1618" s="48" t="s">
        <v>1264</v>
      </c>
      <c r="D1618" s="48" t="s">
        <v>1258</v>
      </c>
      <c r="E1618" s="48" t="s">
        <v>407</v>
      </c>
      <c r="F1618" s="48" t="s">
        <v>274</v>
      </c>
      <c r="G1618" s="48" t="s">
        <v>302</v>
      </c>
      <c r="H1618" s="48" t="s">
        <v>62</v>
      </c>
      <c r="I1618" s="48" t="s">
        <v>110</v>
      </c>
      <c r="J1618" s="49">
        <v>2</v>
      </c>
      <c r="K1618" s="50">
        <v>1165</v>
      </c>
      <c r="L1618" s="50">
        <v>1103.75</v>
      </c>
      <c r="M1618" s="48" t="s">
        <v>276</v>
      </c>
      <c r="N1618" s="51">
        <v>1</v>
      </c>
      <c r="O1618" s="51">
        <v>1</v>
      </c>
      <c r="P1618" s="52">
        <v>992.65</v>
      </c>
      <c r="Q1618" s="52">
        <v>992.65</v>
      </c>
      <c r="R1618" s="53" t="str">
        <f>INDEX(SKU_Master!$D$5:$D$34,MATCH($I1618,SKU_Master!$A$5:$A$34,0))</f>
        <v>Laptop</v>
      </c>
      <c r="S1618" s="54">
        <f t="shared" si="350"/>
        <v>5.2575107296137347E-2</v>
      </c>
      <c r="T1618" s="55">
        <f t="shared" si="351"/>
        <v>2330</v>
      </c>
      <c r="U1618" s="55">
        <f t="shared" si="352"/>
        <v>2207.5</v>
      </c>
      <c r="V1618" s="55">
        <f t="shared" si="353"/>
        <v>-122.5</v>
      </c>
      <c r="W1618" s="55">
        <f t="shared" si="354"/>
        <v>2207.5</v>
      </c>
      <c r="X1618" s="55">
        <f t="shared" si="355"/>
        <v>0</v>
      </c>
      <c r="Y1618" s="55">
        <f t="shared" si="356"/>
        <v>1985.3</v>
      </c>
      <c r="Z1618" s="55">
        <f t="shared" si="357"/>
        <v>1985.3</v>
      </c>
      <c r="AA1618" s="55">
        <f t="shared" si="358"/>
        <v>0</v>
      </c>
      <c r="AB1618" s="55">
        <f t="shared" si="359"/>
        <v>222.20000000000005</v>
      </c>
      <c r="AC1618" s="54">
        <f t="shared" si="360"/>
        <v>0.10065685164212912</v>
      </c>
      <c r="AD1618" s="56">
        <f>INDEX(Assumptions!$B$14:$B$16,MATCH($R1618,Assumptions!$A$14:$A$16,0))</f>
        <v>0.12</v>
      </c>
      <c r="AE1618" s="56">
        <f>INDEX(Assumptions!$C$14:$C$16,MATCH($R1618,Assumptions!$A$14:$A$16,0))</f>
        <v>0.08</v>
      </c>
      <c r="AF1618" s="49">
        <f t="shared" si="361"/>
        <v>0</v>
      </c>
      <c r="AG1618" s="49">
        <f t="shared" si="362"/>
        <v>0</v>
      </c>
      <c r="AH1618" s="55">
        <f t="shared" si="363"/>
        <v>42.699999999999932</v>
      </c>
    </row>
    <row r="1619" spans="1:34" x14ac:dyDescent="0.2">
      <c r="A1619" s="48" t="s">
        <v>1331</v>
      </c>
      <c r="B1619" s="48">
        <v>1</v>
      </c>
      <c r="C1619" s="48" t="s">
        <v>1264</v>
      </c>
      <c r="D1619" s="48" t="s">
        <v>1258</v>
      </c>
      <c r="E1619" s="48" t="s">
        <v>296</v>
      </c>
      <c r="F1619" s="48" t="s">
        <v>297</v>
      </c>
      <c r="G1619" s="48" t="s">
        <v>298</v>
      </c>
      <c r="H1619" s="48" t="s">
        <v>66</v>
      </c>
      <c r="I1619" s="48" t="s">
        <v>115</v>
      </c>
      <c r="J1619" s="49">
        <v>34</v>
      </c>
      <c r="K1619" s="50">
        <v>820</v>
      </c>
      <c r="L1619" s="50">
        <v>797.04</v>
      </c>
      <c r="M1619" s="48" t="s">
        <v>276</v>
      </c>
      <c r="N1619" s="51">
        <v>0.92</v>
      </c>
      <c r="O1619" s="51">
        <v>0.9335</v>
      </c>
      <c r="P1619" s="52">
        <v>743.6</v>
      </c>
      <c r="Q1619" s="52">
        <v>743.6</v>
      </c>
      <c r="R1619" s="53" t="str">
        <f>INDEX(SKU_Master!$D$5:$D$34,MATCH($I1619,SKU_Master!$A$5:$A$34,0))</f>
        <v>Laptop</v>
      </c>
      <c r="S1619" s="54">
        <f t="shared" si="350"/>
        <v>2.8000000000000025E-2</v>
      </c>
      <c r="T1619" s="55">
        <f t="shared" si="351"/>
        <v>30304.347826086956</v>
      </c>
      <c r="U1619" s="55">
        <f t="shared" si="352"/>
        <v>29455.82608695652</v>
      </c>
      <c r="V1619" s="55">
        <f t="shared" si="353"/>
        <v>-848.52173913043589</v>
      </c>
      <c r="W1619" s="55">
        <f t="shared" si="354"/>
        <v>29029.844670594539</v>
      </c>
      <c r="X1619" s="55">
        <f t="shared" si="355"/>
        <v>-425.98141636198125</v>
      </c>
      <c r="Y1619" s="55">
        <f t="shared" si="356"/>
        <v>25282.400000000001</v>
      </c>
      <c r="Z1619" s="55">
        <f t="shared" si="357"/>
        <v>25282.400000000001</v>
      </c>
      <c r="AA1619" s="55">
        <f t="shared" si="358"/>
        <v>0</v>
      </c>
      <c r="AB1619" s="55">
        <f t="shared" si="359"/>
        <v>3747.4446705945375</v>
      </c>
      <c r="AC1619" s="54">
        <f t="shared" si="360"/>
        <v>0.12908938070862191</v>
      </c>
      <c r="AD1619" s="56">
        <f>INDEX(Assumptions!$B$14:$B$16,MATCH($R1619,Assumptions!$A$14:$A$16,0))</f>
        <v>0.12</v>
      </c>
      <c r="AE1619" s="56">
        <f>INDEX(Assumptions!$C$14:$C$16,MATCH($R1619,Assumptions!$A$14:$A$16,0))</f>
        <v>0.08</v>
      </c>
      <c r="AF1619" s="49">
        <f t="shared" si="361"/>
        <v>0</v>
      </c>
      <c r="AG1619" s="49">
        <f t="shared" si="362"/>
        <v>0</v>
      </c>
      <c r="AH1619" s="55">
        <f t="shared" si="363"/>
        <v>0</v>
      </c>
    </row>
    <row r="1620" spans="1:34" x14ac:dyDescent="0.2">
      <c r="A1620" s="48" t="s">
        <v>1332</v>
      </c>
      <c r="B1620" s="48">
        <v>1</v>
      </c>
      <c r="C1620" s="48" t="s">
        <v>1262</v>
      </c>
      <c r="D1620" s="48" t="s">
        <v>1258</v>
      </c>
      <c r="E1620" s="48" t="s">
        <v>284</v>
      </c>
      <c r="F1620" s="48" t="s">
        <v>274</v>
      </c>
      <c r="G1620" s="48" t="s">
        <v>275</v>
      </c>
      <c r="H1620" s="48" t="s">
        <v>64</v>
      </c>
      <c r="I1620" s="48" t="s">
        <v>93</v>
      </c>
      <c r="J1620" s="49">
        <v>9</v>
      </c>
      <c r="K1620" s="50">
        <v>1145</v>
      </c>
      <c r="L1620" s="50">
        <v>1123.3</v>
      </c>
      <c r="M1620" s="48" t="s">
        <v>276</v>
      </c>
      <c r="N1620" s="51">
        <v>0.79</v>
      </c>
      <c r="O1620" s="51">
        <v>0.81979999999999997</v>
      </c>
      <c r="P1620" s="52">
        <v>1210.2</v>
      </c>
      <c r="Q1620" s="52">
        <v>1210.2</v>
      </c>
      <c r="R1620" s="53" t="str">
        <f>INDEX(SKU_Master!$D$5:$D$34,MATCH($I1620,SKU_Master!$A$5:$A$34,0))</f>
        <v>Laptop</v>
      </c>
      <c r="S1620" s="54">
        <f t="shared" si="350"/>
        <v>1.895196506550223E-2</v>
      </c>
      <c r="T1620" s="55">
        <f t="shared" si="351"/>
        <v>13044.303797468354</v>
      </c>
      <c r="U1620" s="55">
        <f t="shared" si="352"/>
        <v>12797.088607594935</v>
      </c>
      <c r="V1620" s="55">
        <f t="shared" si="353"/>
        <v>-247.21518987341915</v>
      </c>
      <c r="W1620" s="55">
        <f t="shared" si="354"/>
        <v>12331.910222005366</v>
      </c>
      <c r="X1620" s="55">
        <f t="shared" si="355"/>
        <v>-465.17838558956828</v>
      </c>
      <c r="Y1620" s="55">
        <f t="shared" si="356"/>
        <v>10891.800000000001</v>
      </c>
      <c r="Z1620" s="55">
        <f t="shared" si="357"/>
        <v>10891.800000000001</v>
      </c>
      <c r="AA1620" s="55">
        <f t="shared" si="358"/>
        <v>0</v>
      </c>
      <c r="AB1620" s="55">
        <f t="shared" si="359"/>
        <v>1440.1102220053654</v>
      </c>
      <c r="AC1620" s="54">
        <f t="shared" si="360"/>
        <v>0.11677916852132096</v>
      </c>
      <c r="AD1620" s="56">
        <f>INDEX(Assumptions!$B$14:$B$16,MATCH($R1620,Assumptions!$A$14:$A$16,0))</f>
        <v>0.12</v>
      </c>
      <c r="AE1620" s="56">
        <f>INDEX(Assumptions!$C$14:$C$16,MATCH($R1620,Assumptions!$A$14:$A$16,0))</f>
        <v>0.08</v>
      </c>
      <c r="AF1620" s="49">
        <f t="shared" si="361"/>
        <v>0</v>
      </c>
      <c r="AG1620" s="49">
        <f t="shared" si="362"/>
        <v>0</v>
      </c>
      <c r="AH1620" s="55">
        <f t="shared" si="363"/>
        <v>39.719004635278452</v>
      </c>
    </row>
    <row r="1621" spans="1:34" x14ac:dyDescent="0.2">
      <c r="A1621" s="48" t="s">
        <v>1332</v>
      </c>
      <c r="B1621" s="48">
        <v>2</v>
      </c>
      <c r="C1621" s="48" t="s">
        <v>1262</v>
      </c>
      <c r="D1621" s="48" t="s">
        <v>1258</v>
      </c>
      <c r="E1621" s="48" t="s">
        <v>284</v>
      </c>
      <c r="F1621" s="48" t="s">
        <v>274</v>
      </c>
      <c r="G1621" s="48" t="s">
        <v>275</v>
      </c>
      <c r="H1621" s="48" t="s">
        <v>64</v>
      </c>
      <c r="I1621" s="48" t="s">
        <v>146</v>
      </c>
      <c r="J1621" s="49">
        <v>3</v>
      </c>
      <c r="K1621" s="50">
        <v>220</v>
      </c>
      <c r="L1621" s="50">
        <v>216.31</v>
      </c>
      <c r="M1621" s="48" t="s">
        <v>276</v>
      </c>
      <c r="N1621" s="51">
        <v>0.79</v>
      </c>
      <c r="O1621" s="51">
        <v>0.81979999999999997</v>
      </c>
      <c r="P1621" s="52">
        <v>211.8</v>
      </c>
      <c r="Q1621" s="52">
        <v>211.8</v>
      </c>
      <c r="R1621" s="53" t="str">
        <f>INDEX(SKU_Master!$D$5:$D$34,MATCH($I1621,SKU_Master!$A$5:$A$34,0))</f>
        <v>Monitor</v>
      </c>
      <c r="S1621" s="54">
        <f t="shared" si="350"/>
        <v>1.6772727272727272E-2</v>
      </c>
      <c r="T1621" s="55">
        <f t="shared" si="351"/>
        <v>835.44303797468353</v>
      </c>
      <c r="U1621" s="55">
        <f t="shared" si="352"/>
        <v>821.43037974683546</v>
      </c>
      <c r="V1621" s="55">
        <f t="shared" si="353"/>
        <v>-14.012658227848078</v>
      </c>
      <c r="W1621" s="55">
        <f t="shared" si="354"/>
        <v>791.57111490607474</v>
      </c>
      <c r="X1621" s="55">
        <f t="shared" si="355"/>
        <v>-29.859264840760716</v>
      </c>
      <c r="Y1621" s="55">
        <f t="shared" si="356"/>
        <v>635.40000000000009</v>
      </c>
      <c r="Z1621" s="55">
        <f t="shared" si="357"/>
        <v>635.40000000000009</v>
      </c>
      <c r="AA1621" s="55">
        <f t="shared" si="358"/>
        <v>0</v>
      </c>
      <c r="AB1621" s="55">
        <f t="shared" si="359"/>
        <v>156.17111490607465</v>
      </c>
      <c r="AC1621" s="54">
        <f t="shared" si="360"/>
        <v>0.19729258933937402</v>
      </c>
      <c r="AD1621" s="56">
        <f>INDEX(Assumptions!$B$14:$B$16,MATCH($R1621,Assumptions!$A$14:$A$16,0))</f>
        <v>0.18</v>
      </c>
      <c r="AE1621" s="56">
        <f>INDEX(Assumptions!$C$14:$C$16,MATCH($R1621,Assumptions!$A$14:$A$16,0))</f>
        <v>0.12</v>
      </c>
      <c r="AF1621" s="49">
        <f t="shared" si="361"/>
        <v>0</v>
      </c>
      <c r="AG1621" s="49">
        <f t="shared" si="362"/>
        <v>0</v>
      </c>
      <c r="AH1621" s="55">
        <f t="shared" si="363"/>
        <v>0</v>
      </c>
    </row>
    <row r="1622" spans="1:34" x14ac:dyDescent="0.2">
      <c r="A1622" s="48" t="s">
        <v>1332</v>
      </c>
      <c r="B1622" s="48">
        <v>3</v>
      </c>
      <c r="C1622" s="48" t="s">
        <v>1262</v>
      </c>
      <c r="D1622" s="48" t="s">
        <v>1258</v>
      </c>
      <c r="E1622" s="48" t="s">
        <v>284</v>
      </c>
      <c r="F1622" s="48" t="s">
        <v>274</v>
      </c>
      <c r="G1622" s="48" t="s">
        <v>275</v>
      </c>
      <c r="H1622" s="48" t="s">
        <v>64</v>
      </c>
      <c r="I1622" s="48" t="s">
        <v>161</v>
      </c>
      <c r="J1622" s="49">
        <v>8</v>
      </c>
      <c r="K1622" s="50">
        <v>105</v>
      </c>
      <c r="L1622" s="50">
        <v>103.14</v>
      </c>
      <c r="M1622" s="48" t="s">
        <v>276</v>
      </c>
      <c r="N1622" s="51">
        <v>0.79</v>
      </c>
      <c r="O1622" s="51">
        <v>0.81979999999999997</v>
      </c>
      <c r="P1622" s="52">
        <v>82</v>
      </c>
      <c r="Q1622" s="52">
        <v>82</v>
      </c>
      <c r="R1622" s="53" t="str">
        <f>INDEX(SKU_Master!$D$5:$D$34,MATCH($I1622,SKU_Master!$A$5:$A$34,0))</f>
        <v>Accessory</v>
      </c>
      <c r="S1622" s="54">
        <f t="shared" si="350"/>
        <v>1.7714285714285682E-2</v>
      </c>
      <c r="T1622" s="55">
        <f t="shared" si="351"/>
        <v>1063.2911392405063</v>
      </c>
      <c r="U1622" s="55">
        <f t="shared" si="352"/>
        <v>1044.4556962025315</v>
      </c>
      <c r="V1622" s="55">
        <f t="shared" si="353"/>
        <v>-18.835443037974755</v>
      </c>
      <c r="W1622" s="55">
        <f t="shared" si="354"/>
        <v>1006.4893876555258</v>
      </c>
      <c r="X1622" s="55">
        <f t="shared" si="355"/>
        <v>-37.966308547005724</v>
      </c>
      <c r="Y1622" s="55">
        <f t="shared" si="356"/>
        <v>656</v>
      </c>
      <c r="Z1622" s="55">
        <f t="shared" si="357"/>
        <v>656</v>
      </c>
      <c r="AA1622" s="55">
        <f t="shared" si="358"/>
        <v>0</v>
      </c>
      <c r="AB1622" s="55">
        <f t="shared" si="359"/>
        <v>350.48938765552577</v>
      </c>
      <c r="AC1622" s="54">
        <f t="shared" si="360"/>
        <v>0.34822959084739191</v>
      </c>
      <c r="AD1622" s="56">
        <f>INDEX(Assumptions!$B$14:$B$16,MATCH($R1622,Assumptions!$A$14:$A$16,0))</f>
        <v>0.32</v>
      </c>
      <c r="AE1622" s="56">
        <f>INDEX(Assumptions!$C$14:$C$16,MATCH($R1622,Assumptions!$A$14:$A$16,0))</f>
        <v>0.22</v>
      </c>
      <c r="AF1622" s="49">
        <f t="shared" si="361"/>
        <v>0</v>
      </c>
      <c r="AG1622" s="49">
        <f t="shared" si="362"/>
        <v>0</v>
      </c>
      <c r="AH1622" s="55">
        <f t="shared" si="363"/>
        <v>0</v>
      </c>
    </row>
    <row r="1623" spans="1:34" x14ac:dyDescent="0.2">
      <c r="A1623" s="48" t="s">
        <v>1333</v>
      </c>
      <c r="B1623" s="48">
        <v>1</v>
      </c>
      <c r="C1623" s="48" t="s">
        <v>1327</v>
      </c>
      <c r="D1623" s="48" t="s">
        <v>1258</v>
      </c>
      <c r="E1623" s="48" t="s">
        <v>410</v>
      </c>
      <c r="F1623" s="48" t="s">
        <v>297</v>
      </c>
      <c r="G1623" s="48" t="s">
        <v>302</v>
      </c>
      <c r="H1623" s="48" t="s">
        <v>64</v>
      </c>
      <c r="I1623" s="48" t="s">
        <v>106</v>
      </c>
      <c r="J1623" s="49">
        <v>52</v>
      </c>
      <c r="K1623" s="50">
        <v>1250</v>
      </c>
      <c r="L1623" s="50">
        <v>1156.3499999999999</v>
      </c>
      <c r="M1623" s="48" t="s">
        <v>312</v>
      </c>
      <c r="N1623" s="51">
        <v>0.79</v>
      </c>
      <c r="O1623" s="51">
        <v>0.81979999999999997</v>
      </c>
      <c r="P1623" s="52">
        <v>1322.4</v>
      </c>
      <c r="Q1623" s="52">
        <v>1322.4</v>
      </c>
      <c r="R1623" s="53" t="str">
        <f>INDEX(SKU_Master!$D$5:$D$34,MATCH($I1623,SKU_Master!$A$5:$A$34,0))</f>
        <v>Laptop</v>
      </c>
      <c r="S1623" s="54">
        <f t="shared" si="350"/>
        <v>7.4920000000000098E-2</v>
      </c>
      <c r="T1623" s="55">
        <f t="shared" si="351"/>
        <v>82278.481012658231</v>
      </c>
      <c r="U1623" s="55">
        <f t="shared" si="352"/>
        <v>76114.177215189862</v>
      </c>
      <c r="V1623" s="55">
        <f t="shared" si="353"/>
        <v>-6164.3037974683684</v>
      </c>
      <c r="W1623" s="55">
        <f t="shared" si="354"/>
        <v>73347.401805318368</v>
      </c>
      <c r="X1623" s="55">
        <f t="shared" si="355"/>
        <v>-2766.775409871494</v>
      </c>
      <c r="Y1623" s="55">
        <f t="shared" si="356"/>
        <v>68764.800000000003</v>
      </c>
      <c r="Z1623" s="55">
        <f t="shared" si="357"/>
        <v>68764.800000000003</v>
      </c>
      <c r="AA1623" s="55">
        <f t="shared" si="358"/>
        <v>0</v>
      </c>
      <c r="AB1623" s="55">
        <f t="shared" si="359"/>
        <v>4582.6018053183652</v>
      </c>
      <c r="AC1623" s="54">
        <f t="shared" si="360"/>
        <v>6.2478038656116161E-2</v>
      </c>
      <c r="AD1623" s="56">
        <f>INDEX(Assumptions!$B$14:$B$16,MATCH($R1623,Assumptions!$A$14:$A$16,0))</f>
        <v>0.12</v>
      </c>
      <c r="AE1623" s="56">
        <f>INDEX(Assumptions!$C$14:$C$16,MATCH($R1623,Assumptions!$A$14:$A$16,0))</f>
        <v>0.08</v>
      </c>
      <c r="AF1623" s="49">
        <f t="shared" si="361"/>
        <v>1</v>
      </c>
      <c r="AG1623" s="49">
        <f t="shared" si="362"/>
        <v>0</v>
      </c>
      <c r="AH1623" s="55">
        <f t="shared" si="363"/>
        <v>4219.0864113198386</v>
      </c>
    </row>
    <row r="1624" spans="1:34" x14ac:dyDescent="0.2">
      <c r="A1624" s="48" t="s">
        <v>1333</v>
      </c>
      <c r="B1624" s="48">
        <v>2</v>
      </c>
      <c r="C1624" s="48" t="s">
        <v>1327</v>
      </c>
      <c r="D1624" s="48" t="s">
        <v>1258</v>
      </c>
      <c r="E1624" s="48" t="s">
        <v>410</v>
      </c>
      <c r="F1624" s="48" t="s">
        <v>297</v>
      </c>
      <c r="G1624" s="48" t="s">
        <v>302</v>
      </c>
      <c r="H1624" s="48" t="s">
        <v>64</v>
      </c>
      <c r="I1624" s="48" t="s">
        <v>146</v>
      </c>
      <c r="J1624" s="49">
        <v>34</v>
      </c>
      <c r="K1624" s="50">
        <v>220</v>
      </c>
      <c r="L1624" s="50">
        <v>211.72</v>
      </c>
      <c r="M1624" s="48" t="s">
        <v>276</v>
      </c>
      <c r="N1624" s="51">
        <v>0.79</v>
      </c>
      <c r="O1624" s="51">
        <v>0.81979999999999997</v>
      </c>
      <c r="P1624" s="52">
        <v>211.8</v>
      </c>
      <c r="Q1624" s="52">
        <v>211.8</v>
      </c>
      <c r="R1624" s="53" t="str">
        <f>INDEX(SKU_Master!$D$5:$D$34,MATCH($I1624,SKU_Master!$A$5:$A$34,0))</f>
        <v>Monitor</v>
      </c>
      <c r="S1624" s="54">
        <f t="shared" si="350"/>
        <v>3.763636363636369E-2</v>
      </c>
      <c r="T1624" s="55">
        <f t="shared" si="351"/>
        <v>9468.3544303797462</v>
      </c>
      <c r="U1624" s="55">
        <f t="shared" si="352"/>
        <v>9111.9999999999982</v>
      </c>
      <c r="V1624" s="55">
        <f t="shared" si="353"/>
        <v>-356.35443037974801</v>
      </c>
      <c r="W1624" s="55">
        <f t="shared" si="354"/>
        <v>8780.7757989753591</v>
      </c>
      <c r="X1624" s="55">
        <f t="shared" si="355"/>
        <v>-331.22420102463911</v>
      </c>
      <c r="Y1624" s="55">
        <f t="shared" si="356"/>
        <v>7201.2000000000007</v>
      </c>
      <c r="Z1624" s="55">
        <f t="shared" si="357"/>
        <v>7201.2000000000007</v>
      </c>
      <c r="AA1624" s="55">
        <f t="shared" si="358"/>
        <v>0</v>
      </c>
      <c r="AB1624" s="55">
        <f t="shared" si="359"/>
        <v>1579.5757989753583</v>
      </c>
      <c r="AC1624" s="54">
        <f t="shared" si="360"/>
        <v>0.17989023238239168</v>
      </c>
      <c r="AD1624" s="56">
        <f>INDEX(Assumptions!$B$14:$B$16,MATCH($R1624,Assumptions!$A$14:$A$16,0))</f>
        <v>0.18</v>
      </c>
      <c r="AE1624" s="56">
        <f>INDEX(Assumptions!$C$14:$C$16,MATCH($R1624,Assumptions!$A$14:$A$16,0))</f>
        <v>0.12</v>
      </c>
      <c r="AF1624" s="49">
        <f t="shared" si="361"/>
        <v>0</v>
      </c>
      <c r="AG1624" s="49">
        <f t="shared" si="362"/>
        <v>0</v>
      </c>
      <c r="AH1624" s="55">
        <f t="shared" si="363"/>
        <v>0.96384484020632044</v>
      </c>
    </row>
    <row r="1625" spans="1:34" x14ac:dyDescent="0.2">
      <c r="A1625" s="48" t="s">
        <v>1333</v>
      </c>
      <c r="B1625" s="48">
        <v>3</v>
      </c>
      <c r="C1625" s="48" t="s">
        <v>1327</v>
      </c>
      <c r="D1625" s="48" t="s">
        <v>1258</v>
      </c>
      <c r="E1625" s="48" t="s">
        <v>410</v>
      </c>
      <c r="F1625" s="48" t="s">
        <v>297</v>
      </c>
      <c r="G1625" s="48" t="s">
        <v>302</v>
      </c>
      <c r="H1625" s="48" t="s">
        <v>64</v>
      </c>
      <c r="I1625" s="48" t="s">
        <v>157</v>
      </c>
      <c r="J1625" s="49">
        <v>23</v>
      </c>
      <c r="K1625" s="50">
        <v>115</v>
      </c>
      <c r="L1625" s="50">
        <v>106.88</v>
      </c>
      <c r="M1625" s="48" t="s">
        <v>276</v>
      </c>
      <c r="N1625" s="51">
        <v>0.79</v>
      </c>
      <c r="O1625" s="51">
        <v>0.81979999999999997</v>
      </c>
      <c r="P1625" s="52">
        <v>92</v>
      </c>
      <c r="Q1625" s="52">
        <v>92</v>
      </c>
      <c r="R1625" s="53" t="str">
        <f>INDEX(SKU_Master!$D$5:$D$34,MATCH($I1625,SKU_Master!$A$5:$A$34,0))</f>
        <v>Accessory</v>
      </c>
      <c r="S1625" s="54">
        <f t="shared" si="350"/>
        <v>7.0608695652173981E-2</v>
      </c>
      <c r="T1625" s="55">
        <f t="shared" si="351"/>
        <v>3348.1012658227846</v>
      </c>
      <c r="U1625" s="55">
        <f t="shared" si="352"/>
        <v>3111.6962025316452</v>
      </c>
      <c r="V1625" s="55">
        <f t="shared" si="353"/>
        <v>-236.40506329113941</v>
      </c>
      <c r="W1625" s="55">
        <f t="shared" si="354"/>
        <v>2998.5850207367648</v>
      </c>
      <c r="X1625" s="55">
        <f t="shared" si="355"/>
        <v>-113.11118179488039</v>
      </c>
      <c r="Y1625" s="55">
        <f t="shared" si="356"/>
        <v>2116</v>
      </c>
      <c r="Z1625" s="55">
        <f t="shared" si="357"/>
        <v>2116</v>
      </c>
      <c r="AA1625" s="55">
        <f t="shared" si="358"/>
        <v>0</v>
      </c>
      <c r="AB1625" s="55">
        <f t="shared" si="359"/>
        <v>882.58502073676482</v>
      </c>
      <c r="AC1625" s="54">
        <f t="shared" si="360"/>
        <v>0.29433383233532928</v>
      </c>
      <c r="AD1625" s="56">
        <f>INDEX(Assumptions!$B$14:$B$16,MATCH($R1625,Assumptions!$A$14:$A$16,0))</f>
        <v>0.32</v>
      </c>
      <c r="AE1625" s="56">
        <f>INDEX(Assumptions!$C$14:$C$16,MATCH($R1625,Assumptions!$A$14:$A$16,0))</f>
        <v>0.22</v>
      </c>
      <c r="AF1625" s="49">
        <f t="shared" si="361"/>
        <v>0</v>
      </c>
      <c r="AG1625" s="49">
        <f t="shared" si="362"/>
        <v>0</v>
      </c>
      <c r="AH1625" s="55">
        <f t="shared" si="363"/>
        <v>76.962185898999905</v>
      </c>
    </row>
    <row r="1626" spans="1:34" x14ac:dyDescent="0.2">
      <c r="A1626" s="48" t="s">
        <v>1334</v>
      </c>
      <c r="B1626" s="48">
        <v>1</v>
      </c>
      <c r="C1626" s="48" t="s">
        <v>1335</v>
      </c>
      <c r="D1626" s="48" t="s">
        <v>1258</v>
      </c>
      <c r="E1626" s="48" t="s">
        <v>339</v>
      </c>
      <c r="F1626" s="48" t="s">
        <v>280</v>
      </c>
      <c r="G1626" s="48" t="s">
        <v>302</v>
      </c>
      <c r="H1626" s="48" t="s">
        <v>62</v>
      </c>
      <c r="I1626" s="48" t="s">
        <v>98</v>
      </c>
      <c r="J1626" s="49">
        <v>29</v>
      </c>
      <c r="K1626" s="50">
        <v>2085</v>
      </c>
      <c r="L1626" s="50">
        <v>2008.56</v>
      </c>
      <c r="M1626" s="48" t="s">
        <v>276</v>
      </c>
      <c r="N1626" s="51">
        <v>1</v>
      </c>
      <c r="O1626" s="51">
        <v>1</v>
      </c>
      <c r="P1626" s="52">
        <v>1780.2</v>
      </c>
      <c r="Q1626" s="52">
        <v>1780.2</v>
      </c>
      <c r="R1626" s="53" t="str">
        <f>INDEX(SKU_Master!$D$5:$D$34,MATCH($I1626,SKU_Master!$A$5:$A$34,0))</f>
        <v>Laptop</v>
      </c>
      <c r="S1626" s="54">
        <f t="shared" si="350"/>
        <v>3.6661870503597149E-2</v>
      </c>
      <c r="T1626" s="55">
        <f t="shared" si="351"/>
        <v>60465</v>
      </c>
      <c r="U1626" s="55">
        <f t="shared" si="352"/>
        <v>58248.24</v>
      </c>
      <c r="V1626" s="55">
        <f t="shared" si="353"/>
        <v>-2216.760000000002</v>
      </c>
      <c r="W1626" s="55">
        <f t="shared" si="354"/>
        <v>58248.24</v>
      </c>
      <c r="X1626" s="55">
        <f t="shared" si="355"/>
        <v>0</v>
      </c>
      <c r="Y1626" s="55">
        <f t="shared" si="356"/>
        <v>51625.8</v>
      </c>
      <c r="Z1626" s="55">
        <f t="shared" si="357"/>
        <v>51625.8</v>
      </c>
      <c r="AA1626" s="55">
        <f t="shared" si="358"/>
        <v>0</v>
      </c>
      <c r="AB1626" s="55">
        <f t="shared" si="359"/>
        <v>6622.4399999999951</v>
      </c>
      <c r="AC1626" s="54">
        <f t="shared" si="360"/>
        <v>0.11369339228103709</v>
      </c>
      <c r="AD1626" s="56">
        <f>INDEX(Assumptions!$B$14:$B$16,MATCH($R1626,Assumptions!$A$14:$A$16,0))</f>
        <v>0.12</v>
      </c>
      <c r="AE1626" s="56">
        <f>INDEX(Assumptions!$C$14:$C$16,MATCH($R1626,Assumptions!$A$14:$A$16,0))</f>
        <v>0.08</v>
      </c>
      <c r="AF1626" s="49">
        <f t="shared" si="361"/>
        <v>0</v>
      </c>
      <c r="AG1626" s="49">
        <f t="shared" si="362"/>
        <v>0</v>
      </c>
      <c r="AH1626" s="55">
        <f t="shared" si="363"/>
        <v>367.3488000000043</v>
      </c>
    </row>
    <row r="1627" spans="1:34" x14ac:dyDescent="0.2">
      <c r="A1627" s="48" t="s">
        <v>1334</v>
      </c>
      <c r="B1627" s="48">
        <v>2</v>
      </c>
      <c r="C1627" s="48" t="s">
        <v>1335</v>
      </c>
      <c r="D1627" s="48" t="s">
        <v>1258</v>
      </c>
      <c r="E1627" s="48" t="s">
        <v>339</v>
      </c>
      <c r="F1627" s="48" t="s">
        <v>280</v>
      </c>
      <c r="G1627" s="48" t="s">
        <v>302</v>
      </c>
      <c r="H1627" s="48" t="s">
        <v>62</v>
      </c>
      <c r="I1627" s="48" t="s">
        <v>144</v>
      </c>
      <c r="J1627" s="49">
        <v>14</v>
      </c>
      <c r="K1627" s="50">
        <v>370</v>
      </c>
      <c r="L1627" s="50">
        <v>340.76</v>
      </c>
      <c r="M1627" s="48" t="s">
        <v>276</v>
      </c>
      <c r="N1627" s="51">
        <v>1</v>
      </c>
      <c r="O1627" s="51">
        <v>1</v>
      </c>
      <c r="P1627" s="52">
        <v>289.60000000000002</v>
      </c>
      <c r="Q1627" s="52">
        <v>289.60000000000002</v>
      </c>
      <c r="R1627" s="53" t="str">
        <f>INDEX(SKU_Master!$D$5:$D$34,MATCH($I1627,SKU_Master!$A$5:$A$34,0))</f>
        <v>Monitor</v>
      </c>
      <c r="S1627" s="54">
        <f t="shared" si="350"/>
        <v>7.9027027027027019E-2</v>
      </c>
      <c r="T1627" s="55">
        <f t="shared" si="351"/>
        <v>5180</v>
      </c>
      <c r="U1627" s="55">
        <f t="shared" si="352"/>
        <v>4770.6399999999994</v>
      </c>
      <c r="V1627" s="55">
        <f t="shared" si="353"/>
        <v>-409.36000000000058</v>
      </c>
      <c r="W1627" s="55">
        <f t="shared" si="354"/>
        <v>4770.6399999999994</v>
      </c>
      <c r="X1627" s="55">
        <f t="shared" si="355"/>
        <v>0</v>
      </c>
      <c r="Y1627" s="55">
        <f t="shared" si="356"/>
        <v>4054.4000000000005</v>
      </c>
      <c r="Z1627" s="55">
        <f t="shared" si="357"/>
        <v>4054.4000000000005</v>
      </c>
      <c r="AA1627" s="55">
        <f t="shared" si="358"/>
        <v>0</v>
      </c>
      <c r="AB1627" s="55">
        <f t="shared" si="359"/>
        <v>716.23999999999887</v>
      </c>
      <c r="AC1627" s="54">
        <f t="shared" si="360"/>
        <v>0.15013499236999625</v>
      </c>
      <c r="AD1627" s="56">
        <f>INDEX(Assumptions!$B$14:$B$16,MATCH($R1627,Assumptions!$A$14:$A$16,0))</f>
        <v>0.18</v>
      </c>
      <c r="AE1627" s="56">
        <f>INDEX(Assumptions!$C$14:$C$16,MATCH($R1627,Assumptions!$A$14:$A$16,0))</f>
        <v>0.12</v>
      </c>
      <c r="AF1627" s="49">
        <f t="shared" si="361"/>
        <v>0</v>
      </c>
      <c r="AG1627" s="49">
        <f t="shared" si="362"/>
        <v>0</v>
      </c>
      <c r="AH1627" s="55">
        <f t="shared" si="363"/>
        <v>142.475200000001</v>
      </c>
    </row>
    <row r="1628" spans="1:34" x14ac:dyDescent="0.2">
      <c r="A1628" s="48" t="s">
        <v>1334</v>
      </c>
      <c r="B1628" s="48">
        <v>3</v>
      </c>
      <c r="C1628" s="48" t="s">
        <v>1335</v>
      </c>
      <c r="D1628" s="48" t="s">
        <v>1258</v>
      </c>
      <c r="E1628" s="48" t="s">
        <v>339</v>
      </c>
      <c r="F1628" s="48" t="s">
        <v>280</v>
      </c>
      <c r="G1628" s="48" t="s">
        <v>302</v>
      </c>
      <c r="H1628" s="48" t="s">
        <v>62</v>
      </c>
      <c r="I1628" s="48" t="s">
        <v>164</v>
      </c>
      <c r="J1628" s="49">
        <v>33</v>
      </c>
      <c r="K1628" s="50">
        <v>190</v>
      </c>
      <c r="L1628" s="50">
        <v>178.94</v>
      </c>
      <c r="M1628" s="48" t="s">
        <v>276</v>
      </c>
      <c r="N1628" s="51">
        <v>1</v>
      </c>
      <c r="O1628" s="51">
        <v>1</v>
      </c>
      <c r="P1628" s="52">
        <v>121</v>
      </c>
      <c r="Q1628" s="52">
        <v>121</v>
      </c>
      <c r="R1628" s="53" t="str">
        <f>INDEX(SKU_Master!$D$5:$D$34,MATCH($I1628,SKU_Master!$A$5:$A$34,0))</f>
        <v>Accessory</v>
      </c>
      <c r="S1628" s="54">
        <f t="shared" si="350"/>
        <v>5.821052631578949E-2</v>
      </c>
      <c r="T1628" s="55">
        <f t="shared" si="351"/>
        <v>6270</v>
      </c>
      <c r="U1628" s="55">
        <f t="shared" si="352"/>
        <v>5905.0199999999995</v>
      </c>
      <c r="V1628" s="55">
        <f t="shared" si="353"/>
        <v>-364.98000000000047</v>
      </c>
      <c r="W1628" s="55">
        <f t="shared" si="354"/>
        <v>5905.0199999999995</v>
      </c>
      <c r="X1628" s="55">
        <f t="shared" si="355"/>
        <v>0</v>
      </c>
      <c r="Y1628" s="55">
        <f t="shared" si="356"/>
        <v>3993</v>
      </c>
      <c r="Z1628" s="55">
        <f t="shared" si="357"/>
        <v>3993</v>
      </c>
      <c r="AA1628" s="55">
        <f t="shared" si="358"/>
        <v>0</v>
      </c>
      <c r="AB1628" s="55">
        <f t="shared" si="359"/>
        <v>1912.0199999999995</v>
      </c>
      <c r="AC1628" s="54">
        <f t="shared" si="360"/>
        <v>0.32379568570470546</v>
      </c>
      <c r="AD1628" s="56">
        <f>INDEX(Assumptions!$B$14:$B$16,MATCH($R1628,Assumptions!$A$14:$A$16,0))</f>
        <v>0.32</v>
      </c>
      <c r="AE1628" s="56">
        <f>INDEX(Assumptions!$C$14:$C$16,MATCH($R1628,Assumptions!$A$14:$A$16,0))</f>
        <v>0.22</v>
      </c>
      <c r="AF1628" s="49">
        <f t="shared" si="361"/>
        <v>0</v>
      </c>
      <c r="AG1628" s="49">
        <f t="shared" si="362"/>
        <v>0</v>
      </c>
      <c r="AH1628" s="55">
        <f t="shared" si="363"/>
        <v>0</v>
      </c>
    </row>
    <row r="1629" spans="1:34" x14ac:dyDescent="0.2">
      <c r="A1629" s="48" t="s">
        <v>1336</v>
      </c>
      <c r="B1629" s="48">
        <v>1</v>
      </c>
      <c r="C1629" s="48" t="s">
        <v>1270</v>
      </c>
      <c r="D1629" s="48" t="s">
        <v>1258</v>
      </c>
      <c r="E1629" s="48" t="s">
        <v>588</v>
      </c>
      <c r="F1629" s="48" t="s">
        <v>274</v>
      </c>
      <c r="G1629" s="48" t="s">
        <v>281</v>
      </c>
      <c r="H1629" s="48" t="s">
        <v>62</v>
      </c>
      <c r="I1629" s="48" t="s">
        <v>123</v>
      </c>
      <c r="J1629" s="49">
        <v>4</v>
      </c>
      <c r="K1629" s="50">
        <v>1465</v>
      </c>
      <c r="L1629" s="50">
        <v>1459.91</v>
      </c>
      <c r="M1629" s="48" t="s">
        <v>276</v>
      </c>
      <c r="N1629" s="51">
        <v>1</v>
      </c>
      <c r="O1629" s="51">
        <v>1</v>
      </c>
      <c r="P1629" s="52">
        <v>1249.25</v>
      </c>
      <c r="Q1629" s="52">
        <v>1249.25</v>
      </c>
      <c r="R1629" s="53" t="str">
        <f>INDEX(SKU_Master!$D$5:$D$34,MATCH($I1629,SKU_Master!$A$5:$A$34,0))</f>
        <v>Laptop</v>
      </c>
      <c r="S1629" s="54">
        <f t="shared" si="350"/>
        <v>3.4744027303753588E-3</v>
      </c>
      <c r="T1629" s="55">
        <f t="shared" si="351"/>
        <v>5860</v>
      </c>
      <c r="U1629" s="55">
        <f t="shared" si="352"/>
        <v>5839.64</v>
      </c>
      <c r="V1629" s="55">
        <f t="shared" si="353"/>
        <v>-20.359999999999673</v>
      </c>
      <c r="W1629" s="55">
        <f t="shared" si="354"/>
        <v>5839.64</v>
      </c>
      <c r="X1629" s="55">
        <f t="shared" si="355"/>
        <v>0</v>
      </c>
      <c r="Y1629" s="55">
        <f t="shared" si="356"/>
        <v>4997</v>
      </c>
      <c r="Z1629" s="55">
        <f t="shared" si="357"/>
        <v>4997</v>
      </c>
      <c r="AA1629" s="55">
        <f t="shared" si="358"/>
        <v>0</v>
      </c>
      <c r="AB1629" s="55">
        <f t="shared" si="359"/>
        <v>842.64000000000033</v>
      </c>
      <c r="AC1629" s="54">
        <f t="shared" si="360"/>
        <v>0.14429656622668524</v>
      </c>
      <c r="AD1629" s="56">
        <f>INDEX(Assumptions!$B$14:$B$16,MATCH($R1629,Assumptions!$A$14:$A$16,0))</f>
        <v>0.12</v>
      </c>
      <c r="AE1629" s="56">
        <f>INDEX(Assumptions!$C$14:$C$16,MATCH($R1629,Assumptions!$A$14:$A$16,0))</f>
        <v>0.08</v>
      </c>
      <c r="AF1629" s="49">
        <f t="shared" si="361"/>
        <v>0</v>
      </c>
      <c r="AG1629" s="49">
        <f t="shared" si="362"/>
        <v>0</v>
      </c>
      <c r="AH1629" s="55">
        <f t="shared" si="363"/>
        <v>0</v>
      </c>
    </row>
    <row r="1630" spans="1:34" x14ac:dyDescent="0.2">
      <c r="A1630" s="48" t="s">
        <v>1336</v>
      </c>
      <c r="B1630" s="48">
        <v>2</v>
      </c>
      <c r="C1630" s="48" t="s">
        <v>1270</v>
      </c>
      <c r="D1630" s="48" t="s">
        <v>1258</v>
      </c>
      <c r="E1630" s="48" t="s">
        <v>588</v>
      </c>
      <c r="F1630" s="48" t="s">
        <v>274</v>
      </c>
      <c r="G1630" s="48" t="s">
        <v>281</v>
      </c>
      <c r="H1630" s="48" t="s">
        <v>62</v>
      </c>
      <c r="I1630" s="48" t="s">
        <v>177</v>
      </c>
      <c r="J1630" s="49">
        <v>2</v>
      </c>
      <c r="K1630" s="50">
        <v>70</v>
      </c>
      <c r="L1630" s="50">
        <v>69.34</v>
      </c>
      <c r="M1630" s="48" t="s">
        <v>276</v>
      </c>
      <c r="N1630" s="51">
        <v>1</v>
      </c>
      <c r="O1630" s="51">
        <v>1</v>
      </c>
      <c r="P1630" s="52">
        <v>44</v>
      </c>
      <c r="Q1630" s="52">
        <v>44</v>
      </c>
      <c r="R1630" s="53" t="str">
        <f>INDEX(SKU_Master!$D$5:$D$34,MATCH($I1630,SKU_Master!$A$5:$A$34,0))</f>
        <v>Accessory</v>
      </c>
      <c r="S1630" s="54">
        <f t="shared" si="350"/>
        <v>9.4285714285713418E-3</v>
      </c>
      <c r="T1630" s="55">
        <f t="shared" si="351"/>
        <v>140</v>
      </c>
      <c r="U1630" s="55">
        <f t="shared" si="352"/>
        <v>138.68</v>
      </c>
      <c r="V1630" s="55">
        <f t="shared" si="353"/>
        <v>-1.3199999999999932</v>
      </c>
      <c r="W1630" s="55">
        <f t="shared" si="354"/>
        <v>138.68</v>
      </c>
      <c r="X1630" s="55">
        <f t="shared" si="355"/>
        <v>0</v>
      </c>
      <c r="Y1630" s="55">
        <f t="shared" si="356"/>
        <v>88</v>
      </c>
      <c r="Z1630" s="55">
        <f t="shared" si="357"/>
        <v>88</v>
      </c>
      <c r="AA1630" s="55">
        <f t="shared" si="358"/>
        <v>0</v>
      </c>
      <c r="AB1630" s="55">
        <f t="shared" si="359"/>
        <v>50.680000000000007</v>
      </c>
      <c r="AC1630" s="54">
        <f t="shared" si="360"/>
        <v>0.36544563022786275</v>
      </c>
      <c r="AD1630" s="56">
        <f>INDEX(Assumptions!$B$14:$B$16,MATCH($R1630,Assumptions!$A$14:$A$16,0))</f>
        <v>0.32</v>
      </c>
      <c r="AE1630" s="56">
        <f>INDEX(Assumptions!$C$14:$C$16,MATCH($R1630,Assumptions!$A$14:$A$16,0))</f>
        <v>0.22</v>
      </c>
      <c r="AF1630" s="49">
        <f t="shared" si="361"/>
        <v>0</v>
      </c>
      <c r="AG1630" s="49">
        <f t="shared" si="362"/>
        <v>0</v>
      </c>
      <c r="AH1630" s="55">
        <f t="shared" si="363"/>
        <v>0</v>
      </c>
    </row>
    <row r="1631" spans="1:34" x14ac:dyDescent="0.2">
      <c r="A1631" s="48" t="s">
        <v>1337</v>
      </c>
      <c r="B1631" s="48">
        <v>1</v>
      </c>
      <c r="C1631" s="48" t="s">
        <v>1310</v>
      </c>
      <c r="D1631" s="48" t="s">
        <v>1258</v>
      </c>
      <c r="E1631" s="48" t="s">
        <v>368</v>
      </c>
      <c r="F1631" s="48" t="s">
        <v>274</v>
      </c>
      <c r="G1631" s="48" t="s">
        <v>288</v>
      </c>
      <c r="H1631" s="48" t="s">
        <v>68</v>
      </c>
      <c r="I1631" s="48" t="s">
        <v>123</v>
      </c>
      <c r="J1631" s="49">
        <v>3</v>
      </c>
      <c r="K1631" s="50">
        <v>2065</v>
      </c>
      <c r="L1631" s="50">
        <v>2023.83</v>
      </c>
      <c r="M1631" s="48" t="s">
        <v>276</v>
      </c>
      <c r="N1631" s="51">
        <v>1.37</v>
      </c>
      <c r="O1631" s="51">
        <v>1.3657999999999999</v>
      </c>
      <c r="P1631" s="52">
        <v>1261.25</v>
      </c>
      <c r="Q1631" s="52">
        <v>1261.25</v>
      </c>
      <c r="R1631" s="53" t="str">
        <f>INDEX(SKU_Master!$D$5:$D$34,MATCH($I1631,SKU_Master!$A$5:$A$34,0))</f>
        <v>Laptop</v>
      </c>
      <c r="S1631" s="54">
        <f t="shared" si="350"/>
        <v>1.9937046004842696E-2</v>
      </c>
      <c r="T1631" s="55">
        <f t="shared" si="351"/>
        <v>4521.8978102189776</v>
      </c>
      <c r="U1631" s="55">
        <f t="shared" si="352"/>
        <v>4431.7445255474449</v>
      </c>
      <c r="V1631" s="55">
        <f t="shared" si="353"/>
        <v>-90.153284671532674</v>
      </c>
      <c r="W1631" s="55">
        <f t="shared" si="354"/>
        <v>4445.3726753551036</v>
      </c>
      <c r="X1631" s="55">
        <f t="shared" si="355"/>
        <v>13.628149807658701</v>
      </c>
      <c r="Y1631" s="55">
        <f t="shared" si="356"/>
        <v>3783.75</v>
      </c>
      <c r="Z1631" s="55">
        <f t="shared" si="357"/>
        <v>3783.75</v>
      </c>
      <c r="AA1631" s="55">
        <f t="shared" si="358"/>
        <v>0</v>
      </c>
      <c r="AB1631" s="55">
        <f t="shared" si="359"/>
        <v>661.62267535510364</v>
      </c>
      <c r="AC1631" s="54">
        <f t="shared" si="360"/>
        <v>0.14883401767935062</v>
      </c>
      <c r="AD1631" s="56">
        <f>INDEX(Assumptions!$B$14:$B$16,MATCH($R1631,Assumptions!$A$14:$A$16,0))</f>
        <v>0.12</v>
      </c>
      <c r="AE1631" s="56">
        <f>INDEX(Assumptions!$C$14:$C$16,MATCH($R1631,Assumptions!$A$14:$A$16,0))</f>
        <v>0.08</v>
      </c>
      <c r="AF1631" s="49">
        <f t="shared" si="361"/>
        <v>0</v>
      </c>
      <c r="AG1631" s="49">
        <f t="shared" si="362"/>
        <v>0</v>
      </c>
      <c r="AH1631" s="55">
        <f t="shared" si="363"/>
        <v>0</v>
      </c>
    </row>
    <row r="1632" spans="1:34" x14ac:dyDescent="0.2">
      <c r="A1632" s="48" t="s">
        <v>1337</v>
      </c>
      <c r="B1632" s="48">
        <v>2</v>
      </c>
      <c r="C1632" s="48" t="s">
        <v>1310</v>
      </c>
      <c r="D1632" s="48" t="s">
        <v>1258</v>
      </c>
      <c r="E1632" s="48" t="s">
        <v>368</v>
      </c>
      <c r="F1632" s="48" t="s">
        <v>274</v>
      </c>
      <c r="G1632" s="48" t="s">
        <v>288</v>
      </c>
      <c r="H1632" s="48" t="s">
        <v>68</v>
      </c>
      <c r="I1632" s="48" t="s">
        <v>141</v>
      </c>
      <c r="J1632" s="49">
        <v>2</v>
      </c>
      <c r="K1632" s="50">
        <v>650</v>
      </c>
      <c r="L1632" s="50">
        <v>638.94000000000005</v>
      </c>
      <c r="M1632" s="48" t="s">
        <v>276</v>
      </c>
      <c r="N1632" s="51">
        <v>1.37</v>
      </c>
      <c r="O1632" s="51">
        <v>1.3657999999999999</v>
      </c>
      <c r="P1632" s="52">
        <v>366.7</v>
      </c>
      <c r="Q1632" s="52">
        <v>366.7</v>
      </c>
      <c r="R1632" s="53" t="str">
        <f>INDEX(SKU_Master!$D$5:$D$34,MATCH($I1632,SKU_Master!$A$5:$A$34,0))</f>
        <v>Monitor</v>
      </c>
      <c r="S1632" s="54">
        <f t="shared" si="350"/>
        <v>1.7015384615384543E-2</v>
      </c>
      <c r="T1632" s="55">
        <f t="shared" si="351"/>
        <v>948.90510948905103</v>
      </c>
      <c r="U1632" s="55">
        <f t="shared" si="352"/>
        <v>932.7591240875912</v>
      </c>
      <c r="V1632" s="55">
        <f t="shared" si="353"/>
        <v>-16.145985401459825</v>
      </c>
      <c r="W1632" s="55">
        <f t="shared" si="354"/>
        <v>935.6274710792211</v>
      </c>
      <c r="X1632" s="55">
        <f t="shared" si="355"/>
        <v>2.8683469916298918</v>
      </c>
      <c r="Y1632" s="55">
        <f t="shared" si="356"/>
        <v>733.4</v>
      </c>
      <c r="Z1632" s="55">
        <f t="shared" si="357"/>
        <v>733.4</v>
      </c>
      <c r="AA1632" s="55">
        <f t="shared" si="358"/>
        <v>0</v>
      </c>
      <c r="AB1632" s="55">
        <f t="shared" si="359"/>
        <v>202.22747107922112</v>
      </c>
      <c r="AC1632" s="54">
        <f t="shared" si="360"/>
        <v>0.21614101480577219</v>
      </c>
      <c r="AD1632" s="56">
        <f>INDEX(Assumptions!$B$14:$B$16,MATCH($R1632,Assumptions!$A$14:$A$16,0))</f>
        <v>0.18</v>
      </c>
      <c r="AE1632" s="56">
        <f>INDEX(Assumptions!$C$14:$C$16,MATCH($R1632,Assumptions!$A$14:$A$16,0))</f>
        <v>0.12</v>
      </c>
      <c r="AF1632" s="49">
        <f t="shared" si="361"/>
        <v>0</v>
      </c>
      <c r="AG1632" s="49">
        <f t="shared" si="362"/>
        <v>0</v>
      </c>
      <c r="AH1632" s="55">
        <f t="shared" si="363"/>
        <v>0</v>
      </c>
    </row>
    <row r="1633" spans="1:34" x14ac:dyDescent="0.2">
      <c r="A1633" s="48" t="s">
        <v>1338</v>
      </c>
      <c r="B1633" s="48">
        <v>1</v>
      </c>
      <c r="C1633" s="48" t="s">
        <v>1339</v>
      </c>
      <c r="D1633" s="48" t="s">
        <v>1258</v>
      </c>
      <c r="E1633" s="48" t="s">
        <v>362</v>
      </c>
      <c r="F1633" s="48" t="s">
        <v>280</v>
      </c>
      <c r="G1633" s="48" t="s">
        <v>275</v>
      </c>
      <c r="H1633" s="48" t="s">
        <v>62</v>
      </c>
      <c r="I1633" s="48" t="s">
        <v>110</v>
      </c>
      <c r="J1633" s="49">
        <v>5</v>
      </c>
      <c r="K1633" s="50">
        <v>1165</v>
      </c>
      <c r="L1633" s="50">
        <v>1138.0999999999999</v>
      </c>
      <c r="M1633" s="48" t="s">
        <v>276</v>
      </c>
      <c r="N1633" s="51">
        <v>1</v>
      </c>
      <c r="O1633" s="51">
        <v>1</v>
      </c>
      <c r="P1633" s="52">
        <v>992.65</v>
      </c>
      <c r="Q1633" s="52">
        <v>992.65</v>
      </c>
      <c r="R1633" s="53" t="str">
        <f>INDEX(SKU_Master!$D$5:$D$34,MATCH($I1633,SKU_Master!$A$5:$A$34,0))</f>
        <v>Laptop</v>
      </c>
      <c r="S1633" s="54">
        <f t="shared" si="350"/>
        <v>2.3090128755364869E-2</v>
      </c>
      <c r="T1633" s="55">
        <f t="shared" si="351"/>
        <v>5825</v>
      </c>
      <c r="U1633" s="55">
        <f t="shared" si="352"/>
        <v>5690.5</v>
      </c>
      <c r="V1633" s="55">
        <f t="shared" si="353"/>
        <v>-134.5</v>
      </c>
      <c r="W1633" s="55">
        <f t="shared" si="354"/>
        <v>5690.5</v>
      </c>
      <c r="X1633" s="55">
        <f t="shared" si="355"/>
        <v>0</v>
      </c>
      <c r="Y1633" s="55">
        <f t="shared" si="356"/>
        <v>4963.25</v>
      </c>
      <c r="Z1633" s="55">
        <f t="shared" si="357"/>
        <v>4963.25</v>
      </c>
      <c r="AA1633" s="55">
        <f t="shared" si="358"/>
        <v>0</v>
      </c>
      <c r="AB1633" s="55">
        <f t="shared" si="359"/>
        <v>727.25</v>
      </c>
      <c r="AC1633" s="54">
        <f t="shared" si="360"/>
        <v>0.1278007204990774</v>
      </c>
      <c r="AD1633" s="56">
        <f>INDEX(Assumptions!$B$14:$B$16,MATCH($R1633,Assumptions!$A$14:$A$16,0))</f>
        <v>0.12</v>
      </c>
      <c r="AE1633" s="56">
        <f>INDEX(Assumptions!$C$14:$C$16,MATCH($R1633,Assumptions!$A$14:$A$16,0))</f>
        <v>0.08</v>
      </c>
      <c r="AF1633" s="49">
        <f t="shared" si="361"/>
        <v>0</v>
      </c>
      <c r="AG1633" s="49">
        <f t="shared" si="362"/>
        <v>0</v>
      </c>
      <c r="AH1633" s="55">
        <f t="shared" si="363"/>
        <v>0</v>
      </c>
    </row>
    <row r="1634" spans="1:34" x14ac:dyDescent="0.2">
      <c r="A1634" s="48" t="s">
        <v>1338</v>
      </c>
      <c r="B1634" s="48">
        <v>2</v>
      </c>
      <c r="C1634" s="48" t="s">
        <v>1339</v>
      </c>
      <c r="D1634" s="48" t="s">
        <v>1258</v>
      </c>
      <c r="E1634" s="48" t="s">
        <v>362</v>
      </c>
      <c r="F1634" s="48" t="s">
        <v>280</v>
      </c>
      <c r="G1634" s="48" t="s">
        <v>275</v>
      </c>
      <c r="H1634" s="48" t="s">
        <v>62</v>
      </c>
      <c r="I1634" s="48" t="s">
        <v>157</v>
      </c>
      <c r="J1634" s="49">
        <v>2</v>
      </c>
      <c r="K1634" s="50">
        <v>135</v>
      </c>
      <c r="L1634" s="50">
        <v>131.65</v>
      </c>
      <c r="M1634" s="48" t="s">
        <v>276</v>
      </c>
      <c r="N1634" s="51">
        <v>1</v>
      </c>
      <c r="O1634" s="51">
        <v>1</v>
      </c>
      <c r="P1634" s="52">
        <v>86</v>
      </c>
      <c r="Q1634" s="52">
        <v>86</v>
      </c>
      <c r="R1634" s="53" t="str">
        <f>INDEX(SKU_Master!$D$5:$D$34,MATCH($I1634,SKU_Master!$A$5:$A$34,0))</f>
        <v>Accessory</v>
      </c>
      <c r="S1634" s="54">
        <f t="shared" si="350"/>
        <v>2.4814814814814734E-2</v>
      </c>
      <c r="T1634" s="55">
        <f t="shared" si="351"/>
        <v>270</v>
      </c>
      <c r="U1634" s="55">
        <f t="shared" si="352"/>
        <v>263.3</v>
      </c>
      <c r="V1634" s="55">
        <f t="shared" si="353"/>
        <v>-6.6999999999999886</v>
      </c>
      <c r="W1634" s="55">
        <f t="shared" si="354"/>
        <v>263.3</v>
      </c>
      <c r="X1634" s="55">
        <f t="shared" si="355"/>
        <v>0</v>
      </c>
      <c r="Y1634" s="55">
        <f t="shared" si="356"/>
        <v>172</v>
      </c>
      <c r="Z1634" s="55">
        <f t="shared" si="357"/>
        <v>172</v>
      </c>
      <c r="AA1634" s="55">
        <f t="shared" si="358"/>
        <v>0</v>
      </c>
      <c r="AB1634" s="55">
        <f t="shared" si="359"/>
        <v>91.300000000000011</v>
      </c>
      <c r="AC1634" s="54">
        <f t="shared" si="360"/>
        <v>0.34675275351310297</v>
      </c>
      <c r="AD1634" s="56">
        <f>INDEX(Assumptions!$B$14:$B$16,MATCH($R1634,Assumptions!$A$14:$A$16,0))</f>
        <v>0.32</v>
      </c>
      <c r="AE1634" s="56">
        <f>INDEX(Assumptions!$C$14:$C$16,MATCH($R1634,Assumptions!$A$14:$A$16,0))</f>
        <v>0.22</v>
      </c>
      <c r="AF1634" s="49">
        <f t="shared" si="361"/>
        <v>0</v>
      </c>
      <c r="AG1634" s="49">
        <f t="shared" si="362"/>
        <v>0</v>
      </c>
      <c r="AH1634" s="55">
        <f t="shared" si="363"/>
        <v>0</v>
      </c>
    </row>
    <row r="1635" spans="1:34" x14ac:dyDescent="0.2">
      <c r="A1635" s="48" t="s">
        <v>1340</v>
      </c>
      <c r="B1635" s="48">
        <v>1</v>
      </c>
      <c r="C1635" s="48" t="s">
        <v>1292</v>
      </c>
      <c r="D1635" s="48" t="s">
        <v>1258</v>
      </c>
      <c r="E1635" s="48" t="s">
        <v>366</v>
      </c>
      <c r="F1635" s="48" t="s">
        <v>297</v>
      </c>
      <c r="G1635" s="48" t="s">
        <v>302</v>
      </c>
      <c r="H1635" s="48" t="s">
        <v>66</v>
      </c>
      <c r="I1635" s="48" t="s">
        <v>101</v>
      </c>
      <c r="J1635" s="49">
        <v>34</v>
      </c>
      <c r="K1635" s="50">
        <v>3250</v>
      </c>
      <c r="L1635" s="50">
        <v>2996.22</v>
      </c>
      <c r="M1635" s="48" t="s">
        <v>312</v>
      </c>
      <c r="N1635" s="51">
        <v>0.92</v>
      </c>
      <c r="O1635" s="51">
        <v>0.9335</v>
      </c>
      <c r="P1635" s="52">
        <v>2958.5</v>
      </c>
      <c r="Q1635" s="52">
        <v>2958.5</v>
      </c>
      <c r="R1635" s="53" t="str">
        <f>INDEX(SKU_Master!$D$5:$D$34,MATCH($I1635,SKU_Master!$A$5:$A$34,0))</f>
        <v>Laptop</v>
      </c>
      <c r="S1635" s="54">
        <f t="shared" si="350"/>
        <v>7.8086153846153916E-2</v>
      </c>
      <c r="T1635" s="55">
        <f t="shared" si="351"/>
        <v>120108.6956521739</v>
      </c>
      <c r="U1635" s="55">
        <f t="shared" si="352"/>
        <v>110729.86956521738</v>
      </c>
      <c r="V1635" s="55">
        <f t="shared" si="353"/>
        <v>-9378.8260869565274</v>
      </c>
      <c r="W1635" s="55">
        <f t="shared" si="354"/>
        <v>109128.52704874129</v>
      </c>
      <c r="X1635" s="55">
        <f t="shared" si="355"/>
        <v>-1601.3425164760847</v>
      </c>
      <c r="Y1635" s="55">
        <f t="shared" si="356"/>
        <v>100589</v>
      </c>
      <c r="Z1635" s="55">
        <f t="shared" si="357"/>
        <v>100589</v>
      </c>
      <c r="AA1635" s="55">
        <f t="shared" si="358"/>
        <v>0</v>
      </c>
      <c r="AB1635" s="55">
        <f t="shared" si="359"/>
        <v>8539.5270487412927</v>
      </c>
      <c r="AC1635" s="54">
        <f t="shared" si="360"/>
        <v>7.8252014204564388E-2</v>
      </c>
      <c r="AD1635" s="56">
        <f>INDEX(Assumptions!$B$14:$B$16,MATCH($R1635,Assumptions!$A$14:$A$16,0))</f>
        <v>0.12</v>
      </c>
      <c r="AE1635" s="56">
        <f>INDEX(Assumptions!$C$14:$C$16,MATCH($R1635,Assumptions!$A$14:$A$16,0))</f>
        <v>0.08</v>
      </c>
      <c r="AF1635" s="49">
        <f t="shared" si="361"/>
        <v>1</v>
      </c>
      <c r="AG1635" s="49">
        <f t="shared" si="362"/>
        <v>0</v>
      </c>
      <c r="AH1635" s="55">
        <f t="shared" si="363"/>
        <v>4555.8961971076624</v>
      </c>
    </row>
    <row r="1636" spans="1:34" x14ac:dyDescent="0.2">
      <c r="A1636" s="48" t="s">
        <v>1340</v>
      </c>
      <c r="B1636" s="48">
        <v>2</v>
      </c>
      <c r="C1636" s="48" t="s">
        <v>1292</v>
      </c>
      <c r="D1636" s="48" t="s">
        <v>1258</v>
      </c>
      <c r="E1636" s="48" t="s">
        <v>366</v>
      </c>
      <c r="F1636" s="48" t="s">
        <v>297</v>
      </c>
      <c r="G1636" s="48" t="s">
        <v>302</v>
      </c>
      <c r="H1636" s="48" t="s">
        <v>66</v>
      </c>
      <c r="I1636" s="48" t="s">
        <v>138</v>
      </c>
      <c r="J1636" s="49">
        <v>28</v>
      </c>
      <c r="K1636" s="50">
        <v>460</v>
      </c>
      <c r="L1636" s="50">
        <v>427.18</v>
      </c>
      <c r="M1636" s="48" t="s">
        <v>276</v>
      </c>
      <c r="N1636" s="51">
        <v>0.92</v>
      </c>
      <c r="O1636" s="51">
        <v>0.9335</v>
      </c>
      <c r="P1636" s="52">
        <v>383.2</v>
      </c>
      <c r="Q1636" s="52">
        <v>383.2</v>
      </c>
      <c r="R1636" s="53" t="str">
        <f>INDEX(SKU_Master!$D$5:$D$34,MATCH($I1636,SKU_Master!$A$5:$A$34,0))</f>
        <v>Monitor</v>
      </c>
      <c r="S1636" s="54">
        <f t="shared" si="350"/>
        <v>7.1347826086956556E-2</v>
      </c>
      <c r="T1636" s="55">
        <f t="shared" si="351"/>
        <v>14000</v>
      </c>
      <c r="U1636" s="55">
        <f t="shared" si="352"/>
        <v>13001.13043478261</v>
      </c>
      <c r="V1636" s="55">
        <f t="shared" si="353"/>
        <v>-998.86956521739012</v>
      </c>
      <c r="W1636" s="55">
        <f t="shared" si="354"/>
        <v>12813.111944295662</v>
      </c>
      <c r="X1636" s="55">
        <f t="shared" si="355"/>
        <v>-188.01849048694748</v>
      </c>
      <c r="Y1636" s="55">
        <f t="shared" si="356"/>
        <v>10729.6</v>
      </c>
      <c r="Z1636" s="55">
        <f t="shared" si="357"/>
        <v>10729.6</v>
      </c>
      <c r="AA1636" s="55">
        <f t="shared" si="358"/>
        <v>0</v>
      </c>
      <c r="AB1636" s="55">
        <f t="shared" si="359"/>
        <v>2083.511944295662</v>
      </c>
      <c r="AC1636" s="54">
        <f t="shared" si="360"/>
        <v>0.16260779999063629</v>
      </c>
      <c r="AD1636" s="56">
        <f>INDEX(Assumptions!$B$14:$B$16,MATCH($R1636,Assumptions!$A$14:$A$16,0))</f>
        <v>0.18</v>
      </c>
      <c r="AE1636" s="56">
        <f>INDEX(Assumptions!$C$14:$C$16,MATCH($R1636,Assumptions!$A$14:$A$16,0))</f>
        <v>0.12</v>
      </c>
      <c r="AF1636" s="49">
        <f t="shared" si="361"/>
        <v>0</v>
      </c>
      <c r="AG1636" s="49">
        <f t="shared" si="362"/>
        <v>0</v>
      </c>
      <c r="AH1636" s="55">
        <f t="shared" si="363"/>
        <v>222.84820567755696</v>
      </c>
    </row>
    <row r="1637" spans="1:34" x14ac:dyDescent="0.2">
      <c r="A1637" s="48" t="s">
        <v>1340</v>
      </c>
      <c r="B1637" s="48">
        <v>3</v>
      </c>
      <c r="C1637" s="48" t="s">
        <v>1292</v>
      </c>
      <c r="D1637" s="48" t="s">
        <v>1258</v>
      </c>
      <c r="E1637" s="48" t="s">
        <v>366</v>
      </c>
      <c r="F1637" s="48" t="s">
        <v>297</v>
      </c>
      <c r="G1637" s="48" t="s">
        <v>302</v>
      </c>
      <c r="H1637" s="48" t="s">
        <v>66</v>
      </c>
      <c r="I1637" s="48" t="s">
        <v>151</v>
      </c>
      <c r="J1637" s="49">
        <v>26</v>
      </c>
      <c r="K1637" s="50">
        <v>325</v>
      </c>
      <c r="L1637" s="50">
        <v>315.47000000000003</v>
      </c>
      <c r="M1637" s="48" t="s">
        <v>276</v>
      </c>
      <c r="N1637" s="51">
        <v>0.92</v>
      </c>
      <c r="O1637" s="51">
        <v>0.9335</v>
      </c>
      <c r="P1637" s="52">
        <v>221.7</v>
      </c>
      <c r="Q1637" s="52">
        <v>221.7</v>
      </c>
      <c r="R1637" s="53" t="str">
        <f>INDEX(SKU_Master!$D$5:$D$34,MATCH($I1637,SKU_Master!$A$5:$A$34,0))</f>
        <v>Accessory</v>
      </c>
      <c r="S1637" s="54">
        <f t="shared" si="350"/>
        <v>2.9323076923076785E-2</v>
      </c>
      <c r="T1637" s="55">
        <f t="shared" si="351"/>
        <v>9184.782608695652</v>
      </c>
      <c r="U1637" s="55">
        <f t="shared" si="352"/>
        <v>8915.4565217391319</v>
      </c>
      <c r="V1637" s="55">
        <f t="shared" si="353"/>
        <v>-269.32608695652016</v>
      </c>
      <c r="W1637" s="55">
        <f t="shared" si="354"/>
        <v>8786.5238350294603</v>
      </c>
      <c r="X1637" s="55">
        <f t="shared" si="355"/>
        <v>-128.93268670967154</v>
      </c>
      <c r="Y1637" s="55">
        <f t="shared" si="356"/>
        <v>5764.2</v>
      </c>
      <c r="Z1637" s="55">
        <f t="shared" si="357"/>
        <v>5764.2</v>
      </c>
      <c r="AA1637" s="55">
        <f t="shared" si="358"/>
        <v>0</v>
      </c>
      <c r="AB1637" s="55">
        <f t="shared" si="359"/>
        <v>3022.3238350294605</v>
      </c>
      <c r="AC1637" s="54">
        <f t="shared" si="360"/>
        <v>0.34397264399150485</v>
      </c>
      <c r="AD1637" s="56">
        <f>INDEX(Assumptions!$B$14:$B$16,MATCH($R1637,Assumptions!$A$14:$A$16,0))</f>
        <v>0.32</v>
      </c>
      <c r="AE1637" s="56">
        <f>INDEX(Assumptions!$C$14:$C$16,MATCH($R1637,Assumptions!$A$14:$A$16,0))</f>
        <v>0.22</v>
      </c>
      <c r="AF1637" s="49">
        <f t="shared" si="361"/>
        <v>0</v>
      </c>
      <c r="AG1637" s="49">
        <f t="shared" si="362"/>
        <v>0</v>
      </c>
      <c r="AH1637" s="55">
        <f t="shared" si="363"/>
        <v>0</v>
      </c>
    </row>
    <row r="1638" spans="1:34" x14ac:dyDescent="0.2">
      <c r="A1638" s="48" t="s">
        <v>1341</v>
      </c>
      <c r="B1638" s="48">
        <v>1</v>
      </c>
      <c r="C1638" s="48" t="s">
        <v>1273</v>
      </c>
      <c r="D1638" s="48" t="s">
        <v>1258</v>
      </c>
      <c r="E1638" s="48" t="s">
        <v>314</v>
      </c>
      <c r="F1638" s="48" t="s">
        <v>274</v>
      </c>
      <c r="G1638" s="48" t="s">
        <v>298</v>
      </c>
      <c r="H1638" s="48" t="s">
        <v>68</v>
      </c>
      <c r="I1638" s="48" t="s">
        <v>98</v>
      </c>
      <c r="J1638" s="49">
        <v>5</v>
      </c>
      <c r="K1638" s="50">
        <v>2935</v>
      </c>
      <c r="L1638" s="50">
        <v>2918.93</v>
      </c>
      <c r="M1638" s="48" t="s">
        <v>276</v>
      </c>
      <c r="N1638" s="51">
        <v>1.37</v>
      </c>
      <c r="O1638" s="51">
        <v>1.3657999999999999</v>
      </c>
      <c r="P1638" s="52">
        <v>1792.2</v>
      </c>
      <c r="Q1638" s="52">
        <v>1792.2</v>
      </c>
      <c r="R1638" s="53" t="str">
        <f>INDEX(SKU_Master!$D$5:$D$34,MATCH($I1638,SKU_Master!$A$5:$A$34,0))</f>
        <v>Laptop</v>
      </c>
      <c r="S1638" s="54">
        <f t="shared" si="350"/>
        <v>5.4752981260648426E-3</v>
      </c>
      <c r="T1638" s="55">
        <f t="shared" si="351"/>
        <v>10711.678832116788</v>
      </c>
      <c r="U1638" s="55">
        <f t="shared" si="352"/>
        <v>10653.02919708029</v>
      </c>
      <c r="V1638" s="55">
        <f t="shared" si="353"/>
        <v>-58.649635036497784</v>
      </c>
      <c r="W1638" s="55">
        <f t="shared" si="354"/>
        <v>10685.788548835848</v>
      </c>
      <c r="X1638" s="55">
        <f t="shared" si="355"/>
        <v>32.759351755557873</v>
      </c>
      <c r="Y1638" s="55">
        <f t="shared" si="356"/>
        <v>8961</v>
      </c>
      <c r="Z1638" s="55">
        <f t="shared" si="357"/>
        <v>8961</v>
      </c>
      <c r="AA1638" s="55">
        <f t="shared" si="358"/>
        <v>0</v>
      </c>
      <c r="AB1638" s="55">
        <f t="shared" si="359"/>
        <v>1724.7885488358479</v>
      </c>
      <c r="AC1638" s="54">
        <f t="shared" si="360"/>
        <v>0.16140957131551636</v>
      </c>
      <c r="AD1638" s="56">
        <f>INDEX(Assumptions!$B$14:$B$16,MATCH($R1638,Assumptions!$A$14:$A$16,0))</f>
        <v>0.12</v>
      </c>
      <c r="AE1638" s="56">
        <f>INDEX(Assumptions!$C$14:$C$16,MATCH($R1638,Assumptions!$A$14:$A$16,0))</f>
        <v>0.08</v>
      </c>
      <c r="AF1638" s="49">
        <f t="shared" si="361"/>
        <v>0</v>
      </c>
      <c r="AG1638" s="49">
        <f t="shared" si="362"/>
        <v>0</v>
      </c>
      <c r="AH1638" s="55">
        <f t="shared" si="363"/>
        <v>0</v>
      </c>
    </row>
    <row r="1639" spans="1:34" x14ac:dyDescent="0.2">
      <c r="A1639" s="48" t="s">
        <v>1341</v>
      </c>
      <c r="B1639" s="48">
        <v>2</v>
      </c>
      <c r="C1639" s="48" t="s">
        <v>1273</v>
      </c>
      <c r="D1639" s="48" t="s">
        <v>1258</v>
      </c>
      <c r="E1639" s="48" t="s">
        <v>314</v>
      </c>
      <c r="F1639" s="48" t="s">
        <v>274</v>
      </c>
      <c r="G1639" s="48" t="s">
        <v>298</v>
      </c>
      <c r="H1639" s="48" t="s">
        <v>68</v>
      </c>
      <c r="I1639" s="48" t="s">
        <v>151</v>
      </c>
      <c r="J1639" s="49">
        <v>4</v>
      </c>
      <c r="K1639" s="50">
        <v>475</v>
      </c>
      <c r="L1639" s="50">
        <v>467.11</v>
      </c>
      <c r="M1639" s="48" t="s">
        <v>276</v>
      </c>
      <c r="N1639" s="51">
        <v>1.37</v>
      </c>
      <c r="O1639" s="51">
        <v>1.3657999999999999</v>
      </c>
      <c r="P1639" s="52">
        <v>219.7</v>
      </c>
      <c r="Q1639" s="52">
        <v>219.7</v>
      </c>
      <c r="R1639" s="53" t="str">
        <f>INDEX(SKU_Master!$D$5:$D$34,MATCH($I1639,SKU_Master!$A$5:$A$34,0))</f>
        <v>Accessory</v>
      </c>
      <c r="S1639" s="54">
        <f t="shared" si="350"/>
        <v>1.6610526315789409E-2</v>
      </c>
      <c r="T1639" s="55">
        <f t="shared" si="351"/>
        <v>1386.861313868613</v>
      </c>
      <c r="U1639" s="55">
        <f t="shared" si="352"/>
        <v>1363.8248175182482</v>
      </c>
      <c r="V1639" s="55">
        <f t="shared" si="353"/>
        <v>-23.036496350364814</v>
      </c>
      <c r="W1639" s="55">
        <f t="shared" si="354"/>
        <v>1368.0187435934984</v>
      </c>
      <c r="X1639" s="55">
        <f t="shared" si="355"/>
        <v>4.1939260752501468</v>
      </c>
      <c r="Y1639" s="55">
        <f t="shared" si="356"/>
        <v>878.8</v>
      </c>
      <c r="Z1639" s="55">
        <f t="shared" si="357"/>
        <v>878.8</v>
      </c>
      <c r="AA1639" s="55">
        <f t="shared" si="358"/>
        <v>0</v>
      </c>
      <c r="AB1639" s="55">
        <f t="shared" si="359"/>
        <v>489.2187435934984</v>
      </c>
      <c r="AC1639" s="54">
        <f t="shared" si="360"/>
        <v>0.35761114084476897</v>
      </c>
      <c r="AD1639" s="56">
        <f>INDEX(Assumptions!$B$14:$B$16,MATCH($R1639,Assumptions!$A$14:$A$16,0))</f>
        <v>0.32</v>
      </c>
      <c r="AE1639" s="56">
        <f>INDEX(Assumptions!$C$14:$C$16,MATCH($R1639,Assumptions!$A$14:$A$16,0))</f>
        <v>0.22</v>
      </c>
      <c r="AF1639" s="49">
        <f t="shared" si="361"/>
        <v>0</v>
      </c>
      <c r="AG1639" s="49">
        <f t="shared" si="362"/>
        <v>0</v>
      </c>
      <c r="AH1639" s="55">
        <f t="shared" si="363"/>
        <v>0</v>
      </c>
    </row>
    <row r="1640" spans="1:34" x14ac:dyDescent="0.2">
      <c r="A1640" s="48" t="s">
        <v>1342</v>
      </c>
      <c r="B1640" s="48">
        <v>1</v>
      </c>
      <c r="C1640" s="48" t="s">
        <v>1343</v>
      </c>
      <c r="D1640" s="48" t="s">
        <v>1258</v>
      </c>
      <c r="E1640" s="48" t="s">
        <v>393</v>
      </c>
      <c r="F1640" s="48" t="s">
        <v>274</v>
      </c>
      <c r="G1640" s="48" t="s">
        <v>275</v>
      </c>
      <c r="H1640" s="48" t="s">
        <v>66</v>
      </c>
      <c r="I1640" s="48" t="s">
        <v>93</v>
      </c>
      <c r="J1640" s="49">
        <v>6</v>
      </c>
      <c r="K1640" s="50">
        <v>1325</v>
      </c>
      <c r="L1640" s="50">
        <v>1314.42</v>
      </c>
      <c r="M1640" s="48" t="s">
        <v>276</v>
      </c>
      <c r="N1640" s="51">
        <v>0.92</v>
      </c>
      <c r="O1640" s="51">
        <v>0.9335</v>
      </c>
      <c r="P1640" s="52">
        <v>1206.2</v>
      </c>
      <c r="Q1640" s="52">
        <v>1206.2</v>
      </c>
      <c r="R1640" s="53" t="str">
        <f>INDEX(SKU_Master!$D$5:$D$34,MATCH($I1640,SKU_Master!$A$5:$A$34,0))</f>
        <v>Laptop</v>
      </c>
      <c r="S1640" s="54">
        <f t="shared" si="350"/>
        <v>7.9849056603773505E-3</v>
      </c>
      <c r="T1640" s="55">
        <f t="shared" si="351"/>
        <v>8641.3043478260861</v>
      </c>
      <c r="U1640" s="55">
        <f t="shared" si="352"/>
        <v>8572.3043478260879</v>
      </c>
      <c r="V1640" s="55">
        <f t="shared" si="353"/>
        <v>-68.999999999998181</v>
      </c>
      <c r="W1640" s="55">
        <f t="shared" si="354"/>
        <v>8448.3342260310656</v>
      </c>
      <c r="X1640" s="55">
        <f t="shared" si="355"/>
        <v>-123.97012179502235</v>
      </c>
      <c r="Y1640" s="55">
        <f t="shared" si="356"/>
        <v>7237.2000000000007</v>
      </c>
      <c r="Z1640" s="55">
        <f t="shared" si="357"/>
        <v>7237.2000000000007</v>
      </c>
      <c r="AA1640" s="55">
        <f t="shared" si="358"/>
        <v>0</v>
      </c>
      <c r="AB1640" s="55">
        <f t="shared" si="359"/>
        <v>1211.1342260310648</v>
      </c>
      <c r="AC1640" s="54">
        <f t="shared" si="360"/>
        <v>0.14335775475114487</v>
      </c>
      <c r="AD1640" s="56">
        <f>INDEX(Assumptions!$B$14:$B$16,MATCH($R1640,Assumptions!$A$14:$A$16,0))</f>
        <v>0.12</v>
      </c>
      <c r="AE1640" s="56">
        <f>INDEX(Assumptions!$C$14:$C$16,MATCH($R1640,Assumptions!$A$14:$A$16,0))</f>
        <v>0.08</v>
      </c>
      <c r="AF1640" s="49">
        <f t="shared" si="361"/>
        <v>0</v>
      </c>
      <c r="AG1640" s="49">
        <f t="shared" si="362"/>
        <v>0</v>
      </c>
      <c r="AH1640" s="55">
        <f t="shared" si="363"/>
        <v>0</v>
      </c>
    </row>
    <row r="1641" spans="1:34" x14ac:dyDescent="0.2">
      <c r="A1641" s="48" t="s">
        <v>1342</v>
      </c>
      <c r="B1641" s="48">
        <v>2</v>
      </c>
      <c r="C1641" s="48" t="s">
        <v>1343</v>
      </c>
      <c r="D1641" s="48" t="s">
        <v>1258</v>
      </c>
      <c r="E1641" s="48" t="s">
        <v>393</v>
      </c>
      <c r="F1641" s="48" t="s">
        <v>274</v>
      </c>
      <c r="G1641" s="48" t="s">
        <v>275</v>
      </c>
      <c r="H1641" s="48" t="s">
        <v>66</v>
      </c>
      <c r="I1641" s="48" t="s">
        <v>146</v>
      </c>
      <c r="J1641" s="49">
        <v>4</v>
      </c>
      <c r="K1641" s="50">
        <v>250</v>
      </c>
      <c r="L1641" s="50">
        <v>249.41</v>
      </c>
      <c r="M1641" s="48" t="s">
        <v>276</v>
      </c>
      <c r="N1641" s="51">
        <v>0.92</v>
      </c>
      <c r="O1641" s="51">
        <v>0.9335</v>
      </c>
      <c r="P1641" s="52">
        <v>206.8</v>
      </c>
      <c r="Q1641" s="52">
        <v>206.8</v>
      </c>
      <c r="R1641" s="53" t="str">
        <f>INDEX(SKU_Master!$D$5:$D$34,MATCH($I1641,SKU_Master!$A$5:$A$34,0))</f>
        <v>Monitor</v>
      </c>
      <c r="S1641" s="54">
        <f t="shared" si="350"/>
        <v>2.3600000000000287E-3</v>
      </c>
      <c r="T1641" s="55">
        <f t="shared" si="351"/>
        <v>1086.9565217391305</v>
      </c>
      <c r="U1641" s="55">
        <f t="shared" si="352"/>
        <v>1084.391304347826</v>
      </c>
      <c r="V1641" s="55">
        <f t="shared" si="353"/>
        <v>-2.5652173913044862</v>
      </c>
      <c r="W1641" s="55">
        <f t="shared" si="354"/>
        <v>1068.7091590787359</v>
      </c>
      <c r="X1641" s="55">
        <f t="shared" si="355"/>
        <v>-15.682145269090142</v>
      </c>
      <c r="Y1641" s="55">
        <f t="shared" si="356"/>
        <v>827.2</v>
      </c>
      <c r="Z1641" s="55">
        <f t="shared" si="357"/>
        <v>827.2</v>
      </c>
      <c r="AA1641" s="55">
        <f t="shared" si="358"/>
        <v>0</v>
      </c>
      <c r="AB1641" s="55">
        <f t="shared" si="359"/>
        <v>241.50915907873582</v>
      </c>
      <c r="AC1641" s="54">
        <f t="shared" si="360"/>
        <v>0.2259821177980032</v>
      </c>
      <c r="AD1641" s="56">
        <f>INDEX(Assumptions!$B$14:$B$16,MATCH($R1641,Assumptions!$A$14:$A$16,0))</f>
        <v>0.18</v>
      </c>
      <c r="AE1641" s="56">
        <f>INDEX(Assumptions!$C$14:$C$16,MATCH($R1641,Assumptions!$A$14:$A$16,0))</f>
        <v>0.12</v>
      </c>
      <c r="AF1641" s="49">
        <f t="shared" si="361"/>
        <v>0</v>
      </c>
      <c r="AG1641" s="49">
        <f t="shared" si="362"/>
        <v>0</v>
      </c>
      <c r="AH1641" s="55">
        <f t="shared" si="363"/>
        <v>0</v>
      </c>
    </row>
    <row r="1642" spans="1:34" x14ac:dyDescent="0.2">
      <c r="A1642" s="48" t="s">
        <v>1342</v>
      </c>
      <c r="B1642" s="48">
        <v>3</v>
      </c>
      <c r="C1642" s="48" t="s">
        <v>1343</v>
      </c>
      <c r="D1642" s="48" t="s">
        <v>1258</v>
      </c>
      <c r="E1642" s="48" t="s">
        <v>393</v>
      </c>
      <c r="F1642" s="48" t="s">
        <v>274</v>
      </c>
      <c r="G1642" s="48" t="s">
        <v>275</v>
      </c>
      <c r="H1642" s="48" t="s">
        <v>66</v>
      </c>
      <c r="I1642" s="48" t="s">
        <v>157</v>
      </c>
      <c r="J1642" s="49">
        <v>5</v>
      </c>
      <c r="K1642" s="50">
        <v>135</v>
      </c>
      <c r="L1642" s="50">
        <v>134.59</v>
      </c>
      <c r="M1642" s="48" t="s">
        <v>276</v>
      </c>
      <c r="N1642" s="51">
        <v>0.92</v>
      </c>
      <c r="O1642" s="51">
        <v>0.9335</v>
      </c>
      <c r="P1642" s="52">
        <v>91</v>
      </c>
      <c r="Q1642" s="52">
        <v>91</v>
      </c>
      <c r="R1642" s="53" t="str">
        <f>INDEX(SKU_Master!$D$5:$D$34,MATCH($I1642,SKU_Master!$A$5:$A$34,0))</f>
        <v>Accessory</v>
      </c>
      <c r="S1642" s="54">
        <f t="shared" si="350"/>
        <v>3.0370370370370603E-3</v>
      </c>
      <c r="T1642" s="55">
        <f t="shared" si="351"/>
        <v>733.695652173913</v>
      </c>
      <c r="U1642" s="55">
        <f t="shared" si="352"/>
        <v>731.46739130434787</v>
      </c>
      <c r="V1642" s="55">
        <f t="shared" si="353"/>
        <v>-2.2282608695651334</v>
      </c>
      <c r="W1642" s="55">
        <f t="shared" si="354"/>
        <v>720.88912694161763</v>
      </c>
      <c r="X1642" s="55">
        <f t="shared" si="355"/>
        <v>-10.578264362730238</v>
      </c>
      <c r="Y1642" s="55">
        <f t="shared" si="356"/>
        <v>455</v>
      </c>
      <c r="Z1642" s="55">
        <f t="shared" si="357"/>
        <v>455</v>
      </c>
      <c r="AA1642" s="55">
        <f t="shared" si="358"/>
        <v>0</v>
      </c>
      <c r="AB1642" s="55">
        <f t="shared" si="359"/>
        <v>265.88912694161763</v>
      </c>
      <c r="AC1642" s="54">
        <f t="shared" si="360"/>
        <v>0.36883498031057288</v>
      </c>
      <c r="AD1642" s="56">
        <f>INDEX(Assumptions!$B$14:$B$16,MATCH($R1642,Assumptions!$A$14:$A$16,0))</f>
        <v>0.32</v>
      </c>
      <c r="AE1642" s="56">
        <f>INDEX(Assumptions!$C$14:$C$16,MATCH($R1642,Assumptions!$A$14:$A$16,0))</f>
        <v>0.22</v>
      </c>
      <c r="AF1642" s="49">
        <f t="shared" si="361"/>
        <v>0</v>
      </c>
      <c r="AG1642" s="49">
        <f t="shared" si="362"/>
        <v>0</v>
      </c>
      <c r="AH1642" s="55">
        <f t="shared" si="363"/>
        <v>0</v>
      </c>
    </row>
    <row r="1643" spans="1:34" x14ac:dyDescent="0.2">
      <c r="A1643" s="48" t="s">
        <v>1344</v>
      </c>
      <c r="B1643" s="48">
        <v>1</v>
      </c>
      <c r="C1643" s="48" t="s">
        <v>1339</v>
      </c>
      <c r="D1643" s="48" t="s">
        <v>1258</v>
      </c>
      <c r="E1643" s="48" t="s">
        <v>305</v>
      </c>
      <c r="F1643" s="48" t="s">
        <v>274</v>
      </c>
      <c r="G1643" s="48" t="s">
        <v>306</v>
      </c>
      <c r="H1643" s="48" t="s">
        <v>62</v>
      </c>
      <c r="I1643" s="48" t="s">
        <v>98</v>
      </c>
      <c r="J1643" s="49">
        <v>7</v>
      </c>
      <c r="K1643" s="50">
        <v>2085</v>
      </c>
      <c r="L1643" s="50">
        <v>2050.67</v>
      </c>
      <c r="M1643" s="48" t="s">
        <v>276</v>
      </c>
      <c r="N1643" s="51">
        <v>1</v>
      </c>
      <c r="O1643" s="51">
        <v>1</v>
      </c>
      <c r="P1643" s="52">
        <v>1780.2</v>
      </c>
      <c r="Q1643" s="52">
        <v>1780.2</v>
      </c>
      <c r="R1643" s="53" t="str">
        <f>INDEX(SKU_Master!$D$5:$D$34,MATCH($I1643,SKU_Master!$A$5:$A$34,0))</f>
        <v>Laptop</v>
      </c>
      <c r="S1643" s="54">
        <f t="shared" si="350"/>
        <v>1.6465227817745731E-2</v>
      </c>
      <c r="T1643" s="55">
        <f t="shared" si="351"/>
        <v>14595</v>
      </c>
      <c r="U1643" s="55">
        <f t="shared" si="352"/>
        <v>14354.69</v>
      </c>
      <c r="V1643" s="55">
        <f t="shared" si="353"/>
        <v>-240.30999999999949</v>
      </c>
      <c r="W1643" s="55">
        <f t="shared" si="354"/>
        <v>14354.69</v>
      </c>
      <c r="X1643" s="55">
        <f t="shared" si="355"/>
        <v>0</v>
      </c>
      <c r="Y1643" s="55">
        <f t="shared" si="356"/>
        <v>12461.4</v>
      </c>
      <c r="Z1643" s="55">
        <f t="shared" si="357"/>
        <v>12461.4</v>
      </c>
      <c r="AA1643" s="55">
        <f t="shared" si="358"/>
        <v>0</v>
      </c>
      <c r="AB1643" s="55">
        <f t="shared" si="359"/>
        <v>1893.2900000000009</v>
      </c>
      <c r="AC1643" s="54">
        <f t="shared" si="360"/>
        <v>0.13189347871671214</v>
      </c>
      <c r="AD1643" s="56">
        <f>INDEX(Assumptions!$B$14:$B$16,MATCH($R1643,Assumptions!$A$14:$A$16,0))</f>
        <v>0.12</v>
      </c>
      <c r="AE1643" s="56">
        <f>INDEX(Assumptions!$C$14:$C$16,MATCH($R1643,Assumptions!$A$14:$A$16,0))</f>
        <v>0.08</v>
      </c>
      <c r="AF1643" s="49">
        <f t="shared" si="361"/>
        <v>0</v>
      </c>
      <c r="AG1643" s="49">
        <f t="shared" si="362"/>
        <v>0</v>
      </c>
      <c r="AH1643" s="55">
        <f t="shared" si="363"/>
        <v>0</v>
      </c>
    </row>
    <row r="1644" spans="1:34" x14ac:dyDescent="0.2">
      <c r="A1644" s="48" t="s">
        <v>1344</v>
      </c>
      <c r="B1644" s="48">
        <v>2</v>
      </c>
      <c r="C1644" s="48" t="s">
        <v>1339</v>
      </c>
      <c r="D1644" s="48" t="s">
        <v>1258</v>
      </c>
      <c r="E1644" s="48" t="s">
        <v>305</v>
      </c>
      <c r="F1644" s="48" t="s">
        <v>274</v>
      </c>
      <c r="G1644" s="48" t="s">
        <v>306</v>
      </c>
      <c r="H1644" s="48" t="s">
        <v>62</v>
      </c>
      <c r="I1644" s="48" t="s">
        <v>138</v>
      </c>
      <c r="J1644" s="49">
        <v>6</v>
      </c>
      <c r="K1644" s="50">
        <v>455</v>
      </c>
      <c r="L1644" s="50">
        <v>450.99</v>
      </c>
      <c r="M1644" s="48" t="s">
        <v>276</v>
      </c>
      <c r="N1644" s="51">
        <v>1</v>
      </c>
      <c r="O1644" s="51">
        <v>1</v>
      </c>
      <c r="P1644" s="52">
        <v>358.2</v>
      </c>
      <c r="Q1644" s="52">
        <v>358.2</v>
      </c>
      <c r="R1644" s="53" t="str">
        <f>INDEX(SKU_Master!$D$5:$D$34,MATCH($I1644,SKU_Master!$A$5:$A$34,0))</f>
        <v>Monitor</v>
      </c>
      <c r="S1644" s="54">
        <f t="shared" si="350"/>
        <v>8.8131868131867686E-3</v>
      </c>
      <c r="T1644" s="55">
        <f t="shared" si="351"/>
        <v>2730</v>
      </c>
      <c r="U1644" s="55">
        <f t="shared" si="352"/>
        <v>2705.94</v>
      </c>
      <c r="V1644" s="55">
        <f t="shared" si="353"/>
        <v>-24.059999999999945</v>
      </c>
      <c r="W1644" s="55">
        <f t="shared" si="354"/>
        <v>2705.94</v>
      </c>
      <c r="X1644" s="55">
        <f t="shared" si="355"/>
        <v>0</v>
      </c>
      <c r="Y1644" s="55">
        <f t="shared" si="356"/>
        <v>2149.1999999999998</v>
      </c>
      <c r="Z1644" s="55">
        <f t="shared" si="357"/>
        <v>2149.1999999999998</v>
      </c>
      <c r="AA1644" s="55">
        <f t="shared" si="358"/>
        <v>0</v>
      </c>
      <c r="AB1644" s="55">
        <f t="shared" si="359"/>
        <v>556.74000000000024</v>
      </c>
      <c r="AC1644" s="54">
        <f t="shared" si="360"/>
        <v>0.20574735581720224</v>
      </c>
      <c r="AD1644" s="56">
        <f>INDEX(Assumptions!$B$14:$B$16,MATCH($R1644,Assumptions!$A$14:$A$16,0))</f>
        <v>0.18</v>
      </c>
      <c r="AE1644" s="56">
        <f>INDEX(Assumptions!$C$14:$C$16,MATCH($R1644,Assumptions!$A$14:$A$16,0))</f>
        <v>0.12</v>
      </c>
      <c r="AF1644" s="49">
        <f t="shared" si="361"/>
        <v>0</v>
      </c>
      <c r="AG1644" s="49">
        <f t="shared" si="362"/>
        <v>0</v>
      </c>
      <c r="AH1644" s="55">
        <f t="shared" si="363"/>
        <v>0</v>
      </c>
    </row>
    <row r="1645" spans="1:34" x14ac:dyDescent="0.2">
      <c r="A1645" s="48" t="s">
        <v>1344</v>
      </c>
      <c r="B1645" s="48">
        <v>3</v>
      </c>
      <c r="C1645" s="48" t="s">
        <v>1339</v>
      </c>
      <c r="D1645" s="48" t="s">
        <v>1258</v>
      </c>
      <c r="E1645" s="48" t="s">
        <v>305</v>
      </c>
      <c r="F1645" s="48" t="s">
        <v>274</v>
      </c>
      <c r="G1645" s="48" t="s">
        <v>306</v>
      </c>
      <c r="H1645" s="48" t="s">
        <v>62</v>
      </c>
      <c r="I1645" s="48" t="s">
        <v>151</v>
      </c>
      <c r="J1645" s="49">
        <v>5</v>
      </c>
      <c r="K1645" s="50">
        <v>335</v>
      </c>
      <c r="L1645" s="50">
        <v>331.6</v>
      </c>
      <c r="M1645" s="48" t="s">
        <v>276</v>
      </c>
      <c r="N1645" s="51">
        <v>1</v>
      </c>
      <c r="O1645" s="51">
        <v>1</v>
      </c>
      <c r="P1645" s="52">
        <v>216.7</v>
      </c>
      <c r="Q1645" s="52">
        <v>216.7</v>
      </c>
      <c r="R1645" s="53" t="str">
        <f>INDEX(SKU_Master!$D$5:$D$34,MATCH($I1645,SKU_Master!$A$5:$A$34,0))</f>
        <v>Accessory</v>
      </c>
      <c r="S1645" s="54">
        <f t="shared" si="350"/>
        <v>1.0149253731343233E-2</v>
      </c>
      <c r="T1645" s="55">
        <f t="shared" si="351"/>
        <v>1675</v>
      </c>
      <c r="U1645" s="55">
        <f t="shared" si="352"/>
        <v>1658</v>
      </c>
      <c r="V1645" s="55">
        <f t="shared" si="353"/>
        <v>-17</v>
      </c>
      <c r="W1645" s="55">
        <f t="shared" si="354"/>
        <v>1658</v>
      </c>
      <c r="X1645" s="55">
        <f t="shared" si="355"/>
        <v>0</v>
      </c>
      <c r="Y1645" s="55">
        <f t="shared" si="356"/>
        <v>1083.5</v>
      </c>
      <c r="Z1645" s="55">
        <f t="shared" si="357"/>
        <v>1083.5</v>
      </c>
      <c r="AA1645" s="55">
        <f t="shared" si="358"/>
        <v>0</v>
      </c>
      <c r="AB1645" s="55">
        <f t="shared" si="359"/>
        <v>574.5</v>
      </c>
      <c r="AC1645" s="54">
        <f t="shared" si="360"/>
        <v>0.34650180940892644</v>
      </c>
      <c r="AD1645" s="56">
        <f>INDEX(Assumptions!$B$14:$B$16,MATCH($R1645,Assumptions!$A$14:$A$16,0))</f>
        <v>0.32</v>
      </c>
      <c r="AE1645" s="56">
        <f>INDEX(Assumptions!$C$14:$C$16,MATCH($R1645,Assumptions!$A$14:$A$16,0))</f>
        <v>0.22</v>
      </c>
      <c r="AF1645" s="49">
        <f t="shared" si="361"/>
        <v>0</v>
      </c>
      <c r="AG1645" s="49">
        <f t="shared" si="362"/>
        <v>0</v>
      </c>
      <c r="AH1645" s="55">
        <f t="shared" si="363"/>
        <v>0</v>
      </c>
    </row>
    <row r="1646" spans="1:34" x14ac:dyDescent="0.2">
      <c r="A1646" s="48" t="s">
        <v>1345</v>
      </c>
      <c r="B1646" s="48">
        <v>1</v>
      </c>
      <c r="C1646" s="48" t="s">
        <v>1270</v>
      </c>
      <c r="D1646" s="48" t="s">
        <v>1258</v>
      </c>
      <c r="E1646" s="48" t="s">
        <v>384</v>
      </c>
      <c r="F1646" s="48" t="s">
        <v>297</v>
      </c>
      <c r="G1646" s="48" t="s">
        <v>281</v>
      </c>
      <c r="H1646" s="48" t="s">
        <v>70</v>
      </c>
      <c r="I1646" s="48" t="s">
        <v>108</v>
      </c>
      <c r="J1646" s="49">
        <v>29</v>
      </c>
      <c r="K1646" s="50">
        <v>130190</v>
      </c>
      <c r="L1646" s="50">
        <v>125823.92</v>
      </c>
      <c r="M1646" s="48" t="s">
        <v>276</v>
      </c>
      <c r="N1646" s="51">
        <v>83.5</v>
      </c>
      <c r="O1646" s="51">
        <v>84.612200000000001</v>
      </c>
      <c r="P1646" s="52">
        <v>1305.97</v>
      </c>
      <c r="Q1646" s="52">
        <v>1401.03</v>
      </c>
      <c r="R1646" s="53" t="str">
        <f>INDEX(SKU_Master!$D$5:$D$34,MATCH($I1646,SKU_Master!$A$5:$A$34,0))</f>
        <v>Laptop</v>
      </c>
      <c r="S1646" s="54">
        <f t="shared" si="350"/>
        <v>3.3536216299254962E-2</v>
      </c>
      <c r="T1646" s="55">
        <f t="shared" si="351"/>
        <v>45215.688622754489</v>
      </c>
      <c r="U1646" s="55">
        <f t="shared" si="352"/>
        <v>43699.325508982038</v>
      </c>
      <c r="V1646" s="55">
        <f t="shared" si="353"/>
        <v>-1516.3631137724515</v>
      </c>
      <c r="W1646" s="55">
        <f t="shared" si="354"/>
        <v>43124.912010324755</v>
      </c>
      <c r="X1646" s="55">
        <f t="shared" si="355"/>
        <v>-574.41349865728262</v>
      </c>
      <c r="Y1646" s="55">
        <f t="shared" si="356"/>
        <v>37873.129999999997</v>
      </c>
      <c r="Z1646" s="55">
        <f t="shared" si="357"/>
        <v>40629.870000000003</v>
      </c>
      <c r="AA1646" s="55">
        <f t="shared" si="358"/>
        <v>-2756.7400000000052</v>
      </c>
      <c r="AB1646" s="55">
        <f t="shared" si="359"/>
        <v>2495.0420103247525</v>
      </c>
      <c r="AC1646" s="54">
        <f t="shared" si="360"/>
        <v>5.7856164662490252E-2</v>
      </c>
      <c r="AD1646" s="56">
        <f>INDEX(Assumptions!$B$14:$B$16,MATCH($R1646,Assumptions!$A$14:$A$16,0))</f>
        <v>0.12</v>
      </c>
      <c r="AE1646" s="56">
        <f>INDEX(Assumptions!$C$14:$C$16,MATCH($R1646,Assumptions!$A$14:$A$16,0))</f>
        <v>0.08</v>
      </c>
      <c r="AF1646" s="49">
        <f t="shared" si="361"/>
        <v>1</v>
      </c>
      <c r="AG1646" s="49">
        <f t="shared" si="362"/>
        <v>1</v>
      </c>
      <c r="AH1646" s="55">
        <f t="shared" si="363"/>
        <v>2679.9474309142179</v>
      </c>
    </row>
    <row r="1647" spans="1:34" x14ac:dyDescent="0.2">
      <c r="A1647" s="48" t="s">
        <v>1346</v>
      </c>
      <c r="B1647" s="48">
        <v>1</v>
      </c>
      <c r="C1647" s="48" t="s">
        <v>1294</v>
      </c>
      <c r="D1647" s="48" t="s">
        <v>1258</v>
      </c>
      <c r="E1647" s="48" t="s">
        <v>384</v>
      </c>
      <c r="F1647" s="48" t="s">
        <v>297</v>
      </c>
      <c r="G1647" s="48" t="s">
        <v>281</v>
      </c>
      <c r="H1647" s="48" t="s">
        <v>70</v>
      </c>
      <c r="I1647" s="48" t="s">
        <v>115</v>
      </c>
      <c r="J1647" s="49">
        <v>56</v>
      </c>
      <c r="K1647" s="50">
        <v>83560</v>
      </c>
      <c r="L1647" s="50">
        <v>81330.58</v>
      </c>
      <c r="M1647" s="48" t="s">
        <v>276</v>
      </c>
      <c r="N1647" s="51">
        <v>83.5</v>
      </c>
      <c r="O1647" s="51">
        <v>84.612200000000001</v>
      </c>
      <c r="P1647" s="52">
        <v>838.22</v>
      </c>
      <c r="Q1647" s="52">
        <v>858.22</v>
      </c>
      <c r="R1647" s="53" t="str">
        <f>INDEX(SKU_Master!$D$5:$D$34,MATCH($I1647,SKU_Master!$A$5:$A$34,0))</f>
        <v>Laptop</v>
      </c>
      <c r="S1647" s="54">
        <f t="shared" si="350"/>
        <v>2.6680469123982697E-2</v>
      </c>
      <c r="T1647" s="55">
        <f t="shared" si="351"/>
        <v>56040.239520958086</v>
      </c>
      <c r="U1647" s="55">
        <f t="shared" si="352"/>
        <v>54545.059640718566</v>
      </c>
      <c r="V1647" s="55">
        <f t="shared" si="353"/>
        <v>-1495.1798802395206</v>
      </c>
      <c r="W1647" s="55">
        <f t="shared" si="354"/>
        <v>53828.082475104071</v>
      </c>
      <c r="X1647" s="55">
        <f t="shared" si="355"/>
        <v>-716.97716561449488</v>
      </c>
      <c r="Y1647" s="55">
        <f t="shared" si="356"/>
        <v>46940.32</v>
      </c>
      <c r="Z1647" s="55">
        <f t="shared" si="357"/>
        <v>48060.32</v>
      </c>
      <c r="AA1647" s="55">
        <f t="shared" si="358"/>
        <v>-1120</v>
      </c>
      <c r="AB1647" s="55">
        <f t="shared" si="359"/>
        <v>5767.7624751040712</v>
      </c>
      <c r="AC1647" s="54">
        <f t="shared" si="360"/>
        <v>0.10715155008116271</v>
      </c>
      <c r="AD1647" s="56">
        <f>INDEX(Assumptions!$B$14:$B$16,MATCH($R1647,Assumptions!$A$14:$A$16,0))</f>
        <v>0.12</v>
      </c>
      <c r="AE1647" s="56">
        <f>INDEX(Assumptions!$C$14:$C$16,MATCH($R1647,Assumptions!$A$14:$A$16,0))</f>
        <v>0.08</v>
      </c>
      <c r="AF1647" s="49">
        <f t="shared" si="361"/>
        <v>0</v>
      </c>
      <c r="AG1647" s="49">
        <f t="shared" si="362"/>
        <v>0</v>
      </c>
      <c r="AH1647" s="55">
        <f t="shared" si="363"/>
        <v>691.60742190841665</v>
      </c>
    </row>
    <row r="1648" spans="1:34" x14ac:dyDescent="0.2">
      <c r="A1648" s="48" t="s">
        <v>1346</v>
      </c>
      <c r="B1648" s="48">
        <v>2</v>
      </c>
      <c r="C1648" s="48" t="s">
        <v>1294</v>
      </c>
      <c r="D1648" s="48" t="s">
        <v>1258</v>
      </c>
      <c r="E1648" s="48" t="s">
        <v>384</v>
      </c>
      <c r="F1648" s="48" t="s">
        <v>297</v>
      </c>
      <c r="G1648" s="48" t="s">
        <v>281</v>
      </c>
      <c r="H1648" s="48" t="s">
        <v>70</v>
      </c>
      <c r="I1648" s="48" t="s">
        <v>146</v>
      </c>
      <c r="J1648" s="49">
        <v>60</v>
      </c>
      <c r="K1648" s="50">
        <v>26365</v>
      </c>
      <c r="L1648" s="50">
        <v>25557.91</v>
      </c>
      <c r="M1648" s="48" t="s">
        <v>276</v>
      </c>
      <c r="N1648" s="51">
        <v>83.5</v>
      </c>
      <c r="O1648" s="51">
        <v>84.612200000000001</v>
      </c>
      <c r="P1648" s="52">
        <v>244.05</v>
      </c>
      <c r="Q1648" s="52">
        <v>264.05</v>
      </c>
      <c r="R1648" s="53" t="str">
        <f>INDEX(SKU_Master!$D$5:$D$34,MATCH($I1648,SKU_Master!$A$5:$A$34,0))</f>
        <v>Monitor</v>
      </c>
      <c r="S1648" s="54">
        <f t="shared" si="350"/>
        <v>3.061217523231563E-2</v>
      </c>
      <c r="T1648" s="55">
        <f t="shared" si="351"/>
        <v>18944.910179640719</v>
      </c>
      <c r="U1648" s="55">
        <f t="shared" si="352"/>
        <v>18364.965269461078</v>
      </c>
      <c r="V1648" s="55">
        <f t="shared" si="353"/>
        <v>-579.94491017964174</v>
      </c>
      <c r="W1648" s="55">
        <f t="shared" si="354"/>
        <v>18123.563741398997</v>
      </c>
      <c r="X1648" s="55">
        <f t="shared" si="355"/>
        <v>-241.40152806208062</v>
      </c>
      <c r="Y1648" s="55">
        <f t="shared" si="356"/>
        <v>14643</v>
      </c>
      <c r="Z1648" s="55">
        <f t="shared" si="357"/>
        <v>15843</v>
      </c>
      <c r="AA1648" s="55">
        <f t="shared" si="358"/>
        <v>-1200</v>
      </c>
      <c r="AB1648" s="55">
        <f t="shared" si="359"/>
        <v>2280.5637413989971</v>
      </c>
      <c r="AC1648" s="54">
        <f t="shared" si="360"/>
        <v>0.12583417775553649</v>
      </c>
      <c r="AD1648" s="56">
        <f>INDEX(Assumptions!$B$14:$B$16,MATCH($R1648,Assumptions!$A$14:$A$16,0))</f>
        <v>0.18</v>
      </c>
      <c r="AE1648" s="56">
        <f>INDEX(Assumptions!$C$14:$C$16,MATCH($R1648,Assumptions!$A$14:$A$16,0))</f>
        <v>0.12</v>
      </c>
      <c r="AF1648" s="49">
        <f t="shared" si="361"/>
        <v>0</v>
      </c>
      <c r="AG1648" s="49">
        <f t="shared" si="362"/>
        <v>0</v>
      </c>
      <c r="AH1648" s="55">
        <f t="shared" si="363"/>
        <v>981.67773205282219</v>
      </c>
    </row>
    <row r="1649" spans="1:34" x14ac:dyDescent="0.2">
      <c r="A1649" s="48" t="s">
        <v>1347</v>
      </c>
      <c r="B1649" s="48">
        <v>1</v>
      </c>
      <c r="C1649" s="48" t="s">
        <v>1290</v>
      </c>
      <c r="D1649" s="48" t="s">
        <v>1258</v>
      </c>
      <c r="E1649" s="48" t="s">
        <v>588</v>
      </c>
      <c r="F1649" s="48" t="s">
        <v>274</v>
      </c>
      <c r="G1649" s="48" t="s">
        <v>281</v>
      </c>
      <c r="H1649" s="48" t="s">
        <v>62</v>
      </c>
      <c r="I1649" s="48" t="s">
        <v>108</v>
      </c>
      <c r="J1649" s="49">
        <v>4</v>
      </c>
      <c r="K1649" s="50">
        <v>1345</v>
      </c>
      <c r="L1649" s="50">
        <v>1335.55</v>
      </c>
      <c r="M1649" s="48" t="s">
        <v>276</v>
      </c>
      <c r="N1649" s="51">
        <v>1</v>
      </c>
      <c r="O1649" s="51">
        <v>1</v>
      </c>
      <c r="P1649" s="52">
        <v>1145</v>
      </c>
      <c r="Q1649" s="52">
        <v>1212.6199999999999</v>
      </c>
      <c r="R1649" s="53" t="str">
        <f>INDEX(SKU_Master!$D$5:$D$34,MATCH($I1649,SKU_Master!$A$5:$A$34,0))</f>
        <v>Laptop</v>
      </c>
      <c r="S1649" s="54">
        <f t="shared" si="350"/>
        <v>7.0260223048327353E-3</v>
      </c>
      <c r="T1649" s="55">
        <f t="shared" si="351"/>
        <v>5380</v>
      </c>
      <c r="U1649" s="55">
        <f t="shared" si="352"/>
        <v>5342.2</v>
      </c>
      <c r="V1649" s="55">
        <f t="shared" si="353"/>
        <v>-37.800000000000182</v>
      </c>
      <c r="W1649" s="55">
        <f t="shared" si="354"/>
        <v>5342.2</v>
      </c>
      <c r="X1649" s="55">
        <f t="shared" si="355"/>
        <v>0</v>
      </c>
      <c r="Y1649" s="55">
        <f t="shared" si="356"/>
        <v>4580</v>
      </c>
      <c r="Z1649" s="55">
        <f t="shared" si="357"/>
        <v>4850.4799999999996</v>
      </c>
      <c r="AA1649" s="55">
        <f t="shared" si="358"/>
        <v>-270.47999999999956</v>
      </c>
      <c r="AB1649" s="55">
        <f t="shared" si="359"/>
        <v>491.72000000000025</v>
      </c>
      <c r="AC1649" s="54">
        <f t="shared" si="360"/>
        <v>9.2044476058552704E-2</v>
      </c>
      <c r="AD1649" s="56">
        <f>INDEX(Assumptions!$B$14:$B$16,MATCH($R1649,Assumptions!$A$14:$A$16,0))</f>
        <v>0.12</v>
      </c>
      <c r="AE1649" s="56">
        <f>INDEX(Assumptions!$C$14:$C$16,MATCH($R1649,Assumptions!$A$14:$A$16,0))</f>
        <v>0.08</v>
      </c>
      <c r="AF1649" s="49">
        <f t="shared" si="361"/>
        <v>0</v>
      </c>
      <c r="AG1649" s="49">
        <f t="shared" si="362"/>
        <v>0</v>
      </c>
      <c r="AH1649" s="55">
        <f t="shared" si="363"/>
        <v>149.34399999999971</v>
      </c>
    </row>
    <row r="1650" spans="1:34" x14ac:dyDescent="0.2">
      <c r="A1650" s="48" t="s">
        <v>1347</v>
      </c>
      <c r="B1650" s="48">
        <v>2</v>
      </c>
      <c r="C1650" s="48" t="s">
        <v>1290</v>
      </c>
      <c r="D1650" s="48" t="s">
        <v>1258</v>
      </c>
      <c r="E1650" s="48" t="s">
        <v>588</v>
      </c>
      <c r="F1650" s="48" t="s">
        <v>274</v>
      </c>
      <c r="G1650" s="48" t="s">
        <v>281</v>
      </c>
      <c r="H1650" s="48" t="s">
        <v>62</v>
      </c>
      <c r="I1650" s="48" t="s">
        <v>146</v>
      </c>
      <c r="J1650" s="49">
        <v>2</v>
      </c>
      <c r="K1650" s="50">
        <v>235</v>
      </c>
      <c r="L1650" s="50">
        <v>233.68</v>
      </c>
      <c r="M1650" s="48" t="s">
        <v>276</v>
      </c>
      <c r="N1650" s="51">
        <v>1</v>
      </c>
      <c r="O1650" s="51">
        <v>1</v>
      </c>
      <c r="P1650" s="52">
        <v>181.8</v>
      </c>
      <c r="Q1650" s="52">
        <v>181.8</v>
      </c>
      <c r="R1650" s="53" t="str">
        <f>INDEX(SKU_Master!$D$5:$D$34,MATCH($I1650,SKU_Master!$A$5:$A$34,0))</f>
        <v>Monitor</v>
      </c>
      <c r="S1650" s="54">
        <f t="shared" si="350"/>
        <v>5.6170212765956906E-3</v>
      </c>
      <c r="T1650" s="55">
        <f t="shared" si="351"/>
        <v>470</v>
      </c>
      <c r="U1650" s="55">
        <f t="shared" si="352"/>
        <v>467.36</v>
      </c>
      <c r="V1650" s="55">
        <f t="shared" si="353"/>
        <v>-2.6399999999999864</v>
      </c>
      <c r="W1650" s="55">
        <f t="shared" si="354"/>
        <v>467.36</v>
      </c>
      <c r="X1650" s="55">
        <f t="shared" si="355"/>
        <v>0</v>
      </c>
      <c r="Y1650" s="55">
        <f t="shared" si="356"/>
        <v>363.6</v>
      </c>
      <c r="Z1650" s="55">
        <f t="shared" si="357"/>
        <v>363.6</v>
      </c>
      <c r="AA1650" s="55">
        <f t="shared" si="358"/>
        <v>0</v>
      </c>
      <c r="AB1650" s="55">
        <f t="shared" si="359"/>
        <v>103.75999999999999</v>
      </c>
      <c r="AC1650" s="54">
        <f t="shared" si="360"/>
        <v>0.22201300924340978</v>
      </c>
      <c r="AD1650" s="56">
        <f>INDEX(Assumptions!$B$14:$B$16,MATCH($R1650,Assumptions!$A$14:$A$16,0))</f>
        <v>0.18</v>
      </c>
      <c r="AE1650" s="56">
        <f>INDEX(Assumptions!$C$14:$C$16,MATCH($R1650,Assumptions!$A$14:$A$16,0))</f>
        <v>0.12</v>
      </c>
      <c r="AF1650" s="49">
        <f t="shared" si="361"/>
        <v>0</v>
      </c>
      <c r="AG1650" s="49">
        <f t="shared" si="362"/>
        <v>0</v>
      </c>
      <c r="AH1650" s="55">
        <f t="shared" si="363"/>
        <v>0</v>
      </c>
    </row>
    <row r="1651" spans="1:34" x14ac:dyDescent="0.2">
      <c r="A1651" s="48" t="s">
        <v>1347</v>
      </c>
      <c r="B1651" s="48">
        <v>3</v>
      </c>
      <c r="C1651" s="48" t="s">
        <v>1290</v>
      </c>
      <c r="D1651" s="48" t="s">
        <v>1258</v>
      </c>
      <c r="E1651" s="48" t="s">
        <v>588</v>
      </c>
      <c r="F1651" s="48" t="s">
        <v>274</v>
      </c>
      <c r="G1651" s="48" t="s">
        <v>281</v>
      </c>
      <c r="H1651" s="48" t="s">
        <v>62</v>
      </c>
      <c r="I1651" s="48" t="s">
        <v>164</v>
      </c>
      <c r="J1651" s="49">
        <v>1</v>
      </c>
      <c r="K1651" s="50">
        <v>190</v>
      </c>
      <c r="L1651" s="50">
        <v>187.24</v>
      </c>
      <c r="M1651" s="48" t="s">
        <v>276</v>
      </c>
      <c r="N1651" s="51">
        <v>1</v>
      </c>
      <c r="O1651" s="51">
        <v>1</v>
      </c>
      <c r="P1651" s="52">
        <v>121</v>
      </c>
      <c r="Q1651" s="52">
        <v>121</v>
      </c>
      <c r="R1651" s="53" t="str">
        <f>INDEX(SKU_Master!$D$5:$D$34,MATCH($I1651,SKU_Master!$A$5:$A$34,0))</f>
        <v>Accessory</v>
      </c>
      <c r="S1651" s="54">
        <f t="shared" si="350"/>
        <v>1.4526315789473609E-2</v>
      </c>
      <c r="T1651" s="55">
        <f t="shared" si="351"/>
        <v>190</v>
      </c>
      <c r="U1651" s="55">
        <f t="shared" si="352"/>
        <v>187.24</v>
      </c>
      <c r="V1651" s="55">
        <f t="shared" si="353"/>
        <v>-2.7599999999999909</v>
      </c>
      <c r="W1651" s="55">
        <f t="shared" si="354"/>
        <v>187.24</v>
      </c>
      <c r="X1651" s="55">
        <f t="shared" si="355"/>
        <v>0</v>
      </c>
      <c r="Y1651" s="55">
        <f t="shared" si="356"/>
        <v>121</v>
      </c>
      <c r="Z1651" s="55">
        <f t="shared" si="357"/>
        <v>121</v>
      </c>
      <c r="AA1651" s="55">
        <f t="shared" si="358"/>
        <v>0</v>
      </c>
      <c r="AB1651" s="55">
        <f t="shared" si="359"/>
        <v>66.240000000000009</v>
      </c>
      <c r="AC1651" s="54">
        <f t="shared" si="360"/>
        <v>0.3537705618457595</v>
      </c>
      <c r="AD1651" s="56">
        <f>INDEX(Assumptions!$B$14:$B$16,MATCH($R1651,Assumptions!$A$14:$A$16,0))</f>
        <v>0.32</v>
      </c>
      <c r="AE1651" s="56">
        <f>INDEX(Assumptions!$C$14:$C$16,MATCH($R1651,Assumptions!$A$14:$A$16,0))</f>
        <v>0.22</v>
      </c>
      <c r="AF1651" s="49">
        <f t="shared" si="361"/>
        <v>0</v>
      </c>
      <c r="AG1651" s="49">
        <f t="shared" si="362"/>
        <v>0</v>
      </c>
      <c r="AH1651" s="55">
        <f t="shared" si="363"/>
        <v>0</v>
      </c>
    </row>
    <row r="1652" spans="1:34" x14ac:dyDescent="0.2">
      <c r="A1652" s="48" t="s">
        <v>1348</v>
      </c>
      <c r="B1652" s="48">
        <v>1</v>
      </c>
      <c r="C1652" s="48" t="s">
        <v>1260</v>
      </c>
      <c r="D1652" s="48" t="s">
        <v>1258</v>
      </c>
      <c r="E1652" s="48" t="s">
        <v>422</v>
      </c>
      <c r="F1652" s="48" t="s">
        <v>280</v>
      </c>
      <c r="G1652" s="48" t="s">
        <v>281</v>
      </c>
      <c r="H1652" s="48" t="s">
        <v>68</v>
      </c>
      <c r="I1652" s="48" t="s">
        <v>93</v>
      </c>
      <c r="J1652" s="49">
        <v>14</v>
      </c>
      <c r="K1652" s="50">
        <v>1960</v>
      </c>
      <c r="L1652" s="50">
        <v>1934.05</v>
      </c>
      <c r="M1652" s="48" t="s">
        <v>276</v>
      </c>
      <c r="N1652" s="51">
        <v>1.37</v>
      </c>
      <c r="O1652" s="51">
        <v>1.3657999999999999</v>
      </c>
      <c r="P1652" s="52">
        <v>1198.2</v>
      </c>
      <c r="Q1652" s="52">
        <v>1198.2</v>
      </c>
      <c r="R1652" s="53" t="str">
        <f>INDEX(SKU_Master!$D$5:$D$34,MATCH($I1652,SKU_Master!$A$5:$A$34,0))</f>
        <v>Laptop</v>
      </c>
      <c r="S1652" s="54">
        <f t="shared" si="350"/>
        <v>1.3239795918367325E-2</v>
      </c>
      <c r="T1652" s="55">
        <f t="shared" si="351"/>
        <v>20029.197080291968</v>
      </c>
      <c r="U1652" s="55">
        <f t="shared" si="352"/>
        <v>19764.014598540143</v>
      </c>
      <c r="V1652" s="55">
        <f t="shared" si="353"/>
        <v>-265.18248175182453</v>
      </c>
      <c r="W1652" s="55">
        <f t="shared" si="354"/>
        <v>19824.79133108801</v>
      </c>
      <c r="X1652" s="55">
        <f t="shared" si="355"/>
        <v>60.776732547867141</v>
      </c>
      <c r="Y1652" s="55">
        <f t="shared" si="356"/>
        <v>16774.8</v>
      </c>
      <c r="Z1652" s="55">
        <f t="shared" si="357"/>
        <v>16774.8</v>
      </c>
      <c r="AA1652" s="55">
        <f t="shared" si="358"/>
        <v>0</v>
      </c>
      <c r="AB1652" s="55">
        <f t="shared" si="359"/>
        <v>3049.9913310880111</v>
      </c>
      <c r="AC1652" s="54">
        <f t="shared" si="360"/>
        <v>0.15384733590134708</v>
      </c>
      <c r="AD1652" s="56">
        <f>INDEX(Assumptions!$B$14:$B$16,MATCH($R1652,Assumptions!$A$14:$A$16,0))</f>
        <v>0.12</v>
      </c>
      <c r="AE1652" s="56">
        <f>INDEX(Assumptions!$C$14:$C$16,MATCH($R1652,Assumptions!$A$14:$A$16,0))</f>
        <v>0.08</v>
      </c>
      <c r="AF1652" s="49">
        <f t="shared" si="361"/>
        <v>0</v>
      </c>
      <c r="AG1652" s="49">
        <f t="shared" si="362"/>
        <v>0</v>
      </c>
      <c r="AH1652" s="55">
        <f t="shared" si="363"/>
        <v>0</v>
      </c>
    </row>
    <row r="1653" spans="1:34" x14ac:dyDescent="0.2">
      <c r="A1653" s="48" t="s">
        <v>1348</v>
      </c>
      <c r="B1653" s="48">
        <v>2</v>
      </c>
      <c r="C1653" s="48" t="s">
        <v>1260</v>
      </c>
      <c r="D1653" s="48" t="s">
        <v>1258</v>
      </c>
      <c r="E1653" s="48" t="s">
        <v>422</v>
      </c>
      <c r="F1653" s="48" t="s">
        <v>280</v>
      </c>
      <c r="G1653" s="48" t="s">
        <v>281</v>
      </c>
      <c r="H1653" s="48" t="s">
        <v>68</v>
      </c>
      <c r="I1653" s="48" t="s">
        <v>151</v>
      </c>
      <c r="J1653" s="49">
        <v>16</v>
      </c>
      <c r="K1653" s="50">
        <v>475</v>
      </c>
      <c r="L1653" s="50">
        <v>458.88</v>
      </c>
      <c r="M1653" s="48" t="s">
        <v>276</v>
      </c>
      <c r="N1653" s="51">
        <v>1.37</v>
      </c>
      <c r="O1653" s="51">
        <v>1.3657999999999999</v>
      </c>
      <c r="P1653" s="52">
        <v>219.7</v>
      </c>
      <c r="Q1653" s="52">
        <v>219.7</v>
      </c>
      <c r="R1653" s="53" t="str">
        <f>INDEX(SKU_Master!$D$5:$D$34,MATCH($I1653,SKU_Master!$A$5:$A$34,0))</f>
        <v>Accessory</v>
      </c>
      <c r="S1653" s="54">
        <f t="shared" si="350"/>
        <v>3.3936842105263154E-2</v>
      </c>
      <c r="T1653" s="55">
        <f t="shared" si="351"/>
        <v>5547.4452554744521</v>
      </c>
      <c r="U1653" s="55">
        <f t="shared" si="352"/>
        <v>5359.1824817518245</v>
      </c>
      <c r="V1653" s="55">
        <f t="shared" si="353"/>
        <v>-188.26277372262757</v>
      </c>
      <c r="W1653" s="55">
        <f t="shared" si="354"/>
        <v>5375.6626153170309</v>
      </c>
      <c r="X1653" s="55">
        <f t="shared" si="355"/>
        <v>16.480133565206415</v>
      </c>
      <c r="Y1653" s="55">
        <f t="shared" si="356"/>
        <v>3515.2</v>
      </c>
      <c r="Z1653" s="55">
        <f t="shared" si="357"/>
        <v>3515.2</v>
      </c>
      <c r="AA1653" s="55">
        <f t="shared" si="358"/>
        <v>0</v>
      </c>
      <c r="AB1653" s="55">
        <f t="shared" si="359"/>
        <v>1860.4626153170311</v>
      </c>
      <c r="AC1653" s="54">
        <f t="shared" si="360"/>
        <v>0.34608991457461658</v>
      </c>
      <c r="AD1653" s="56">
        <f>INDEX(Assumptions!$B$14:$B$16,MATCH($R1653,Assumptions!$A$14:$A$16,0))</f>
        <v>0.32</v>
      </c>
      <c r="AE1653" s="56">
        <f>INDEX(Assumptions!$C$14:$C$16,MATCH($R1653,Assumptions!$A$14:$A$16,0))</f>
        <v>0.22</v>
      </c>
      <c r="AF1653" s="49">
        <f t="shared" si="361"/>
        <v>0</v>
      </c>
      <c r="AG1653" s="49">
        <f t="shared" si="362"/>
        <v>0</v>
      </c>
      <c r="AH1653" s="55">
        <f t="shared" si="363"/>
        <v>0</v>
      </c>
    </row>
    <row r="1654" spans="1:34" x14ac:dyDescent="0.2">
      <c r="A1654" s="48" t="s">
        <v>1349</v>
      </c>
      <c r="B1654" s="48">
        <v>1</v>
      </c>
      <c r="C1654" s="48" t="s">
        <v>1350</v>
      </c>
      <c r="D1654" s="48" t="s">
        <v>1258</v>
      </c>
      <c r="E1654" s="48" t="s">
        <v>325</v>
      </c>
      <c r="F1654" s="48" t="s">
        <v>274</v>
      </c>
      <c r="G1654" s="48" t="s">
        <v>298</v>
      </c>
      <c r="H1654" s="48" t="s">
        <v>62</v>
      </c>
      <c r="I1654" s="48" t="s">
        <v>110</v>
      </c>
      <c r="J1654" s="49">
        <v>7</v>
      </c>
      <c r="K1654" s="50">
        <v>1165</v>
      </c>
      <c r="L1654" s="50">
        <v>1147.21</v>
      </c>
      <c r="M1654" s="48" t="s">
        <v>276</v>
      </c>
      <c r="N1654" s="51">
        <v>1</v>
      </c>
      <c r="O1654" s="51">
        <v>1</v>
      </c>
      <c r="P1654" s="52">
        <v>992.65</v>
      </c>
      <c r="Q1654" s="52">
        <v>992.65</v>
      </c>
      <c r="R1654" s="53" t="str">
        <f>INDEX(SKU_Master!$D$5:$D$34,MATCH($I1654,SKU_Master!$A$5:$A$34,0))</f>
        <v>Laptop</v>
      </c>
      <c r="S1654" s="54">
        <f t="shared" si="350"/>
        <v>1.5270386266094338E-2</v>
      </c>
      <c r="T1654" s="55">
        <f t="shared" si="351"/>
        <v>8155</v>
      </c>
      <c r="U1654" s="55">
        <f t="shared" si="352"/>
        <v>8030.47</v>
      </c>
      <c r="V1654" s="55">
        <f t="shared" si="353"/>
        <v>-124.52999999999975</v>
      </c>
      <c r="W1654" s="55">
        <f t="shared" si="354"/>
        <v>8030.47</v>
      </c>
      <c r="X1654" s="55">
        <f t="shared" si="355"/>
        <v>0</v>
      </c>
      <c r="Y1654" s="55">
        <f t="shared" si="356"/>
        <v>6948.55</v>
      </c>
      <c r="Z1654" s="55">
        <f t="shared" si="357"/>
        <v>6948.55</v>
      </c>
      <c r="AA1654" s="55">
        <f t="shared" si="358"/>
        <v>0</v>
      </c>
      <c r="AB1654" s="55">
        <f t="shared" si="359"/>
        <v>1081.92</v>
      </c>
      <c r="AC1654" s="54">
        <f t="shared" si="360"/>
        <v>0.1347268590754962</v>
      </c>
      <c r="AD1654" s="56">
        <f>INDEX(Assumptions!$B$14:$B$16,MATCH($R1654,Assumptions!$A$14:$A$16,0))</f>
        <v>0.12</v>
      </c>
      <c r="AE1654" s="56">
        <f>INDEX(Assumptions!$C$14:$C$16,MATCH($R1654,Assumptions!$A$14:$A$16,0))</f>
        <v>0.08</v>
      </c>
      <c r="AF1654" s="49">
        <f t="shared" si="361"/>
        <v>0</v>
      </c>
      <c r="AG1654" s="49">
        <f t="shared" si="362"/>
        <v>0</v>
      </c>
      <c r="AH1654" s="55">
        <f t="shared" si="363"/>
        <v>0</v>
      </c>
    </row>
    <row r="1655" spans="1:34" x14ac:dyDescent="0.2">
      <c r="A1655" s="48" t="s">
        <v>1349</v>
      </c>
      <c r="B1655" s="48">
        <v>2</v>
      </c>
      <c r="C1655" s="48" t="s">
        <v>1350</v>
      </c>
      <c r="D1655" s="48" t="s">
        <v>1258</v>
      </c>
      <c r="E1655" s="48" t="s">
        <v>325</v>
      </c>
      <c r="F1655" s="48" t="s">
        <v>274</v>
      </c>
      <c r="G1655" s="48" t="s">
        <v>298</v>
      </c>
      <c r="H1655" s="48" t="s">
        <v>62</v>
      </c>
      <c r="I1655" s="48" t="s">
        <v>135</v>
      </c>
      <c r="J1655" s="49">
        <v>5</v>
      </c>
      <c r="K1655" s="50">
        <v>240</v>
      </c>
      <c r="L1655" s="50">
        <v>238.93</v>
      </c>
      <c r="M1655" s="48" t="s">
        <v>276</v>
      </c>
      <c r="N1655" s="51">
        <v>1</v>
      </c>
      <c r="O1655" s="51">
        <v>1</v>
      </c>
      <c r="P1655" s="52">
        <v>186.7</v>
      </c>
      <c r="Q1655" s="52">
        <v>186.7</v>
      </c>
      <c r="R1655" s="53" t="str">
        <f>INDEX(SKU_Master!$D$5:$D$34,MATCH($I1655,SKU_Master!$A$5:$A$34,0))</f>
        <v>Monitor</v>
      </c>
      <c r="S1655" s="54">
        <f t="shared" si="350"/>
        <v>4.4583333333333419E-3</v>
      </c>
      <c r="T1655" s="55">
        <f t="shared" si="351"/>
        <v>1200</v>
      </c>
      <c r="U1655" s="55">
        <f t="shared" si="352"/>
        <v>1194.6500000000001</v>
      </c>
      <c r="V1655" s="55">
        <f t="shared" si="353"/>
        <v>-5.3499999999999091</v>
      </c>
      <c r="W1655" s="55">
        <f t="shared" si="354"/>
        <v>1194.6500000000001</v>
      </c>
      <c r="X1655" s="55">
        <f t="shared" si="355"/>
        <v>0</v>
      </c>
      <c r="Y1655" s="55">
        <f t="shared" si="356"/>
        <v>933.5</v>
      </c>
      <c r="Z1655" s="55">
        <f t="shared" si="357"/>
        <v>933.5</v>
      </c>
      <c r="AA1655" s="55">
        <f t="shared" si="358"/>
        <v>0</v>
      </c>
      <c r="AB1655" s="55">
        <f t="shared" si="359"/>
        <v>261.15000000000009</v>
      </c>
      <c r="AC1655" s="54">
        <f t="shared" si="360"/>
        <v>0.21859958983802794</v>
      </c>
      <c r="AD1655" s="56">
        <f>INDEX(Assumptions!$B$14:$B$16,MATCH($R1655,Assumptions!$A$14:$A$16,0))</f>
        <v>0.18</v>
      </c>
      <c r="AE1655" s="56">
        <f>INDEX(Assumptions!$C$14:$C$16,MATCH($R1655,Assumptions!$A$14:$A$16,0))</f>
        <v>0.12</v>
      </c>
      <c r="AF1655" s="49">
        <f t="shared" si="361"/>
        <v>0</v>
      </c>
      <c r="AG1655" s="49">
        <f t="shared" si="362"/>
        <v>0</v>
      </c>
      <c r="AH1655" s="55">
        <f t="shared" si="363"/>
        <v>0</v>
      </c>
    </row>
    <row r="1656" spans="1:34" x14ac:dyDescent="0.2">
      <c r="A1656" s="48" t="s">
        <v>1351</v>
      </c>
      <c r="B1656" s="48">
        <v>1</v>
      </c>
      <c r="C1656" s="48" t="s">
        <v>1352</v>
      </c>
      <c r="D1656" s="48" t="s">
        <v>1258</v>
      </c>
      <c r="E1656" s="48" t="s">
        <v>558</v>
      </c>
      <c r="F1656" s="48" t="s">
        <v>280</v>
      </c>
      <c r="G1656" s="48" t="s">
        <v>288</v>
      </c>
      <c r="H1656" s="48" t="s">
        <v>62</v>
      </c>
      <c r="I1656" s="48" t="s">
        <v>115</v>
      </c>
      <c r="J1656" s="49">
        <v>14</v>
      </c>
      <c r="K1656" s="50">
        <v>850</v>
      </c>
      <c r="L1656" s="50">
        <v>825.42</v>
      </c>
      <c r="M1656" s="48" t="s">
        <v>276</v>
      </c>
      <c r="N1656" s="51">
        <v>1</v>
      </c>
      <c r="O1656" s="51">
        <v>1</v>
      </c>
      <c r="P1656" s="52">
        <v>723.6</v>
      </c>
      <c r="Q1656" s="52">
        <v>723.6</v>
      </c>
      <c r="R1656" s="53" t="str">
        <f>INDEX(SKU_Master!$D$5:$D$34,MATCH($I1656,SKU_Master!$A$5:$A$34,0))</f>
        <v>Laptop</v>
      </c>
      <c r="S1656" s="54">
        <f t="shared" si="350"/>
        <v>2.8917647058823603E-2</v>
      </c>
      <c r="T1656" s="55">
        <f t="shared" si="351"/>
        <v>11900</v>
      </c>
      <c r="U1656" s="55">
        <f t="shared" si="352"/>
        <v>11555.88</v>
      </c>
      <c r="V1656" s="55">
        <f t="shared" si="353"/>
        <v>-344.1200000000008</v>
      </c>
      <c r="W1656" s="55">
        <f t="shared" si="354"/>
        <v>11555.88</v>
      </c>
      <c r="X1656" s="55">
        <f t="shared" si="355"/>
        <v>0</v>
      </c>
      <c r="Y1656" s="55">
        <f t="shared" si="356"/>
        <v>10130.4</v>
      </c>
      <c r="Z1656" s="55">
        <f t="shared" si="357"/>
        <v>10130.4</v>
      </c>
      <c r="AA1656" s="55">
        <f t="shared" si="358"/>
        <v>0</v>
      </c>
      <c r="AB1656" s="55">
        <f t="shared" si="359"/>
        <v>1425.4799999999996</v>
      </c>
      <c r="AC1656" s="54">
        <f t="shared" si="360"/>
        <v>0.12335538271425453</v>
      </c>
      <c r="AD1656" s="56">
        <f>INDEX(Assumptions!$B$14:$B$16,MATCH($R1656,Assumptions!$A$14:$A$16,0))</f>
        <v>0.12</v>
      </c>
      <c r="AE1656" s="56">
        <f>INDEX(Assumptions!$C$14:$C$16,MATCH($R1656,Assumptions!$A$14:$A$16,0))</f>
        <v>0.08</v>
      </c>
      <c r="AF1656" s="49">
        <f t="shared" si="361"/>
        <v>0</v>
      </c>
      <c r="AG1656" s="49">
        <f t="shared" si="362"/>
        <v>0</v>
      </c>
      <c r="AH1656" s="55">
        <f t="shared" si="363"/>
        <v>0</v>
      </c>
    </row>
    <row r="1657" spans="1:34" x14ac:dyDescent="0.2">
      <c r="A1657" s="48" t="s">
        <v>1351</v>
      </c>
      <c r="B1657" s="48">
        <v>2</v>
      </c>
      <c r="C1657" s="48" t="s">
        <v>1352</v>
      </c>
      <c r="D1657" s="48" t="s">
        <v>1258</v>
      </c>
      <c r="E1657" s="48" t="s">
        <v>558</v>
      </c>
      <c r="F1657" s="48" t="s">
        <v>280</v>
      </c>
      <c r="G1657" s="48" t="s">
        <v>288</v>
      </c>
      <c r="H1657" s="48" t="s">
        <v>62</v>
      </c>
      <c r="I1657" s="48" t="s">
        <v>157</v>
      </c>
      <c r="J1657" s="49">
        <v>13</v>
      </c>
      <c r="K1657" s="50">
        <v>135</v>
      </c>
      <c r="L1657" s="50">
        <v>131.28</v>
      </c>
      <c r="M1657" s="48" t="s">
        <v>276</v>
      </c>
      <c r="N1657" s="51">
        <v>1</v>
      </c>
      <c r="O1657" s="51">
        <v>1</v>
      </c>
      <c r="P1657" s="52">
        <v>86</v>
      </c>
      <c r="Q1657" s="52">
        <v>86</v>
      </c>
      <c r="R1657" s="53" t="str">
        <f>INDEX(SKU_Master!$D$5:$D$34,MATCH($I1657,SKU_Master!$A$5:$A$34,0))</f>
        <v>Accessory</v>
      </c>
      <c r="S1657" s="54">
        <f t="shared" si="350"/>
        <v>2.7555555555555555E-2</v>
      </c>
      <c r="T1657" s="55">
        <f t="shared" si="351"/>
        <v>1755</v>
      </c>
      <c r="U1657" s="55">
        <f t="shared" si="352"/>
        <v>1706.64</v>
      </c>
      <c r="V1657" s="55">
        <f t="shared" si="353"/>
        <v>-48.3599999999999</v>
      </c>
      <c r="W1657" s="55">
        <f t="shared" si="354"/>
        <v>1706.64</v>
      </c>
      <c r="X1657" s="55">
        <f t="shared" si="355"/>
        <v>0</v>
      </c>
      <c r="Y1657" s="55">
        <f t="shared" si="356"/>
        <v>1118</v>
      </c>
      <c r="Z1657" s="55">
        <f t="shared" si="357"/>
        <v>1118</v>
      </c>
      <c r="AA1657" s="55">
        <f t="shared" si="358"/>
        <v>0</v>
      </c>
      <c r="AB1657" s="55">
        <f t="shared" si="359"/>
        <v>588.6400000000001</v>
      </c>
      <c r="AC1657" s="54">
        <f t="shared" si="360"/>
        <v>0.34491163924436324</v>
      </c>
      <c r="AD1657" s="56">
        <f>INDEX(Assumptions!$B$14:$B$16,MATCH($R1657,Assumptions!$A$14:$A$16,0))</f>
        <v>0.32</v>
      </c>
      <c r="AE1657" s="56">
        <f>INDEX(Assumptions!$C$14:$C$16,MATCH($R1657,Assumptions!$A$14:$A$16,0))</f>
        <v>0.22</v>
      </c>
      <c r="AF1657" s="49">
        <f t="shared" si="361"/>
        <v>0</v>
      </c>
      <c r="AG1657" s="49">
        <f t="shared" si="362"/>
        <v>0</v>
      </c>
      <c r="AH1657" s="55">
        <f t="shared" si="363"/>
        <v>0</v>
      </c>
    </row>
    <row r="1658" spans="1:34" x14ac:dyDescent="0.2">
      <c r="A1658" s="48" t="s">
        <v>1353</v>
      </c>
      <c r="B1658" s="48">
        <v>1</v>
      </c>
      <c r="C1658" s="48" t="s">
        <v>1354</v>
      </c>
      <c r="D1658" s="48" t="s">
        <v>1355</v>
      </c>
      <c r="E1658" s="48" t="s">
        <v>305</v>
      </c>
      <c r="F1658" s="48" t="s">
        <v>274</v>
      </c>
      <c r="G1658" s="48" t="s">
        <v>306</v>
      </c>
      <c r="H1658" s="48" t="s">
        <v>62</v>
      </c>
      <c r="I1658" s="48" t="s">
        <v>103</v>
      </c>
      <c r="J1658" s="49">
        <v>9</v>
      </c>
      <c r="K1658" s="50">
        <v>1135</v>
      </c>
      <c r="L1658" s="50">
        <v>1128.8499999999999</v>
      </c>
      <c r="M1658" s="48" t="s">
        <v>276</v>
      </c>
      <c r="N1658" s="51">
        <v>1</v>
      </c>
      <c r="O1658" s="51">
        <v>1</v>
      </c>
      <c r="P1658" s="52">
        <v>968.6</v>
      </c>
      <c r="Q1658" s="52">
        <v>968.6</v>
      </c>
      <c r="R1658" s="53" t="str">
        <f>INDEX(SKU_Master!$D$5:$D$34,MATCH($I1658,SKU_Master!$A$5:$A$34,0))</f>
        <v>Laptop</v>
      </c>
      <c r="S1658" s="54">
        <f t="shared" si="350"/>
        <v>5.4185022026432828E-3</v>
      </c>
      <c r="T1658" s="55">
        <f t="shared" si="351"/>
        <v>10215</v>
      </c>
      <c r="U1658" s="55">
        <f t="shared" si="352"/>
        <v>10159.65</v>
      </c>
      <c r="V1658" s="55">
        <f t="shared" si="353"/>
        <v>-55.350000000000364</v>
      </c>
      <c r="W1658" s="55">
        <f t="shared" si="354"/>
        <v>10159.65</v>
      </c>
      <c r="X1658" s="55">
        <f t="shared" si="355"/>
        <v>0</v>
      </c>
      <c r="Y1658" s="55">
        <f t="shared" si="356"/>
        <v>8717.4</v>
      </c>
      <c r="Z1658" s="55">
        <f t="shared" si="357"/>
        <v>8717.4</v>
      </c>
      <c r="AA1658" s="55">
        <f t="shared" si="358"/>
        <v>0</v>
      </c>
      <c r="AB1658" s="55">
        <f t="shared" si="359"/>
        <v>1442.25</v>
      </c>
      <c r="AC1658" s="54">
        <f t="shared" si="360"/>
        <v>0.14195863046463214</v>
      </c>
      <c r="AD1658" s="56">
        <f>INDEX(Assumptions!$B$14:$B$16,MATCH($R1658,Assumptions!$A$14:$A$16,0))</f>
        <v>0.12</v>
      </c>
      <c r="AE1658" s="56">
        <f>INDEX(Assumptions!$C$14:$C$16,MATCH($R1658,Assumptions!$A$14:$A$16,0))</f>
        <v>0.08</v>
      </c>
      <c r="AF1658" s="49">
        <f t="shared" si="361"/>
        <v>0</v>
      </c>
      <c r="AG1658" s="49">
        <f t="shared" si="362"/>
        <v>0</v>
      </c>
      <c r="AH1658" s="55">
        <f t="shared" si="363"/>
        <v>0</v>
      </c>
    </row>
    <row r="1659" spans="1:34" x14ac:dyDescent="0.2">
      <c r="A1659" s="48" t="s">
        <v>1353</v>
      </c>
      <c r="B1659" s="48">
        <v>2</v>
      </c>
      <c r="C1659" s="48" t="s">
        <v>1354</v>
      </c>
      <c r="D1659" s="48" t="s">
        <v>1355</v>
      </c>
      <c r="E1659" s="48" t="s">
        <v>305</v>
      </c>
      <c r="F1659" s="48" t="s">
        <v>274</v>
      </c>
      <c r="G1659" s="48" t="s">
        <v>306</v>
      </c>
      <c r="H1659" s="48" t="s">
        <v>62</v>
      </c>
      <c r="I1659" s="48" t="s">
        <v>151</v>
      </c>
      <c r="J1659" s="49">
        <v>9</v>
      </c>
      <c r="K1659" s="50">
        <v>335</v>
      </c>
      <c r="L1659" s="50">
        <v>332.63</v>
      </c>
      <c r="M1659" s="48" t="s">
        <v>276</v>
      </c>
      <c r="N1659" s="51">
        <v>1</v>
      </c>
      <c r="O1659" s="51">
        <v>1</v>
      </c>
      <c r="P1659" s="52">
        <v>216.7</v>
      </c>
      <c r="Q1659" s="52">
        <v>216.7</v>
      </c>
      <c r="R1659" s="53" t="str">
        <f>INDEX(SKU_Master!$D$5:$D$34,MATCH($I1659,SKU_Master!$A$5:$A$34,0))</f>
        <v>Accessory</v>
      </c>
      <c r="S1659" s="54">
        <f t="shared" si="350"/>
        <v>7.0746268656716182E-3</v>
      </c>
      <c r="T1659" s="55">
        <f t="shared" si="351"/>
        <v>3015</v>
      </c>
      <c r="U1659" s="55">
        <f t="shared" si="352"/>
        <v>2993.67</v>
      </c>
      <c r="V1659" s="55">
        <f t="shared" si="353"/>
        <v>-21.329999999999927</v>
      </c>
      <c r="W1659" s="55">
        <f t="shared" si="354"/>
        <v>2993.67</v>
      </c>
      <c r="X1659" s="55">
        <f t="shared" si="355"/>
        <v>0</v>
      </c>
      <c r="Y1659" s="55">
        <f t="shared" si="356"/>
        <v>1950.3</v>
      </c>
      <c r="Z1659" s="55">
        <f t="shared" si="357"/>
        <v>1950.3</v>
      </c>
      <c r="AA1659" s="55">
        <f t="shared" si="358"/>
        <v>0</v>
      </c>
      <c r="AB1659" s="55">
        <f t="shared" si="359"/>
        <v>1043.3700000000001</v>
      </c>
      <c r="AC1659" s="54">
        <f t="shared" si="360"/>
        <v>0.34852538856988247</v>
      </c>
      <c r="AD1659" s="56">
        <f>INDEX(Assumptions!$B$14:$B$16,MATCH($R1659,Assumptions!$A$14:$A$16,0))</f>
        <v>0.32</v>
      </c>
      <c r="AE1659" s="56">
        <f>INDEX(Assumptions!$C$14:$C$16,MATCH($R1659,Assumptions!$A$14:$A$16,0))</f>
        <v>0.22</v>
      </c>
      <c r="AF1659" s="49">
        <f t="shared" si="361"/>
        <v>0</v>
      </c>
      <c r="AG1659" s="49">
        <f t="shared" si="362"/>
        <v>0</v>
      </c>
      <c r="AH1659" s="55">
        <f t="shared" si="363"/>
        <v>0</v>
      </c>
    </row>
    <row r="1660" spans="1:34" x14ac:dyDescent="0.2">
      <c r="A1660" s="48" t="s">
        <v>1356</v>
      </c>
      <c r="B1660" s="48">
        <v>1</v>
      </c>
      <c r="C1660" s="48" t="s">
        <v>1357</v>
      </c>
      <c r="D1660" s="48" t="s">
        <v>1355</v>
      </c>
      <c r="E1660" s="48" t="s">
        <v>325</v>
      </c>
      <c r="F1660" s="48" t="s">
        <v>274</v>
      </c>
      <c r="G1660" s="48" t="s">
        <v>298</v>
      </c>
      <c r="H1660" s="48" t="s">
        <v>62</v>
      </c>
      <c r="I1660" s="48" t="s">
        <v>113</v>
      </c>
      <c r="J1660" s="49">
        <v>5</v>
      </c>
      <c r="K1660" s="50">
        <v>1740</v>
      </c>
      <c r="L1660" s="50">
        <v>1728.19</v>
      </c>
      <c r="M1660" s="48" t="s">
        <v>276</v>
      </c>
      <c r="N1660" s="51">
        <v>1</v>
      </c>
      <c r="O1660" s="51">
        <v>1</v>
      </c>
      <c r="P1660" s="52">
        <v>1484.8</v>
      </c>
      <c r="Q1660" s="52">
        <v>1484.8</v>
      </c>
      <c r="R1660" s="53" t="str">
        <f>INDEX(SKU_Master!$D$5:$D$34,MATCH($I1660,SKU_Master!$A$5:$A$34,0))</f>
        <v>Laptop</v>
      </c>
      <c r="S1660" s="54">
        <f t="shared" si="350"/>
        <v>6.787356321839022E-3</v>
      </c>
      <c r="T1660" s="55">
        <f t="shared" si="351"/>
        <v>8700</v>
      </c>
      <c r="U1660" s="55">
        <f t="shared" si="352"/>
        <v>8640.9500000000007</v>
      </c>
      <c r="V1660" s="55">
        <f t="shared" si="353"/>
        <v>-59.049999999999272</v>
      </c>
      <c r="W1660" s="55">
        <f t="shared" si="354"/>
        <v>8640.9500000000007</v>
      </c>
      <c r="X1660" s="55">
        <f t="shared" si="355"/>
        <v>0</v>
      </c>
      <c r="Y1660" s="55">
        <f t="shared" si="356"/>
        <v>7424</v>
      </c>
      <c r="Z1660" s="55">
        <f t="shared" si="357"/>
        <v>7424</v>
      </c>
      <c r="AA1660" s="55">
        <f t="shared" si="358"/>
        <v>0</v>
      </c>
      <c r="AB1660" s="55">
        <f t="shared" si="359"/>
        <v>1216.9500000000007</v>
      </c>
      <c r="AC1660" s="54">
        <f t="shared" si="360"/>
        <v>0.140835209091593</v>
      </c>
      <c r="AD1660" s="56">
        <f>INDEX(Assumptions!$B$14:$B$16,MATCH($R1660,Assumptions!$A$14:$A$16,0))</f>
        <v>0.12</v>
      </c>
      <c r="AE1660" s="56">
        <f>INDEX(Assumptions!$C$14:$C$16,MATCH($R1660,Assumptions!$A$14:$A$16,0))</f>
        <v>0.08</v>
      </c>
      <c r="AF1660" s="49">
        <f t="shared" si="361"/>
        <v>0</v>
      </c>
      <c r="AG1660" s="49">
        <f t="shared" si="362"/>
        <v>0</v>
      </c>
      <c r="AH1660" s="55">
        <f t="shared" si="363"/>
        <v>0</v>
      </c>
    </row>
    <row r="1661" spans="1:34" x14ac:dyDescent="0.2">
      <c r="A1661" s="48" t="s">
        <v>1356</v>
      </c>
      <c r="B1661" s="48">
        <v>2</v>
      </c>
      <c r="C1661" s="48" t="s">
        <v>1357</v>
      </c>
      <c r="D1661" s="48" t="s">
        <v>1355</v>
      </c>
      <c r="E1661" s="48" t="s">
        <v>325</v>
      </c>
      <c r="F1661" s="48" t="s">
        <v>274</v>
      </c>
      <c r="G1661" s="48" t="s">
        <v>298</v>
      </c>
      <c r="H1661" s="48" t="s">
        <v>62</v>
      </c>
      <c r="I1661" s="48" t="s">
        <v>146</v>
      </c>
      <c r="J1661" s="49">
        <v>2</v>
      </c>
      <c r="K1661" s="50">
        <v>235</v>
      </c>
      <c r="L1661" s="50">
        <v>234.38</v>
      </c>
      <c r="M1661" s="48" t="s">
        <v>276</v>
      </c>
      <c r="N1661" s="51">
        <v>1</v>
      </c>
      <c r="O1661" s="51">
        <v>1</v>
      </c>
      <c r="P1661" s="52">
        <v>181.8</v>
      </c>
      <c r="Q1661" s="52">
        <v>181.8</v>
      </c>
      <c r="R1661" s="53" t="str">
        <f>INDEX(SKU_Master!$D$5:$D$34,MATCH($I1661,SKU_Master!$A$5:$A$34,0))</f>
        <v>Monitor</v>
      </c>
      <c r="S1661" s="54">
        <f t="shared" si="350"/>
        <v>2.6382978723404893E-3</v>
      </c>
      <c r="T1661" s="55">
        <f t="shared" si="351"/>
        <v>470</v>
      </c>
      <c r="U1661" s="55">
        <f t="shared" si="352"/>
        <v>468.76</v>
      </c>
      <c r="V1661" s="55">
        <f t="shared" si="353"/>
        <v>-1.2400000000000091</v>
      </c>
      <c r="W1661" s="55">
        <f t="shared" si="354"/>
        <v>468.76</v>
      </c>
      <c r="X1661" s="55">
        <f t="shared" si="355"/>
        <v>0</v>
      </c>
      <c r="Y1661" s="55">
        <f t="shared" si="356"/>
        <v>363.6</v>
      </c>
      <c r="Z1661" s="55">
        <f t="shared" si="357"/>
        <v>363.6</v>
      </c>
      <c r="AA1661" s="55">
        <f t="shared" si="358"/>
        <v>0</v>
      </c>
      <c r="AB1661" s="55">
        <f t="shared" si="359"/>
        <v>105.15999999999997</v>
      </c>
      <c r="AC1661" s="54">
        <f t="shared" si="360"/>
        <v>0.22433654748698689</v>
      </c>
      <c r="AD1661" s="56">
        <f>INDEX(Assumptions!$B$14:$B$16,MATCH($R1661,Assumptions!$A$14:$A$16,0))</f>
        <v>0.18</v>
      </c>
      <c r="AE1661" s="56">
        <f>INDEX(Assumptions!$C$14:$C$16,MATCH($R1661,Assumptions!$A$14:$A$16,0))</f>
        <v>0.12</v>
      </c>
      <c r="AF1661" s="49">
        <f t="shared" si="361"/>
        <v>0</v>
      </c>
      <c r="AG1661" s="49">
        <f t="shared" si="362"/>
        <v>0</v>
      </c>
      <c r="AH1661" s="55">
        <f t="shared" si="363"/>
        <v>0</v>
      </c>
    </row>
    <row r="1662" spans="1:34" x14ac:dyDescent="0.2">
      <c r="A1662" s="48" t="s">
        <v>1356</v>
      </c>
      <c r="B1662" s="48">
        <v>3</v>
      </c>
      <c r="C1662" s="48" t="s">
        <v>1357</v>
      </c>
      <c r="D1662" s="48" t="s">
        <v>1355</v>
      </c>
      <c r="E1662" s="48" t="s">
        <v>325</v>
      </c>
      <c r="F1662" s="48" t="s">
        <v>274</v>
      </c>
      <c r="G1662" s="48" t="s">
        <v>298</v>
      </c>
      <c r="H1662" s="48" t="s">
        <v>62</v>
      </c>
      <c r="I1662" s="48" t="s">
        <v>164</v>
      </c>
      <c r="J1662" s="49">
        <v>4</v>
      </c>
      <c r="K1662" s="50">
        <v>190</v>
      </c>
      <c r="L1662" s="50">
        <v>189.05</v>
      </c>
      <c r="M1662" s="48" t="s">
        <v>276</v>
      </c>
      <c r="N1662" s="51">
        <v>1</v>
      </c>
      <c r="O1662" s="51">
        <v>1</v>
      </c>
      <c r="P1662" s="52">
        <v>121</v>
      </c>
      <c r="Q1662" s="52">
        <v>121</v>
      </c>
      <c r="R1662" s="53" t="str">
        <f>INDEX(SKU_Master!$D$5:$D$34,MATCH($I1662,SKU_Master!$A$5:$A$34,0))</f>
        <v>Accessory</v>
      </c>
      <c r="S1662" s="54">
        <f t="shared" si="350"/>
        <v>4.9999999999998934E-3</v>
      </c>
      <c r="T1662" s="55">
        <f t="shared" si="351"/>
        <v>760</v>
      </c>
      <c r="U1662" s="55">
        <f t="shared" si="352"/>
        <v>756.2</v>
      </c>
      <c r="V1662" s="55">
        <f t="shared" si="353"/>
        <v>-3.7999999999999545</v>
      </c>
      <c r="W1662" s="55">
        <f t="shared" si="354"/>
        <v>756.2</v>
      </c>
      <c r="X1662" s="55">
        <f t="shared" si="355"/>
        <v>0</v>
      </c>
      <c r="Y1662" s="55">
        <f t="shared" si="356"/>
        <v>484</v>
      </c>
      <c r="Z1662" s="55">
        <f t="shared" si="357"/>
        <v>484</v>
      </c>
      <c r="AA1662" s="55">
        <f t="shared" si="358"/>
        <v>0</v>
      </c>
      <c r="AB1662" s="55">
        <f t="shared" si="359"/>
        <v>272.20000000000005</v>
      </c>
      <c r="AC1662" s="54">
        <f t="shared" si="360"/>
        <v>0.35995768315260518</v>
      </c>
      <c r="AD1662" s="56">
        <f>INDEX(Assumptions!$B$14:$B$16,MATCH($R1662,Assumptions!$A$14:$A$16,0))</f>
        <v>0.32</v>
      </c>
      <c r="AE1662" s="56">
        <f>INDEX(Assumptions!$C$14:$C$16,MATCH($R1662,Assumptions!$A$14:$A$16,0))</f>
        <v>0.22</v>
      </c>
      <c r="AF1662" s="49">
        <f t="shared" si="361"/>
        <v>0</v>
      </c>
      <c r="AG1662" s="49">
        <f t="shared" si="362"/>
        <v>0</v>
      </c>
      <c r="AH1662" s="55">
        <f t="shared" si="363"/>
        <v>0</v>
      </c>
    </row>
    <row r="1663" spans="1:34" x14ac:dyDescent="0.2">
      <c r="A1663" s="48" t="s">
        <v>1358</v>
      </c>
      <c r="B1663" s="48">
        <v>1</v>
      </c>
      <c r="C1663" s="48" t="s">
        <v>1359</v>
      </c>
      <c r="D1663" s="48" t="s">
        <v>1355</v>
      </c>
      <c r="E1663" s="48" t="s">
        <v>322</v>
      </c>
      <c r="F1663" s="48" t="s">
        <v>274</v>
      </c>
      <c r="G1663" s="48" t="s">
        <v>288</v>
      </c>
      <c r="H1663" s="48" t="s">
        <v>62</v>
      </c>
      <c r="I1663" s="48" t="s">
        <v>123</v>
      </c>
      <c r="J1663" s="49">
        <v>4</v>
      </c>
      <c r="K1663" s="50">
        <v>1465</v>
      </c>
      <c r="L1663" s="50">
        <v>1451.65</v>
      </c>
      <c r="M1663" s="48" t="s">
        <v>276</v>
      </c>
      <c r="N1663" s="51">
        <v>1</v>
      </c>
      <c r="O1663" s="51">
        <v>1</v>
      </c>
      <c r="P1663" s="52">
        <v>1249.25</v>
      </c>
      <c r="Q1663" s="52">
        <v>1249.25</v>
      </c>
      <c r="R1663" s="53" t="str">
        <f>INDEX(SKU_Master!$D$5:$D$34,MATCH($I1663,SKU_Master!$A$5:$A$34,0))</f>
        <v>Laptop</v>
      </c>
      <c r="S1663" s="54">
        <f t="shared" si="350"/>
        <v>9.1126279863480431E-3</v>
      </c>
      <c r="T1663" s="55">
        <f t="shared" si="351"/>
        <v>5860</v>
      </c>
      <c r="U1663" s="55">
        <f t="shared" si="352"/>
        <v>5806.6</v>
      </c>
      <c r="V1663" s="55">
        <f t="shared" si="353"/>
        <v>-53.399999999999636</v>
      </c>
      <c r="W1663" s="55">
        <f t="shared" si="354"/>
        <v>5806.6</v>
      </c>
      <c r="X1663" s="55">
        <f t="shared" si="355"/>
        <v>0</v>
      </c>
      <c r="Y1663" s="55">
        <f t="shared" si="356"/>
        <v>4997</v>
      </c>
      <c r="Z1663" s="55">
        <f t="shared" si="357"/>
        <v>4997</v>
      </c>
      <c r="AA1663" s="55">
        <f t="shared" si="358"/>
        <v>0</v>
      </c>
      <c r="AB1663" s="55">
        <f t="shared" si="359"/>
        <v>809.60000000000036</v>
      </c>
      <c r="AC1663" s="54">
        <f t="shared" si="360"/>
        <v>0.13942754796266324</v>
      </c>
      <c r="AD1663" s="56">
        <f>INDEX(Assumptions!$B$14:$B$16,MATCH($R1663,Assumptions!$A$14:$A$16,0))</f>
        <v>0.12</v>
      </c>
      <c r="AE1663" s="56">
        <f>INDEX(Assumptions!$C$14:$C$16,MATCH($R1663,Assumptions!$A$14:$A$16,0))</f>
        <v>0.08</v>
      </c>
      <c r="AF1663" s="49">
        <f t="shared" si="361"/>
        <v>0</v>
      </c>
      <c r="AG1663" s="49">
        <f t="shared" si="362"/>
        <v>0</v>
      </c>
      <c r="AH1663" s="55">
        <f t="shared" si="363"/>
        <v>0</v>
      </c>
    </row>
    <row r="1664" spans="1:34" x14ac:dyDescent="0.2">
      <c r="A1664" s="48" t="s">
        <v>1358</v>
      </c>
      <c r="B1664" s="48">
        <v>2</v>
      </c>
      <c r="C1664" s="48" t="s">
        <v>1359</v>
      </c>
      <c r="D1664" s="48" t="s">
        <v>1355</v>
      </c>
      <c r="E1664" s="48" t="s">
        <v>322</v>
      </c>
      <c r="F1664" s="48" t="s">
        <v>274</v>
      </c>
      <c r="G1664" s="48" t="s">
        <v>288</v>
      </c>
      <c r="H1664" s="48" t="s">
        <v>62</v>
      </c>
      <c r="I1664" s="48" t="s">
        <v>141</v>
      </c>
      <c r="J1664" s="49">
        <v>3</v>
      </c>
      <c r="K1664" s="50">
        <v>450</v>
      </c>
      <c r="L1664" s="50">
        <v>447.14</v>
      </c>
      <c r="M1664" s="48" t="s">
        <v>276</v>
      </c>
      <c r="N1664" s="51">
        <v>1</v>
      </c>
      <c r="O1664" s="51">
        <v>1</v>
      </c>
      <c r="P1664" s="52">
        <v>351.7</v>
      </c>
      <c r="Q1664" s="52">
        <v>351.7</v>
      </c>
      <c r="R1664" s="53" t="str">
        <f>INDEX(SKU_Master!$D$5:$D$34,MATCH($I1664,SKU_Master!$A$5:$A$34,0))</f>
        <v>Monitor</v>
      </c>
      <c r="S1664" s="54">
        <f t="shared" si="350"/>
        <v>6.3555555555555587E-3</v>
      </c>
      <c r="T1664" s="55">
        <f t="shared" si="351"/>
        <v>1350</v>
      </c>
      <c r="U1664" s="55">
        <f t="shared" si="352"/>
        <v>1341.42</v>
      </c>
      <c r="V1664" s="55">
        <f t="shared" si="353"/>
        <v>-8.5799999999999272</v>
      </c>
      <c r="W1664" s="55">
        <f t="shared" si="354"/>
        <v>1341.42</v>
      </c>
      <c r="X1664" s="55">
        <f t="shared" si="355"/>
        <v>0</v>
      </c>
      <c r="Y1664" s="55">
        <f t="shared" si="356"/>
        <v>1055.0999999999999</v>
      </c>
      <c r="Z1664" s="55">
        <f t="shared" si="357"/>
        <v>1055.0999999999999</v>
      </c>
      <c r="AA1664" s="55">
        <f t="shared" si="358"/>
        <v>0</v>
      </c>
      <c r="AB1664" s="55">
        <f t="shared" si="359"/>
        <v>286.32000000000016</v>
      </c>
      <c r="AC1664" s="54">
        <f t="shared" si="360"/>
        <v>0.21344545332558046</v>
      </c>
      <c r="AD1664" s="56">
        <f>INDEX(Assumptions!$B$14:$B$16,MATCH($R1664,Assumptions!$A$14:$A$16,0))</f>
        <v>0.18</v>
      </c>
      <c r="AE1664" s="56">
        <f>INDEX(Assumptions!$C$14:$C$16,MATCH($R1664,Assumptions!$A$14:$A$16,0))</f>
        <v>0.12</v>
      </c>
      <c r="AF1664" s="49">
        <f t="shared" si="361"/>
        <v>0</v>
      </c>
      <c r="AG1664" s="49">
        <f t="shared" si="362"/>
        <v>0</v>
      </c>
      <c r="AH1664" s="55">
        <f t="shared" si="363"/>
        <v>0</v>
      </c>
    </row>
    <row r="1665" spans="1:34" x14ac:dyDescent="0.2">
      <c r="A1665" s="48" t="s">
        <v>1358</v>
      </c>
      <c r="B1665" s="48">
        <v>3</v>
      </c>
      <c r="C1665" s="48" t="s">
        <v>1359</v>
      </c>
      <c r="D1665" s="48" t="s">
        <v>1355</v>
      </c>
      <c r="E1665" s="48" t="s">
        <v>322</v>
      </c>
      <c r="F1665" s="48" t="s">
        <v>274</v>
      </c>
      <c r="G1665" s="48" t="s">
        <v>288</v>
      </c>
      <c r="H1665" s="48" t="s">
        <v>62</v>
      </c>
      <c r="I1665" s="48" t="s">
        <v>157</v>
      </c>
      <c r="J1665" s="49">
        <v>4</v>
      </c>
      <c r="K1665" s="50">
        <v>135</v>
      </c>
      <c r="L1665" s="50">
        <v>134.44</v>
      </c>
      <c r="M1665" s="48" t="s">
        <v>276</v>
      </c>
      <c r="N1665" s="51">
        <v>1</v>
      </c>
      <c r="O1665" s="51">
        <v>1</v>
      </c>
      <c r="P1665" s="52">
        <v>86</v>
      </c>
      <c r="Q1665" s="52">
        <v>86</v>
      </c>
      <c r="R1665" s="53" t="str">
        <f>INDEX(SKU_Master!$D$5:$D$34,MATCH($I1665,SKU_Master!$A$5:$A$34,0))</f>
        <v>Accessory</v>
      </c>
      <c r="S1665" s="54">
        <f t="shared" si="350"/>
        <v>4.148148148148123E-3</v>
      </c>
      <c r="T1665" s="55">
        <f t="shared" si="351"/>
        <v>540</v>
      </c>
      <c r="U1665" s="55">
        <f t="shared" si="352"/>
        <v>537.76</v>
      </c>
      <c r="V1665" s="55">
        <f t="shared" si="353"/>
        <v>-2.2400000000000091</v>
      </c>
      <c r="W1665" s="55">
        <f t="shared" si="354"/>
        <v>537.76</v>
      </c>
      <c r="X1665" s="55">
        <f t="shared" si="355"/>
        <v>0</v>
      </c>
      <c r="Y1665" s="55">
        <f t="shared" si="356"/>
        <v>344</v>
      </c>
      <c r="Z1665" s="55">
        <f t="shared" si="357"/>
        <v>344</v>
      </c>
      <c r="AA1665" s="55">
        <f t="shared" si="358"/>
        <v>0</v>
      </c>
      <c r="AB1665" s="55">
        <f t="shared" si="359"/>
        <v>193.76</v>
      </c>
      <c r="AC1665" s="54">
        <f t="shared" si="360"/>
        <v>0.36030943171675095</v>
      </c>
      <c r="AD1665" s="56">
        <f>INDEX(Assumptions!$B$14:$B$16,MATCH($R1665,Assumptions!$A$14:$A$16,0))</f>
        <v>0.32</v>
      </c>
      <c r="AE1665" s="56">
        <f>INDEX(Assumptions!$C$14:$C$16,MATCH($R1665,Assumptions!$A$14:$A$16,0))</f>
        <v>0.22</v>
      </c>
      <c r="AF1665" s="49">
        <f t="shared" si="361"/>
        <v>0</v>
      </c>
      <c r="AG1665" s="49">
        <f t="shared" si="362"/>
        <v>0</v>
      </c>
      <c r="AH1665" s="55">
        <f t="shared" si="363"/>
        <v>0</v>
      </c>
    </row>
    <row r="1666" spans="1:34" x14ac:dyDescent="0.2">
      <c r="A1666" s="48" t="s">
        <v>1360</v>
      </c>
      <c r="B1666" s="48">
        <v>1</v>
      </c>
      <c r="C1666" s="48" t="s">
        <v>1361</v>
      </c>
      <c r="D1666" s="48" t="s">
        <v>1355</v>
      </c>
      <c r="E1666" s="48" t="s">
        <v>287</v>
      </c>
      <c r="F1666" s="48" t="s">
        <v>274</v>
      </c>
      <c r="G1666" s="48" t="s">
        <v>288</v>
      </c>
      <c r="H1666" s="48" t="s">
        <v>62</v>
      </c>
      <c r="I1666" s="48" t="s">
        <v>98</v>
      </c>
      <c r="J1666" s="49">
        <v>8</v>
      </c>
      <c r="K1666" s="50">
        <v>2085</v>
      </c>
      <c r="L1666" s="50">
        <v>2044.67</v>
      </c>
      <c r="M1666" s="48" t="s">
        <v>276</v>
      </c>
      <c r="N1666" s="51">
        <v>1</v>
      </c>
      <c r="O1666" s="51">
        <v>1</v>
      </c>
      <c r="P1666" s="52">
        <v>1780.2</v>
      </c>
      <c r="Q1666" s="52">
        <v>1780.2</v>
      </c>
      <c r="R1666" s="53" t="str">
        <f>INDEX(SKU_Master!$D$5:$D$34,MATCH($I1666,SKU_Master!$A$5:$A$34,0))</f>
        <v>Laptop</v>
      </c>
      <c r="S1666" s="54">
        <f t="shared" si="350"/>
        <v>1.9342925659472376E-2</v>
      </c>
      <c r="T1666" s="55">
        <f t="shared" si="351"/>
        <v>16680</v>
      </c>
      <c r="U1666" s="55">
        <f t="shared" si="352"/>
        <v>16357.36</v>
      </c>
      <c r="V1666" s="55">
        <f t="shared" si="353"/>
        <v>-322.63999999999942</v>
      </c>
      <c r="W1666" s="55">
        <f t="shared" si="354"/>
        <v>16357.36</v>
      </c>
      <c r="X1666" s="55">
        <f t="shared" si="355"/>
        <v>0</v>
      </c>
      <c r="Y1666" s="55">
        <f t="shared" si="356"/>
        <v>14241.6</v>
      </c>
      <c r="Z1666" s="55">
        <f t="shared" si="357"/>
        <v>14241.6</v>
      </c>
      <c r="AA1666" s="55">
        <f t="shared" si="358"/>
        <v>0</v>
      </c>
      <c r="AB1666" s="55">
        <f t="shared" si="359"/>
        <v>2115.7600000000002</v>
      </c>
      <c r="AC1666" s="54">
        <f t="shared" si="360"/>
        <v>0.12934605584275213</v>
      </c>
      <c r="AD1666" s="56">
        <f>INDEX(Assumptions!$B$14:$B$16,MATCH($R1666,Assumptions!$A$14:$A$16,0))</f>
        <v>0.12</v>
      </c>
      <c r="AE1666" s="56">
        <f>INDEX(Assumptions!$C$14:$C$16,MATCH($R1666,Assumptions!$A$14:$A$16,0))</f>
        <v>0.08</v>
      </c>
      <c r="AF1666" s="49">
        <f t="shared" si="361"/>
        <v>0</v>
      </c>
      <c r="AG1666" s="49">
        <f t="shared" si="362"/>
        <v>0</v>
      </c>
      <c r="AH1666" s="55">
        <f t="shared" si="363"/>
        <v>0</v>
      </c>
    </row>
    <row r="1667" spans="1:34" x14ac:dyDescent="0.2">
      <c r="A1667" s="48" t="s">
        <v>1360</v>
      </c>
      <c r="B1667" s="48">
        <v>2</v>
      </c>
      <c r="C1667" s="48" t="s">
        <v>1361</v>
      </c>
      <c r="D1667" s="48" t="s">
        <v>1355</v>
      </c>
      <c r="E1667" s="48" t="s">
        <v>287</v>
      </c>
      <c r="F1667" s="48" t="s">
        <v>274</v>
      </c>
      <c r="G1667" s="48" t="s">
        <v>288</v>
      </c>
      <c r="H1667" s="48" t="s">
        <v>62</v>
      </c>
      <c r="I1667" s="48" t="s">
        <v>144</v>
      </c>
      <c r="J1667" s="49">
        <v>3</v>
      </c>
      <c r="K1667" s="50">
        <v>370</v>
      </c>
      <c r="L1667" s="50">
        <v>364.87</v>
      </c>
      <c r="M1667" s="48" t="s">
        <v>276</v>
      </c>
      <c r="N1667" s="51">
        <v>1</v>
      </c>
      <c r="O1667" s="51">
        <v>1</v>
      </c>
      <c r="P1667" s="52">
        <v>289.60000000000002</v>
      </c>
      <c r="Q1667" s="52">
        <v>289.60000000000002</v>
      </c>
      <c r="R1667" s="53" t="str">
        <f>INDEX(SKU_Master!$D$5:$D$34,MATCH($I1667,SKU_Master!$A$5:$A$34,0))</f>
        <v>Monitor</v>
      </c>
      <c r="S1667" s="54">
        <f t="shared" si="350"/>
        <v>1.3864864864864823E-2</v>
      </c>
      <c r="T1667" s="55">
        <f t="shared" si="351"/>
        <v>1110</v>
      </c>
      <c r="U1667" s="55">
        <f t="shared" si="352"/>
        <v>1094.6100000000001</v>
      </c>
      <c r="V1667" s="55">
        <f t="shared" si="353"/>
        <v>-15.389999999999873</v>
      </c>
      <c r="W1667" s="55">
        <f t="shared" si="354"/>
        <v>1094.6100000000001</v>
      </c>
      <c r="X1667" s="55">
        <f t="shared" si="355"/>
        <v>0</v>
      </c>
      <c r="Y1667" s="55">
        <f t="shared" si="356"/>
        <v>868.80000000000007</v>
      </c>
      <c r="Z1667" s="55">
        <f t="shared" si="357"/>
        <v>868.80000000000007</v>
      </c>
      <c r="AA1667" s="55">
        <f t="shared" si="358"/>
        <v>0</v>
      </c>
      <c r="AB1667" s="55">
        <f t="shared" si="359"/>
        <v>225.81000000000006</v>
      </c>
      <c r="AC1667" s="54">
        <f t="shared" si="360"/>
        <v>0.20629265217748791</v>
      </c>
      <c r="AD1667" s="56">
        <f>INDEX(Assumptions!$B$14:$B$16,MATCH($R1667,Assumptions!$A$14:$A$16,0))</f>
        <v>0.18</v>
      </c>
      <c r="AE1667" s="56">
        <f>INDEX(Assumptions!$C$14:$C$16,MATCH($R1667,Assumptions!$A$14:$A$16,0))</f>
        <v>0.12</v>
      </c>
      <c r="AF1667" s="49">
        <f t="shared" si="361"/>
        <v>0</v>
      </c>
      <c r="AG1667" s="49">
        <f t="shared" si="362"/>
        <v>0</v>
      </c>
      <c r="AH1667" s="55">
        <f t="shared" si="363"/>
        <v>0</v>
      </c>
    </row>
    <row r="1668" spans="1:34" x14ac:dyDescent="0.2">
      <c r="A1668" s="48" t="s">
        <v>1362</v>
      </c>
      <c r="B1668" s="48">
        <v>1</v>
      </c>
      <c r="C1668" s="48" t="s">
        <v>1363</v>
      </c>
      <c r="D1668" s="48" t="s">
        <v>1355</v>
      </c>
      <c r="E1668" s="48" t="s">
        <v>422</v>
      </c>
      <c r="F1668" s="48" t="s">
        <v>280</v>
      </c>
      <c r="G1668" s="48" t="s">
        <v>281</v>
      </c>
      <c r="H1668" s="48" t="s">
        <v>68</v>
      </c>
      <c r="I1668" s="48" t="s">
        <v>113</v>
      </c>
      <c r="J1668" s="49">
        <v>11</v>
      </c>
      <c r="K1668" s="50">
        <v>2450</v>
      </c>
      <c r="L1668" s="50">
        <v>2397.44</v>
      </c>
      <c r="M1668" s="48" t="s">
        <v>276</v>
      </c>
      <c r="N1668" s="51">
        <v>1.37</v>
      </c>
      <c r="O1668" s="51">
        <v>1.3718999999999999</v>
      </c>
      <c r="P1668" s="52">
        <v>1496.8</v>
      </c>
      <c r="Q1668" s="52">
        <v>1496.8</v>
      </c>
      <c r="R1668" s="53" t="str">
        <f>INDEX(SKU_Master!$D$5:$D$34,MATCH($I1668,SKU_Master!$A$5:$A$34,0))</f>
        <v>Laptop</v>
      </c>
      <c r="S1668" s="54">
        <f t="shared" si="350"/>
        <v>2.1453061224489756E-2</v>
      </c>
      <c r="T1668" s="55">
        <f t="shared" si="351"/>
        <v>19671.532846715327</v>
      </c>
      <c r="U1668" s="55">
        <f t="shared" si="352"/>
        <v>19249.51824817518</v>
      </c>
      <c r="V1668" s="55">
        <f t="shared" si="353"/>
        <v>-422.01459854014684</v>
      </c>
      <c r="W1668" s="55">
        <f t="shared" si="354"/>
        <v>19222.858808951092</v>
      </c>
      <c r="X1668" s="55">
        <f t="shared" si="355"/>
        <v>-26.659439224087691</v>
      </c>
      <c r="Y1668" s="55">
        <f t="shared" si="356"/>
        <v>16464.8</v>
      </c>
      <c r="Z1668" s="55">
        <f t="shared" si="357"/>
        <v>16464.8</v>
      </c>
      <c r="AA1668" s="55">
        <f t="shared" si="358"/>
        <v>0</v>
      </c>
      <c r="AB1668" s="55">
        <f t="shared" si="359"/>
        <v>2758.0588089510929</v>
      </c>
      <c r="AC1668" s="54">
        <f t="shared" si="360"/>
        <v>0.14347807661505621</v>
      </c>
      <c r="AD1668" s="56">
        <f>INDEX(Assumptions!$B$14:$B$16,MATCH($R1668,Assumptions!$A$14:$A$16,0))</f>
        <v>0.12</v>
      </c>
      <c r="AE1668" s="56">
        <f>INDEX(Assumptions!$C$14:$C$16,MATCH($R1668,Assumptions!$A$14:$A$16,0))</f>
        <v>0.08</v>
      </c>
      <c r="AF1668" s="49">
        <f t="shared" si="361"/>
        <v>0</v>
      </c>
      <c r="AG1668" s="49">
        <f t="shared" si="362"/>
        <v>0</v>
      </c>
      <c r="AH1668" s="55">
        <f t="shared" si="363"/>
        <v>0</v>
      </c>
    </row>
    <row r="1669" spans="1:34" x14ac:dyDescent="0.2">
      <c r="A1669" s="48" t="s">
        <v>1362</v>
      </c>
      <c r="B1669" s="48">
        <v>2</v>
      </c>
      <c r="C1669" s="48" t="s">
        <v>1363</v>
      </c>
      <c r="D1669" s="48" t="s">
        <v>1355</v>
      </c>
      <c r="E1669" s="48" t="s">
        <v>422</v>
      </c>
      <c r="F1669" s="48" t="s">
        <v>280</v>
      </c>
      <c r="G1669" s="48" t="s">
        <v>281</v>
      </c>
      <c r="H1669" s="48" t="s">
        <v>68</v>
      </c>
      <c r="I1669" s="48" t="s">
        <v>146</v>
      </c>
      <c r="J1669" s="49">
        <v>6</v>
      </c>
      <c r="K1669" s="50">
        <v>350</v>
      </c>
      <c r="L1669" s="50">
        <v>345.64</v>
      </c>
      <c r="M1669" s="48" t="s">
        <v>276</v>
      </c>
      <c r="N1669" s="51">
        <v>1.37</v>
      </c>
      <c r="O1669" s="51">
        <v>1.3718999999999999</v>
      </c>
      <c r="P1669" s="52">
        <v>196.8</v>
      </c>
      <c r="Q1669" s="52">
        <v>196.8</v>
      </c>
      <c r="R1669" s="53" t="str">
        <f>INDEX(SKU_Master!$D$5:$D$34,MATCH($I1669,SKU_Master!$A$5:$A$34,0))</f>
        <v>Monitor</v>
      </c>
      <c r="S1669" s="54">
        <f t="shared" ref="S1669:S1732" si="364">IF(K1669=0,0,1-L1669/K1669)</f>
        <v>1.2457142857142944E-2</v>
      </c>
      <c r="T1669" s="55">
        <f t="shared" ref="T1669:T1732" si="365">J1669*K1669/N1669</f>
        <v>1532.8467153284671</v>
      </c>
      <c r="U1669" s="55">
        <f t="shared" ref="U1669:U1732" si="366">J1669*L1669/N1669</f>
        <v>1513.7518248175181</v>
      </c>
      <c r="V1669" s="55">
        <f t="shared" ref="V1669:V1732" si="367">U1669-T1669</f>
        <v>-19.094890510948971</v>
      </c>
      <c r="W1669" s="55">
        <f t="shared" ref="W1669:W1732" si="368">J1669*L1669/O1669</f>
        <v>1511.6553684670896</v>
      </c>
      <c r="X1669" s="55">
        <f t="shared" ref="X1669:X1732" si="369">W1669-U1669</f>
        <v>-2.0964563504285252</v>
      </c>
      <c r="Y1669" s="55">
        <f t="shared" ref="Y1669:Y1732" si="370">J1669*P1669</f>
        <v>1180.8000000000002</v>
      </c>
      <c r="Z1669" s="55">
        <f t="shared" ref="Z1669:Z1732" si="371">J1669*Q1669</f>
        <v>1180.8000000000002</v>
      </c>
      <c r="AA1669" s="55">
        <f t="shared" ref="AA1669:AA1732" si="372">Y1669-Z1669</f>
        <v>0</v>
      </c>
      <c r="AB1669" s="55">
        <f t="shared" ref="AB1669:AB1732" si="373">W1669-Z1669</f>
        <v>330.85536846708942</v>
      </c>
      <c r="AC1669" s="54">
        <f t="shared" ref="AC1669:AC1732" si="374">IF(W1669=0,0,AB1669/W1669)</f>
        <v>0.21886957528063877</v>
      </c>
      <c r="AD1669" s="56">
        <f>INDEX(Assumptions!$B$14:$B$16,MATCH($R1669,Assumptions!$A$14:$A$16,0))</f>
        <v>0.18</v>
      </c>
      <c r="AE1669" s="56">
        <f>INDEX(Assumptions!$C$14:$C$16,MATCH($R1669,Assumptions!$A$14:$A$16,0))</f>
        <v>0.12</v>
      </c>
      <c r="AF1669" s="49">
        <f t="shared" ref="AF1669:AF1732" si="375">IF(AC1669&lt;AE1669,1,0)</f>
        <v>0</v>
      </c>
      <c r="AG1669" s="49">
        <f t="shared" ref="AG1669:AG1732" si="376">IF(AND(AF1669=1,M1669="N"),1,0)</f>
        <v>0</v>
      </c>
      <c r="AH1669" s="55">
        <f t="shared" ref="AH1669:AH1732" si="377">MAX(0,W1669*AD1669-AB1669)</f>
        <v>0</v>
      </c>
    </row>
    <row r="1670" spans="1:34" x14ac:dyDescent="0.2">
      <c r="A1670" s="48" t="s">
        <v>1362</v>
      </c>
      <c r="B1670" s="48">
        <v>3</v>
      </c>
      <c r="C1670" s="48" t="s">
        <v>1363</v>
      </c>
      <c r="D1670" s="48" t="s">
        <v>1355</v>
      </c>
      <c r="E1670" s="48" t="s">
        <v>422</v>
      </c>
      <c r="F1670" s="48" t="s">
        <v>280</v>
      </c>
      <c r="G1670" s="48" t="s">
        <v>281</v>
      </c>
      <c r="H1670" s="48" t="s">
        <v>68</v>
      </c>
      <c r="I1670" s="48" t="s">
        <v>164</v>
      </c>
      <c r="J1670" s="49">
        <v>5</v>
      </c>
      <c r="K1670" s="50">
        <v>270</v>
      </c>
      <c r="L1670" s="50">
        <v>264.69</v>
      </c>
      <c r="M1670" s="48" t="s">
        <v>276</v>
      </c>
      <c r="N1670" s="51">
        <v>1.37</v>
      </c>
      <c r="O1670" s="51">
        <v>1.3718999999999999</v>
      </c>
      <c r="P1670" s="52">
        <v>124</v>
      </c>
      <c r="Q1670" s="52">
        <v>124</v>
      </c>
      <c r="R1670" s="53" t="str">
        <f>INDEX(SKU_Master!$D$5:$D$34,MATCH($I1670,SKU_Master!$A$5:$A$34,0))</f>
        <v>Accessory</v>
      </c>
      <c r="S1670" s="54">
        <f t="shared" si="364"/>
        <v>1.9666666666666721E-2</v>
      </c>
      <c r="T1670" s="55">
        <f t="shared" si="365"/>
        <v>985.40145985401455</v>
      </c>
      <c r="U1670" s="55">
        <f t="shared" si="366"/>
        <v>966.02189781021889</v>
      </c>
      <c r="V1670" s="55">
        <f t="shared" si="367"/>
        <v>-19.379562043795659</v>
      </c>
      <c r="W1670" s="55">
        <f t="shared" si="368"/>
        <v>964.68401486988853</v>
      </c>
      <c r="X1670" s="55">
        <f t="shared" si="369"/>
        <v>-1.3378829403303598</v>
      </c>
      <c r="Y1670" s="55">
        <f t="shared" si="370"/>
        <v>620</v>
      </c>
      <c r="Z1670" s="55">
        <f t="shared" si="371"/>
        <v>620</v>
      </c>
      <c r="AA1670" s="55">
        <f t="shared" si="372"/>
        <v>0</v>
      </c>
      <c r="AB1670" s="55">
        <f t="shared" si="373"/>
        <v>344.68401486988853</v>
      </c>
      <c r="AC1670" s="54">
        <f t="shared" si="374"/>
        <v>0.35730250481695575</v>
      </c>
      <c r="AD1670" s="56">
        <f>INDEX(Assumptions!$B$14:$B$16,MATCH($R1670,Assumptions!$A$14:$A$16,0))</f>
        <v>0.32</v>
      </c>
      <c r="AE1670" s="56">
        <f>INDEX(Assumptions!$C$14:$C$16,MATCH($R1670,Assumptions!$A$14:$A$16,0))</f>
        <v>0.22</v>
      </c>
      <c r="AF1670" s="49">
        <f t="shared" si="375"/>
        <v>0</v>
      </c>
      <c r="AG1670" s="49">
        <f t="shared" si="376"/>
        <v>0</v>
      </c>
      <c r="AH1670" s="55">
        <f t="shared" si="377"/>
        <v>0</v>
      </c>
    </row>
    <row r="1671" spans="1:34" x14ac:dyDescent="0.2">
      <c r="A1671" s="48" t="s">
        <v>1364</v>
      </c>
      <c r="B1671" s="48">
        <v>1</v>
      </c>
      <c r="C1671" s="48" t="s">
        <v>1365</v>
      </c>
      <c r="D1671" s="48" t="s">
        <v>1355</v>
      </c>
      <c r="E1671" s="48" t="s">
        <v>311</v>
      </c>
      <c r="F1671" s="48" t="s">
        <v>297</v>
      </c>
      <c r="G1671" s="48" t="s">
        <v>302</v>
      </c>
      <c r="H1671" s="48" t="s">
        <v>62</v>
      </c>
      <c r="I1671" s="48" t="s">
        <v>110</v>
      </c>
      <c r="J1671" s="49">
        <v>47</v>
      </c>
      <c r="K1671" s="50">
        <v>1165</v>
      </c>
      <c r="L1671" s="50">
        <v>1125.77</v>
      </c>
      <c r="M1671" s="48" t="s">
        <v>276</v>
      </c>
      <c r="N1671" s="51">
        <v>1</v>
      </c>
      <c r="O1671" s="51">
        <v>1</v>
      </c>
      <c r="P1671" s="52">
        <v>992.65</v>
      </c>
      <c r="Q1671" s="52">
        <v>992.65</v>
      </c>
      <c r="R1671" s="53" t="str">
        <f>INDEX(SKU_Master!$D$5:$D$34,MATCH($I1671,SKU_Master!$A$5:$A$34,0))</f>
        <v>Laptop</v>
      </c>
      <c r="S1671" s="54">
        <f t="shared" si="364"/>
        <v>3.3673819742489286E-2</v>
      </c>
      <c r="T1671" s="55">
        <f t="shared" si="365"/>
        <v>54755</v>
      </c>
      <c r="U1671" s="55">
        <f t="shared" si="366"/>
        <v>52911.19</v>
      </c>
      <c r="V1671" s="55">
        <f t="shared" si="367"/>
        <v>-1843.8099999999977</v>
      </c>
      <c r="W1671" s="55">
        <f t="shared" si="368"/>
        <v>52911.19</v>
      </c>
      <c r="X1671" s="55">
        <f t="shared" si="369"/>
        <v>0</v>
      </c>
      <c r="Y1671" s="55">
        <f t="shared" si="370"/>
        <v>46654.549999999996</v>
      </c>
      <c r="Z1671" s="55">
        <f t="shared" si="371"/>
        <v>46654.549999999996</v>
      </c>
      <c r="AA1671" s="55">
        <f t="shared" si="372"/>
        <v>0</v>
      </c>
      <c r="AB1671" s="55">
        <f t="shared" si="373"/>
        <v>6256.6400000000067</v>
      </c>
      <c r="AC1671" s="54">
        <f t="shared" si="374"/>
        <v>0.11824795473320494</v>
      </c>
      <c r="AD1671" s="56">
        <f>INDEX(Assumptions!$B$14:$B$16,MATCH($R1671,Assumptions!$A$14:$A$16,0))</f>
        <v>0.12</v>
      </c>
      <c r="AE1671" s="56">
        <f>INDEX(Assumptions!$C$14:$C$16,MATCH($R1671,Assumptions!$A$14:$A$16,0))</f>
        <v>0.08</v>
      </c>
      <c r="AF1671" s="49">
        <f t="shared" si="375"/>
        <v>0</v>
      </c>
      <c r="AG1671" s="49">
        <f t="shared" si="376"/>
        <v>0</v>
      </c>
      <c r="AH1671" s="55">
        <f t="shared" si="377"/>
        <v>92.702799999993658</v>
      </c>
    </row>
    <row r="1672" spans="1:34" x14ac:dyDescent="0.2">
      <c r="A1672" s="48" t="s">
        <v>1364</v>
      </c>
      <c r="B1672" s="48">
        <v>2</v>
      </c>
      <c r="C1672" s="48" t="s">
        <v>1365</v>
      </c>
      <c r="D1672" s="48" t="s">
        <v>1355</v>
      </c>
      <c r="E1672" s="48" t="s">
        <v>311</v>
      </c>
      <c r="F1672" s="48" t="s">
        <v>297</v>
      </c>
      <c r="G1672" s="48" t="s">
        <v>302</v>
      </c>
      <c r="H1672" s="48" t="s">
        <v>62</v>
      </c>
      <c r="I1672" s="48" t="s">
        <v>141</v>
      </c>
      <c r="J1672" s="49">
        <v>36</v>
      </c>
      <c r="K1672" s="50">
        <v>450</v>
      </c>
      <c r="L1672" s="50">
        <v>438.06</v>
      </c>
      <c r="M1672" s="48" t="s">
        <v>276</v>
      </c>
      <c r="N1672" s="51">
        <v>1</v>
      </c>
      <c r="O1672" s="51">
        <v>1</v>
      </c>
      <c r="P1672" s="52">
        <v>351.7</v>
      </c>
      <c r="Q1672" s="52">
        <v>351.7</v>
      </c>
      <c r="R1672" s="53" t="str">
        <f>INDEX(SKU_Master!$D$5:$D$34,MATCH($I1672,SKU_Master!$A$5:$A$34,0))</f>
        <v>Monitor</v>
      </c>
      <c r="S1672" s="54">
        <f t="shared" si="364"/>
        <v>2.6533333333333298E-2</v>
      </c>
      <c r="T1672" s="55">
        <f t="shared" si="365"/>
        <v>16200</v>
      </c>
      <c r="U1672" s="55">
        <f t="shared" si="366"/>
        <v>15770.16</v>
      </c>
      <c r="V1672" s="55">
        <f t="shared" si="367"/>
        <v>-429.84000000000015</v>
      </c>
      <c r="W1672" s="55">
        <f t="shared" si="368"/>
        <v>15770.16</v>
      </c>
      <c r="X1672" s="55">
        <f t="shared" si="369"/>
        <v>0</v>
      </c>
      <c r="Y1672" s="55">
        <f t="shared" si="370"/>
        <v>12661.199999999999</v>
      </c>
      <c r="Z1672" s="55">
        <f t="shared" si="371"/>
        <v>12661.199999999999</v>
      </c>
      <c r="AA1672" s="55">
        <f t="shared" si="372"/>
        <v>0</v>
      </c>
      <c r="AB1672" s="55">
        <f t="shared" si="373"/>
        <v>3108.9600000000009</v>
      </c>
      <c r="AC1672" s="54">
        <f t="shared" si="374"/>
        <v>0.19714194402593258</v>
      </c>
      <c r="AD1672" s="56">
        <f>INDEX(Assumptions!$B$14:$B$16,MATCH($R1672,Assumptions!$A$14:$A$16,0))</f>
        <v>0.18</v>
      </c>
      <c r="AE1672" s="56">
        <f>INDEX(Assumptions!$C$14:$C$16,MATCH($R1672,Assumptions!$A$14:$A$16,0))</f>
        <v>0.12</v>
      </c>
      <c r="AF1672" s="49">
        <f t="shared" si="375"/>
        <v>0</v>
      </c>
      <c r="AG1672" s="49">
        <f t="shared" si="376"/>
        <v>0</v>
      </c>
      <c r="AH1672" s="55">
        <f t="shared" si="377"/>
        <v>0</v>
      </c>
    </row>
    <row r="1673" spans="1:34" x14ac:dyDescent="0.2">
      <c r="A1673" s="48" t="s">
        <v>1364</v>
      </c>
      <c r="B1673" s="48">
        <v>3</v>
      </c>
      <c r="C1673" s="48" t="s">
        <v>1365</v>
      </c>
      <c r="D1673" s="48" t="s">
        <v>1355</v>
      </c>
      <c r="E1673" s="48" t="s">
        <v>311</v>
      </c>
      <c r="F1673" s="48" t="s">
        <v>297</v>
      </c>
      <c r="G1673" s="48" t="s">
        <v>302</v>
      </c>
      <c r="H1673" s="48" t="s">
        <v>62</v>
      </c>
      <c r="I1673" s="48" t="s">
        <v>151</v>
      </c>
      <c r="J1673" s="49">
        <v>27</v>
      </c>
      <c r="K1673" s="50">
        <v>335</v>
      </c>
      <c r="L1673" s="50">
        <v>321.25</v>
      </c>
      <c r="M1673" s="48" t="s">
        <v>276</v>
      </c>
      <c r="N1673" s="51">
        <v>1</v>
      </c>
      <c r="O1673" s="51">
        <v>1</v>
      </c>
      <c r="P1673" s="52">
        <v>216.7</v>
      </c>
      <c r="Q1673" s="52">
        <v>216.7</v>
      </c>
      <c r="R1673" s="53" t="str">
        <f>INDEX(SKU_Master!$D$5:$D$34,MATCH($I1673,SKU_Master!$A$5:$A$34,0))</f>
        <v>Accessory</v>
      </c>
      <c r="S1673" s="54">
        <f t="shared" si="364"/>
        <v>4.1044776119402937E-2</v>
      </c>
      <c r="T1673" s="55">
        <f t="shared" si="365"/>
        <v>9045</v>
      </c>
      <c r="U1673" s="55">
        <f t="shared" si="366"/>
        <v>8673.75</v>
      </c>
      <c r="V1673" s="55">
        <f t="shared" si="367"/>
        <v>-371.25</v>
      </c>
      <c r="W1673" s="55">
        <f t="shared" si="368"/>
        <v>8673.75</v>
      </c>
      <c r="X1673" s="55">
        <f t="shared" si="369"/>
        <v>0</v>
      </c>
      <c r="Y1673" s="55">
        <f t="shared" si="370"/>
        <v>5850.9</v>
      </c>
      <c r="Z1673" s="55">
        <f t="shared" si="371"/>
        <v>5850.9</v>
      </c>
      <c r="AA1673" s="55">
        <f t="shared" si="372"/>
        <v>0</v>
      </c>
      <c r="AB1673" s="55">
        <f t="shared" si="373"/>
        <v>2822.8500000000004</v>
      </c>
      <c r="AC1673" s="54">
        <f t="shared" si="374"/>
        <v>0.32544747081712067</v>
      </c>
      <c r="AD1673" s="56">
        <f>INDEX(Assumptions!$B$14:$B$16,MATCH($R1673,Assumptions!$A$14:$A$16,0))</f>
        <v>0.32</v>
      </c>
      <c r="AE1673" s="56">
        <f>INDEX(Assumptions!$C$14:$C$16,MATCH($R1673,Assumptions!$A$14:$A$16,0))</f>
        <v>0.22</v>
      </c>
      <c r="AF1673" s="49">
        <f t="shared" si="375"/>
        <v>0</v>
      </c>
      <c r="AG1673" s="49">
        <f t="shared" si="376"/>
        <v>0</v>
      </c>
      <c r="AH1673" s="55">
        <f t="shared" si="377"/>
        <v>0</v>
      </c>
    </row>
    <row r="1674" spans="1:34" x14ac:dyDescent="0.2">
      <c r="A1674" s="48" t="s">
        <v>1366</v>
      </c>
      <c r="B1674" s="48">
        <v>1</v>
      </c>
      <c r="C1674" s="48" t="s">
        <v>1363</v>
      </c>
      <c r="D1674" s="48" t="s">
        <v>1355</v>
      </c>
      <c r="E1674" s="48" t="s">
        <v>393</v>
      </c>
      <c r="F1674" s="48" t="s">
        <v>274</v>
      </c>
      <c r="G1674" s="48" t="s">
        <v>275</v>
      </c>
      <c r="H1674" s="48" t="s">
        <v>66</v>
      </c>
      <c r="I1674" s="48" t="s">
        <v>113</v>
      </c>
      <c r="J1674" s="49">
        <v>9</v>
      </c>
      <c r="K1674" s="50">
        <v>1655</v>
      </c>
      <c r="L1674" s="50">
        <v>1639.64</v>
      </c>
      <c r="M1674" s="48" t="s">
        <v>276</v>
      </c>
      <c r="N1674" s="51">
        <v>0.92</v>
      </c>
      <c r="O1674" s="51">
        <v>0.93310000000000004</v>
      </c>
      <c r="P1674" s="52">
        <v>1504.8</v>
      </c>
      <c r="Q1674" s="52">
        <v>1504.8</v>
      </c>
      <c r="R1674" s="53" t="str">
        <f>INDEX(SKU_Master!$D$5:$D$34,MATCH($I1674,SKU_Master!$A$5:$A$34,0))</f>
        <v>Laptop</v>
      </c>
      <c r="S1674" s="54">
        <f t="shared" si="364"/>
        <v>9.2809667673715568E-3</v>
      </c>
      <c r="T1674" s="55">
        <f t="shared" si="365"/>
        <v>16190.217391304348</v>
      </c>
      <c r="U1674" s="55">
        <f t="shared" si="366"/>
        <v>16039.95652173913</v>
      </c>
      <c r="V1674" s="55">
        <f t="shared" si="367"/>
        <v>-150.26086956521794</v>
      </c>
      <c r="W1674" s="55">
        <f t="shared" si="368"/>
        <v>15814.767977708712</v>
      </c>
      <c r="X1674" s="55">
        <f t="shared" si="369"/>
        <v>-225.18854403041769</v>
      </c>
      <c r="Y1674" s="55">
        <f t="shared" si="370"/>
        <v>13543.199999999999</v>
      </c>
      <c r="Z1674" s="55">
        <f t="shared" si="371"/>
        <v>13543.199999999999</v>
      </c>
      <c r="AA1674" s="55">
        <f t="shared" si="372"/>
        <v>0</v>
      </c>
      <c r="AB1674" s="55">
        <f t="shared" si="373"/>
        <v>2271.5679777087134</v>
      </c>
      <c r="AC1674" s="54">
        <f t="shared" si="374"/>
        <v>0.14363587128881955</v>
      </c>
      <c r="AD1674" s="56">
        <f>INDEX(Assumptions!$B$14:$B$16,MATCH($R1674,Assumptions!$A$14:$A$16,0))</f>
        <v>0.12</v>
      </c>
      <c r="AE1674" s="56">
        <f>INDEX(Assumptions!$C$14:$C$16,MATCH($R1674,Assumptions!$A$14:$A$16,0))</f>
        <v>0.08</v>
      </c>
      <c r="AF1674" s="49">
        <f t="shared" si="375"/>
        <v>0</v>
      </c>
      <c r="AG1674" s="49">
        <f t="shared" si="376"/>
        <v>0</v>
      </c>
      <c r="AH1674" s="55">
        <f t="shared" si="377"/>
        <v>0</v>
      </c>
    </row>
    <row r="1675" spans="1:34" x14ac:dyDescent="0.2">
      <c r="A1675" s="48" t="s">
        <v>1366</v>
      </c>
      <c r="B1675" s="48">
        <v>2</v>
      </c>
      <c r="C1675" s="48" t="s">
        <v>1363</v>
      </c>
      <c r="D1675" s="48" t="s">
        <v>1355</v>
      </c>
      <c r="E1675" s="48" t="s">
        <v>393</v>
      </c>
      <c r="F1675" s="48" t="s">
        <v>274</v>
      </c>
      <c r="G1675" s="48" t="s">
        <v>275</v>
      </c>
      <c r="H1675" s="48" t="s">
        <v>66</v>
      </c>
      <c r="I1675" s="48" t="s">
        <v>135</v>
      </c>
      <c r="J1675" s="49">
        <v>4</v>
      </c>
      <c r="K1675" s="50">
        <v>255</v>
      </c>
      <c r="L1675" s="50">
        <v>252</v>
      </c>
      <c r="M1675" s="48" t="s">
        <v>276</v>
      </c>
      <c r="N1675" s="51">
        <v>0.92</v>
      </c>
      <c r="O1675" s="51">
        <v>0.93310000000000004</v>
      </c>
      <c r="P1675" s="52">
        <v>211.7</v>
      </c>
      <c r="Q1675" s="52">
        <v>211.7</v>
      </c>
      <c r="R1675" s="53" t="str">
        <f>INDEX(SKU_Master!$D$5:$D$34,MATCH($I1675,SKU_Master!$A$5:$A$34,0))</f>
        <v>Monitor</v>
      </c>
      <c r="S1675" s="54">
        <f t="shared" si="364"/>
        <v>1.1764705882352899E-2</v>
      </c>
      <c r="T1675" s="55">
        <f t="shared" si="365"/>
        <v>1108.695652173913</v>
      </c>
      <c r="U1675" s="55">
        <f t="shared" si="366"/>
        <v>1095.6521739130435</v>
      </c>
      <c r="V1675" s="55">
        <f t="shared" si="367"/>
        <v>-13.043478260869506</v>
      </c>
      <c r="W1675" s="55">
        <f t="shared" si="368"/>
        <v>1080.2700675168792</v>
      </c>
      <c r="X1675" s="55">
        <f t="shared" si="369"/>
        <v>-15.382106396164318</v>
      </c>
      <c r="Y1675" s="55">
        <f t="shared" si="370"/>
        <v>846.8</v>
      </c>
      <c r="Z1675" s="55">
        <f t="shared" si="371"/>
        <v>846.8</v>
      </c>
      <c r="AA1675" s="55">
        <f t="shared" si="372"/>
        <v>0</v>
      </c>
      <c r="AB1675" s="55">
        <f t="shared" si="373"/>
        <v>233.47006751687923</v>
      </c>
      <c r="AC1675" s="54">
        <f t="shared" si="374"/>
        <v>0.21612194444444446</v>
      </c>
      <c r="AD1675" s="56">
        <f>INDEX(Assumptions!$B$14:$B$16,MATCH($R1675,Assumptions!$A$14:$A$16,0))</f>
        <v>0.18</v>
      </c>
      <c r="AE1675" s="56">
        <f>INDEX(Assumptions!$C$14:$C$16,MATCH($R1675,Assumptions!$A$14:$A$16,0))</f>
        <v>0.12</v>
      </c>
      <c r="AF1675" s="49">
        <f t="shared" si="375"/>
        <v>0</v>
      </c>
      <c r="AG1675" s="49">
        <f t="shared" si="376"/>
        <v>0</v>
      </c>
      <c r="AH1675" s="55">
        <f t="shared" si="377"/>
        <v>0</v>
      </c>
    </row>
    <row r="1676" spans="1:34" x14ac:dyDescent="0.2">
      <c r="A1676" s="48" t="s">
        <v>1366</v>
      </c>
      <c r="B1676" s="48">
        <v>3</v>
      </c>
      <c r="C1676" s="48" t="s">
        <v>1363</v>
      </c>
      <c r="D1676" s="48" t="s">
        <v>1355</v>
      </c>
      <c r="E1676" s="48" t="s">
        <v>393</v>
      </c>
      <c r="F1676" s="48" t="s">
        <v>274</v>
      </c>
      <c r="G1676" s="48" t="s">
        <v>275</v>
      </c>
      <c r="H1676" s="48" t="s">
        <v>66</v>
      </c>
      <c r="I1676" s="48" t="s">
        <v>166</v>
      </c>
      <c r="J1676" s="49">
        <v>3</v>
      </c>
      <c r="K1676" s="50">
        <v>255</v>
      </c>
      <c r="L1676" s="50">
        <v>254.78</v>
      </c>
      <c r="M1676" s="48" t="s">
        <v>276</v>
      </c>
      <c r="N1676" s="51">
        <v>0.92</v>
      </c>
      <c r="O1676" s="51">
        <v>0.93310000000000004</v>
      </c>
      <c r="P1676" s="52">
        <v>174.35</v>
      </c>
      <c r="Q1676" s="52">
        <v>174.35</v>
      </c>
      <c r="R1676" s="53" t="str">
        <f>INDEX(SKU_Master!$D$5:$D$34,MATCH($I1676,SKU_Master!$A$5:$A$34,0))</f>
        <v>Accessory</v>
      </c>
      <c r="S1676" s="54">
        <f t="shared" si="364"/>
        <v>8.6274509803918598E-4</v>
      </c>
      <c r="T1676" s="55">
        <f t="shared" si="365"/>
        <v>831.52173913043475</v>
      </c>
      <c r="U1676" s="55">
        <f t="shared" si="366"/>
        <v>830.804347826087</v>
      </c>
      <c r="V1676" s="55">
        <f t="shared" si="367"/>
        <v>-0.71739130434775689</v>
      </c>
      <c r="W1676" s="55">
        <f t="shared" si="368"/>
        <v>819.14049941056692</v>
      </c>
      <c r="X1676" s="55">
        <f t="shared" si="369"/>
        <v>-11.663848415520079</v>
      </c>
      <c r="Y1676" s="55">
        <f t="shared" si="370"/>
        <v>523.04999999999995</v>
      </c>
      <c r="Z1676" s="55">
        <f t="shared" si="371"/>
        <v>523.04999999999995</v>
      </c>
      <c r="AA1676" s="55">
        <f t="shared" si="372"/>
        <v>0</v>
      </c>
      <c r="AB1676" s="55">
        <f t="shared" si="373"/>
        <v>296.09049941056696</v>
      </c>
      <c r="AC1676" s="54">
        <f t="shared" si="374"/>
        <v>0.3614648520292017</v>
      </c>
      <c r="AD1676" s="56">
        <f>INDEX(Assumptions!$B$14:$B$16,MATCH($R1676,Assumptions!$A$14:$A$16,0))</f>
        <v>0.32</v>
      </c>
      <c r="AE1676" s="56">
        <f>INDEX(Assumptions!$C$14:$C$16,MATCH($R1676,Assumptions!$A$14:$A$16,0))</f>
        <v>0.22</v>
      </c>
      <c r="AF1676" s="49">
        <f t="shared" si="375"/>
        <v>0</v>
      </c>
      <c r="AG1676" s="49">
        <f t="shared" si="376"/>
        <v>0</v>
      </c>
      <c r="AH1676" s="55">
        <f t="shared" si="377"/>
        <v>0</v>
      </c>
    </row>
    <row r="1677" spans="1:34" x14ac:dyDescent="0.2">
      <c r="A1677" s="48" t="s">
        <v>1367</v>
      </c>
      <c r="B1677" s="48">
        <v>1</v>
      </c>
      <c r="C1677" s="48" t="s">
        <v>1368</v>
      </c>
      <c r="D1677" s="48" t="s">
        <v>1355</v>
      </c>
      <c r="E1677" s="48" t="s">
        <v>279</v>
      </c>
      <c r="F1677" s="48" t="s">
        <v>280</v>
      </c>
      <c r="G1677" s="48" t="s">
        <v>281</v>
      </c>
      <c r="H1677" s="48" t="s">
        <v>64</v>
      </c>
      <c r="I1677" s="48" t="s">
        <v>93</v>
      </c>
      <c r="J1677" s="49">
        <v>11</v>
      </c>
      <c r="K1677" s="50">
        <v>1145</v>
      </c>
      <c r="L1677" s="50">
        <v>1107.57</v>
      </c>
      <c r="M1677" s="48" t="s">
        <v>276</v>
      </c>
      <c r="N1677" s="51">
        <v>0.79</v>
      </c>
      <c r="O1677" s="51">
        <v>0.82520000000000004</v>
      </c>
      <c r="P1677" s="52">
        <v>1210.2</v>
      </c>
      <c r="Q1677" s="52">
        <v>1210.2</v>
      </c>
      <c r="R1677" s="53" t="str">
        <f>INDEX(SKU_Master!$D$5:$D$34,MATCH($I1677,SKU_Master!$A$5:$A$34,0))</f>
        <v>Laptop</v>
      </c>
      <c r="S1677" s="54">
        <f t="shared" si="364"/>
        <v>3.2689956331877768E-2</v>
      </c>
      <c r="T1677" s="55">
        <f t="shared" si="365"/>
        <v>15943.037974683544</v>
      </c>
      <c r="U1677" s="55">
        <f t="shared" si="366"/>
        <v>15421.860759493669</v>
      </c>
      <c r="V1677" s="55">
        <f t="shared" si="367"/>
        <v>-521.17721518987491</v>
      </c>
      <c r="W1677" s="55">
        <f t="shared" si="368"/>
        <v>14764.020843431892</v>
      </c>
      <c r="X1677" s="55">
        <f t="shared" si="369"/>
        <v>-657.83991606177733</v>
      </c>
      <c r="Y1677" s="55">
        <f t="shared" si="370"/>
        <v>13312.2</v>
      </c>
      <c r="Z1677" s="55">
        <f t="shared" si="371"/>
        <v>13312.2</v>
      </c>
      <c r="AA1677" s="55">
        <f t="shared" si="372"/>
        <v>0</v>
      </c>
      <c r="AB1677" s="55">
        <f t="shared" si="373"/>
        <v>1451.8208434318913</v>
      </c>
      <c r="AC1677" s="54">
        <f t="shared" si="374"/>
        <v>9.8335057829301728E-2</v>
      </c>
      <c r="AD1677" s="56">
        <f>INDEX(Assumptions!$B$14:$B$16,MATCH($R1677,Assumptions!$A$14:$A$16,0))</f>
        <v>0.12</v>
      </c>
      <c r="AE1677" s="56">
        <f>INDEX(Assumptions!$C$14:$C$16,MATCH($R1677,Assumptions!$A$14:$A$16,0))</f>
        <v>0.08</v>
      </c>
      <c r="AF1677" s="49">
        <f t="shared" si="375"/>
        <v>0</v>
      </c>
      <c r="AG1677" s="49">
        <f t="shared" si="376"/>
        <v>0</v>
      </c>
      <c r="AH1677" s="55">
        <f t="shared" si="377"/>
        <v>319.86165777993574</v>
      </c>
    </row>
    <row r="1678" spans="1:34" x14ac:dyDescent="0.2">
      <c r="A1678" s="48" t="s">
        <v>1367</v>
      </c>
      <c r="B1678" s="48">
        <v>2</v>
      </c>
      <c r="C1678" s="48" t="s">
        <v>1368</v>
      </c>
      <c r="D1678" s="48" t="s">
        <v>1355</v>
      </c>
      <c r="E1678" s="48" t="s">
        <v>279</v>
      </c>
      <c r="F1678" s="48" t="s">
        <v>280</v>
      </c>
      <c r="G1678" s="48" t="s">
        <v>281</v>
      </c>
      <c r="H1678" s="48" t="s">
        <v>64</v>
      </c>
      <c r="I1678" s="48" t="s">
        <v>144</v>
      </c>
      <c r="J1678" s="49">
        <v>12</v>
      </c>
      <c r="K1678" s="50">
        <v>330</v>
      </c>
      <c r="L1678" s="50">
        <v>315.75</v>
      </c>
      <c r="M1678" s="48" t="s">
        <v>276</v>
      </c>
      <c r="N1678" s="51">
        <v>0.79</v>
      </c>
      <c r="O1678" s="51">
        <v>0.82520000000000004</v>
      </c>
      <c r="P1678" s="52">
        <v>319.60000000000002</v>
      </c>
      <c r="Q1678" s="52">
        <v>319.60000000000002</v>
      </c>
      <c r="R1678" s="53" t="str">
        <f>INDEX(SKU_Master!$D$5:$D$34,MATCH($I1678,SKU_Master!$A$5:$A$34,0))</f>
        <v>Monitor</v>
      </c>
      <c r="S1678" s="54">
        <f t="shared" si="364"/>
        <v>4.318181818181821E-2</v>
      </c>
      <c r="T1678" s="55">
        <f t="shared" si="365"/>
        <v>5012.658227848101</v>
      </c>
      <c r="U1678" s="55">
        <f t="shared" si="366"/>
        <v>4796.2025316455693</v>
      </c>
      <c r="V1678" s="55">
        <f t="shared" si="367"/>
        <v>-216.45569620253173</v>
      </c>
      <c r="W1678" s="55">
        <f t="shared" si="368"/>
        <v>4591.6141541444495</v>
      </c>
      <c r="X1678" s="55">
        <f t="shared" si="369"/>
        <v>-204.58837750111979</v>
      </c>
      <c r="Y1678" s="55">
        <f t="shared" si="370"/>
        <v>3835.2000000000003</v>
      </c>
      <c r="Z1678" s="55">
        <f t="shared" si="371"/>
        <v>3835.2000000000003</v>
      </c>
      <c r="AA1678" s="55">
        <f t="shared" si="372"/>
        <v>0</v>
      </c>
      <c r="AB1678" s="55">
        <f t="shared" si="373"/>
        <v>756.41415414444918</v>
      </c>
      <c r="AC1678" s="54">
        <f t="shared" si="374"/>
        <v>0.16473817893903392</v>
      </c>
      <c r="AD1678" s="56">
        <f>INDEX(Assumptions!$B$14:$B$16,MATCH($R1678,Assumptions!$A$14:$A$16,0))</f>
        <v>0.18</v>
      </c>
      <c r="AE1678" s="56">
        <f>INDEX(Assumptions!$C$14:$C$16,MATCH($R1678,Assumptions!$A$14:$A$16,0))</f>
        <v>0.12</v>
      </c>
      <c r="AF1678" s="49">
        <f t="shared" si="375"/>
        <v>0</v>
      </c>
      <c r="AG1678" s="49">
        <f t="shared" si="376"/>
        <v>0</v>
      </c>
      <c r="AH1678" s="55">
        <f t="shared" si="377"/>
        <v>70.076393601551672</v>
      </c>
    </row>
    <row r="1679" spans="1:34" x14ac:dyDescent="0.2">
      <c r="A1679" s="48" t="s">
        <v>1367</v>
      </c>
      <c r="B1679" s="48">
        <v>3</v>
      </c>
      <c r="C1679" s="48" t="s">
        <v>1368</v>
      </c>
      <c r="D1679" s="48" t="s">
        <v>1355</v>
      </c>
      <c r="E1679" s="48" t="s">
        <v>279</v>
      </c>
      <c r="F1679" s="48" t="s">
        <v>280</v>
      </c>
      <c r="G1679" s="48" t="s">
        <v>281</v>
      </c>
      <c r="H1679" s="48" t="s">
        <v>64</v>
      </c>
      <c r="I1679" s="48" t="s">
        <v>157</v>
      </c>
      <c r="J1679" s="49">
        <v>4</v>
      </c>
      <c r="K1679" s="50">
        <v>115</v>
      </c>
      <c r="L1679" s="50">
        <v>112.52</v>
      </c>
      <c r="M1679" s="48" t="s">
        <v>276</v>
      </c>
      <c r="N1679" s="51">
        <v>0.79</v>
      </c>
      <c r="O1679" s="51">
        <v>0.82520000000000004</v>
      </c>
      <c r="P1679" s="52">
        <v>92</v>
      </c>
      <c r="Q1679" s="52">
        <v>92</v>
      </c>
      <c r="R1679" s="53" t="str">
        <f>INDEX(SKU_Master!$D$5:$D$34,MATCH($I1679,SKU_Master!$A$5:$A$34,0))</f>
        <v>Accessory</v>
      </c>
      <c r="S1679" s="54">
        <f t="shared" si="364"/>
        <v>2.1565217391304348E-2</v>
      </c>
      <c r="T1679" s="55">
        <f t="shared" si="365"/>
        <v>582.27848101265818</v>
      </c>
      <c r="U1679" s="55">
        <f t="shared" si="366"/>
        <v>569.72151898734171</v>
      </c>
      <c r="V1679" s="55">
        <f t="shared" si="367"/>
        <v>-12.556962025316466</v>
      </c>
      <c r="W1679" s="55">
        <f t="shared" si="368"/>
        <v>545.41929229277741</v>
      </c>
      <c r="X1679" s="55">
        <f t="shared" si="369"/>
        <v>-24.302226694564297</v>
      </c>
      <c r="Y1679" s="55">
        <f t="shared" si="370"/>
        <v>368</v>
      </c>
      <c r="Z1679" s="55">
        <f t="shared" si="371"/>
        <v>368</v>
      </c>
      <c r="AA1679" s="55">
        <f t="shared" si="372"/>
        <v>0</v>
      </c>
      <c r="AB1679" s="55">
        <f t="shared" si="373"/>
        <v>177.41929229277741</v>
      </c>
      <c r="AC1679" s="54">
        <f t="shared" si="374"/>
        <v>0.32528972627088504</v>
      </c>
      <c r="AD1679" s="56">
        <f>INDEX(Assumptions!$B$14:$B$16,MATCH($R1679,Assumptions!$A$14:$A$16,0))</f>
        <v>0.32</v>
      </c>
      <c r="AE1679" s="56">
        <f>INDEX(Assumptions!$C$14:$C$16,MATCH($R1679,Assumptions!$A$14:$A$16,0))</f>
        <v>0.22</v>
      </c>
      <c r="AF1679" s="49">
        <f t="shared" si="375"/>
        <v>0</v>
      </c>
      <c r="AG1679" s="49">
        <f t="shared" si="376"/>
        <v>0</v>
      </c>
      <c r="AH1679" s="55">
        <f t="shared" si="377"/>
        <v>0</v>
      </c>
    </row>
    <row r="1680" spans="1:34" x14ac:dyDescent="0.2">
      <c r="A1680" s="48" t="s">
        <v>1369</v>
      </c>
      <c r="B1680" s="48">
        <v>1</v>
      </c>
      <c r="C1680" s="48" t="s">
        <v>1357</v>
      </c>
      <c r="D1680" s="48" t="s">
        <v>1355</v>
      </c>
      <c r="E1680" s="48" t="s">
        <v>296</v>
      </c>
      <c r="F1680" s="48" t="s">
        <v>297</v>
      </c>
      <c r="G1680" s="48" t="s">
        <v>298</v>
      </c>
      <c r="H1680" s="48" t="s">
        <v>66</v>
      </c>
      <c r="I1680" s="48" t="s">
        <v>98</v>
      </c>
      <c r="J1680" s="49">
        <v>66</v>
      </c>
      <c r="K1680" s="50">
        <v>1980</v>
      </c>
      <c r="L1680" s="50">
        <v>1905.45</v>
      </c>
      <c r="M1680" s="48" t="s">
        <v>276</v>
      </c>
      <c r="N1680" s="51">
        <v>0.92</v>
      </c>
      <c r="O1680" s="51">
        <v>0.93310000000000004</v>
      </c>
      <c r="P1680" s="52">
        <v>1800.2</v>
      </c>
      <c r="Q1680" s="52">
        <v>1800.2</v>
      </c>
      <c r="R1680" s="53" t="str">
        <f>INDEX(SKU_Master!$D$5:$D$34,MATCH($I1680,SKU_Master!$A$5:$A$34,0))</f>
        <v>Laptop</v>
      </c>
      <c r="S1680" s="54">
        <f t="shared" si="364"/>
        <v>3.7651515151515103E-2</v>
      </c>
      <c r="T1680" s="55">
        <f t="shared" si="365"/>
        <v>142043.47826086957</v>
      </c>
      <c r="U1680" s="55">
        <f t="shared" si="366"/>
        <v>136695.32608695651</v>
      </c>
      <c r="V1680" s="55">
        <f t="shared" si="367"/>
        <v>-5348.1521739130549</v>
      </c>
      <c r="W1680" s="55">
        <f t="shared" si="368"/>
        <v>134776.22977172863</v>
      </c>
      <c r="X1680" s="55">
        <f t="shared" si="369"/>
        <v>-1919.0963152278855</v>
      </c>
      <c r="Y1680" s="55">
        <f t="shared" si="370"/>
        <v>118813.2</v>
      </c>
      <c r="Z1680" s="55">
        <f t="shared" si="371"/>
        <v>118813.2</v>
      </c>
      <c r="AA1680" s="55">
        <f t="shared" si="372"/>
        <v>0</v>
      </c>
      <c r="AB1680" s="55">
        <f t="shared" si="373"/>
        <v>15963.02977172863</v>
      </c>
      <c r="AC1680" s="54">
        <f t="shared" si="374"/>
        <v>0.11844098769319573</v>
      </c>
      <c r="AD1680" s="56">
        <f>INDEX(Assumptions!$B$14:$B$16,MATCH($R1680,Assumptions!$A$14:$A$16,0))</f>
        <v>0.12</v>
      </c>
      <c r="AE1680" s="56">
        <f>INDEX(Assumptions!$C$14:$C$16,MATCH($R1680,Assumptions!$A$14:$A$16,0))</f>
        <v>0.08</v>
      </c>
      <c r="AF1680" s="49">
        <f t="shared" si="375"/>
        <v>0</v>
      </c>
      <c r="AG1680" s="49">
        <f t="shared" si="376"/>
        <v>0</v>
      </c>
      <c r="AH1680" s="55">
        <f t="shared" si="377"/>
        <v>210.1178008788047</v>
      </c>
    </row>
    <row r="1681" spans="1:34" x14ac:dyDescent="0.2">
      <c r="A1681" s="48" t="s">
        <v>1369</v>
      </c>
      <c r="B1681" s="48">
        <v>2</v>
      </c>
      <c r="C1681" s="48" t="s">
        <v>1357</v>
      </c>
      <c r="D1681" s="48" t="s">
        <v>1355</v>
      </c>
      <c r="E1681" s="48" t="s">
        <v>296</v>
      </c>
      <c r="F1681" s="48" t="s">
        <v>297</v>
      </c>
      <c r="G1681" s="48" t="s">
        <v>298</v>
      </c>
      <c r="H1681" s="48" t="s">
        <v>66</v>
      </c>
      <c r="I1681" s="48" t="s">
        <v>141</v>
      </c>
      <c r="J1681" s="49">
        <v>54</v>
      </c>
      <c r="K1681" s="50">
        <v>450</v>
      </c>
      <c r="L1681" s="50">
        <v>430.75</v>
      </c>
      <c r="M1681" s="48" t="s">
        <v>276</v>
      </c>
      <c r="N1681" s="51">
        <v>0.92</v>
      </c>
      <c r="O1681" s="51">
        <v>0.93310000000000004</v>
      </c>
      <c r="P1681" s="52">
        <v>376.7</v>
      </c>
      <c r="Q1681" s="52">
        <v>376.7</v>
      </c>
      <c r="R1681" s="53" t="str">
        <f>INDEX(SKU_Master!$D$5:$D$34,MATCH($I1681,SKU_Master!$A$5:$A$34,0))</f>
        <v>Monitor</v>
      </c>
      <c r="S1681" s="54">
        <f t="shared" si="364"/>
        <v>4.2777777777777803E-2</v>
      </c>
      <c r="T1681" s="55">
        <f t="shared" si="365"/>
        <v>26413.043478260868</v>
      </c>
      <c r="U1681" s="55">
        <f t="shared" si="366"/>
        <v>25283.152173913044</v>
      </c>
      <c r="V1681" s="55">
        <f t="shared" si="367"/>
        <v>-1129.8913043478242</v>
      </c>
      <c r="W1681" s="55">
        <f t="shared" si="368"/>
        <v>24928.196334797984</v>
      </c>
      <c r="X1681" s="55">
        <f t="shared" si="369"/>
        <v>-354.95583911506037</v>
      </c>
      <c r="Y1681" s="55">
        <f t="shared" si="370"/>
        <v>20341.8</v>
      </c>
      <c r="Z1681" s="55">
        <f t="shared" si="371"/>
        <v>20341.8</v>
      </c>
      <c r="AA1681" s="55">
        <f t="shared" si="372"/>
        <v>0</v>
      </c>
      <c r="AB1681" s="55">
        <f t="shared" si="373"/>
        <v>4586.3963347979843</v>
      </c>
      <c r="AC1681" s="54">
        <f t="shared" si="374"/>
        <v>0.18398428322692975</v>
      </c>
      <c r="AD1681" s="56">
        <f>INDEX(Assumptions!$B$14:$B$16,MATCH($R1681,Assumptions!$A$14:$A$16,0))</f>
        <v>0.18</v>
      </c>
      <c r="AE1681" s="56">
        <f>INDEX(Assumptions!$C$14:$C$16,MATCH($R1681,Assumptions!$A$14:$A$16,0))</f>
        <v>0.12</v>
      </c>
      <c r="AF1681" s="49">
        <f t="shared" si="375"/>
        <v>0</v>
      </c>
      <c r="AG1681" s="49">
        <f t="shared" si="376"/>
        <v>0</v>
      </c>
      <c r="AH1681" s="55">
        <f t="shared" si="377"/>
        <v>0</v>
      </c>
    </row>
    <row r="1682" spans="1:34" x14ac:dyDescent="0.2">
      <c r="A1682" s="48" t="s">
        <v>1369</v>
      </c>
      <c r="B1682" s="48">
        <v>3</v>
      </c>
      <c r="C1682" s="48" t="s">
        <v>1357</v>
      </c>
      <c r="D1682" s="48" t="s">
        <v>1355</v>
      </c>
      <c r="E1682" s="48" t="s">
        <v>296</v>
      </c>
      <c r="F1682" s="48" t="s">
        <v>297</v>
      </c>
      <c r="G1682" s="48" t="s">
        <v>298</v>
      </c>
      <c r="H1682" s="48" t="s">
        <v>66</v>
      </c>
      <c r="I1682" s="48" t="s">
        <v>151</v>
      </c>
      <c r="J1682" s="49">
        <v>34</v>
      </c>
      <c r="K1682" s="50">
        <v>325</v>
      </c>
      <c r="L1682" s="50">
        <v>315.38</v>
      </c>
      <c r="M1682" s="48" t="s">
        <v>276</v>
      </c>
      <c r="N1682" s="51">
        <v>0.92</v>
      </c>
      <c r="O1682" s="51">
        <v>0.93310000000000004</v>
      </c>
      <c r="P1682" s="52">
        <v>221.7</v>
      </c>
      <c r="Q1682" s="52">
        <v>221.7</v>
      </c>
      <c r="R1682" s="53" t="str">
        <f>INDEX(SKU_Master!$D$5:$D$34,MATCH($I1682,SKU_Master!$A$5:$A$34,0))</f>
        <v>Accessory</v>
      </c>
      <c r="S1682" s="54">
        <f t="shared" si="364"/>
        <v>2.959999999999996E-2</v>
      </c>
      <c r="T1682" s="55">
        <f t="shared" si="365"/>
        <v>12010.86956521739</v>
      </c>
      <c r="U1682" s="55">
        <f t="shared" si="366"/>
        <v>11655.347826086956</v>
      </c>
      <c r="V1682" s="55">
        <f t="shared" si="367"/>
        <v>-355.52173913043407</v>
      </c>
      <c r="W1682" s="55">
        <f t="shared" si="368"/>
        <v>11491.715786089379</v>
      </c>
      <c r="X1682" s="55">
        <f t="shared" si="369"/>
        <v>-163.63203999757752</v>
      </c>
      <c r="Y1682" s="55">
        <f t="shared" si="370"/>
        <v>7537.7999999999993</v>
      </c>
      <c r="Z1682" s="55">
        <f t="shared" si="371"/>
        <v>7537.7999999999993</v>
      </c>
      <c r="AA1682" s="55">
        <f t="shared" si="372"/>
        <v>0</v>
      </c>
      <c r="AB1682" s="55">
        <f t="shared" si="373"/>
        <v>3953.9157860893793</v>
      </c>
      <c r="AC1682" s="54">
        <f t="shared" si="374"/>
        <v>0.34406661804806898</v>
      </c>
      <c r="AD1682" s="56">
        <f>INDEX(Assumptions!$B$14:$B$16,MATCH($R1682,Assumptions!$A$14:$A$16,0))</f>
        <v>0.32</v>
      </c>
      <c r="AE1682" s="56">
        <f>INDEX(Assumptions!$C$14:$C$16,MATCH($R1682,Assumptions!$A$14:$A$16,0))</f>
        <v>0.22</v>
      </c>
      <c r="AF1682" s="49">
        <f t="shared" si="375"/>
        <v>0</v>
      </c>
      <c r="AG1682" s="49">
        <f t="shared" si="376"/>
        <v>0</v>
      </c>
      <c r="AH1682" s="55">
        <f t="shared" si="377"/>
        <v>0</v>
      </c>
    </row>
    <row r="1683" spans="1:34" x14ac:dyDescent="0.2">
      <c r="A1683" s="48" t="s">
        <v>1370</v>
      </c>
      <c r="B1683" s="48">
        <v>1</v>
      </c>
      <c r="C1683" s="48" t="s">
        <v>1371</v>
      </c>
      <c r="D1683" s="48" t="s">
        <v>1355</v>
      </c>
      <c r="E1683" s="48" t="s">
        <v>333</v>
      </c>
      <c r="F1683" s="48" t="s">
        <v>297</v>
      </c>
      <c r="G1683" s="48" t="s">
        <v>302</v>
      </c>
      <c r="H1683" s="48" t="s">
        <v>70</v>
      </c>
      <c r="I1683" s="48" t="s">
        <v>121</v>
      </c>
      <c r="J1683" s="49">
        <v>57</v>
      </c>
      <c r="K1683" s="50">
        <v>90070</v>
      </c>
      <c r="L1683" s="50">
        <v>84095.16</v>
      </c>
      <c r="M1683" s="48" t="s">
        <v>276</v>
      </c>
      <c r="N1683" s="51">
        <v>83.5</v>
      </c>
      <c r="O1683" s="51">
        <v>84.872</v>
      </c>
      <c r="P1683" s="52">
        <v>903.48</v>
      </c>
      <c r="Q1683" s="52">
        <v>923.48</v>
      </c>
      <c r="R1683" s="53" t="str">
        <f>INDEX(SKU_Master!$D$5:$D$34,MATCH($I1683,SKU_Master!$A$5:$A$34,0))</f>
        <v>Laptop</v>
      </c>
      <c r="S1683" s="54">
        <f t="shared" si="364"/>
        <v>6.6335516820250851E-2</v>
      </c>
      <c r="T1683" s="55">
        <f t="shared" si="365"/>
        <v>61484.910179640719</v>
      </c>
      <c r="U1683" s="55">
        <f t="shared" si="366"/>
        <v>57406.276886227548</v>
      </c>
      <c r="V1683" s="55">
        <f t="shared" si="367"/>
        <v>-4078.6332934131715</v>
      </c>
      <c r="W1683" s="55">
        <f t="shared" si="368"/>
        <v>56478.274578188335</v>
      </c>
      <c r="X1683" s="55">
        <f t="shared" si="369"/>
        <v>-928.00230803921295</v>
      </c>
      <c r="Y1683" s="55">
        <f t="shared" si="370"/>
        <v>51498.36</v>
      </c>
      <c r="Z1683" s="55">
        <f t="shared" si="371"/>
        <v>52638.36</v>
      </c>
      <c r="AA1683" s="55">
        <f t="shared" si="372"/>
        <v>-1140</v>
      </c>
      <c r="AB1683" s="55">
        <f t="shared" si="373"/>
        <v>3839.9145781883344</v>
      </c>
      <c r="AC1683" s="54">
        <f t="shared" si="374"/>
        <v>6.7989233149684303E-2</v>
      </c>
      <c r="AD1683" s="56">
        <f>INDEX(Assumptions!$B$14:$B$16,MATCH($R1683,Assumptions!$A$14:$A$16,0))</f>
        <v>0.12</v>
      </c>
      <c r="AE1683" s="56">
        <f>INDEX(Assumptions!$C$14:$C$16,MATCH($R1683,Assumptions!$A$14:$A$16,0))</f>
        <v>0.08</v>
      </c>
      <c r="AF1683" s="49">
        <f t="shared" si="375"/>
        <v>1</v>
      </c>
      <c r="AG1683" s="49">
        <f t="shared" si="376"/>
        <v>1</v>
      </c>
      <c r="AH1683" s="55">
        <f t="shared" si="377"/>
        <v>2937.4783711942655</v>
      </c>
    </row>
    <row r="1684" spans="1:34" x14ac:dyDescent="0.2">
      <c r="A1684" s="48" t="s">
        <v>1370</v>
      </c>
      <c r="B1684" s="48">
        <v>2</v>
      </c>
      <c r="C1684" s="48" t="s">
        <v>1371</v>
      </c>
      <c r="D1684" s="48" t="s">
        <v>1355</v>
      </c>
      <c r="E1684" s="48" t="s">
        <v>333</v>
      </c>
      <c r="F1684" s="48" t="s">
        <v>297</v>
      </c>
      <c r="G1684" s="48" t="s">
        <v>302</v>
      </c>
      <c r="H1684" s="48" t="s">
        <v>70</v>
      </c>
      <c r="I1684" s="48" t="s">
        <v>177</v>
      </c>
      <c r="J1684" s="49">
        <v>53</v>
      </c>
      <c r="K1684" s="50">
        <v>7520</v>
      </c>
      <c r="L1684" s="50">
        <v>6900.1</v>
      </c>
      <c r="M1684" s="48" t="s">
        <v>276</v>
      </c>
      <c r="N1684" s="51">
        <v>83.5</v>
      </c>
      <c r="O1684" s="51">
        <v>84.872</v>
      </c>
      <c r="P1684" s="52">
        <v>57.18</v>
      </c>
      <c r="Q1684" s="52">
        <v>62.18</v>
      </c>
      <c r="R1684" s="53" t="str">
        <f>INDEX(SKU_Master!$D$5:$D$34,MATCH($I1684,SKU_Master!$A$5:$A$34,0))</f>
        <v>Accessory</v>
      </c>
      <c r="S1684" s="54">
        <f t="shared" si="364"/>
        <v>8.2433510638297847E-2</v>
      </c>
      <c r="T1684" s="55">
        <f t="shared" si="365"/>
        <v>4773.1736526946106</v>
      </c>
      <c r="U1684" s="55">
        <f t="shared" si="366"/>
        <v>4379.7041916167673</v>
      </c>
      <c r="V1684" s="55">
        <f t="shared" si="367"/>
        <v>-393.46946107784333</v>
      </c>
      <c r="W1684" s="55">
        <f t="shared" si="368"/>
        <v>4308.9039966066557</v>
      </c>
      <c r="X1684" s="55">
        <f t="shared" si="369"/>
        <v>-70.800195010111565</v>
      </c>
      <c r="Y1684" s="55">
        <f t="shared" si="370"/>
        <v>3030.54</v>
      </c>
      <c r="Z1684" s="55">
        <f t="shared" si="371"/>
        <v>3295.54</v>
      </c>
      <c r="AA1684" s="55">
        <f t="shared" si="372"/>
        <v>-265</v>
      </c>
      <c r="AB1684" s="55">
        <f t="shared" si="373"/>
        <v>1013.3639966066557</v>
      </c>
      <c r="AC1684" s="54">
        <f t="shared" si="374"/>
        <v>0.23517906117302667</v>
      </c>
      <c r="AD1684" s="56">
        <f>INDEX(Assumptions!$B$14:$B$16,MATCH($R1684,Assumptions!$A$14:$A$16,0))</f>
        <v>0.32</v>
      </c>
      <c r="AE1684" s="56">
        <f>INDEX(Assumptions!$C$14:$C$16,MATCH($R1684,Assumptions!$A$14:$A$16,0))</f>
        <v>0.22</v>
      </c>
      <c r="AF1684" s="49">
        <f t="shared" si="375"/>
        <v>0</v>
      </c>
      <c r="AG1684" s="49">
        <f t="shared" si="376"/>
        <v>0</v>
      </c>
      <c r="AH1684" s="55">
        <f t="shared" si="377"/>
        <v>365.48528230747411</v>
      </c>
    </row>
    <row r="1685" spans="1:34" x14ac:dyDescent="0.2">
      <c r="A1685" s="48" t="s">
        <v>1372</v>
      </c>
      <c r="B1685" s="48">
        <v>1</v>
      </c>
      <c r="C1685" s="48" t="s">
        <v>1373</v>
      </c>
      <c r="D1685" s="48" t="s">
        <v>1355</v>
      </c>
      <c r="E1685" s="48" t="s">
        <v>336</v>
      </c>
      <c r="F1685" s="48" t="s">
        <v>274</v>
      </c>
      <c r="G1685" s="48" t="s">
        <v>288</v>
      </c>
      <c r="H1685" s="48" t="s">
        <v>62</v>
      </c>
      <c r="I1685" s="48" t="s">
        <v>93</v>
      </c>
      <c r="J1685" s="49">
        <v>9</v>
      </c>
      <c r="K1685" s="50">
        <v>1390</v>
      </c>
      <c r="L1685" s="50">
        <v>1378.58</v>
      </c>
      <c r="M1685" s="48" t="s">
        <v>276</v>
      </c>
      <c r="N1685" s="51">
        <v>1</v>
      </c>
      <c r="O1685" s="51">
        <v>1</v>
      </c>
      <c r="P1685" s="52">
        <v>1186.2</v>
      </c>
      <c r="Q1685" s="52">
        <v>1186.2</v>
      </c>
      <c r="R1685" s="53" t="str">
        <f>INDEX(SKU_Master!$D$5:$D$34,MATCH($I1685,SKU_Master!$A$5:$A$34,0))</f>
        <v>Laptop</v>
      </c>
      <c r="S1685" s="54">
        <f t="shared" si="364"/>
        <v>8.2158273381295333E-3</v>
      </c>
      <c r="T1685" s="55">
        <f t="shared" si="365"/>
        <v>12510</v>
      </c>
      <c r="U1685" s="55">
        <f t="shared" si="366"/>
        <v>12407.22</v>
      </c>
      <c r="V1685" s="55">
        <f t="shared" si="367"/>
        <v>-102.78000000000065</v>
      </c>
      <c r="W1685" s="55">
        <f t="shared" si="368"/>
        <v>12407.22</v>
      </c>
      <c r="X1685" s="55">
        <f t="shared" si="369"/>
        <v>0</v>
      </c>
      <c r="Y1685" s="55">
        <f t="shared" si="370"/>
        <v>10675.800000000001</v>
      </c>
      <c r="Z1685" s="55">
        <f t="shared" si="371"/>
        <v>10675.800000000001</v>
      </c>
      <c r="AA1685" s="55">
        <f t="shared" si="372"/>
        <v>0</v>
      </c>
      <c r="AB1685" s="55">
        <f t="shared" si="373"/>
        <v>1731.4199999999983</v>
      </c>
      <c r="AC1685" s="54">
        <f t="shared" si="374"/>
        <v>0.13954939140274761</v>
      </c>
      <c r="AD1685" s="56">
        <f>INDEX(Assumptions!$B$14:$B$16,MATCH($R1685,Assumptions!$A$14:$A$16,0))</f>
        <v>0.12</v>
      </c>
      <c r="AE1685" s="56">
        <f>INDEX(Assumptions!$C$14:$C$16,MATCH($R1685,Assumptions!$A$14:$A$16,0))</f>
        <v>0.08</v>
      </c>
      <c r="AF1685" s="49">
        <f t="shared" si="375"/>
        <v>0</v>
      </c>
      <c r="AG1685" s="49">
        <f t="shared" si="376"/>
        <v>0</v>
      </c>
      <c r="AH1685" s="55">
        <f t="shared" si="377"/>
        <v>0</v>
      </c>
    </row>
    <row r="1686" spans="1:34" x14ac:dyDescent="0.2">
      <c r="A1686" s="48" t="s">
        <v>1372</v>
      </c>
      <c r="B1686" s="48">
        <v>2</v>
      </c>
      <c r="C1686" s="48" t="s">
        <v>1373</v>
      </c>
      <c r="D1686" s="48" t="s">
        <v>1355</v>
      </c>
      <c r="E1686" s="48" t="s">
        <v>336</v>
      </c>
      <c r="F1686" s="48" t="s">
        <v>274</v>
      </c>
      <c r="G1686" s="48" t="s">
        <v>288</v>
      </c>
      <c r="H1686" s="48" t="s">
        <v>62</v>
      </c>
      <c r="I1686" s="48" t="s">
        <v>146</v>
      </c>
      <c r="J1686" s="49">
        <v>10</v>
      </c>
      <c r="K1686" s="50">
        <v>235</v>
      </c>
      <c r="L1686" s="50">
        <v>230.39</v>
      </c>
      <c r="M1686" s="48" t="s">
        <v>276</v>
      </c>
      <c r="N1686" s="51">
        <v>1</v>
      </c>
      <c r="O1686" s="51">
        <v>1</v>
      </c>
      <c r="P1686" s="52">
        <v>181.8</v>
      </c>
      <c r="Q1686" s="52">
        <v>181.8</v>
      </c>
      <c r="R1686" s="53" t="str">
        <f>INDEX(SKU_Master!$D$5:$D$34,MATCH($I1686,SKU_Master!$A$5:$A$34,0))</f>
        <v>Monitor</v>
      </c>
      <c r="S1686" s="54">
        <f t="shared" si="364"/>
        <v>1.9617021276595814E-2</v>
      </c>
      <c r="T1686" s="55">
        <f t="shared" si="365"/>
        <v>2350</v>
      </c>
      <c r="U1686" s="55">
        <f t="shared" si="366"/>
        <v>2303.8999999999996</v>
      </c>
      <c r="V1686" s="55">
        <f t="shared" si="367"/>
        <v>-46.100000000000364</v>
      </c>
      <c r="W1686" s="55">
        <f t="shared" si="368"/>
        <v>2303.8999999999996</v>
      </c>
      <c r="X1686" s="55">
        <f t="shared" si="369"/>
        <v>0</v>
      </c>
      <c r="Y1686" s="55">
        <f t="shared" si="370"/>
        <v>1818</v>
      </c>
      <c r="Z1686" s="55">
        <f t="shared" si="371"/>
        <v>1818</v>
      </c>
      <c r="AA1686" s="55">
        <f t="shared" si="372"/>
        <v>0</v>
      </c>
      <c r="AB1686" s="55">
        <f t="shared" si="373"/>
        <v>485.89999999999964</v>
      </c>
      <c r="AC1686" s="54">
        <f t="shared" si="374"/>
        <v>0.21090325100915827</v>
      </c>
      <c r="AD1686" s="56">
        <f>INDEX(Assumptions!$B$14:$B$16,MATCH($R1686,Assumptions!$A$14:$A$16,0))</f>
        <v>0.18</v>
      </c>
      <c r="AE1686" s="56">
        <f>INDEX(Assumptions!$C$14:$C$16,MATCH($R1686,Assumptions!$A$14:$A$16,0))</f>
        <v>0.12</v>
      </c>
      <c r="AF1686" s="49">
        <f t="shared" si="375"/>
        <v>0</v>
      </c>
      <c r="AG1686" s="49">
        <f t="shared" si="376"/>
        <v>0</v>
      </c>
      <c r="AH1686" s="55">
        <f t="shared" si="377"/>
        <v>0</v>
      </c>
    </row>
    <row r="1687" spans="1:34" x14ac:dyDescent="0.2">
      <c r="A1687" s="48" t="s">
        <v>1372</v>
      </c>
      <c r="B1687" s="48">
        <v>3</v>
      </c>
      <c r="C1687" s="48" t="s">
        <v>1373</v>
      </c>
      <c r="D1687" s="48" t="s">
        <v>1355</v>
      </c>
      <c r="E1687" s="48" t="s">
        <v>336</v>
      </c>
      <c r="F1687" s="48" t="s">
        <v>274</v>
      </c>
      <c r="G1687" s="48" t="s">
        <v>288</v>
      </c>
      <c r="H1687" s="48" t="s">
        <v>62</v>
      </c>
      <c r="I1687" s="48" t="s">
        <v>173</v>
      </c>
      <c r="J1687" s="49">
        <v>3</v>
      </c>
      <c r="K1687" s="50">
        <v>55</v>
      </c>
      <c r="L1687" s="50">
        <v>53.98</v>
      </c>
      <c r="M1687" s="48" t="s">
        <v>276</v>
      </c>
      <c r="N1687" s="51">
        <v>1</v>
      </c>
      <c r="O1687" s="51">
        <v>1</v>
      </c>
      <c r="P1687" s="52">
        <v>34</v>
      </c>
      <c r="Q1687" s="52">
        <v>34</v>
      </c>
      <c r="R1687" s="53" t="str">
        <f>INDEX(SKU_Master!$D$5:$D$34,MATCH($I1687,SKU_Master!$A$5:$A$34,0))</f>
        <v>Accessory</v>
      </c>
      <c r="S1687" s="54">
        <f t="shared" si="364"/>
        <v>1.8545454545454643E-2</v>
      </c>
      <c r="T1687" s="55">
        <f t="shared" si="365"/>
        <v>165</v>
      </c>
      <c r="U1687" s="55">
        <f t="shared" si="366"/>
        <v>161.94</v>
      </c>
      <c r="V1687" s="55">
        <f t="shared" si="367"/>
        <v>-3.0600000000000023</v>
      </c>
      <c r="W1687" s="55">
        <f t="shared" si="368"/>
        <v>161.94</v>
      </c>
      <c r="X1687" s="55">
        <f t="shared" si="369"/>
        <v>0</v>
      </c>
      <c r="Y1687" s="55">
        <f t="shared" si="370"/>
        <v>102</v>
      </c>
      <c r="Z1687" s="55">
        <f t="shared" si="371"/>
        <v>102</v>
      </c>
      <c r="AA1687" s="55">
        <f t="shared" si="372"/>
        <v>0</v>
      </c>
      <c r="AB1687" s="55">
        <f t="shared" si="373"/>
        <v>59.94</v>
      </c>
      <c r="AC1687" s="54">
        <f t="shared" si="374"/>
        <v>0.37013708781030008</v>
      </c>
      <c r="AD1687" s="56">
        <f>INDEX(Assumptions!$B$14:$B$16,MATCH($R1687,Assumptions!$A$14:$A$16,0))</f>
        <v>0.32</v>
      </c>
      <c r="AE1687" s="56">
        <f>INDEX(Assumptions!$C$14:$C$16,MATCH($R1687,Assumptions!$A$14:$A$16,0))</f>
        <v>0.22</v>
      </c>
      <c r="AF1687" s="49">
        <f t="shared" si="375"/>
        <v>0</v>
      </c>
      <c r="AG1687" s="49">
        <f t="shared" si="376"/>
        <v>0</v>
      </c>
      <c r="AH1687" s="55">
        <f t="shared" si="377"/>
        <v>0</v>
      </c>
    </row>
    <row r="1688" spans="1:34" x14ac:dyDescent="0.2">
      <c r="A1688" s="48" t="s">
        <v>1374</v>
      </c>
      <c r="B1688" s="48">
        <v>1</v>
      </c>
      <c r="C1688" s="48" t="s">
        <v>1375</v>
      </c>
      <c r="D1688" s="48" t="s">
        <v>1355</v>
      </c>
      <c r="E1688" s="48" t="s">
        <v>427</v>
      </c>
      <c r="F1688" s="48" t="s">
        <v>297</v>
      </c>
      <c r="G1688" s="48" t="s">
        <v>302</v>
      </c>
      <c r="H1688" s="48" t="s">
        <v>66</v>
      </c>
      <c r="I1688" s="48" t="s">
        <v>113</v>
      </c>
      <c r="J1688" s="49">
        <v>42</v>
      </c>
      <c r="K1688" s="50">
        <v>1655</v>
      </c>
      <c r="L1688" s="50">
        <v>1598.07</v>
      </c>
      <c r="M1688" s="48" t="s">
        <v>276</v>
      </c>
      <c r="N1688" s="51">
        <v>0.92</v>
      </c>
      <c r="O1688" s="51">
        <v>0.93310000000000004</v>
      </c>
      <c r="P1688" s="52">
        <v>1504.8</v>
      </c>
      <c r="Q1688" s="52">
        <v>1504.8</v>
      </c>
      <c r="R1688" s="53" t="str">
        <f>INDEX(SKU_Master!$D$5:$D$34,MATCH($I1688,SKU_Master!$A$5:$A$34,0))</f>
        <v>Laptop</v>
      </c>
      <c r="S1688" s="54">
        <f t="shared" si="364"/>
        <v>3.4398791540785512E-2</v>
      </c>
      <c r="T1688" s="55">
        <f t="shared" si="365"/>
        <v>75554.34782608696</v>
      </c>
      <c r="U1688" s="55">
        <f t="shared" si="366"/>
        <v>72955.369565217392</v>
      </c>
      <c r="V1688" s="55">
        <f t="shared" si="367"/>
        <v>-2598.9782608695677</v>
      </c>
      <c r="W1688" s="55">
        <f t="shared" si="368"/>
        <v>71931.132783195804</v>
      </c>
      <c r="X1688" s="55">
        <f t="shared" si="369"/>
        <v>-1024.2367820215877</v>
      </c>
      <c r="Y1688" s="55">
        <f t="shared" si="370"/>
        <v>63201.599999999999</v>
      </c>
      <c r="Z1688" s="55">
        <f t="shared" si="371"/>
        <v>63201.599999999999</v>
      </c>
      <c r="AA1688" s="55">
        <f t="shared" si="372"/>
        <v>0</v>
      </c>
      <c r="AB1688" s="55">
        <f t="shared" si="373"/>
        <v>8729.5327831958057</v>
      </c>
      <c r="AC1688" s="54">
        <f t="shared" si="374"/>
        <v>0.12135959000544415</v>
      </c>
      <c r="AD1688" s="56">
        <f>INDEX(Assumptions!$B$14:$B$16,MATCH($R1688,Assumptions!$A$14:$A$16,0))</f>
        <v>0.12</v>
      </c>
      <c r="AE1688" s="56">
        <f>INDEX(Assumptions!$C$14:$C$16,MATCH($R1688,Assumptions!$A$14:$A$16,0))</f>
        <v>0.08</v>
      </c>
      <c r="AF1688" s="49">
        <f t="shared" si="375"/>
        <v>0</v>
      </c>
      <c r="AG1688" s="49">
        <f t="shared" si="376"/>
        <v>0</v>
      </c>
      <c r="AH1688" s="55">
        <f t="shared" si="377"/>
        <v>0</v>
      </c>
    </row>
    <row r="1689" spans="1:34" x14ac:dyDescent="0.2">
      <c r="A1689" s="48" t="s">
        <v>1374</v>
      </c>
      <c r="B1689" s="48">
        <v>2</v>
      </c>
      <c r="C1689" s="48" t="s">
        <v>1375</v>
      </c>
      <c r="D1689" s="48" t="s">
        <v>1355</v>
      </c>
      <c r="E1689" s="48" t="s">
        <v>427</v>
      </c>
      <c r="F1689" s="48" t="s">
        <v>297</v>
      </c>
      <c r="G1689" s="48" t="s">
        <v>302</v>
      </c>
      <c r="H1689" s="48" t="s">
        <v>66</v>
      </c>
      <c r="I1689" s="48" t="s">
        <v>151</v>
      </c>
      <c r="J1689" s="49">
        <v>23</v>
      </c>
      <c r="K1689" s="50">
        <v>325</v>
      </c>
      <c r="L1689" s="50">
        <v>301.67</v>
      </c>
      <c r="M1689" s="48" t="s">
        <v>276</v>
      </c>
      <c r="N1689" s="51">
        <v>0.92</v>
      </c>
      <c r="O1689" s="51">
        <v>0.93310000000000004</v>
      </c>
      <c r="P1689" s="52">
        <v>221.7</v>
      </c>
      <c r="Q1689" s="52">
        <v>221.7</v>
      </c>
      <c r="R1689" s="53" t="str">
        <f>INDEX(SKU_Master!$D$5:$D$34,MATCH($I1689,SKU_Master!$A$5:$A$34,0))</f>
        <v>Accessory</v>
      </c>
      <c r="S1689" s="54">
        <f t="shared" si="364"/>
        <v>7.1784615384615336E-2</v>
      </c>
      <c r="T1689" s="55">
        <f t="shared" si="365"/>
        <v>8125</v>
      </c>
      <c r="U1689" s="55">
        <f t="shared" si="366"/>
        <v>7541.7500000000009</v>
      </c>
      <c r="V1689" s="55">
        <f t="shared" si="367"/>
        <v>-583.24999999999909</v>
      </c>
      <c r="W1689" s="55">
        <f t="shared" si="368"/>
        <v>7435.8696817061409</v>
      </c>
      <c r="X1689" s="55">
        <f t="shared" si="369"/>
        <v>-105.88031829386</v>
      </c>
      <c r="Y1689" s="55">
        <f t="shared" si="370"/>
        <v>5099.0999999999995</v>
      </c>
      <c r="Z1689" s="55">
        <f t="shared" si="371"/>
        <v>5099.0999999999995</v>
      </c>
      <c r="AA1689" s="55">
        <f t="shared" si="372"/>
        <v>0</v>
      </c>
      <c r="AB1689" s="55">
        <f t="shared" si="373"/>
        <v>2336.7696817061415</v>
      </c>
      <c r="AC1689" s="54">
        <f t="shared" si="374"/>
        <v>0.31425640600656357</v>
      </c>
      <c r="AD1689" s="56">
        <f>INDEX(Assumptions!$B$14:$B$16,MATCH($R1689,Assumptions!$A$14:$A$16,0))</f>
        <v>0.32</v>
      </c>
      <c r="AE1689" s="56">
        <f>INDEX(Assumptions!$C$14:$C$16,MATCH($R1689,Assumptions!$A$14:$A$16,0))</f>
        <v>0.22</v>
      </c>
      <c r="AF1689" s="49">
        <f t="shared" si="375"/>
        <v>0</v>
      </c>
      <c r="AG1689" s="49">
        <f t="shared" si="376"/>
        <v>0</v>
      </c>
      <c r="AH1689" s="55">
        <f t="shared" si="377"/>
        <v>42.7086164398238</v>
      </c>
    </row>
    <row r="1690" spans="1:34" x14ac:dyDescent="0.2">
      <c r="A1690" s="48" t="s">
        <v>1376</v>
      </c>
      <c r="B1690" s="48">
        <v>1</v>
      </c>
      <c r="C1690" s="48" t="s">
        <v>1375</v>
      </c>
      <c r="D1690" s="48" t="s">
        <v>1355</v>
      </c>
      <c r="E1690" s="48" t="s">
        <v>384</v>
      </c>
      <c r="F1690" s="48" t="s">
        <v>297</v>
      </c>
      <c r="G1690" s="48" t="s">
        <v>281</v>
      </c>
      <c r="H1690" s="48" t="s">
        <v>70</v>
      </c>
      <c r="I1690" s="48" t="s">
        <v>110</v>
      </c>
      <c r="J1690" s="49">
        <v>66</v>
      </c>
      <c r="K1690" s="50">
        <v>113335</v>
      </c>
      <c r="L1690" s="50">
        <v>110202.24000000001</v>
      </c>
      <c r="M1690" s="48" t="s">
        <v>276</v>
      </c>
      <c r="N1690" s="51">
        <v>83.5</v>
      </c>
      <c r="O1690" s="51">
        <v>84.872</v>
      </c>
      <c r="P1690" s="52">
        <v>1136.8599999999999</v>
      </c>
      <c r="Q1690" s="52">
        <v>1156.8599999999999</v>
      </c>
      <c r="R1690" s="53" t="str">
        <f>INDEX(SKU_Master!$D$5:$D$34,MATCH($I1690,SKU_Master!$A$5:$A$34,0))</f>
        <v>Laptop</v>
      </c>
      <c r="S1690" s="54">
        <f t="shared" si="364"/>
        <v>2.7641593505977835E-2</v>
      </c>
      <c r="T1690" s="55">
        <f t="shared" si="365"/>
        <v>89582.155688622748</v>
      </c>
      <c r="U1690" s="55">
        <f t="shared" si="366"/>
        <v>87105.962155688627</v>
      </c>
      <c r="V1690" s="55">
        <f t="shared" si="367"/>
        <v>-2476.1935329341213</v>
      </c>
      <c r="W1690" s="55">
        <f t="shared" si="368"/>
        <v>85697.848996135363</v>
      </c>
      <c r="X1690" s="55">
        <f t="shared" si="369"/>
        <v>-1408.1131595532643</v>
      </c>
      <c r="Y1690" s="55">
        <f t="shared" si="370"/>
        <v>75032.759999999995</v>
      </c>
      <c r="Z1690" s="55">
        <f t="shared" si="371"/>
        <v>76352.759999999995</v>
      </c>
      <c r="AA1690" s="55">
        <f t="shared" si="372"/>
        <v>-1320</v>
      </c>
      <c r="AB1690" s="55">
        <f t="shared" si="373"/>
        <v>9345.0889961353678</v>
      </c>
      <c r="AC1690" s="54">
        <f t="shared" si="374"/>
        <v>0.10904694931790872</v>
      </c>
      <c r="AD1690" s="56">
        <f>INDEX(Assumptions!$B$14:$B$16,MATCH($R1690,Assumptions!$A$14:$A$16,0))</f>
        <v>0.12</v>
      </c>
      <c r="AE1690" s="56">
        <f>INDEX(Assumptions!$C$14:$C$16,MATCH($R1690,Assumptions!$A$14:$A$16,0))</f>
        <v>0.08</v>
      </c>
      <c r="AF1690" s="49">
        <f t="shared" si="375"/>
        <v>0</v>
      </c>
      <c r="AG1690" s="49">
        <f t="shared" si="376"/>
        <v>0</v>
      </c>
      <c r="AH1690" s="55">
        <f t="shared" si="377"/>
        <v>938.652883400875</v>
      </c>
    </row>
    <row r="1691" spans="1:34" x14ac:dyDescent="0.2">
      <c r="A1691" s="48" t="s">
        <v>1376</v>
      </c>
      <c r="B1691" s="48">
        <v>2</v>
      </c>
      <c r="C1691" s="48" t="s">
        <v>1375</v>
      </c>
      <c r="D1691" s="48" t="s">
        <v>1355</v>
      </c>
      <c r="E1691" s="48" t="s">
        <v>384</v>
      </c>
      <c r="F1691" s="48" t="s">
        <v>297</v>
      </c>
      <c r="G1691" s="48" t="s">
        <v>281</v>
      </c>
      <c r="H1691" s="48" t="s">
        <v>70</v>
      </c>
      <c r="I1691" s="48" t="s">
        <v>154</v>
      </c>
      <c r="J1691" s="49">
        <v>38</v>
      </c>
      <c r="K1691" s="50">
        <v>45770</v>
      </c>
      <c r="L1691" s="50">
        <v>44608.79</v>
      </c>
      <c r="M1691" s="48" t="s">
        <v>276</v>
      </c>
      <c r="N1691" s="51">
        <v>83.5</v>
      </c>
      <c r="O1691" s="51">
        <v>84.872</v>
      </c>
      <c r="P1691" s="52">
        <v>348</v>
      </c>
      <c r="Q1691" s="52">
        <v>353</v>
      </c>
      <c r="R1691" s="53" t="str">
        <f>INDEX(SKU_Master!$D$5:$D$34,MATCH($I1691,SKU_Master!$A$5:$A$34,0))</f>
        <v>Accessory</v>
      </c>
      <c r="S1691" s="54">
        <f t="shared" si="364"/>
        <v>2.5370548394144654E-2</v>
      </c>
      <c r="T1691" s="55">
        <f t="shared" si="365"/>
        <v>20829.461077844313</v>
      </c>
      <c r="U1691" s="55">
        <f t="shared" si="366"/>
        <v>20301.006227544909</v>
      </c>
      <c r="V1691" s="55">
        <f t="shared" si="367"/>
        <v>-528.45485029940392</v>
      </c>
      <c r="W1691" s="55">
        <f t="shared" si="368"/>
        <v>19972.829908568197</v>
      </c>
      <c r="X1691" s="55">
        <f t="shared" si="369"/>
        <v>-328.17631897671163</v>
      </c>
      <c r="Y1691" s="55">
        <f t="shared" si="370"/>
        <v>13224</v>
      </c>
      <c r="Z1691" s="55">
        <f t="shared" si="371"/>
        <v>13414</v>
      </c>
      <c r="AA1691" s="55">
        <f t="shared" si="372"/>
        <v>-190</v>
      </c>
      <c r="AB1691" s="55">
        <f t="shared" si="373"/>
        <v>6558.8299085681974</v>
      </c>
      <c r="AC1691" s="54">
        <f t="shared" si="374"/>
        <v>0.32838761149988605</v>
      </c>
      <c r="AD1691" s="56">
        <f>INDEX(Assumptions!$B$14:$B$16,MATCH($R1691,Assumptions!$A$14:$A$16,0))</f>
        <v>0.32</v>
      </c>
      <c r="AE1691" s="56">
        <f>INDEX(Assumptions!$C$14:$C$16,MATCH($R1691,Assumptions!$A$14:$A$16,0))</f>
        <v>0.22</v>
      </c>
      <c r="AF1691" s="49">
        <f t="shared" si="375"/>
        <v>0</v>
      </c>
      <c r="AG1691" s="49">
        <f t="shared" si="376"/>
        <v>0</v>
      </c>
      <c r="AH1691" s="55">
        <f t="shared" si="377"/>
        <v>0</v>
      </c>
    </row>
    <row r="1692" spans="1:34" x14ac:dyDescent="0.2">
      <c r="A1692" s="48" t="s">
        <v>1377</v>
      </c>
      <c r="B1692" s="48">
        <v>1</v>
      </c>
      <c r="C1692" s="48" t="s">
        <v>1378</v>
      </c>
      <c r="D1692" s="48" t="s">
        <v>1355</v>
      </c>
      <c r="E1692" s="48" t="s">
        <v>293</v>
      </c>
      <c r="F1692" s="48" t="s">
        <v>274</v>
      </c>
      <c r="G1692" s="48" t="s">
        <v>275</v>
      </c>
      <c r="H1692" s="48" t="s">
        <v>66</v>
      </c>
      <c r="I1692" s="48" t="s">
        <v>110</v>
      </c>
      <c r="J1692" s="49">
        <v>6</v>
      </c>
      <c r="K1692" s="50">
        <v>1115</v>
      </c>
      <c r="L1692" s="50">
        <v>1103.55</v>
      </c>
      <c r="M1692" s="48" t="s">
        <v>276</v>
      </c>
      <c r="N1692" s="51">
        <v>0.92</v>
      </c>
      <c r="O1692" s="51">
        <v>0.93310000000000004</v>
      </c>
      <c r="P1692" s="52">
        <v>1012.65</v>
      </c>
      <c r="Q1692" s="52">
        <v>1012.65</v>
      </c>
      <c r="R1692" s="53" t="str">
        <f>INDEX(SKU_Master!$D$5:$D$34,MATCH($I1692,SKU_Master!$A$5:$A$34,0))</f>
        <v>Laptop</v>
      </c>
      <c r="S1692" s="54">
        <f t="shared" si="364"/>
        <v>1.026905829596414E-2</v>
      </c>
      <c r="T1692" s="55">
        <f t="shared" si="365"/>
        <v>7271.7391304347821</v>
      </c>
      <c r="U1692" s="55">
        <f t="shared" si="366"/>
        <v>7197.0652173913031</v>
      </c>
      <c r="V1692" s="55">
        <f t="shared" si="367"/>
        <v>-74.673913043478933</v>
      </c>
      <c r="W1692" s="55">
        <f t="shared" si="368"/>
        <v>7096.0240060014994</v>
      </c>
      <c r="X1692" s="55">
        <f t="shared" si="369"/>
        <v>-101.04121138980372</v>
      </c>
      <c r="Y1692" s="55">
        <f t="shared" si="370"/>
        <v>6075.9</v>
      </c>
      <c r="Z1692" s="55">
        <f t="shared" si="371"/>
        <v>6075.9</v>
      </c>
      <c r="AA1692" s="55">
        <f t="shared" si="372"/>
        <v>0</v>
      </c>
      <c r="AB1692" s="55">
        <f t="shared" si="373"/>
        <v>1020.1240060014998</v>
      </c>
      <c r="AC1692" s="54">
        <f t="shared" si="374"/>
        <v>0.14375994291151278</v>
      </c>
      <c r="AD1692" s="56">
        <f>INDEX(Assumptions!$B$14:$B$16,MATCH($R1692,Assumptions!$A$14:$A$16,0))</f>
        <v>0.12</v>
      </c>
      <c r="AE1692" s="56">
        <f>INDEX(Assumptions!$C$14:$C$16,MATCH($R1692,Assumptions!$A$14:$A$16,0))</f>
        <v>0.08</v>
      </c>
      <c r="AF1692" s="49">
        <f t="shared" si="375"/>
        <v>0</v>
      </c>
      <c r="AG1692" s="49">
        <f t="shared" si="376"/>
        <v>0</v>
      </c>
      <c r="AH1692" s="55">
        <f t="shared" si="377"/>
        <v>0</v>
      </c>
    </row>
    <row r="1693" spans="1:34" x14ac:dyDescent="0.2">
      <c r="A1693" s="48" t="s">
        <v>1377</v>
      </c>
      <c r="B1693" s="48">
        <v>2</v>
      </c>
      <c r="C1693" s="48" t="s">
        <v>1378</v>
      </c>
      <c r="D1693" s="48" t="s">
        <v>1355</v>
      </c>
      <c r="E1693" s="48" t="s">
        <v>293</v>
      </c>
      <c r="F1693" s="48" t="s">
        <v>274</v>
      </c>
      <c r="G1693" s="48" t="s">
        <v>275</v>
      </c>
      <c r="H1693" s="48" t="s">
        <v>66</v>
      </c>
      <c r="I1693" s="48" t="s">
        <v>141</v>
      </c>
      <c r="J1693" s="49">
        <v>3</v>
      </c>
      <c r="K1693" s="50">
        <v>450</v>
      </c>
      <c r="L1693" s="50">
        <v>441.61</v>
      </c>
      <c r="M1693" s="48" t="s">
        <v>276</v>
      </c>
      <c r="N1693" s="51">
        <v>0.92</v>
      </c>
      <c r="O1693" s="51">
        <v>0.93310000000000004</v>
      </c>
      <c r="P1693" s="52">
        <v>376.7</v>
      </c>
      <c r="Q1693" s="52">
        <v>376.7</v>
      </c>
      <c r="R1693" s="53" t="str">
        <f>INDEX(SKU_Master!$D$5:$D$34,MATCH($I1693,SKU_Master!$A$5:$A$34,0))</f>
        <v>Monitor</v>
      </c>
      <c r="S1693" s="54">
        <f t="shared" si="364"/>
        <v>1.8644444444444463E-2</v>
      </c>
      <c r="T1693" s="55">
        <f t="shared" si="365"/>
        <v>1467.391304347826</v>
      </c>
      <c r="U1693" s="55">
        <f t="shared" si="366"/>
        <v>1440.032608695652</v>
      </c>
      <c r="V1693" s="55">
        <f t="shared" si="367"/>
        <v>-27.358695652173992</v>
      </c>
      <c r="W1693" s="55">
        <f t="shared" si="368"/>
        <v>1419.8156682027648</v>
      </c>
      <c r="X1693" s="55">
        <f t="shared" si="369"/>
        <v>-20.216940492887261</v>
      </c>
      <c r="Y1693" s="55">
        <f t="shared" si="370"/>
        <v>1130.0999999999999</v>
      </c>
      <c r="Z1693" s="55">
        <f t="shared" si="371"/>
        <v>1130.0999999999999</v>
      </c>
      <c r="AA1693" s="55">
        <f t="shared" si="372"/>
        <v>0</v>
      </c>
      <c r="AB1693" s="55">
        <f t="shared" si="373"/>
        <v>289.71566820276485</v>
      </c>
      <c r="AC1693" s="54">
        <f t="shared" si="374"/>
        <v>0.20405160662122682</v>
      </c>
      <c r="AD1693" s="56">
        <f>INDEX(Assumptions!$B$14:$B$16,MATCH($R1693,Assumptions!$A$14:$A$16,0))</f>
        <v>0.18</v>
      </c>
      <c r="AE1693" s="56">
        <f>INDEX(Assumptions!$C$14:$C$16,MATCH($R1693,Assumptions!$A$14:$A$16,0))</f>
        <v>0.12</v>
      </c>
      <c r="AF1693" s="49">
        <f t="shared" si="375"/>
        <v>0</v>
      </c>
      <c r="AG1693" s="49">
        <f t="shared" si="376"/>
        <v>0</v>
      </c>
      <c r="AH1693" s="55">
        <f t="shared" si="377"/>
        <v>0</v>
      </c>
    </row>
    <row r="1694" spans="1:34" x14ac:dyDescent="0.2">
      <c r="A1694" s="48" t="s">
        <v>1377</v>
      </c>
      <c r="B1694" s="48">
        <v>3</v>
      </c>
      <c r="C1694" s="48" t="s">
        <v>1378</v>
      </c>
      <c r="D1694" s="48" t="s">
        <v>1355</v>
      </c>
      <c r="E1694" s="48" t="s">
        <v>293</v>
      </c>
      <c r="F1694" s="48" t="s">
        <v>274</v>
      </c>
      <c r="G1694" s="48" t="s">
        <v>275</v>
      </c>
      <c r="H1694" s="48" t="s">
        <v>66</v>
      </c>
      <c r="I1694" s="48" t="s">
        <v>161</v>
      </c>
      <c r="J1694" s="49">
        <v>3</v>
      </c>
      <c r="K1694" s="50">
        <v>120</v>
      </c>
      <c r="L1694" s="50">
        <v>117.83</v>
      </c>
      <c r="M1694" s="48" t="s">
        <v>276</v>
      </c>
      <c r="N1694" s="51">
        <v>0.92</v>
      </c>
      <c r="O1694" s="51">
        <v>0.93310000000000004</v>
      </c>
      <c r="P1694" s="52">
        <v>81</v>
      </c>
      <c r="Q1694" s="52">
        <v>81</v>
      </c>
      <c r="R1694" s="53" t="str">
        <f>INDEX(SKU_Master!$D$5:$D$34,MATCH($I1694,SKU_Master!$A$5:$A$34,0))</f>
        <v>Accessory</v>
      </c>
      <c r="S1694" s="54">
        <f t="shared" si="364"/>
        <v>1.808333333333334E-2</v>
      </c>
      <c r="T1694" s="55">
        <f t="shared" si="365"/>
        <v>391.30434782608694</v>
      </c>
      <c r="U1694" s="55">
        <f t="shared" si="366"/>
        <v>384.22826086956519</v>
      </c>
      <c r="V1694" s="55">
        <f t="shared" si="367"/>
        <v>-7.076086956521749</v>
      </c>
      <c r="W1694" s="55">
        <f t="shared" si="368"/>
        <v>378.83399421283895</v>
      </c>
      <c r="X1694" s="55">
        <f t="shared" si="369"/>
        <v>-5.3942666567262449</v>
      </c>
      <c r="Y1694" s="55">
        <f t="shared" si="370"/>
        <v>243</v>
      </c>
      <c r="Z1694" s="55">
        <f t="shared" si="371"/>
        <v>243</v>
      </c>
      <c r="AA1694" s="55">
        <f t="shared" si="372"/>
        <v>0</v>
      </c>
      <c r="AB1694" s="55">
        <f t="shared" si="373"/>
        <v>135.83399421283895</v>
      </c>
      <c r="AC1694" s="54">
        <f t="shared" si="374"/>
        <v>0.35855809216668083</v>
      </c>
      <c r="AD1694" s="56">
        <f>INDEX(Assumptions!$B$14:$B$16,MATCH($R1694,Assumptions!$A$14:$A$16,0))</f>
        <v>0.32</v>
      </c>
      <c r="AE1694" s="56">
        <f>INDEX(Assumptions!$C$14:$C$16,MATCH($R1694,Assumptions!$A$14:$A$16,0))</f>
        <v>0.22</v>
      </c>
      <c r="AF1694" s="49">
        <f t="shared" si="375"/>
        <v>0</v>
      </c>
      <c r="AG1694" s="49">
        <f t="shared" si="376"/>
        <v>0</v>
      </c>
      <c r="AH1694" s="55">
        <f t="shared" si="377"/>
        <v>0</v>
      </c>
    </row>
    <row r="1695" spans="1:34" x14ac:dyDescent="0.2">
      <c r="A1695" s="48" t="s">
        <v>1379</v>
      </c>
      <c r="B1695" s="48">
        <v>1</v>
      </c>
      <c r="C1695" s="48" t="s">
        <v>1380</v>
      </c>
      <c r="D1695" s="48" t="s">
        <v>1355</v>
      </c>
      <c r="E1695" s="48" t="s">
        <v>336</v>
      </c>
      <c r="F1695" s="48" t="s">
        <v>274</v>
      </c>
      <c r="G1695" s="48" t="s">
        <v>288</v>
      </c>
      <c r="H1695" s="48" t="s">
        <v>62</v>
      </c>
      <c r="I1695" s="48" t="s">
        <v>115</v>
      </c>
      <c r="J1695" s="49">
        <v>2</v>
      </c>
      <c r="K1695" s="50">
        <v>850</v>
      </c>
      <c r="L1695" s="50">
        <v>838.48</v>
      </c>
      <c r="M1695" s="48" t="s">
        <v>276</v>
      </c>
      <c r="N1695" s="51">
        <v>1</v>
      </c>
      <c r="O1695" s="51">
        <v>1</v>
      </c>
      <c r="P1695" s="52">
        <v>723.6</v>
      </c>
      <c r="Q1695" s="52">
        <v>723.6</v>
      </c>
      <c r="R1695" s="53" t="str">
        <f>INDEX(SKU_Master!$D$5:$D$34,MATCH($I1695,SKU_Master!$A$5:$A$34,0))</f>
        <v>Laptop</v>
      </c>
      <c r="S1695" s="54">
        <f t="shared" si="364"/>
        <v>1.3552941176470545E-2</v>
      </c>
      <c r="T1695" s="55">
        <f t="shared" si="365"/>
        <v>1700</v>
      </c>
      <c r="U1695" s="55">
        <f t="shared" si="366"/>
        <v>1676.96</v>
      </c>
      <c r="V1695" s="55">
        <f t="shared" si="367"/>
        <v>-23.039999999999964</v>
      </c>
      <c r="W1695" s="55">
        <f t="shared" si="368"/>
        <v>1676.96</v>
      </c>
      <c r="X1695" s="55">
        <f t="shared" si="369"/>
        <v>0</v>
      </c>
      <c r="Y1695" s="55">
        <f t="shared" si="370"/>
        <v>1447.2</v>
      </c>
      <c r="Z1695" s="55">
        <f t="shared" si="371"/>
        <v>1447.2</v>
      </c>
      <c r="AA1695" s="55">
        <f t="shared" si="372"/>
        <v>0</v>
      </c>
      <c r="AB1695" s="55">
        <f t="shared" si="373"/>
        <v>229.76</v>
      </c>
      <c r="AC1695" s="54">
        <f t="shared" si="374"/>
        <v>0.1370098273065547</v>
      </c>
      <c r="AD1695" s="56">
        <f>INDEX(Assumptions!$B$14:$B$16,MATCH($R1695,Assumptions!$A$14:$A$16,0))</f>
        <v>0.12</v>
      </c>
      <c r="AE1695" s="56">
        <f>INDEX(Assumptions!$C$14:$C$16,MATCH($R1695,Assumptions!$A$14:$A$16,0))</f>
        <v>0.08</v>
      </c>
      <c r="AF1695" s="49">
        <f t="shared" si="375"/>
        <v>0</v>
      </c>
      <c r="AG1695" s="49">
        <f t="shared" si="376"/>
        <v>0</v>
      </c>
      <c r="AH1695" s="55">
        <f t="shared" si="377"/>
        <v>0</v>
      </c>
    </row>
    <row r="1696" spans="1:34" x14ac:dyDescent="0.2">
      <c r="A1696" s="48" t="s">
        <v>1381</v>
      </c>
      <c r="B1696" s="48">
        <v>1</v>
      </c>
      <c r="C1696" s="48" t="s">
        <v>1382</v>
      </c>
      <c r="D1696" s="48" t="s">
        <v>1355</v>
      </c>
      <c r="E1696" s="48" t="s">
        <v>368</v>
      </c>
      <c r="F1696" s="48" t="s">
        <v>274</v>
      </c>
      <c r="G1696" s="48" t="s">
        <v>288</v>
      </c>
      <c r="H1696" s="48" t="s">
        <v>68</v>
      </c>
      <c r="I1696" s="48" t="s">
        <v>121</v>
      </c>
      <c r="J1696" s="49">
        <v>4</v>
      </c>
      <c r="K1696" s="50">
        <v>1300</v>
      </c>
      <c r="L1696" s="50">
        <v>1296.31</v>
      </c>
      <c r="M1696" s="48" t="s">
        <v>276</v>
      </c>
      <c r="N1696" s="51">
        <v>1.37</v>
      </c>
      <c r="O1696" s="51">
        <v>1.3718999999999999</v>
      </c>
      <c r="P1696" s="52">
        <v>794.4</v>
      </c>
      <c r="Q1696" s="52">
        <v>794.4</v>
      </c>
      <c r="R1696" s="53" t="str">
        <f>INDEX(SKU_Master!$D$5:$D$34,MATCH($I1696,SKU_Master!$A$5:$A$34,0))</f>
        <v>Laptop</v>
      </c>
      <c r="S1696" s="54">
        <f t="shared" si="364"/>
        <v>2.8384615384615675E-3</v>
      </c>
      <c r="T1696" s="55">
        <f t="shared" si="365"/>
        <v>3795.6204379562041</v>
      </c>
      <c r="U1696" s="55">
        <f t="shared" si="366"/>
        <v>3784.8467153284669</v>
      </c>
      <c r="V1696" s="55">
        <f t="shared" si="367"/>
        <v>-10.773722627737243</v>
      </c>
      <c r="W1696" s="55">
        <f t="shared" si="368"/>
        <v>3779.604927472848</v>
      </c>
      <c r="X1696" s="55">
        <f t="shared" si="369"/>
        <v>-5.2417878556188953</v>
      </c>
      <c r="Y1696" s="55">
        <f t="shared" si="370"/>
        <v>3177.6</v>
      </c>
      <c r="Z1696" s="55">
        <f t="shared" si="371"/>
        <v>3177.6</v>
      </c>
      <c r="AA1696" s="55">
        <f t="shared" si="372"/>
        <v>0</v>
      </c>
      <c r="AB1696" s="55">
        <f t="shared" si="373"/>
        <v>602.00492747284807</v>
      </c>
      <c r="AC1696" s="54">
        <f t="shared" si="374"/>
        <v>0.15927720992663796</v>
      </c>
      <c r="AD1696" s="56">
        <f>INDEX(Assumptions!$B$14:$B$16,MATCH($R1696,Assumptions!$A$14:$A$16,0))</f>
        <v>0.12</v>
      </c>
      <c r="AE1696" s="56">
        <f>INDEX(Assumptions!$C$14:$C$16,MATCH($R1696,Assumptions!$A$14:$A$16,0))</f>
        <v>0.08</v>
      </c>
      <c r="AF1696" s="49">
        <f t="shared" si="375"/>
        <v>0</v>
      </c>
      <c r="AG1696" s="49">
        <f t="shared" si="376"/>
        <v>0</v>
      </c>
      <c r="AH1696" s="55">
        <f t="shared" si="377"/>
        <v>0</v>
      </c>
    </row>
    <row r="1697" spans="1:34" x14ac:dyDescent="0.2">
      <c r="A1697" s="48" t="s">
        <v>1381</v>
      </c>
      <c r="B1697" s="48">
        <v>2</v>
      </c>
      <c r="C1697" s="48" t="s">
        <v>1382</v>
      </c>
      <c r="D1697" s="48" t="s">
        <v>1355</v>
      </c>
      <c r="E1697" s="48" t="s">
        <v>368</v>
      </c>
      <c r="F1697" s="48" t="s">
        <v>274</v>
      </c>
      <c r="G1697" s="48" t="s">
        <v>288</v>
      </c>
      <c r="H1697" s="48" t="s">
        <v>68</v>
      </c>
      <c r="I1697" s="48" t="s">
        <v>135</v>
      </c>
      <c r="J1697" s="49">
        <v>3</v>
      </c>
      <c r="K1697" s="50">
        <v>360</v>
      </c>
      <c r="L1697" s="50">
        <v>354.89</v>
      </c>
      <c r="M1697" s="48" t="s">
        <v>276</v>
      </c>
      <c r="N1697" s="51">
        <v>1.37</v>
      </c>
      <c r="O1697" s="51">
        <v>1.3718999999999999</v>
      </c>
      <c r="P1697" s="52">
        <v>201.7</v>
      </c>
      <c r="Q1697" s="52">
        <v>201.7</v>
      </c>
      <c r="R1697" s="53" t="str">
        <f>INDEX(SKU_Master!$D$5:$D$34,MATCH($I1697,SKU_Master!$A$5:$A$34,0))</f>
        <v>Monitor</v>
      </c>
      <c r="S1697" s="54">
        <f t="shared" si="364"/>
        <v>1.4194444444444509E-2</v>
      </c>
      <c r="T1697" s="55">
        <f t="shared" si="365"/>
        <v>788.32116788321161</v>
      </c>
      <c r="U1697" s="55">
        <f t="shared" si="366"/>
        <v>777.1313868613139</v>
      </c>
      <c r="V1697" s="55">
        <f t="shared" si="367"/>
        <v>-11.189781021897716</v>
      </c>
      <c r="W1697" s="55">
        <f t="shared" si="368"/>
        <v>776.05510605729296</v>
      </c>
      <c r="X1697" s="55">
        <f t="shared" si="369"/>
        <v>-1.0762808040209393</v>
      </c>
      <c r="Y1697" s="55">
        <f t="shared" si="370"/>
        <v>605.09999999999991</v>
      </c>
      <c r="Z1697" s="55">
        <f t="shared" si="371"/>
        <v>605.09999999999991</v>
      </c>
      <c r="AA1697" s="55">
        <f t="shared" si="372"/>
        <v>0</v>
      </c>
      <c r="AB1697" s="55">
        <f t="shared" si="373"/>
        <v>170.95510605729305</v>
      </c>
      <c r="AC1697" s="54">
        <f t="shared" si="374"/>
        <v>0.22028732846797627</v>
      </c>
      <c r="AD1697" s="56">
        <f>INDEX(Assumptions!$B$14:$B$16,MATCH($R1697,Assumptions!$A$14:$A$16,0))</f>
        <v>0.18</v>
      </c>
      <c r="AE1697" s="56">
        <f>INDEX(Assumptions!$C$14:$C$16,MATCH($R1697,Assumptions!$A$14:$A$16,0))</f>
        <v>0.12</v>
      </c>
      <c r="AF1697" s="49">
        <f t="shared" si="375"/>
        <v>0</v>
      </c>
      <c r="AG1697" s="49">
        <f t="shared" si="376"/>
        <v>0</v>
      </c>
      <c r="AH1697" s="55">
        <f t="shared" si="377"/>
        <v>0</v>
      </c>
    </row>
    <row r="1698" spans="1:34" x14ac:dyDescent="0.2">
      <c r="A1698" s="48" t="s">
        <v>1381</v>
      </c>
      <c r="B1698" s="48">
        <v>3</v>
      </c>
      <c r="C1698" s="48" t="s">
        <v>1382</v>
      </c>
      <c r="D1698" s="48" t="s">
        <v>1355</v>
      </c>
      <c r="E1698" s="48" t="s">
        <v>368</v>
      </c>
      <c r="F1698" s="48" t="s">
        <v>274</v>
      </c>
      <c r="G1698" s="48" t="s">
        <v>288</v>
      </c>
      <c r="H1698" s="48" t="s">
        <v>68</v>
      </c>
      <c r="I1698" s="48" t="s">
        <v>151</v>
      </c>
      <c r="J1698" s="49">
        <v>4</v>
      </c>
      <c r="K1698" s="50">
        <v>475</v>
      </c>
      <c r="L1698" s="50">
        <v>470.15</v>
      </c>
      <c r="M1698" s="48" t="s">
        <v>276</v>
      </c>
      <c r="N1698" s="51">
        <v>1.37</v>
      </c>
      <c r="O1698" s="51">
        <v>1.3718999999999999</v>
      </c>
      <c r="P1698" s="52">
        <v>219.7</v>
      </c>
      <c r="Q1698" s="52">
        <v>219.7</v>
      </c>
      <c r="R1698" s="53" t="str">
        <f>INDEX(SKU_Master!$D$5:$D$34,MATCH($I1698,SKU_Master!$A$5:$A$34,0))</f>
        <v>Accessory</v>
      </c>
      <c r="S1698" s="54">
        <f t="shared" si="364"/>
        <v>1.0210526315789559E-2</v>
      </c>
      <c r="T1698" s="55">
        <f t="shared" si="365"/>
        <v>1386.861313868613</v>
      </c>
      <c r="U1698" s="55">
        <f t="shared" si="366"/>
        <v>1372.7007299270072</v>
      </c>
      <c r="V1698" s="55">
        <f t="shared" si="367"/>
        <v>-14.160583941605864</v>
      </c>
      <c r="W1698" s="55">
        <f t="shared" si="368"/>
        <v>1370.7996209636271</v>
      </c>
      <c r="X1698" s="55">
        <f t="shared" si="369"/>
        <v>-1.9011089633800111</v>
      </c>
      <c r="Y1698" s="55">
        <f t="shared" si="370"/>
        <v>878.8</v>
      </c>
      <c r="Z1698" s="55">
        <f t="shared" si="371"/>
        <v>878.8</v>
      </c>
      <c r="AA1698" s="55">
        <f t="shared" si="372"/>
        <v>0</v>
      </c>
      <c r="AB1698" s="55">
        <f t="shared" si="373"/>
        <v>491.99962096362719</v>
      </c>
      <c r="AC1698" s="54">
        <f t="shared" si="374"/>
        <v>0.35891432521535688</v>
      </c>
      <c r="AD1698" s="56">
        <f>INDEX(Assumptions!$B$14:$B$16,MATCH($R1698,Assumptions!$A$14:$A$16,0))</f>
        <v>0.32</v>
      </c>
      <c r="AE1698" s="56">
        <f>INDEX(Assumptions!$C$14:$C$16,MATCH($R1698,Assumptions!$A$14:$A$16,0))</f>
        <v>0.22</v>
      </c>
      <c r="AF1698" s="49">
        <f t="shared" si="375"/>
        <v>0</v>
      </c>
      <c r="AG1698" s="49">
        <f t="shared" si="376"/>
        <v>0</v>
      </c>
      <c r="AH1698" s="55">
        <f t="shared" si="377"/>
        <v>0</v>
      </c>
    </row>
    <row r="1699" spans="1:34" x14ac:dyDescent="0.2">
      <c r="A1699" s="48" t="s">
        <v>1383</v>
      </c>
      <c r="B1699" s="48">
        <v>1</v>
      </c>
      <c r="C1699" s="48" t="s">
        <v>1384</v>
      </c>
      <c r="D1699" s="48" t="s">
        <v>1355</v>
      </c>
      <c r="E1699" s="48" t="s">
        <v>314</v>
      </c>
      <c r="F1699" s="48" t="s">
        <v>274</v>
      </c>
      <c r="G1699" s="48" t="s">
        <v>298</v>
      </c>
      <c r="H1699" s="48" t="s">
        <v>68</v>
      </c>
      <c r="I1699" s="48" t="s">
        <v>93</v>
      </c>
      <c r="J1699" s="49">
        <v>5</v>
      </c>
      <c r="K1699" s="50">
        <v>1960</v>
      </c>
      <c r="L1699" s="50">
        <v>1939.42</v>
      </c>
      <c r="M1699" s="48" t="s">
        <v>276</v>
      </c>
      <c r="N1699" s="51">
        <v>1.37</v>
      </c>
      <c r="O1699" s="51">
        <v>1.3718999999999999</v>
      </c>
      <c r="P1699" s="52">
        <v>1198.2</v>
      </c>
      <c r="Q1699" s="52">
        <v>1198.2</v>
      </c>
      <c r="R1699" s="53" t="str">
        <f>INDEX(SKU_Master!$D$5:$D$34,MATCH($I1699,SKU_Master!$A$5:$A$34,0))</f>
        <v>Laptop</v>
      </c>
      <c r="S1699" s="54">
        <f t="shared" si="364"/>
        <v>1.0499999999999954E-2</v>
      </c>
      <c r="T1699" s="55">
        <f t="shared" si="365"/>
        <v>7153.284671532846</v>
      </c>
      <c r="U1699" s="55">
        <f t="shared" si="366"/>
        <v>7078.1751824817511</v>
      </c>
      <c r="V1699" s="55">
        <f t="shared" si="367"/>
        <v>-75.109489051094897</v>
      </c>
      <c r="W1699" s="55">
        <f t="shared" si="368"/>
        <v>7068.3723303447778</v>
      </c>
      <c r="X1699" s="55">
        <f t="shared" si="369"/>
        <v>-9.8028521369733426</v>
      </c>
      <c r="Y1699" s="55">
        <f t="shared" si="370"/>
        <v>5991</v>
      </c>
      <c r="Z1699" s="55">
        <f t="shared" si="371"/>
        <v>5991</v>
      </c>
      <c r="AA1699" s="55">
        <f t="shared" si="372"/>
        <v>0</v>
      </c>
      <c r="AB1699" s="55">
        <f t="shared" si="373"/>
        <v>1077.3723303447778</v>
      </c>
      <c r="AC1699" s="54">
        <f t="shared" si="374"/>
        <v>0.15242155902280069</v>
      </c>
      <c r="AD1699" s="56">
        <f>INDEX(Assumptions!$B$14:$B$16,MATCH($R1699,Assumptions!$A$14:$A$16,0))</f>
        <v>0.12</v>
      </c>
      <c r="AE1699" s="56">
        <f>INDEX(Assumptions!$C$14:$C$16,MATCH($R1699,Assumptions!$A$14:$A$16,0))</f>
        <v>0.08</v>
      </c>
      <c r="AF1699" s="49">
        <f t="shared" si="375"/>
        <v>0</v>
      </c>
      <c r="AG1699" s="49">
        <f t="shared" si="376"/>
        <v>0</v>
      </c>
      <c r="AH1699" s="55">
        <f t="shared" si="377"/>
        <v>0</v>
      </c>
    </row>
    <row r="1700" spans="1:34" x14ac:dyDescent="0.2">
      <c r="A1700" s="48" t="s">
        <v>1383</v>
      </c>
      <c r="B1700" s="48">
        <v>2</v>
      </c>
      <c r="C1700" s="48" t="s">
        <v>1384</v>
      </c>
      <c r="D1700" s="48" t="s">
        <v>1355</v>
      </c>
      <c r="E1700" s="48" t="s">
        <v>314</v>
      </c>
      <c r="F1700" s="48" t="s">
        <v>274</v>
      </c>
      <c r="G1700" s="48" t="s">
        <v>298</v>
      </c>
      <c r="H1700" s="48" t="s">
        <v>68</v>
      </c>
      <c r="I1700" s="48" t="s">
        <v>135</v>
      </c>
      <c r="J1700" s="49">
        <v>5</v>
      </c>
      <c r="K1700" s="50">
        <v>360</v>
      </c>
      <c r="L1700" s="50">
        <v>353.52</v>
      </c>
      <c r="M1700" s="48" t="s">
        <v>276</v>
      </c>
      <c r="N1700" s="51">
        <v>1.37</v>
      </c>
      <c r="O1700" s="51">
        <v>1.3718999999999999</v>
      </c>
      <c r="P1700" s="52">
        <v>201.7</v>
      </c>
      <c r="Q1700" s="52">
        <v>201.7</v>
      </c>
      <c r="R1700" s="53" t="str">
        <f>INDEX(SKU_Master!$D$5:$D$34,MATCH($I1700,SKU_Master!$A$5:$A$34,0))</f>
        <v>Monitor</v>
      </c>
      <c r="S1700" s="54">
        <f t="shared" si="364"/>
        <v>1.8000000000000016E-2</v>
      </c>
      <c r="T1700" s="55">
        <f t="shared" si="365"/>
        <v>1313.868613138686</v>
      </c>
      <c r="U1700" s="55">
        <f t="shared" si="366"/>
        <v>1290.2189781021896</v>
      </c>
      <c r="V1700" s="55">
        <f t="shared" si="367"/>
        <v>-23.64963503649642</v>
      </c>
      <c r="W1700" s="55">
        <f t="shared" si="368"/>
        <v>1288.4321014651214</v>
      </c>
      <c r="X1700" s="55">
        <f t="shared" si="369"/>
        <v>-1.7868766370681897</v>
      </c>
      <c r="Y1700" s="55">
        <f t="shared" si="370"/>
        <v>1008.5</v>
      </c>
      <c r="Z1700" s="55">
        <f t="shared" si="371"/>
        <v>1008.5</v>
      </c>
      <c r="AA1700" s="55">
        <f t="shared" si="372"/>
        <v>0</v>
      </c>
      <c r="AB1700" s="55">
        <f t="shared" si="373"/>
        <v>279.93210146512138</v>
      </c>
      <c r="AC1700" s="54">
        <f t="shared" si="374"/>
        <v>0.21726569925322473</v>
      </c>
      <c r="AD1700" s="56">
        <f>INDEX(Assumptions!$B$14:$B$16,MATCH($R1700,Assumptions!$A$14:$A$16,0))</f>
        <v>0.18</v>
      </c>
      <c r="AE1700" s="56">
        <f>INDEX(Assumptions!$C$14:$C$16,MATCH($R1700,Assumptions!$A$14:$A$16,0))</f>
        <v>0.12</v>
      </c>
      <c r="AF1700" s="49">
        <f t="shared" si="375"/>
        <v>0</v>
      </c>
      <c r="AG1700" s="49">
        <f t="shared" si="376"/>
        <v>0</v>
      </c>
      <c r="AH1700" s="55">
        <f t="shared" si="377"/>
        <v>0</v>
      </c>
    </row>
    <row r="1701" spans="1:34" x14ac:dyDescent="0.2">
      <c r="A1701" s="48" t="s">
        <v>1383</v>
      </c>
      <c r="B1701" s="48">
        <v>3</v>
      </c>
      <c r="C1701" s="48" t="s">
        <v>1384</v>
      </c>
      <c r="D1701" s="48" t="s">
        <v>1355</v>
      </c>
      <c r="E1701" s="48" t="s">
        <v>314</v>
      </c>
      <c r="F1701" s="48" t="s">
        <v>274</v>
      </c>
      <c r="G1701" s="48" t="s">
        <v>298</v>
      </c>
      <c r="H1701" s="48" t="s">
        <v>68</v>
      </c>
      <c r="I1701" s="48" t="s">
        <v>173</v>
      </c>
      <c r="J1701" s="49">
        <v>5</v>
      </c>
      <c r="K1701" s="50">
        <v>80</v>
      </c>
      <c r="L1701" s="50">
        <v>78.56</v>
      </c>
      <c r="M1701" s="48" t="s">
        <v>276</v>
      </c>
      <c r="N1701" s="51">
        <v>1.37</v>
      </c>
      <c r="O1701" s="51">
        <v>1.3718999999999999</v>
      </c>
      <c r="P1701" s="52">
        <v>37</v>
      </c>
      <c r="Q1701" s="52">
        <v>37</v>
      </c>
      <c r="R1701" s="53" t="str">
        <f>INDEX(SKU_Master!$D$5:$D$34,MATCH($I1701,SKU_Master!$A$5:$A$34,0))</f>
        <v>Accessory</v>
      </c>
      <c r="S1701" s="54">
        <f t="shared" si="364"/>
        <v>1.8000000000000016E-2</v>
      </c>
      <c r="T1701" s="55">
        <f t="shared" si="365"/>
        <v>291.97080291970798</v>
      </c>
      <c r="U1701" s="55">
        <f t="shared" si="366"/>
        <v>286.71532846715326</v>
      </c>
      <c r="V1701" s="55">
        <f t="shared" si="367"/>
        <v>-5.2554744525547221</v>
      </c>
      <c r="W1701" s="55">
        <f t="shared" si="368"/>
        <v>286.31824477002698</v>
      </c>
      <c r="X1701" s="55">
        <f t="shared" si="369"/>
        <v>-0.397083697126277</v>
      </c>
      <c r="Y1701" s="55">
        <f t="shared" si="370"/>
        <v>185</v>
      </c>
      <c r="Z1701" s="55">
        <f t="shared" si="371"/>
        <v>185</v>
      </c>
      <c r="AA1701" s="55">
        <f t="shared" si="372"/>
        <v>0</v>
      </c>
      <c r="AB1701" s="55">
        <f t="shared" si="373"/>
        <v>101.31824477002698</v>
      </c>
      <c r="AC1701" s="54">
        <f t="shared" si="374"/>
        <v>0.35386583503054991</v>
      </c>
      <c r="AD1701" s="56">
        <f>INDEX(Assumptions!$B$14:$B$16,MATCH($R1701,Assumptions!$A$14:$A$16,0))</f>
        <v>0.32</v>
      </c>
      <c r="AE1701" s="56">
        <f>INDEX(Assumptions!$C$14:$C$16,MATCH($R1701,Assumptions!$A$14:$A$16,0))</f>
        <v>0.22</v>
      </c>
      <c r="AF1701" s="49">
        <f t="shared" si="375"/>
        <v>0</v>
      </c>
      <c r="AG1701" s="49">
        <f t="shared" si="376"/>
        <v>0</v>
      </c>
      <c r="AH1701" s="55">
        <f t="shared" si="377"/>
        <v>0</v>
      </c>
    </row>
    <row r="1702" spans="1:34" x14ac:dyDescent="0.2">
      <c r="A1702" s="48" t="s">
        <v>1385</v>
      </c>
      <c r="B1702" s="48">
        <v>1</v>
      </c>
      <c r="C1702" s="48" t="s">
        <v>1386</v>
      </c>
      <c r="D1702" s="48" t="s">
        <v>1355</v>
      </c>
      <c r="E1702" s="48" t="s">
        <v>343</v>
      </c>
      <c r="F1702" s="48" t="s">
        <v>280</v>
      </c>
      <c r="G1702" s="48" t="s">
        <v>281</v>
      </c>
      <c r="H1702" s="48" t="s">
        <v>62</v>
      </c>
      <c r="I1702" s="48" t="s">
        <v>118</v>
      </c>
      <c r="J1702" s="49">
        <v>16</v>
      </c>
      <c r="K1702" s="50">
        <v>1365</v>
      </c>
      <c r="L1702" s="50">
        <v>1304.8699999999999</v>
      </c>
      <c r="M1702" s="48" t="s">
        <v>276</v>
      </c>
      <c r="N1702" s="51">
        <v>1</v>
      </c>
      <c r="O1702" s="51">
        <v>1</v>
      </c>
      <c r="P1702" s="52">
        <v>1162.5999999999999</v>
      </c>
      <c r="Q1702" s="52">
        <v>1231.28</v>
      </c>
      <c r="R1702" s="53" t="str">
        <f>INDEX(SKU_Master!$D$5:$D$34,MATCH($I1702,SKU_Master!$A$5:$A$34,0))</f>
        <v>Laptop</v>
      </c>
      <c r="S1702" s="54">
        <f t="shared" si="364"/>
        <v>4.405128205128217E-2</v>
      </c>
      <c r="T1702" s="55">
        <f t="shared" si="365"/>
        <v>21840</v>
      </c>
      <c r="U1702" s="55">
        <f t="shared" si="366"/>
        <v>20877.919999999998</v>
      </c>
      <c r="V1702" s="55">
        <f t="shared" si="367"/>
        <v>-962.08000000000175</v>
      </c>
      <c r="W1702" s="55">
        <f t="shared" si="368"/>
        <v>20877.919999999998</v>
      </c>
      <c r="X1702" s="55">
        <f t="shared" si="369"/>
        <v>0</v>
      </c>
      <c r="Y1702" s="55">
        <f t="shared" si="370"/>
        <v>18601.599999999999</v>
      </c>
      <c r="Z1702" s="55">
        <f t="shared" si="371"/>
        <v>19700.48</v>
      </c>
      <c r="AA1702" s="55">
        <f t="shared" si="372"/>
        <v>-1098.880000000001</v>
      </c>
      <c r="AB1702" s="55">
        <f t="shared" si="373"/>
        <v>1177.4399999999987</v>
      </c>
      <c r="AC1702" s="54">
        <f t="shared" si="374"/>
        <v>5.6396422632139544E-2</v>
      </c>
      <c r="AD1702" s="56">
        <f>INDEX(Assumptions!$B$14:$B$16,MATCH($R1702,Assumptions!$A$14:$A$16,0))</f>
        <v>0.12</v>
      </c>
      <c r="AE1702" s="56">
        <f>INDEX(Assumptions!$C$14:$C$16,MATCH($R1702,Assumptions!$A$14:$A$16,0))</f>
        <v>0.08</v>
      </c>
      <c r="AF1702" s="49">
        <f t="shared" si="375"/>
        <v>1</v>
      </c>
      <c r="AG1702" s="49">
        <f t="shared" si="376"/>
        <v>1</v>
      </c>
      <c r="AH1702" s="55">
        <f t="shared" si="377"/>
        <v>1327.9104000000011</v>
      </c>
    </row>
    <row r="1703" spans="1:34" x14ac:dyDescent="0.2">
      <c r="A1703" s="48" t="s">
        <v>1385</v>
      </c>
      <c r="B1703" s="48">
        <v>2</v>
      </c>
      <c r="C1703" s="48" t="s">
        <v>1386</v>
      </c>
      <c r="D1703" s="48" t="s">
        <v>1355</v>
      </c>
      <c r="E1703" s="48" t="s">
        <v>343</v>
      </c>
      <c r="F1703" s="48" t="s">
        <v>280</v>
      </c>
      <c r="G1703" s="48" t="s">
        <v>281</v>
      </c>
      <c r="H1703" s="48" t="s">
        <v>62</v>
      </c>
      <c r="I1703" s="48" t="s">
        <v>144</v>
      </c>
      <c r="J1703" s="49">
        <v>8</v>
      </c>
      <c r="K1703" s="50">
        <v>370</v>
      </c>
      <c r="L1703" s="50">
        <v>354.06</v>
      </c>
      <c r="M1703" s="48" t="s">
        <v>276</v>
      </c>
      <c r="N1703" s="51">
        <v>1</v>
      </c>
      <c r="O1703" s="51">
        <v>1</v>
      </c>
      <c r="P1703" s="52">
        <v>289.60000000000002</v>
      </c>
      <c r="Q1703" s="52">
        <v>289.60000000000002</v>
      </c>
      <c r="R1703" s="53" t="str">
        <f>INDEX(SKU_Master!$D$5:$D$34,MATCH($I1703,SKU_Master!$A$5:$A$34,0))</f>
        <v>Monitor</v>
      </c>
      <c r="S1703" s="54">
        <f t="shared" si="364"/>
        <v>4.3081081081081107E-2</v>
      </c>
      <c r="T1703" s="55">
        <f t="shared" si="365"/>
        <v>2960</v>
      </c>
      <c r="U1703" s="55">
        <f t="shared" si="366"/>
        <v>2832.48</v>
      </c>
      <c r="V1703" s="55">
        <f t="shared" si="367"/>
        <v>-127.51999999999998</v>
      </c>
      <c r="W1703" s="55">
        <f t="shared" si="368"/>
        <v>2832.48</v>
      </c>
      <c r="X1703" s="55">
        <f t="shared" si="369"/>
        <v>0</v>
      </c>
      <c r="Y1703" s="55">
        <f t="shared" si="370"/>
        <v>2316.8000000000002</v>
      </c>
      <c r="Z1703" s="55">
        <f t="shared" si="371"/>
        <v>2316.8000000000002</v>
      </c>
      <c r="AA1703" s="55">
        <f t="shared" si="372"/>
        <v>0</v>
      </c>
      <c r="AB1703" s="55">
        <f t="shared" si="373"/>
        <v>515.67999999999984</v>
      </c>
      <c r="AC1703" s="54">
        <f t="shared" si="374"/>
        <v>0.18205953793142399</v>
      </c>
      <c r="AD1703" s="56">
        <f>INDEX(Assumptions!$B$14:$B$16,MATCH($R1703,Assumptions!$A$14:$A$16,0))</f>
        <v>0.18</v>
      </c>
      <c r="AE1703" s="56">
        <f>INDEX(Assumptions!$C$14:$C$16,MATCH($R1703,Assumptions!$A$14:$A$16,0))</f>
        <v>0.12</v>
      </c>
      <c r="AF1703" s="49">
        <f t="shared" si="375"/>
        <v>0</v>
      </c>
      <c r="AG1703" s="49">
        <f t="shared" si="376"/>
        <v>0</v>
      </c>
      <c r="AH1703" s="55">
        <f t="shared" si="377"/>
        <v>0</v>
      </c>
    </row>
    <row r="1704" spans="1:34" x14ac:dyDescent="0.2">
      <c r="A1704" s="48" t="s">
        <v>1387</v>
      </c>
      <c r="B1704" s="48">
        <v>1</v>
      </c>
      <c r="C1704" s="48" t="s">
        <v>1388</v>
      </c>
      <c r="D1704" s="48" t="s">
        <v>1355</v>
      </c>
      <c r="E1704" s="48" t="s">
        <v>287</v>
      </c>
      <c r="F1704" s="48" t="s">
        <v>274</v>
      </c>
      <c r="G1704" s="48" t="s">
        <v>288</v>
      </c>
      <c r="H1704" s="48" t="s">
        <v>62</v>
      </c>
      <c r="I1704" s="48" t="s">
        <v>121</v>
      </c>
      <c r="J1704" s="49">
        <v>3</v>
      </c>
      <c r="K1704" s="50">
        <v>920</v>
      </c>
      <c r="L1704" s="50">
        <v>918.27</v>
      </c>
      <c r="M1704" s="48" t="s">
        <v>276</v>
      </c>
      <c r="N1704" s="51">
        <v>1</v>
      </c>
      <c r="O1704" s="51">
        <v>1</v>
      </c>
      <c r="P1704" s="52">
        <v>782.4</v>
      </c>
      <c r="Q1704" s="52">
        <v>782.4</v>
      </c>
      <c r="R1704" s="53" t="str">
        <f>INDEX(SKU_Master!$D$5:$D$34,MATCH($I1704,SKU_Master!$A$5:$A$34,0))</f>
        <v>Laptop</v>
      </c>
      <c r="S1704" s="54">
        <f t="shared" si="364"/>
        <v>1.8804347826086865E-3</v>
      </c>
      <c r="T1704" s="55">
        <f t="shared" si="365"/>
        <v>2760</v>
      </c>
      <c r="U1704" s="55">
        <f t="shared" si="366"/>
        <v>2754.81</v>
      </c>
      <c r="V1704" s="55">
        <f t="shared" si="367"/>
        <v>-5.1900000000000546</v>
      </c>
      <c r="W1704" s="55">
        <f t="shared" si="368"/>
        <v>2754.81</v>
      </c>
      <c r="X1704" s="55">
        <f t="shared" si="369"/>
        <v>0</v>
      </c>
      <c r="Y1704" s="55">
        <f t="shared" si="370"/>
        <v>2347.1999999999998</v>
      </c>
      <c r="Z1704" s="55">
        <f t="shared" si="371"/>
        <v>2347.1999999999998</v>
      </c>
      <c r="AA1704" s="55">
        <f t="shared" si="372"/>
        <v>0</v>
      </c>
      <c r="AB1704" s="55">
        <f t="shared" si="373"/>
        <v>407.61000000000013</v>
      </c>
      <c r="AC1704" s="54">
        <f t="shared" si="374"/>
        <v>0.14796301741317919</v>
      </c>
      <c r="AD1704" s="56">
        <f>INDEX(Assumptions!$B$14:$B$16,MATCH($R1704,Assumptions!$A$14:$A$16,0))</f>
        <v>0.12</v>
      </c>
      <c r="AE1704" s="56">
        <f>INDEX(Assumptions!$C$14:$C$16,MATCH($R1704,Assumptions!$A$14:$A$16,0))</f>
        <v>0.08</v>
      </c>
      <c r="AF1704" s="49">
        <f t="shared" si="375"/>
        <v>0</v>
      </c>
      <c r="AG1704" s="49">
        <f t="shared" si="376"/>
        <v>0</v>
      </c>
      <c r="AH1704" s="55">
        <f t="shared" si="377"/>
        <v>0</v>
      </c>
    </row>
    <row r="1705" spans="1:34" x14ac:dyDescent="0.2">
      <c r="A1705" s="48" t="s">
        <v>1389</v>
      </c>
      <c r="B1705" s="48">
        <v>1</v>
      </c>
      <c r="C1705" s="48" t="s">
        <v>1390</v>
      </c>
      <c r="D1705" s="48" t="s">
        <v>1355</v>
      </c>
      <c r="E1705" s="48" t="s">
        <v>397</v>
      </c>
      <c r="F1705" s="48" t="s">
        <v>280</v>
      </c>
      <c r="G1705" s="48" t="s">
        <v>306</v>
      </c>
      <c r="H1705" s="48" t="s">
        <v>70</v>
      </c>
      <c r="I1705" s="48" t="s">
        <v>93</v>
      </c>
      <c r="J1705" s="49">
        <v>26</v>
      </c>
      <c r="K1705" s="50">
        <v>134750</v>
      </c>
      <c r="L1705" s="50">
        <v>131142.78</v>
      </c>
      <c r="M1705" s="48" t="s">
        <v>276</v>
      </c>
      <c r="N1705" s="51">
        <v>83.5</v>
      </c>
      <c r="O1705" s="51">
        <v>84.872</v>
      </c>
      <c r="P1705" s="52">
        <v>1351.7</v>
      </c>
      <c r="Q1705" s="52">
        <v>1371.7</v>
      </c>
      <c r="R1705" s="53" t="str">
        <f>INDEX(SKU_Master!$D$5:$D$34,MATCH($I1705,SKU_Master!$A$5:$A$34,0))</f>
        <v>Laptop</v>
      </c>
      <c r="S1705" s="54">
        <f t="shared" si="364"/>
        <v>2.6769721706864535E-2</v>
      </c>
      <c r="T1705" s="55">
        <f t="shared" si="365"/>
        <v>41958.083832335331</v>
      </c>
      <c r="U1705" s="55">
        <f t="shared" si="366"/>
        <v>40834.877604790418</v>
      </c>
      <c r="V1705" s="55">
        <f t="shared" si="367"/>
        <v>-1123.2062275449134</v>
      </c>
      <c r="W1705" s="55">
        <f t="shared" si="368"/>
        <v>40174.760580639078</v>
      </c>
      <c r="X1705" s="55">
        <f t="shared" si="369"/>
        <v>-660.11702415133914</v>
      </c>
      <c r="Y1705" s="55">
        <f t="shared" si="370"/>
        <v>35144.200000000004</v>
      </c>
      <c r="Z1705" s="55">
        <f t="shared" si="371"/>
        <v>35664.200000000004</v>
      </c>
      <c r="AA1705" s="55">
        <f t="shared" si="372"/>
        <v>-520</v>
      </c>
      <c r="AB1705" s="55">
        <f t="shared" si="373"/>
        <v>4510.560580639074</v>
      </c>
      <c r="AC1705" s="54">
        <f t="shared" si="374"/>
        <v>0.11227349000837089</v>
      </c>
      <c r="AD1705" s="56">
        <f>INDEX(Assumptions!$B$14:$B$16,MATCH($R1705,Assumptions!$A$14:$A$16,0))</f>
        <v>0.12</v>
      </c>
      <c r="AE1705" s="56">
        <f>INDEX(Assumptions!$C$14:$C$16,MATCH($R1705,Assumptions!$A$14:$A$16,0))</f>
        <v>0.08</v>
      </c>
      <c r="AF1705" s="49">
        <f t="shared" si="375"/>
        <v>0</v>
      </c>
      <c r="AG1705" s="49">
        <f t="shared" si="376"/>
        <v>0</v>
      </c>
      <c r="AH1705" s="55">
        <f t="shared" si="377"/>
        <v>310.41068903761516</v>
      </c>
    </row>
    <row r="1706" spans="1:34" x14ac:dyDescent="0.2">
      <c r="A1706" s="48" t="s">
        <v>1389</v>
      </c>
      <c r="B1706" s="48">
        <v>2</v>
      </c>
      <c r="C1706" s="48" t="s">
        <v>1390</v>
      </c>
      <c r="D1706" s="48" t="s">
        <v>1355</v>
      </c>
      <c r="E1706" s="48" t="s">
        <v>397</v>
      </c>
      <c r="F1706" s="48" t="s">
        <v>280</v>
      </c>
      <c r="G1706" s="48" t="s">
        <v>306</v>
      </c>
      <c r="H1706" s="48" t="s">
        <v>70</v>
      </c>
      <c r="I1706" s="48" t="s">
        <v>135</v>
      </c>
      <c r="J1706" s="49">
        <v>30</v>
      </c>
      <c r="K1706" s="50">
        <v>26950</v>
      </c>
      <c r="L1706" s="50">
        <v>26152.92</v>
      </c>
      <c r="M1706" s="48" t="s">
        <v>276</v>
      </c>
      <c r="N1706" s="51">
        <v>83.5</v>
      </c>
      <c r="O1706" s="51">
        <v>84.872</v>
      </c>
      <c r="P1706" s="52">
        <v>249.49</v>
      </c>
      <c r="Q1706" s="52">
        <v>269.49</v>
      </c>
      <c r="R1706" s="53" t="str">
        <f>INDEX(SKU_Master!$D$5:$D$34,MATCH($I1706,SKU_Master!$A$5:$A$34,0))</f>
        <v>Monitor</v>
      </c>
      <c r="S1706" s="54">
        <f t="shared" si="364"/>
        <v>2.9576252319109542E-2</v>
      </c>
      <c r="T1706" s="55">
        <f t="shared" si="365"/>
        <v>9682.6347305389227</v>
      </c>
      <c r="U1706" s="55">
        <f t="shared" si="366"/>
        <v>9396.2586826347306</v>
      </c>
      <c r="V1706" s="55">
        <f t="shared" si="367"/>
        <v>-286.37604790419209</v>
      </c>
      <c r="W1706" s="55">
        <f t="shared" si="368"/>
        <v>9244.3632764633803</v>
      </c>
      <c r="X1706" s="55">
        <f t="shared" si="369"/>
        <v>-151.89540617135026</v>
      </c>
      <c r="Y1706" s="55">
        <f t="shared" si="370"/>
        <v>7484.7000000000007</v>
      </c>
      <c r="Z1706" s="55">
        <f t="shared" si="371"/>
        <v>8084.7000000000007</v>
      </c>
      <c r="AA1706" s="55">
        <f t="shared" si="372"/>
        <v>-600</v>
      </c>
      <c r="AB1706" s="55">
        <f t="shared" si="373"/>
        <v>1159.6632764633796</v>
      </c>
      <c r="AC1706" s="54">
        <f t="shared" si="374"/>
        <v>0.12544544624462578</v>
      </c>
      <c r="AD1706" s="56">
        <f>INDEX(Assumptions!$B$14:$B$16,MATCH($R1706,Assumptions!$A$14:$A$16,0))</f>
        <v>0.18</v>
      </c>
      <c r="AE1706" s="56">
        <f>INDEX(Assumptions!$C$14:$C$16,MATCH($R1706,Assumptions!$A$14:$A$16,0))</f>
        <v>0.12</v>
      </c>
      <c r="AF1706" s="49">
        <f t="shared" si="375"/>
        <v>0</v>
      </c>
      <c r="AG1706" s="49">
        <f t="shared" si="376"/>
        <v>0</v>
      </c>
      <c r="AH1706" s="55">
        <f t="shared" si="377"/>
        <v>504.32211330002883</v>
      </c>
    </row>
    <row r="1707" spans="1:34" x14ac:dyDescent="0.2">
      <c r="A1707" s="48" t="s">
        <v>1389</v>
      </c>
      <c r="B1707" s="48">
        <v>3</v>
      </c>
      <c r="C1707" s="48" t="s">
        <v>1390</v>
      </c>
      <c r="D1707" s="48" t="s">
        <v>1355</v>
      </c>
      <c r="E1707" s="48" t="s">
        <v>397</v>
      </c>
      <c r="F1707" s="48" t="s">
        <v>280</v>
      </c>
      <c r="G1707" s="48" t="s">
        <v>306</v>
      </c>
      <c r="H1707" s="48" t="s">
        <v>70</v>
      </c>
      <c r="I1707" s="48" t="s">
        <v>173</v>
      </c>
      <c r="J1707" s="49">
        <v>16</v>
      </c>
      <c r="K1707" s="50">
        <v>6065</v>
      </c>
      <c r="L1707" s="50">
        <v>5998.84</v>
      </c>
      <c r="M1707" s="48" t="s">
        <v>276</v>
      </c>
      <c r="N1707" s="51">
        <v>83.5</v>
      </c>
      <c r="O1707" s="51">
        <v>84.872</v>
      </c>
      <c r="P1707" s="52">
        <v>46.08</v>
      </c>
      <c r="Q1707" s="52">
        <v>51.08</v>
      </c>
      <c r="R1707" s="53" t="str">
        <f>INDEX(SKU_Master!$D$5:$D$34,MATCH($I1707,SKU_Master!$A$5:$A$34,0))</f>
        <v>Accessory</v>
      </c>
      <c r="S1707" s="54">
        <f t="shared" si="364"/>
        <v>1.0908491343775695E-2</v>
      </c>
      <c r="T1707" s="55">
        <f t="shared" si="365"/>
        <v>1162.1556886227545</v>
      </c>
      <c r="U1707" s="55">
        <f t="shared" si="366"/>
        <v>1149.4783233532935</v>
      </c>
      <c r="V1707" s="55">
        <f t="shared" si="367"/>
        <v>-12.677365269461006</v>
      </c>
      <c r="W1707" s="55">
        <f t="shared" si="368"/>
        <v>1130.8964087095862</v>
      </c>
      <c r="X1707" s="55">
        <f t="shared" si="369"/>
        <v>-18.58191464370725</v>
      </c>
      <c r="Y1707" s="55">
        <f t="shared" si="370"/>
        <v>737.28</v>
      </c>
      <c r="Z1707" s="55">
        <f t="shared" si="371"/>
        <v>817.28</v>
      </c>
      <c r="AA1707" s="55">
        <f t="shared" si="372"/>
        <v>-80</v>
      </c>
      <c r="AB1707" s="55">
        <f t="shared" si="373"/>
        <v>313.61640870958627</v>
      </c>
      <c r="AC1707" s="54">
        <f t="shared" si="374"/>
        <v>0.27731665455321369</v>
      </c>
      <c r="AD1707" s="56">
        <f>INDEX(Assumptions!$B$14:$B$16,MATCH($R1707,Assumptions!$A$14:$A$16,0))</f>
        <v>0.32</v>
      </c>
      <c r="AE1707" s="56">
        <f>INDEX(Assumptions!$C$14:$C$16,MATCH($R1707,Assumptions!$A$14:$A$16,0))</f>
        <v>0.22</v>
      </c>
      <c r="AF1707" s="49">
        <f t="shared" si="375"/>
        <v>0</v>
      </c>
      <c r="AG1707" s="49">
        <f t="shared" si="376"/>
        <v>0</v>
      </c>
      <c r="AH1707" s="55">
        <f t="shared" si="377"/>
        <v>48.270442077481334</v>
      </c>
    </row>
    <row r="1708" spans="1:34" x14ac:dyDescent="0.2">
      <c r="A1708" s="48" t="s">
        <v>1391</v>
      </c>
      <c r="B1708" s="48">
        <v>1</v>
      </c>
      <c r="C1708" s="48" t="s">
        <v>1371</v>
      </c>
      <c r="D1708" s="48" t="s">
        <v>1355</v>
      </c>
      <c r="E1708" s="48" t="s">
        <v>322</v>
      </c>
      <c r="F1708" s="48" t="s">
        <v>274</v>
      </c>
      <c r="G1708" s="48" t="s">
        <v>288</v>
      </c>
      <c r="H1708" s="48" t="s">
        <v>62</v>
      </c>
      <c r="I1708" s="48" t="s">
        <v>115</v>
      </c>
      <c r="J1708" s="49">
        <v>3</v>
      </c>
      <c r="K1708" s="50">
        <v>850</v>
      </c>
      <c r="L1708" s="50">
        <v>840.01</v>
      </c>
      <c r="M1708" s="48" t="s">
        <v>276</v>
      </c>
      <c r="N1708" s="51">
        <v>1</v>
      </c>
      <c r="O1708" s="51">
        <v>1</v>
      </c>
      <c r="P1708" s="52">
        <v>723.6</v>
      </c>
      <c r="Q1708" s="52">
        <v>723.6</v>
      </c>
      <c r="R1708" s="53" t="str">
        <f>INDEX(SKU_Master!$D$5:$D$34,MATCH($I1708,SKU_Master!$A$5:$A$34,0))</f>
        <v>Laptop</v>
      </c>
      <c r="S1708" s="54">
        <f t="shared" si="364"/>
        <v>1.1752941176470633E-2</v>
      </c>
      <c r="T1708" s="55">
        <f t="shared" si="365"/>
        <v>2550</v>
      </c>
      <c r="U1708" s="55">
        <f t="shared" si="366"/>
        <v>2520.0299999999997</v>
      </c>
      <c r="V1708" s="55">
        <f t="shared" si="367"/>
        <v>-29.970000000000255</v>
      </c>
      <c r="W1708" s="55">
        <f t="shared" si="368"/>
        <v>2520.0299999999997</v>
      </c>
      <c r="X1708" s="55">
        <f t="shared" si="369"/>
        <v>0</v>
      </c>
      <c r="Y1708" s="55">
        <f t="shared" si="370"/>
        <v>2170.8000000000002</v>
      </c>
      <c r="Z1708" s="55">
        <f t="shared" si="371"/>
        <v>2170.8000000000002</v>
      </c>
      <c r="AA1708" s="55">
        <f t="shared" si="372"/>
        <v>0</v>
      </c>
      <c r="AB1708" s="55">
        <f t="shared" si="373"/>
        <v>349.22999999999956</v>
      </c>
      <c r="AC1708" s="54">
        <f t="shared" si="374"/>
        <v>0.13858168355138614</v>
      </c>
      <c r="AD1708" s="56">
        <f>INDEX(Assumptions!$B$14:$B$16,MATCH($R1708,Assumptions!$A$14:$A$16,0))</f>
        <v>0.12</v>
      </c>
      <c r="AE1708" s="56">
        <f>INDEX(Assumptions!$C$14:$C$16,MATCH($R1708,Assumptions!$A$14:$A$16,0))</f>
        <v>0.08</v>
      </c>
      <c r="AF1708" s="49">
        <f t="shared" si="375"/>
        <v>0</v>
      </c>
      <c r="AG1708" s="49">
        <f t="shared" si="376"/>
        <v>0</v>
      </c>
      <c r="AH1708" s="55">
        <f t="shared" si="377"/>
        <v>0</v>
      </c>
    </row>
    <row r="1709" spans="1:34" x14ac:dyDescent="0.2">
      <c r="A1709" s="48" t="s">
        <v>1391</v>
      </c>
      <c r="B1709" s="48">
        <v>2</v>
      </c>
      <c r="C1709" s="48" t="s">
        <v>1371</v>
      </c>
      <c r="D1709" s="48" t="s">
        <v>1355</v>
      </c>
      <c r="E1709" s="48" t="s">
        <v>322</v>
      </c>
      <c r="F1709" s="48" t="s">
        <v>274</v>
      </c>
      <c r="G1709" s="48" t="s">
        <v>288</v>
      </c>
      <c r="H1709" s="48" t="s">
        <v>62</v>
      </c>
      <c r="I1709" s="48" t="s">
        <v>177</v>
      </c>
      <c r="J1709" s="49">
        <v>2</v>
      </c>
      <c r="K1709" s="50">
        <v>70</v>
      </c>
      <c r="L1709" s="50">
        <v>69.05</v>
      </c>
      <c r="M1709" s="48" t="s">
        <v>276</v>
      </c>
      <c r="N1709" s="51">
        <v>1</v>
      </c>
      <c r="O1709" s="51">
        <v>1</v>
      </c>
      <c r="P1709" s="52">
        <v>44</v>
      </c>
      <c r="Q1709" s="52">
        <v>44</v>
      </c>
      <c r="R1709" s="53" t="str">
        <f>INDEX(SKU_Master!$D$5:$D$34,MATCH($I1709,SKU_Master!$A$5:$A$34,0))</f>
        <v>Accessory</v>
      </c>
      <c r="S1709" s="54">
        <f t="shared" si="364"/>
        <v>1.3571428571428568E-2</v>
      </c>
      <c r="T1709" s="55">
        <f t="shared" si="365"/>
        <v>140</v>
      </c>
      <c r="U1709" s="55">
        <f t="shared" si="366"/>
        <v>138.1</v>
      </c>
      <c r="V1709" s="55">
        <f t="shared" si="367"/>
        <v>-1.9000000000000057</v>
      </c>
      <c r="W1709" s="55">
        <f t="shared" si="368"/>
        <v>138.1</v>
      </c>
      <c r="X1709" s="55">
        <f t="shared" si="369"/>
        <v>0</v>
      </c>
      <c r="Y1709" s="55">
        <f t="shared" si="370"/>
        <v>88</v>
      </c>
      <c r="Z1709" s="55">
        <f t="shared" si="371"/>
        <v>88</v>
      </c>
      <c r="AA1709" s="55">
        <f t="shared" si="372"/>
        <v>0</v>
      </c>
      <c r="AB1709" s="55">
        <f t="shared" si="373"/>
        <v>50.099999999999994</v>
      </c>
      <c r="AC1709" s="54">
        <f t="shared" si="374"/>
        <v>0.3627805937726285</v>
      </c>
      <c r="AD1709" s="56">
        <f>INDEX(Assumptions!$B$14:$B$16,MATCH($R1709,Assumptions!$A$14:$A$16,0))</f>
        <v>0.32</v>
      </c>
      <c r="AE1709" s="56">
        <f>INDEX(Assumptions!$C$14:$C$16,MATCH($R1709,Assumptions!$A$14:$A$16,0))</f>
        <v>0.22</v>
      </c>
      <c r="AF1709" s="49">
        <f t="shared" si="375"/>
        <v>0</v>
      </c>
      <c r="AG1709" s="49">
        <f t="shared" si="376"/>
        <v>0</v>
      </c>
      <c r="AH1709" s="55">
        <f t="shared" si="377"/>
        <v>0</v>
      </c>
    </row>
    <row r="1710" spans="1:34" x14ac:dyDescent="0.2">
      <c r="A1710" s="48" t="s">
        <v>1392</v>
      </c>
      <c r="B1710" s="48">
        <v>1</v>
      </c>
      <c r="C1710" s="48" t="s">
        <v>1365</v>
      </c>
      <c r="D1710" s="48" t="s">
        <v>1355</v>
      </c>
      <c r="E1710" s="48" t="s">
        <v>322</v>
      </c>
      <c r="F1710" s="48" t="s">
        <v>274</v>
      </c>
      <c r="G1710" s="48" t="s">
        <v>288</v>
      </c>
      <c r="H1710" s="48" t="s">
        <v>62</v>
      </c>
      <c r="I1710" s="48" t="s">
        <v>113</v>
      </c>
      <c r="J1710" s="49">
        <v>4</v>
      </c>
      <c r="K1710" s="50">
        <v>1740</v>
      </c>
      <c r="L1710" s="50">
        <v>1715.3</v>
      </c>
      <c r="M1710" s="48" t="s">
        <v>276</v>
      </c>
      <c r="N1710" s="51">
        <v>1</v>
      </c>
      <c r="O1710" s="51">
        <v>1</v>
      </c>
      <c r="P1710" s="52">
        <v>1484.8</v>
      </c>
      <c r="Q1710" s="52">
        <v>1484.8</v>
      </c>
      <c r="R1710" s="53" t="str">
        <f>INDEX(SKU_Master!$D$5:$D$34,MATCH($I1710,SKU_Master!$A$5:$A$34,0))</f>
        <v>Laptop</v>
      </c>
      <c r="S1710" s="54">
        <f t="shared" si="364"/>
        <v>1.4195402298850635E-2</v>
      </c>
      <c r="T1710" s="55">
        <f t="shared" si="365"/>
        <v>6960</v>
      </c>
      <c r="U1710" s="55">
        <f t="shared" si="366"/>
        <v>6861.2</v>
      </c>
      <c r="V1710" s="55">
        <f t="shared" si="367"/>
        <v>-98.800000000000182</v>
      </c>
      <c r="W1710" s="55">
        <f t="shared" si="368"/>
        <v>6861.2</v>
      </c>
      <c r="X1710" s="55">
        <f t="shared" si="369"/>
        <v>0</v>
      </c>
      <c r="Y1710" s="55">
        <f t="shared" si="370"/>
        <v>5939.2</v>
      </c>
      <c r="Z1710" s="55">
        <f t="shared" si="371"/>
        <v>5939.2</v>
      </c>
      <c r="AA1710" s="55">
        <f t="shared" si="372"/>
        <v>0</v>
      </c>
      <c r="AB1710" s="55">
        <f t="shared" si="373"/>
        <v>922</v>
      </c>
      <c r="AC1710" s="54">
        <f t="shared" si="374"/>
        <v>0.13437882586136538</v>
      </c>
      <c r="AD1710" s="56">
        <f>INDEX(Assumptions!$B$14:$B$16,MATCH($R1710,Assumptions!$A$14:$A$16,0))</f>
        <v>0.12</v>
      </c>
      <c r="AE1710" s="56">
        <f>INDEX(Assumptions!$C$14:$C$16,MATCH($R1710,Assumptions!$A$14:$A$16,0))</f>
        <v>0.08</v>
      </c>
      <c r="AF1710" s="49">
        <f t="shared" si="375"/>
        <v>0</v>
      </c>
      <c r="AG1710" s="49">
        <f t="shared" si="376"/>
        <v>0</v>
      </c>
      <c r="AH1710" s="55">
        <f t="shared" si="377"/>
        <v>0</v>
      </c>
    </row>
    <row r="1711" spans="1:34" x14ac:dyDescent="0.2">
      <c r="A1711" s="48" t="s">
        <v>1392</v>
      </c>
      <c r="B1711" s="48">
        <v>2</v>
      </c>
      <c r="C1711" s="48" t="s">
        <v>1365</v>
      </c>
      <c r="D1711" s="48" t="s">
        <v>1355</v>
      </c>
      <c r="E1711" s="48" t="s">
        <v>322</v>
      </c>
      <c r="F1711" s="48" t="s">
        <v>274</v>
      </c>
      <c r="G1711" s="48" t="s">
        <v>288</v>
      </c>
      <c r="H1711" s="48" t="s">
        <v>62</v>
      </c>
      <c r="I1711" s="48" t="s">
        <v>138</v>
      </c>
      <c r="J1711" s="49">
        <v>3</v>
      </c>
      <c r="K1711" s="50">
        <v>455</v>
      </c>
      <c r="L1711" s="50">
        <v>453.22</v>
      </c>
      <c r="M1711" s="48" t="s">
        <v>276</v>
      </c>
      <c r="N1711" s="51">
        <v>1</v>
      </c>
      <c r="O1711" s="51">
        <v>1</v>
      </c>
      <c r="P1711" s="52">
        <v>358.2</v>
      </c>
      <c r="Q1711" s="52">
        <v>358.2</v>
      </c>
      <c r="R1711" s="53" t="str">
        <f>INDEX(SKU_Master!$D$5:$D$34,MATCH($I1711,SKU_Master!$A$5:$A$34,0))</f>
        <v>Monitor</v>
      </c>
      <c r="S1711" s="54">
        <f t="shared" si="364"/>
        <v>3.9120879120878582E-3</v>
      </c>
      <c r="T1711" s="55">
        <f t="shared" si="365"/>
        <v>1365</v>
      </c>
      <c r="U1711" s="55">
        <f t="shared" si="366"/>
        <v>1359.66</v>
      </c>
      <c r="V1711" s="55">
        <f t="shared" si="367"/>
        <v>-5.3399999999999181</v>
      </c>
      <c r="W1711" s="55">
        <f t="shared" si="368"/>
        <v>1359.66</v>
      </c>
      <c r="X1711" s="55">
        <f t="shared" si="369"/>
        <v>0</v>
      </c>
      <c r="Y1711" s="55">
        <f t="shared" si="370"/>
        <v>1074.5999999999999</v>
      </c>
      <c r="Z1711" s="55">
        <f t="shared" si="371"/>
        <v>1074.5999999999999</v>
      </c>
      <c r="AA1711" s="55">
        <f t="shared" si="372"/>
        <v>0</v>
      </c>
      <c r="AB1711" s="55">
        <f t="shared" si="373"/>
        <v>285.06000000000017</v>
      </c>
      <c r="AC1711" s="54">
        <f t="shared" si="374"/>
        <v>0.2096553550152245</v>
      </c>
      <c r="AD1711" s="56">
        <f>INDEX(Assumptions!$B$14:$B$16,MATCH($R1711,Assumptions!$A$14:$A$16,0))</f>
        <v>0.18</v>
      </c>
      <c r="AE1711" s="56">
        <f>INDEX(Assumptions!$C$14:$C$16,MATCH($R1711,Assumptions!$A$14:$A$16,0))</f>
        <v>0.12</v>
      </c>
      <c r="AF1711" s="49">
        <f t="shared" si="375"/>
        <v>0</v>
      </c>
      <c r="AG1711" s="49">
        <f t="shared" si="376"/>
        <v>0</v>
      </c>
      <c r="AH1711" s="55">
        <f t="shared" si="377"/>
        <v>0</v>
      </c>
    </row>
    <row r="1712" spans="1:34" x14ac:dyDescent="0.2">
      <c r="A1712" s="48" t="s">
        <v>1392</v>
      </c>
      <c r="B1712" s="48">
        <v>3</v>
      </c>
      <c r="C1712" s="48" t="s">
        <v>1365</v>
      </c>
      <c r="D1712" s="48" t="s">
        <v>1355</v>
      </c>
      <c r="E1712" s="48" t="s">
        <v>322</v>
      </c>
      <c r="F1712" s="48" t="s">
        <v>274</v>
      </c>
      <c r="G1712" s="48" t="s">
        <v>288</v>
      </c>
      <c r="H1712" s="48" t="s">
        <v>62</v>
      </c>
      <c r="I1712" s="48" t="s">
        <v>157</v>
      </c>
      <c r="J1712" s="49">
        <v>4</v>
      </c>
      <c r="K1712" s="50">
        <v>135</v>
      </c>
      <c r="L1712" s="50">
        <v>133.88</v>
      </c>
      <c r="M1712" s="48" t="s">
        <v>276</v>
      </c>
      <c r="N1712" s="51">
        <v>1</v>
      </c>
      <c r="O1712" s="51">
        <v>1</v>
      </c>
      <c r="P1712" s="52">
        <v>86</v>
      </c>
      <c r="Q1712" s="52">
        <v>86</v>
      </c>
      <c r="R1712" s="53" t="str">
        <f>INDEX(SKU_Master!$D$5:$D$34,MATCH($I1712,SKU_Master!$A$5:$A$34,0))</f>
        <v>Accessory</v>
      </c>
      <c r="S1712" s="54">
        <f t="shared" si="364"/>
        <v>8.2962962962963571E-3</v>
      </c>
      <c r="T1712" s="55">
        <f t="shared" si="365"/>
        <v>540</v>
      </c>
      <c r="U1712" s="55">
        <f t="shared" si="366"/>
        <v>535.52</v>
      </c>
      <c r="V1712" s="55">
        <f t="shared" si="367"/>
        <v>-4.4800000000000182</v>
      </c>
      <c r="W1712" s="55">
        <f t="shared" si="368"/>
        <v>535.52</v>
      </c>
      <c r="X1712" s="55">
        <f t="shared" si="369"/>
        <v>0</v>
      </c>
      <c r="Y1712" s="55">
        <f t="shared" si="370"/>
        <v>344</v>
      </c>
      <c r="Z1712" s="55">
        <f t="shared" si="371"/>
        <v>344</v>
      </c>
      <c r="AA1712" s="55">
        <f t="shared" si="372"/>
        <v>0</v>
      </c>
      <c r="AB1712" s="55">
        <f t="shared" si="373"/>
        <v>191.51999999999998</v>
      </c>
      <c r="AC1712" s="54">
        <f t="shared" si="374"/>
        <v>0.35763370182252763</v>
      </c>
      <c r="AD1712" s="56">
        <f>INDEX(Assumptions!$B$14:$B$16,MATCH($R1712,Assumptions!$A$14:$A$16,0))</f>
        <v>0.32</v>
      </c>
      <c r="AE1712" s="56">
        <f>INDEX(Assumptions!$C$14:$C$16,MATCH($R1712,Assumptions!$A$14:$A$16,0))</f>
        <v>0.22</v>
      </c>
      <c r="AF1712" s="49">
        <f t="shared" si="375"/>
        <v>0</v>
      </c>
      <c r="AG1712" s="49">
        <f t="shared" si="376"/>
        <v>0</v>
      </c>
      <c r="AH1712" s="55">
        <f t="shared" si="377"/>
        <v>0</v>
      </c>
    </row>
    <row r="1713" spans="1:34" x14ac:dyDescent="0.2">
      <c r="A1713" s="48" t="s">
        <v>1393</v>
      </c>
      <c r="B1713" s="48">
        <v>1</v>
      </c>
      <c r="C1713" s="48" t="s">
        <v>1394</v>
      </c>
      <c r="D1713" s="48" t="s">
        <v>1355</v>
      </c>
      <c r="E1713" s="48" t="s">
        <v>417</v>
      </c>
      <c r="F1713" s="48" t="s">
        <v>280</v>
      </c>
      <c r="G1713" s="48" t="s">
        <v>298</v>
      </c>
      <c r="H1713" s="48" t="s">
        <v>62</v>
      </c>
      <c r="I1713" s="48" t="s">
        <v>121</v>
      </c>
      <c r="J1713" s="49">
        <v>27</v>
      </c>
      <c r="K1713" s="50">
        <v>920</v>
      </c>
      <c r="L1713" s="50">
        <v>891.75</v>
      </c>
      <c r="M1713" s="48" t="s">
        <v>276</v>
      </c>
      <c r="N1713" s="51">
        <v>1</v>
      </c>
      <c r="O1713" s="51">
        <v>1</v>
      </c>
      <c r="P1713" s="52">
        <v>782.4</v>
      </c>
      <c r="Q1713" s="52">
        <v>782.4</v>
      </c>
      <c r="R1713" s="53" t="str">
        <f>INDEX(SKU_Master!$D$5:$D$34,MATCH($I1713,SKU_Master!$A$5:$A$34,0))</f>
        <v>Laptop</v>
      </c>
      <c r="S1713" s="54">
        <f t="shared" si="364"/>
        <v>3.0706521739130466E-2</v>
      </c>
      <c r="T1713" s="55">
        <f t="shared" si="365"/>
        <v>24840</v>
      </c>
      <c r="U1713" s="55">
        <f t="shared" si="366"/>
        <v>24077.25</v>
      </c>
      <c r="V1713" s="55">
        <f t="shared" si="367"/>
        <v>-762.75</v>
      </c>
      <c r="W1713" s="55">
        <f t="shared" si="368"/>
        <v>24077.25</v>
      </c>
      <c r="X1713" s="55">
        <f t="shared" si="369"/>
        <v>0</v>
      </c>
      <c r="Y1713" s="55">
        <f t="shared" si="370"/>
        <v>21124.799999999999</v>
      </c>
      <c r="Z1713" s="55">
        <f t="shared" si="371"/>
        <v>21124.799999999999</v>
      </c>
      <c r="AA1713" s="55">
        <f t="shared" si="372"/>
        <v>0</v>
      </c>
      <c r="AB1713" s="55">
        <f t="shared" si="373"/>
        <v>2952.4500000000007</v>
      </c>
      <c r="AC1713" s="54">
        <f t="shared" si="374"/>
        <v>0.1226240538267452</v>
      </c>
      <c r="AD1713" s="56">
        <f>INDEX(Assumptions!$B$14:$B$16,MATCH($R1713,Assumptions!$A$14:$A$16,0))</f>
        <v>0.12</v>
      </c>
      <c r="AE1713" s="56">
        <f>INDEX(Assumptions!$C$14:$C$16,MATCH($R1713,Assumptions!$A$14:$A$16,0))</f>
        <v>0.08</v>
      </c>
      <c r="AF1713" s="49">
        <f t="shared" si="375"/>
        <v>0</v>
      </c>
      <c r="AG1713" s="49">
        <f t="shared" si="376"/>
        <v>0</v>
      </c>
      <c r="AH1713" s="55">
        <f t="shared" si="377"/>
        <v>0</v>
      </c>
    </row>
    <row r="1714" spans="1:34" x14ac:dyDescent="0.2">
      <c r="A1714" s="48" t="s">
        <v>1393</v>
      </c>
      <c r="B1714" s="48">
        <v>2</v>
      </c>
      <c r="C1714" s="48" t="s">
        <v>1394</v>
      </c>
      <c r="D1714" s="48" t="s">
        <v>1355</v>
      </c>
      <c r="E1714" s="48" t="s">
        <v>417</v>
      </c>
      <c r="F1714" s="48" t="s">
        <v>280</v>
      </c>
      <c r="G1714" s="48" t="s">
        <v>298</v>
      </c>
      <c r="H1714" s="48" t="s">
        <v>62</v>
      </c>
      <c r="I1714" s="48" t="s">
        <v>141</v>
      </c>
      <c r="J1714" s="49">
        <v>18</v>
      </c>
      <c r="K1714" s="50">
        <v>450</v>
      </c>
      <c r="L1714" s="50">
        <v>436.61</v>
      </c>
      <c r="M1714" s="48" t="s">
        <v>276</v>
      </c>
      <c r="N1714" s="51">
        <v>1</v>
      </c>
      <c r="O1714" s="51">
        <v>1</v>
      </c>
      <c r="P1714" s="52">
        <v>351.7</v>
      </c>
      <c r="Q1714" s="52">
        <v>351.7</v>
      </c>
      <c r="R1714" s="53" t="str">
        <f>INDEX(SKU_Master!$D$5:$D$34,MATCH($I1714,SKU_Master!$A$5:$A$34,0))</f>
        <v>Monitor</v>
      </c>
      <c r="S1714" s="54">
        <f t="shared" si="364"/>
        <v>2.9755555555555535E-2</v>
      </c>
      <c r="T1714" s="55">
        <f t="shared" si="365"/>
        <v>8100</v>
      </c>
      <c r="U1714" s="55">
        <f t="shared" si="366"/>
        <v>7858.9800000000005</v>
      </c>
      <c r="V1714" s="55">
        <f t="shared" si="367"/>
        <v>-241.01999999999953</v>
      </c>
      <c r="W1714" s="55">
        <f t="shared" si="368"/>
        <v>7858.9800000000005</v>
      </c>
      <c r="X1714" s="55">
        <f t="shared" si="369"/>
        <v>0</v>
      </c>
      <c r="Y1714" s="55">
        <f t="shared" si="370"/>
        <v>6330.5999999999995</v>
      </c>
      <c r="Z1714" s="55">
        <f t="shared" si="371"/>
        <v>6330.5999999999995</v>
      </c>
      <c r="AA1714" s="55">
        <f t="shared" si="372"/>
        <v>0</v>
      </c>
      <c r="AB1714" s="55">
        <f t="shared" si="373"/>
        <v>1528.380000000001</v>
      </c>
      <c r="AC1714" s="54">
        <f t="shared" si="374"/>
        <v>0.19447561897345469</v>
      </c>
      <c r="AD1714" s="56">
        <f>INDEX(Assumptions!$B$14:$B$16,MATCH($R1714,Assumptions!$A$14:$A$16,0))</f>
        <v>0.18</v>
      </c>
      <c r="AE1714" s="56">
        <f>INDEX(Assumptions!$C$14:$C$16,MATCH($R1714,Assumptions!$A$14:$A$16,0))</f>
        <v>0.12</v>
      </c>
      <c r="AF1714" s="49">
        <f t="shared" si="375"/>
        <v>0</v>
      </c>
      <c r="AG1714" s="49">
        <f t="shared" si="376"/>
        <v>0</v>
      </c>
      <c r="AH1714" s="55">
        <f t="shared" si="377"/>
        <v>0</v>
      </c>
    </row>
    <row r="1715" spans="1:34" x14ac:dyDescent="0.2">
      <c r="A1715" s="48" t="s">
        <v>1393</v>
      </c>
      <c r="B1715" s="48">
        <v>3</v>
      </c>
      <c r="C1715" s="48" t="s">
        <v>1394</v>
      </c>
      <c r="D1715" s="48" t="s">
        <v>1355</v>
      </c>
      <c r="E1715" s="48" t="s">
        <v>417</v>
      </c>
      <c r="F1715" s="48" t="s">
        <v>280</v>
      </c>
      <c r="G1715" s="48" t="s">
        <v>298</v>
      </c>
      <c r="H1715" s="48" t="s">
        <v>62</v>
      </c>
      <c r="I1715" s="48" t="s">
        <v>157</v>
      </c>
      <c r="J1715" s="49">
        <v>10</v>
      </c>
      <c r="K1715" s="50">
        <v>135</v>
      </c>
      <c r="L1715" s="50">
        <v>129.56</v>
      </c>
      <c r="M1715" s="48" t="s">
        <v>276</v>
      </c>
      <c r="N1715" s="51">
        <v>1</v>
      </c>
      <c r="O1715" s="51">
        <v>1</v>
      </c>
      <c r="P1715" s="52">
        <v>86</v>
      </c>
      <c r="Q1715" s="52">
        <v>86</v>
      </c>
      <c r="R1715" s="53" t="str">
        <f>INDEX(SKU_Master!$D$5:$D$34,MATCH($I1715,SKU_Master!$A$5:$A$34,0))</f>
        <v>Accessory</v>
      </c>
      <c r="S1715" s="54">
        <f t="shared" si="364"/>
        <v>4.0296296296296275E-2</v>
      </c>
      <c r="T1715" s="55">
        <f t="shared" si="365"/>
        <v>1350</v>
      </c>
      <c r="U1715" s="55">
        <f t="shared" si="366"/>
        <v>1295.5999999999999</v>
      </c>
      <c r="V1715" s="55">
        <f t="shared" si="367"/>
        <v>-54.400000000000091</v>
      </c>
      <c r="W1715" s="55">
        <f t="shared" si="368"/>
        <v>1295.5999999999999</v>
      </c>
      <c r="X1715" s="55">
        <f t="shared" si="369"/>
        <v>0</v>
      </c>
      <c r="Y1715" s="55">
        <f t="shared" si="370"/>
        <v>860</v>
      </c>
      <c r="Z1715" s="55">
        <f t="shared" si="371"/>
        <v>860</v>
      </c>
      <c r="AA1715" s="55">
        <f t="shared" si="372"/>
        <v>0</v>
      </c>
      <c r="AB1715" s="55">
        <f t="shared" si="373"/>
        <v>435.59999999999991</v>
      </c>
      <c r="AC1715" s="54">
        <f t="shared" si="374"/>
        <v>0.33621488113615311</v>
      </c>
      <c r="AD1715" s="56">
        <f>INDEX(Assumptions!$B$14:$B$16,MATCH($R1715,Assumptions!$A$14:$A$16,0))</f>
        <v>0.32</v>
      </c>
      <c r="AE1715" s="56">
        <f>INDEX(Assumptions!$C$14:$C$16,MATCH($R1715,Assumptions!$A$14:$A$16,0))</f>
        <v>0.22</v>
      </c>
      <c r="AF1715" s="49">
        <f t="shared" si="375"/>
        <v>0</v>
      </c>
      <c r="AG1715" s="49">
        <f t="shared" si="376"/>
        <v>0</v>
      </c>
      <c r="AH1715" s="55">
        <f t="shared" si="377"/>
        <v>0</v>
      </c>
    </row>
    <row r="1716" spans="1:34" x14ac:dyDescent="0.2">
      <c r="A1716" s="48" t="s">
        <v>1395</v>
      </c>
      <c r="B1716" s="48">
        <v>1</v>
      </c>
      <c r="C1716" s="48" t="s">
        <v>1371</v>
      </c>
      <c r="D1716" s="48" t="s">
        <v>1355</v>
      </c>
      <c r="E1716" s="48" t="s">
        <v>296</v>
      </c>
      <c r="F1716" s="48" t="s">
        <v>297</v>
      </c>
      <c r="G1716" s="48" t="s">
        <v>298</v>
      </c>
      <c r="H1716" s="48" t="s">
        <v>66</v>
      </c>
      <c r="I1716" s="48" t="s">
        <v>115</v>
      </c>
      <c r="J1716" s="49">
        <v>42</v>
      </c>
      <c r="K1716" s="50">
        <v>820</v>
      </c>
      <c r="L1716" s="50">
        <v>800.11</v>
      </c>
      <c r="M1716" s="48" t="s">
        <v>276</v>
      </c>
      <c r="N1716" s="51">
        <v>0.92</v>
      </c>
      <c r="O1716" s="51">
        <v>0.93310000000000004</v>
      </c>
      <c r="P1716" s="52">
        <v>743.6</v>
      </c>
      <c r="Q1716" s="52">
        <v>743.6</v>
      </c>
      <c r="R1716" s="53" t="str">
        <f>INDEX(SKU_Master!$D$5:$D$34,MATCH($I1716,SKU_Master!$A$5:$A$34,0))</f>
        <v>Laptop</v>
      </c>
      <c r="S1716" s="54">
        <f t="shared" si="364"/>
        <v>2.4256097560975576E-2</v>
      </c>
      <c r="T1716" s="55">
        <f t="shared" si="365"/>
        <v>37434.782608695648</v>
      </c>
      <c r="U1716" s="55">
        <f t="shared" si="366"/>
        <v>36526.760869565216</v>
      </c>
      <c r="V1716" s="55">
        <f t="shared" si="367"/>
        <v>-908.02173913043225</v>
      </c>
      <c r="W1716" s="55">
        <f t="shared" si="368"/>
        <v>36013.953488372092</v>
      </c>
      <c r="X1716" s="55">
        <f t="shared" si="369"/>
        <v>-512.80738119312446</v>
      </c>
      <c r="Y1716" s="55">
        <f t="shared" si="370"/>
        <v>31231.200000000001</v>
      </c>
      <c r="Z1716" s="55">
        <f t="shared" si="371"/>
        <v>31231.200000000001</v>
      </c>
      <c r="AA1716" s="55">
        <f t="shared" si="372"/>
        <v>0</v>
      </c>
      <c r="AB1716" s="55">
        <f t="shared" si="373"/>
        <v>4782.7534883720909</v>
      </c>
      <c r="AC1716" s="54">
        <f t="shared" si="374"/>
        <v>0.13280278961642769</v>
      </c>
      <c r="AD1716" s="56">
        <f>INDEX(Assumptions!$B$14:$B$16,MATCH($R1716,Assumptions!$A$14:$A$16,0))</f>
        <v>0.12</v>
      </c>
      <c r="AE1716" s="56">
        <f>INDEX(Assumptions!$C$14:$C$16,MATCH($R1716,Assumptions!$A$14:$A$16,0))</f>
        <v>0.08</v>
      </c>
      <c r="AF1716" s="49">
        <f t="shared" si="375"/>
        <v>0</v>
      </c>
      <c r="AG1716" s="49">
        <f t="shared" si="376"/>
        <v>0</v>
      </c>
      <c r="AH1716" s="55">
        <f t="shared" si="377"/>
        <v>0</v>
      </c>
    </row>
    <row r="1717" spans="1:34" x14ac:dyDescent="0.2">
      <c r="A1717" s="48" t="s">
        <v>1395</v>
      </c>
      <c r="B1717" s="48">
        <v>2</v>
      </c>
      <c r="C1717" s="48" t="s">
        <v>1371</v>
      </c>
      <c r="D1717" s="48" t="s">
        <v>1355</v>
      </c>
      <c r="E1717" s="48" t="s">
        <v>296</v>
      </c>
      <c r="F1717" s="48" t="s">
        <v>297</v>
      </c>
      <c r="G1717" s="48" t="s">
        <v>298</v>
      </c>
      <c r="H1717" s="48" t="s">
        <v>66</v>
      </c>
      <c r="I1717" s="48" t="s">
        <v>138</v>
      </c>
      <c r="J1717" s="49">
        <v>45</v>
      </c>
      <c r="K1717" s="50">
        <v>460</v>
      </c>
      <c r="L1717" s="50">
        <v>445.54</v>
      </c>
      <c r="M1717" s="48" t="s">
        <v>276</v>
      </c>
      <c r="N1717" s="51">
        <v>0.92</v>
      </c>
      <c r="O1717" s="51">
        <v>0.93310000000000004</v>
      </c>
      <c r="P1717" s="52">
        <v>383.2</v>
      </c>
      <c r="Q1717" s="52">
        <v>383.2</v>
      </c>
      <c r="R1717" s="53" t="str">
        <f>INDEX(SKU_Master!$D$5:$D$34,MATCH($I1717,SKU_Master!$A$5:$A$34,0))</f>
        <v>Monitor</v>
      </c>
      <c r="S1717" s="54">
        <f t="shared" si="364"/>
        <v>3.1434782608695588E-2</v>
      </c>
      <c r="T1717" s="55">
        <f t="shared" si="365"/>
        <v>22500</v>
      </c>
      <c r="U1717" s="55">
        <f t="shared" si="366"/>
        <v>21792.717391304344</v>
      </c>
      <c r="V1717" s="55">
        <f t="shared" si="367"/>
        <v>-707.28260869565565</v>
      </c>
      <c r="W1717" s="55">
        <f t="shared" si="368"/>
        <v>21486.764548279927</v>
      </c>
      <c r="X1717" s="55">
        <f t="shared" si="369"/>
        <v>-305.95284302441723</v>
      </c>
      <c r="Y1717" s="55">
        <f t="shared" si="370"/>
        <v>17244</v>
      </c>
      <c r="Z1717" s="55">
        <f t="shared" si="371"/>
        <v>17244</v>
      </c>
      <c r="AA1717" s="55">
        <f t="shared" si="372"/>
        <v>0</v>
      </c>
      <c r="AB1717" s="55">
        <f t="shared" si="373"/>
        <v>4242.7645482799271</v>
      </c>
      <c r="AC1717" s="54">
        <f t="shared" si="374"/>
        <v>0.19745944247430086</v>
      </c>
      <c r="AD1717" s="56">
        <f>INDEX(Assumptions!$B$14:$B$16,MATCH($R1717,Assumptions!$A$14:$A$16,0))</f>
        <v>0.18</v>
      </c>
      <c r="AE1717" s="56">
        <f>INDEX(Assumptions!$C$14:$C$16,MATCH($R1717,Assumptions!$A$14:$A$16,0))</f>
        <v>0.12</v>
      </c>
      <c r="AF1717" s="49">
        <f t="shared" si="375"/>
        <v>0</v>
      </c>
      <c r="AG1717" s="49">
        <f t="shared" si="376"/>
        <v>0</v>
      </c>
      <c r="AH1717" s="55">
        <f t="shared" si="377"/>
        <v>0</v>
      </c>
    </row>
    <row r="1718" spans="1:34" x14ac:dyDescent="0.2">
      <c r="A1718" s="48" t="s">
        <v>1395</v>
      </c>
      <c r="B1718" s="48">
        <v>3</v>
      </c>
      <c r="C1718" s="48" t="s">
        <v>1371</v>
      </c>
      <c r="D1718" s="48" t="s">
        <v>1355</v>
      </c>
      <c r="E1718" s="48" t="s">
        <v>296</v>
      </c>
      <c r="F1718" s="48" t="s">
        <v>297</v>
      </c>
      <c r="G1718" s="48" t="s">
        <v>298</v>
      </c>
      <c r="H1718" s="48" t="s">
        <v>66</v>
      </c>
      <c r="I1718" s="48" t="s">
        <v>177</v>
      </c>
      <c r="J1718" s="49">
        <v>23</v>
      </c>
      <c r="K1718" s="50">
        <v>75</v>
      </c>
      <c r="L1718" s="50">
        <v>72.16</v>
      </c>
      <c r="M1718" s="48" t="s">
        <v>276</v>
      </c>
      <c r="N1718" s="51">
        <v>0.92</v>
      </c>
      <c r="O1718" s="51">
        <v>0.93310000000000004</v>
      </c>
      <c r="P1718" s="52">
        <v>49</v>
      </c>
      <c r="Q1718" s="52">
        <v>49</v>
      </c>
      <c r="R1718" s="53" t="str">
        <f>INDEX(SKU_Master!$D$5:$D$34,MATCH($I1718,SKU_Master!$A$5:$A$34,0))</f>
        <v>Accessory</v>
      </c>
      <c r="S1718" s="54">
        <f t="shared" si="364"/>
        <v>3.7866666666666715E-2</v>
      </c>
      <c r="T1718" s="55">
        <f t="shared" si="365"/>
        <v>1875</v>
      </c>
      <c r="U1718" s="55">
        <f t="shared" si="366"/>
        <v>1803.9999999999998</v>
      </c>
      <c r="V1718" s="55">
        <f t="shared" si="367"/>
        <v>-71.000000000000227</v>
      </c>
      <c r="W1718" s="55">
        <f t="shared" si="368"/>
        <v>1778.6732397385058</v>
      </c>
      <c r="X1718" s="55">
        <f t="shared" si="369"/>
        <v>-25.326760261493973</v>
      </c>
      <c r="Y1718" s="55">
        <f t="shared" si="370"/>
        <v>1127</v>
      </c>
      <c r="Z1718" s="55">
        <f t="shared" si="371"/>
        <v>1127</v>
      </c>
      <c r="AA1718" s="55">
        <f t="shared" si="372"/>
        <v>0</v>
      </c>
      <c r="AB1718" s="55">
        <f t="shared" si="373"/>
        <v>651.6732397385058</v>
      </c>
      <c r="AC1718" s="54">
        <f t="shared" si="374"/>
        <v>0.36638165188470057</v>
      </c>
      <c r="AD1718" s="56">
        <f>INDEX(Assumptions!$B$14:$B$16,MATCH($R1718,Assumptions!$A$14:$A$16,0))</f>
        <v>0.32</v>
      </c>
      <c r="AE1718" s="56">
        <f>INDEX(Assumptions!$C$14:$C$16,MATCH($R1718,Assumptions!$A$14:$A$16,0))</f>
        <v>0.22</v>
      </c>
      <c r="AF1718" s="49">
        <f t="shared" si="375"/>
        <v>0</v>
      </c>
      <c r="AG1718" s="49">
        <f t="shared" si="376"/>
        <v>0</v>
      </c>
      <c r="AH1718" s="55">
        <f t="shared" si="377"/>
        <v>0</v>
      </c>
    </row>
    <row r="1719" spans="1:34" x14ac:dyDescent="0.2">
      <c r="A1719" s="48" t="s">
        <v>1396</v>
      </c>
      <c r="B1719" s="48">
        <v>1</v>
      </c>
      <c r="C1719" s="48" t="s">
        <v>1368</v>
      </c>
      <c r="D1719" s="48" t="s">
        <v>1355</v>
      </c>
      <c r="E1719" s="48" t="s">
        <v>301</v>
      </c>
      <c r="F1719" s="48" t="s">
        <v>274</v>
      </c>
      <c r="G1719" s="48" t="s">
        <v>302</v>
      </c>
      <c r="H1719" s="48" t="s">
        <v>62</v>
      </c>
      <c r="I1719" s="48" t="s">
        <v>113</v>
      </c>
      <c r="J1719" s="49">
        <v>9</v>
      </c>
      <c r="K1719" s="50">
        <v>1740</v>
      </c>
      <c r="L1719" s="50">
        <v>1708.37</v>
      </c>
      <c r="M1719" s="48" t="s">
        <v>276</v>
      </c>
      <c r="N1719" s="51">
        <v>1</v>
      </c>
      <c r="O1719" s="51">
        <v>1</v>
      </c>
      <c r="P1719" s="52">
        <v>1484.8</v>
      </c>
      <c r="Q1719" s="52">
        <v>1484.8</v>
      </c>
      <c r="R1719" s="53" t="str">
        <f>INDEX(SKU_Master!$D$5:$D$34,MATCH($I1719,SKU_Master!$A$5:$A$34,0))</f>
        <v>Laptop</v>
      </c>
      <c r="S1719" s="54">
        <f t="shared" si="364"/>
        <v>1.8178160919540276E-2</v>
      </c>
      <c r="T1719" s="55">
        <f t="shared" si="365"/>
        <v>15660</v>
      </c>
      <c r="U1719" s="55">
        <f t="shared" si="366"/>
        <v>15375.329999999998</v>
      </c>
      <c r="V1719" s="55">
        <f t="shared" si="367"/>
        <v>-284.67000000000189</v>
      </c>
      <c r="W1719" s="55">
        <f t="shared" si="368"/>
        <v>15375.329999999998</v>
      </c>
      <c r="X1719" s="55">
        <f t="shared" si="369"/>
        <v>0</v>
      </c>
      <c r="Y1719" s="55">
        <f t="shared" si="370"/>
        <v>13363.199999999999</v>
      </c>
      <c r="Z1719" s="55">
        <f t="shared" si="371"/>
        <v>13363.199999999999</v>
      </c>
      <c r="AA1719" s="55">
        <f t="shared" si="372"/>
        <v>0</v>
      </c>
      <c r="AB1719" s="55">
        <f t="shared" si="373"/>
        <v>2012.1299999999992</v>
      </c>
      <c r="AC1719" s="54">
        <f t="shared" si="374"/>
        <v>0.13086743504041862</v>
      </c>
      <c r="AD1719" s="56">
        <f>INDEX(Assumptions!$B$14:$B$16,MATCH($R1719,Assumptions!$A$14:$A$16,0))</f>
        <v>0.12</v>
      </c>
      <c r="AE1719" s="56">
        <f>INDEX(Assumptions!$C$14:$C$16,MATCH($R1719,Assumptions!$A$14:$A$16,0))</f>
        <v>0.08</v>
      </c>
      <c r="AF1719" s="49">
        <f t="shared" si="375"/>
        <v>0</v>
      </c>
      <c r="AG1719" s="49">
        <f t="shared" si="376"/>
        <v>0</v>
      </c>
      <c r="AH1719" s="55">
        <f t="shared" si="377"/>
        <v>0</v>
      </c>
    </row>
    <row r="1720" spans="1:34" x14ac:dyDescent="0.2">
      <c r="A1720" s="48" t="s">
        <v>1396</v>
      </c>
      <c r="B1720" s="48">
        <v>2</v>
      </c>
      <c r="C1720" s="48" t="s">
        <v>1368</v>
      </c>
      <c r="D1720" s="48" t="s">
        <v>1355</v>
      </c>
      <c r="E1720" s="48" t="s">
        <v>301</v>
      </c>
      <c r="F1720" s="48" t="s">
        <v>274</v>
      </c>
      <c r="G1720" s="48" t="s">
        <v>302</v>
      </c>
      <c r="H1720" s="48" t="s">
        <v>62</v>
      </c>
      <c r="I1720" s="48" t="s">
        <v>146</v>
      </c>
      <c r="J1720" s="49">
        <v>7</v>
      </c>
      <c r="K1720" s="50">
        <v>235</v>
      </c>
      <c r="L1720" s="50">
        <v>222.58</v>
      </c>
      <c r="M1720" s="48" t="s">
        <v>276</v>
      </c>
      <c r="N1720" s="51">
        <v>1</v>
      </c>
      <c r="O1720" s="51">
        <v>1</v>
      </c>
      <c r="P1720" s="52">
        <v>181.8</v>
      </c>
      <c r="Q1720" s="52">
        <v>181.8</v>
      </c>
      <c r="R1720" s="53" t="str">
        <f>INDEX(SKU_Master!$D$5:$D$34,MATCH($I1720,SKU_Master!$A$5:$A$34,0))</f>
        <v>Monitor</v>
      </c>
      <c r="S1720" s="54">
        <f t="shared" si="364"/>
        <v>5.2851063829787215E-2</v>
      </c>
      <c r="T1720" s="55">
        <f t="shared" si="365"/>
        <v>1645</v>
      </c>
      <c r="U1720" s="55">
        <f t="shared" si="366"/>
        <v>1558.0600000000002</v>
      </c>
      <c r="V1720" s="55">
        <f t="shared" si="367"/>
        <v>-86.939999999999827</v>
      </c>
      <c r="W1720" s="55">
        <f t="shared" si="368"/>
        <v>1558.0600000000002</v>
      </c>
      <c r="X1720" s="55">
        <f t="shared" si="369"/>
        <v>0</v>
      </c>
      <c r="Y1720" s="55">
        <f t="shared" si="370"/>
        <v>1272.6000000000001</v>
      </c>
      <c r="Z1720" s="55">
        <f t="shared" si="371"/>
        <v>1272.6000000000001</v>
      </c>
      <c r="AA1720" s="55">
        <f t="shared" si="372"/>
        <v>0</v>
      </c>
      <c r="AB1720" s="55">
        <f t="shared" si="373"/>
        <v>285.46000000000004</v>
      </c>
      <c r="AC1720" s="54">
        <f t="shared" si="374"/>
        <v>0.18321502381166321</v>
      </c>
      <c r="AD1720" s="56">
        <f>INDEX(Assumptions!$B$14:$B$16,MATCH($R1720,Assumptions!$A$14:$A$16,0))</f>
        <v>0.18</v>
      </c>
      <c r="AE1720" s="56">
        <f>INDEX(Assumptions!$C$14:$C$16,MATCH($R1720,Assumptions!$A$14:$A$16,0))</f>
        <v>0.12</v>
      </c>
      <c r="AF1720" s="49">
        <f t="shared" si="375"/>
        <v>0</v>
      </c>
      <c r="AG1720" s="49">
        <f t="shared" si="376"/>
        <v>0</v>
      </c>
      <c r="AH1720" s="55">
        <f t="shared" si="377"/>
        <v>0</v>
      </c>
    </row>
    <row r="1721" spans="1:34" x14ac:dyDescent="0.2">
      <c r="A1721" s="48" t="s">
        <v>1396</v>
      </c>
      <c r="B1721" s="48">
        <v>3</v>
      </c>
      <c r="C1721" s="48" t="s">
        <v>1368</v>
      </c>
      <c r="D1721" s="48" t="s">
        <v>1355</v>
      </c>
      <c r="E1721" s="48" t="s">
        <v>301</v>
      </c>
      <c r="F1721" s="48" t="s">
        <v>274</v>
      </c>
      <c r="G1721" s="48" t="s">
        <v>302</v>
      </c>
      <c r="H1721" s="48" t="s">
        <v>62</v>
      </c>
      <c r="I1721" s="48" t="s">
        <v>173</v>
      </c>
      <c r="J1721" s="49">
        <v>8</v>
      </c>
      <c r="K1721" s="50">
        <v>55</v>
      </c>
      <c r="L1721" s="50">
        <v>52.4</v>
      </c>
      <c r="M1721" s="48" t="s">
        <v>276</v>
      </c>
      <c r="N1721" s="51">
        <v>1</v>
      </c>
      <c r="O1721" s="51">
        <v>1</v>
      </c>
      <c r="P1721" s="52">
        <v>34</v>
      </c>
      <c r="Q1721" s="52">
        <v>34</v>
      </c>
      <c r="R1721" s="53" t="str">
        <f>INDEX(SKU_Master!$D$5:$D$34,MATCH($I1721,SKU_Master!$A$5:$A$34,0))</f>
        <v>Accessory</v>
      </c>
      <c r="S1721" s="54">
        <f t="shared" si="364"/>
        <v>4.7272727272727244E-2</v>
      </c>
      <c r="T1721" s="55">
        <f t="shared" si="365"/>
        <v>440</v>
      </c>
      <c r="U1721" s="55">
        <f t="shared" si="366"/>
        <v>419.2</v>
      </c>
      <c r="V1721" s="55">
        <f t="shared" si="367"/>
        <v>-20.800000000000011</v>
      </c>
      <c r="W1721" s="55">
        <f t="shared" si="368"/>
        <v>419.2</v>
      </c>
      <c r="X1721" s="55">
        <f t="shared" si="369"/>
        <v>0</v>
      </c>
      <c r="Y1721" s="55">
        <f t="shared" si="370"/>
        <v>272</v>
      </c>
      <c r="Z1721" s="55">
        <f t="shared" si="371"/>
        <v>272</v>
      </c>
      <c r="AA1721" s="55">
        <f t="shared" si="372"/>
        <v>0</v>
      </c>
      <c r="AB1721" s="55">
        <f t="shared" si="373"/>
        <v>147.19999999999999</v>
      </c>
      <c r="AC1721" s="54">
        <f t="shared" si="374"/>
        <v>0.35114503816793891</v>
      </c>
      <c r="AD1721" s="56">
        <f>INDEX(Assumptions!$B$14:$B$16,MATCH($R1721,Assumptions!$A$14:$A$16,0))</f>
        <v>0.32</v>
      </c>
      <c r="AE1721" s="56">
        <f>INDEX(Assumptions!$C$14:$C$16,MATCH($R1721,Assumptions!$A$14:$A$16,0))</f>
        <v>0.22</v>
      </c>
      <c r="AF1721" s="49">
        <f t="shared" si="375"/>
        <v>0</v>
      </c>
      <c r="AG1721" s="49">
        <f t="shared" si="376"/>
        <v>0</v>
      </c>
      <c r="AH1721" s="55">
        <f t="shared" si="377"/>
        <v>0</v>
      </c>
    </row>
    <row r="1722" spans="1:34" x14ac:dyDescent="0.2">
      <c r="A1722" s="48" t="s">
        <v>1397</v>
      </c>
      <c r="B1722" s="48">
        <v>1</v>
      </c>
      <c r="C1722" s="48" t="s">
        <v>1398</v>
      </c>
      <c r="D1722" s="48" t="s">
        <v>1355</v>
      </c>
      <c r="E1722" s="48" t="s">
        <v>407</v>
      </c>
      <c r="F1722" s="48" t="s">
        <v>274</v>
      </c>
      <c r="G1722" s="48" t="s">
        <v>302</v>
      </c>
      <c r="H1722" s="48" t="s">
        <v>62</v>
      </c>
      <c r="I1722" s="48" t="s">
        <v>103</v>
      </c>
      <c r="J1722" s="49">
        <v>9</v>
      </c>
      <c r="K1722" s="50">
        <v>1135</v>
      </c>
      <c r="L1722" s="50">
        <v>1132.1500000000001</v>
      </c>
      <c r="M1722" s="48" t="s">
        <v>276</v>
      </c>
      <c r="N1722" s="51">
        <v>1</v>
      </c>
      <c r="O1722" s="51">
        <v>1</v>
      </c>
      <c r="P1722" s="52">
        <v>968.6</v>
      </c>
      <c r="Q1722" s="52">
        <v>968.6</v>
      </c>
      <c r="R1722" s="53" t="str">
        <f>INDEX(SKU_Master!$D$5:$D$34,MATCH($I1722,SKU_Master!$A$5:$A$34,0))</f>
        <v>Laptop</v>
      </c>
      <c r="S1722" s="54">
        <f t="shared" si="364"/>
        <v>2.5110132158590037E-3</v>
      </c>
      <c r="T1722" s="55">
        <f t="shared" si="365"/>
        <v>10215</v>
      </c>
      <c r="U1722" s="55">
        <f t="shared" si="366"/>
        <v>10189.35</v>
      </c>
      <c r="V1722" s="55">
        <f t="shared" si="367"/>
        <v>-25.649999999999636</v>
      </c>
      <c r="W1722" s="55">
        <f t="shared" si="368"/>
        <v>10189.35</v>
      </c>
      <c r="X1722" s="55">
        <f t="shared" si="369"/>
        <v>0</v>
      </c>
      <c r="Y1722" s="55">
        <f t="shared" si="370"/>
        <v>8717.4</v>
      </c>
      <c r="Z1722" s="55">
        <f t="shared" si="371"/>
        <v>8717.4</v>
      </c>
      <c r="AA1722" s="55">
        <f t="shared" si="372"/>
        <v>0</v>
      </c>
      <c r="AB1722" s="55">
        <f t="shared" si="373"/>
        <v>1471.9500000000007</v>
      </c>
      <c r="AC1722" s="54">
        <f t="shared" si="374"/>
        <v>0.14445965640595335</v>
      </c>
      <c r="AD1722" s="56">
        <f>INDEX(Assumptions!$B$14:$B$16,MATCH($R1722,Assumptions!$A$14:$A$16,0))</f>
        <v>0.12</v>
      </c>
      <c r="AE1722" s="56">
        <f>INDEX(Assumptions!$C$14:$C$16,MATCH($R1722,Assumptions!$A$14:$A$16,0))</f>
        <v>0.08</v>
      </c>
      <c r="AF1722" s="49">
        <f t="shared" si="375"/>
        <v>0</v>
      </c>
      <c r="AG1722" s="49">
        <f t="shared" si="376"/>
        <v>0</v>
      </c>
      <c r="AH1722" s="55">
        <f t="shared" si="377"/>
        <v>0</v>
      </c>
    </row>
    <row r="1723" spans="1:34" x14ac:dyDescent="0.2">
      <c r="A1723" s="48" t="s">
        <v>1397</v>
      </c>
      <c r="B1723" s="48">
        <v>2</v>
      </c>
      <c r="C1723" s="48" t="s">
        <v>1398</v>
      </c>
      <c r="D1723" s="48" t="s">
        <v>1355</v>
      </c>
      <c r="E1723" s="48" t="s">
        <v>407</v>
      </c>
      <c r="F1723" s="48" t="s">
        <v>274</v>
      </c>
      <c r="G1723" s="48" t="s">
        <v>302</v>
      </c>
      <c r="H1723" s="48" t="s">
        <v>62</v>
      </c>
      <c r="I1723" s="48" t="s">
        <v>138</v>
      </c>
      <c r="J1723" s="49">
        <v>7</v>
      </c>
      <c r="K1723" s="50">
        <v>455</v>
      </c>
      <c r="L1723" s="50">
        <v>430.39</v>
      </c>
      <c r="M1723" s="48" t="s">
        <v>276</v>
      </c>
      <c r="N1723" s="51">
        <v>1</v>
      </c>
      <c r="O1723" s="51">
        <v>1</v>
      </c>
      <c r="P1723" s="52">
        <v>358.2</v>
      </c>
      <c r="Q1723" s="52">
        <v>358.2</v>
      </c>
      <c r="R1723" s="53" t="str">
        <f>INDEX(SKU_Master!$D$5:$D$34,MATCH($I1723,SKU_Master!$A$5:$A$34,0))</f>
        <v>Monitor</v>
      </c>
      <c r="S1723" s="54">
        <f t="shared" si="364"/>
        <v>5.4087912087912082E-2</v>
      </c>
      <c r="T1723" s="55">
        <f t="shared" si="365"/>
        <v>3185</v>
      </c>
      <c r="U1723" s="55">
        <f t="shared" si="366"/>
        <v>3012.73</v>
      </c>
      <c r="V1723" s="55">
        <f t="shared" si="367"/>
        <v>-172.26999999999998</v>
      </c>
      <c r="W1723" s="55">
        <f t="shared" si="368"/>
        <v>3012.73</v>
      </c>
      <c r="X1723" s="55">
        <f t="shared" si="369"/>
        <v>0</v>
      </c>
      <c r="Y1723" s="55">
        <f t="shared" si="370"/>
        <v>2507.4</v>
      </c>
      <c r="Z1723" s="55">
        <f t="shared" si="371"/>
        <v>2507.4</v>
      </c>
      <c r="AA1723" s="55">
        <f t="shared" si="372"/>
        <v>0</v>
      </c>
      <c r="AB1723" s="55">
        <f t="shared" si="373"/>
        <v>505.32999999999993</v>
      </c>
      <c r="AC1723" s="54">
        <f t="shared" si="374"/>
        <v>0.1677315922767722</v>
      </c>
      <c r="AD1723" s="56">
        <f>INDEX(Assumptions!$B$14:$B$16,MATCH($R1723,Assumptions!$A$14:$A$16,0))</f>
        <v>0.18</v>
      </c>
      <c r="AE1723" s="56">
        <f>INDEX(Assumptions!$C$14:$C$16,MATCH($R1723,Assumptions!$A$14:$A$16,0))</f>
        <v>0.12</v>
      </c>
      <c r="AF1723" s="49">
        <f t="shared" si="375"/>
        <v>0</v>
      </c>
      <c r="AG1723" s="49">
        <f t="shared" si="376"/>
        <v>0</v>
      </c>
      <c r="AH1723" s="55">
        <f t="shared" si="377"/>
        <v>36.961400000000026</v>
      </c>
    </row>
    <row r="1724" spans="1:34" x14ac:dyDescent="0.2">
      <c r="A1724" s="48" t="s">
        <v>1397</v>
      </c>
      <c r="B1724" s="48">
        <v>3</v>
      </c>
      <c r="C1724" s="48" t="s">
        <v>1398</v>
      </c>
      <c r="D1724" s="48" t="s">
        <v>1355</v>
      </c>
      <c r="E1724" s="48" t="s">
        <v>407</v>
      </c>
      <c r="F1724" s="48" t="s">
        <v>274</v>
      </c>
      <c r="G1724" s="48" t="s">
        <v>302</v>
      </c>
      <c r="H1724" s="48" t="s">
        <v>62</v>
      </c>
      <c r="I1724" s="48" t="s">
        <v>161</v>
      </c>
      <c r="J1724" s="49">
        <v>3</v>
      </c>
      <c r="K1724" s="50">
        <v>120</v>
      </c>
      <c r="L1724" s="50">
        <v>119.42</v>
      </c>
      <c r="M1724" s="48" t="s">
        <v>276</v>
      </c>
      <c r="N1724" s="51">
        <v>1</v>
      </c>
      <c r="O1724" s="51">
        <v>1</v>
      </c>
      <c r="P1724" s="52">
        <v>76</v>
      </c>
      <c r="Q1724" s="52">
        <v>76</v>
      </c>
      <c r="R1724" s="53" t="str">
        <f>INDEX(SKU_Master!$D$5:$D$34,MATCH($I1724,SKU_Master!$A$5:$A$34,0))</f>
        <v>Accessory</v>
      </c>
      <c r="S1724" s="54">
        <f t="shared" si="364"/>
        <v>4.8333333333333561E-3</v>
      </c>
      <c r="T1724" s="55">
        <f t="shared" si="365"/>
        <v>360</v>
      </c>
      <c r="U1724" s="55">
        <f t="shared" si="366"/>
        <v>358.26</v>
      </c>
      <c r="V1724" s="55">
        <f t="shared" si="367"/>
        <v>-1.7400000000000091</v>
      </c>
      <c r="W1724" s="55">
        <f t="shared" si="368"/>
        <v>358.26</v>
      </c>
      <c r="X1724" s="55">
        <f t="shared" si="369"/>
        <v>0</v>
      </c>
      <c r="Y1724" s="55">
        <f t="shared" si="370"/>
        <v>228</v>
      </c>
      <c r="Z1724" s="55">
        <f t="shared" si="371"/>
        <v>228</v>
      </c>
      <c r="AA1724" s="55">
        <f t="shared" si="372"/>
        <v>0</v>
      </c>
      <c r="AB1724" s="55">
        <f t="shared" si="373"/>
        <v>130.26</v>
      </c>
      <c r="AC1724" s="54">
        <f t="shared" si="374"/>
        <v>0.36359068832691338</v>
      </c>
      <c r="AD1724" s="56">
        <f>INDEX(Assumptions!$B$14:$B$16,MATCH($R1724,Assumptions!$A$14:$A$16,0))</f>
        <v>0.32</v>
      </c>
      <c r="AE1724" s="56">
        <f>INDEX(Assumptions!$C$14:$C$16,MATCH($R1724,Assumptions!$A$14:$A$16,0))</f>
        <v>0.22</v>
      </c>
      <c r="AF1724" s="49">
        <f t="shared" si="375"/>
        <v>0</v>
      </c>
      <c r="AG1724" s="49">
        <f t="shared" si="376"/>
        <v>0</v>
      </c>
      <c r="AH1724" s="55">
        <f t="shared" si="377"/>
        <v>0</v>
      </c>
    </row>
    <row r="1725" spans="1:34" x14ac:dyDescent="0.2">
      <c r="A1725" s="48" t="s">
        <v>1399</v>
      </c>
      <c r="B1725" s="48">
        <v>1</v>
      </c>
      <c r="C1725" s="48" t="s">
        <v>1368</v>
      </c>
      <c r="D1725" s="48" t="s">
        <v>1355</v>
      </c>
      <c r="E1725" s="48" t="s">
        <v>343</v>
      </c>
      <c r="F1725" s="48" t="s">
        <v>280</v>
      </c>
      <c r="G1725" s="48" t="s">
        <v>281</v>
      </c>
      <c r="H1725" s="48" t="s">
        <v>62</v>
      </c>
      <c r="I1725" s="48" t="s">
        <v>108</v>
      </c>
      <c r="J1725" s="49">
        <v>12</v>
      </c>
      <c r="K1725" s="50">
        <v>1345</v>
      </c>
      <c r="L1725" s="50">
        <v>1325.62</v>
      </c>
      <c r="M1725" s="48" t="s">
        <v>276</v>
      </c>
      <c r="N1725" s="51">
        <v>1</v>
      </c>
      <c r="O1725" s="51">
        <v>1</v>
      </c>
      <c r="P1725" s="52">
        <v>1145</v>
      </c>
      <c r="Q1725" s="52">
        <v>1212.6199999999999</v>
      </c>
      <c r="R1725" s="53" t="str">
        <f>INDEX(SKU_Master!$D$5:$D$34,MATCH($I1725,SKU_Master!$A$5:$A$34,0))</f>
        <v>Laptop</v>
      </c>
      <c r="S1725" s="54">
        <f t="shared" si="364"/>
        <v>1.4408921933085628E-2</v>
      </c>
      <c r="T1725" s="55">
        <f t="shared" si="365"/>
        <v>16140</v>
      </c>
      <c r="U1725" s="55">
        <f t="shared" si="366"/>
        <v>15907.439999999999</v>
      </c>
      <c r="V1725" s="55">
        <f t="shared" si="367"/>
        <v>-232.56000000000131</v>
      </c>
      <c r="W1725" s="55">
        <f t="shared" si="368"/>
        <v>15907.439999999999</v>
      </c>
      <c r="X1725" s="55">
        <f t="shared" si="369"/>
        <v>0</v>
      </c>
      <c r="Y1725" s="55">
        <f t="shared" si="370"/>
        <v>13740</v>
      </c>
      <c r="Z1725" s="55">
        <f t="shared" si="371"/>
        <v>14551.439999999999</v>
      </c>
      <c r="AA1725" s="55">
        <f t="shared" si="372"/>
        <v>-811.43999999999869</v>
      </c>
      <c r="AB1725" s="55">
        <f t="shared" si="373"/>
        <v>1356</v>
      </c>
      <c r="AC1725" s="54">
        <f t="shared" si="374"/>
        <v>8.5243131515819026E-2</v>
      </c>
      <c r="AD1725" s="56">
        <f>INDEX(Assumptions!$B$14:$B$16,MATCH($R1725,Assumptions!$A$14:$A$16,0))</f>
        <v>0.12</v>
      </c>
      <c r="AE1725" s="56">
        <f>INDEX(Assumptions!$C$14:$C$16,MATCH($R1725,Assumptions!$A$14:$A$16,0))</f>
        <v>0.08</v>
      </c>
      <c r="AF1725" s="49">
        <f t="shared" si="375"/>
        <v>0</v>
      </c>
      <c r="AG1725" s="49">
        <f t="shared" si="376"/>
        <v>0</v>
      </c>
      <c r="AH1725" s="55">
        <f t="shared" si="377"/>
        <v>552.89279999999985</v>
      </c>
    </row>
    <row r="1726" spans="1:34" x14ac:dyDescent="0.2">
      <c r="A1726" s="48" t="s">
        <v>1399</v>
      </c>
      <c r="B1726" s="48">
        <v>2</v>
      </c>
      <c r="C1726" s="48" t="s">
        <v>1368</v>
      </c>
      <c r="D1726" s="48" t="s">
        <v>1355</v>
      </c>
      <c r="E1726" s="48" t="s">
        <v>343</v>
      </c>
      <c r="F1726" s="48" t="s">
        <v>280</v>
      </c>
      <c r="G1726" s="48" t="s">
        <v>281</v>
      </c>
      <c r="H1726" s="48" t="s">
        <v>62</v>
      </c>
      <c r="I1726" s="48" t="s">
        <v>144</v>
      </c>
      <c r="J1726" s="49">
        <v>13</v>
      </c>
      <c r="K1726" s="50">
        <v>370</v>
      </c>
      <c r="L1726" s="50">
        <v>364.06</v>
      </c>
      <c r="M1726" s="48" t="s">
        <v>276</v>
      </c>
      <c r="N1726" s="51">
        <v>1</v>
      </c>
      <c r="O1726" s="51">
        <v>1</v>
      </c>
      <c r="P1726" s="52">
        <v>289.60000000000002</v>
      </c>
      <c r="Q1726" s="52">
        <v>289.60000000000002</v>
      </c>
      <c r="R1726" s="53" t="str">
        <f>INDEX(SKU_Master!$D$5:$D$34,MATCH($I1726,SKU_Master!$A$5:$A$34,0))</f>
        <v>Monitor</v>
      </c>
      <c r="S1726" s="54">
        <f t="shared" si="364"/>
        <v>1.6054054054054023E-2</v>
      </c>
      <c r="T1726" s="55">
        <f t="shared" si="365"/>
        <v>4810</v>
      </c>
      <c r="U1726" s="55">
        <f t="shared" si="366"/>
        <v>4732.78</v>
      </c>
      <c r="V1726" s="55">
        <f t="shared" si="367"/>
        <v>-77.220000000000255</v>
      </c>
      <c r="W1726" s="55">
        <f t="shared" si="368"/>
        <v>4732.78</v>
      </c>
      <c r="X1726" s="55">
        <f t="shared" si="369"/>
        <v>0</v>
      </c>
      <c r="Y1726" s="55">
        <f t="shared" si="370"/>
        <v>3764.8</v>
      </c>
      <c r="Z1726" s="55">
        <f t="shared" si="371"/>
        <v>3764.8</v>
      </c>
      <c r="AA1726" s="55">
        <f t="shared" si="372"/>
        <v>0</v>
      </c>
      <c r="AB1726" s="55">
        <f t="shared" si="373"/>
        <v>967.97999999999956</v>
      </c>
      <c r="AC1726" s="54">
        <f t="shared" si="374"/>
        <v>0.2045267263637861</v>
      </c>
      <c r="AD1726" s="56">
        <f>INDEX(Assumptions!$B$14:$B$16,MATCH($R1726,Assumptions!$A$14:$A$16,0))</f>
        <v>0.18</v>
      </c>
      <c r="AE1726" s="56">
        <f>INDEX(Assumptions!$C$14:$C$16,MATCH($R1726,Assumptions!$A$14:$A$16,0))</f>
        <v>0.12</v>
      </c>
      <c r="AF1726" s="49">
        <f t="shared" si="375"/>
        <v>0</v>
      </c>
      <c r="AG1726" s="49">
        <f t="shared" si="376"/>
        <v>0</v>
      </c>
      <c r="AH1726" s="55">
        <f t="shared" si="377"/>
        <v>0</v>
      </c>
    </row>
    <row r="1727" spans="1:34" x14ac:dyDescent="0.2">
      <c r="A1727" s="48" t="s">
        <v>1399</v>
      </c>
      <c r="B1727" s="48">
        <v>3</v>
      </c>
      <c r="C1727" s="48" t="s">
        <v>1368</v>
      </c>
      <c r="D1727" s="48" t="s">
        <v>1355</v>
      </c>
      <c r="E1727" s="48" t="s">
        <v>343</v>
      </c>
      <c r="F1727" s="48" t="s">
        <v>280</v>
      </c>
      <c r="G1727" s="48" t="s">
        <v>281</v>
      </c>
      <c r="H1727" s="48" t="s">
        <v>62</v>
      </c>
      <c r="I1727" s="48" t="s">
        <v>161</v>
      </c>
      <c r="J1727" s="49">
        <v>5</v>
      </c>
      <c r="K1727" s="50">
        <v>120</v>
      </c>
      <c r="L1727" s="50">
        <v>117.38</v>
      </c>
      <c r="M1727" s="48" t="s">
        <v>276</v>
      </c>
      <c r="N1727" s="51">
        <v>1</v>
      </c>
      <c r="O1727" s="51">
        <v>1</v>
      </c>
      <c r="P1727" s="52">
        <v>76</v>
      </c>
      <c r="Q1727" s="52">
        <v>76</v>
      </c>
      <c r="R1727" s="53" t="str">
        <f>INDEX(SKU_Master!$D$5:$D$34,MATCH($I1727,SKU_Master!$A$5:$A$34,0))</f>
        <v>Accessory</v>
      </c>
      <c r="S1727" s="54">
        <f t="shared" si="364"/>
        <v>2.1833333333333371E-2</v>
      </c>
      <c r="T1727" s="55">
        <f t="shared" si="365"/>
        <v>600</v>
      </c>
      <c r="U1727" s="55">
        <f t="shared" si="366"/>
        <v>586.9</v>
      </c>
      <c r="V1727" s="55">
        <f t="shared" si="367"/>
        <v>-13.100000000000023</v>
      </c>
      <c r="W1727" s="55">
        <f t="shared" si="368"/>
        <v>586.9</v>
      </c>
      <c r="X1727" s="55">
        <f t="shared" si="369"/>
        <v>0</v>
      </c>
      <c r="Y1727" s="55">
        <f t="shared" si="370"/>
        <v>380</v>
      </c>
      <c r="Z1727" s="55">
        <f t="shared" si="371"/>
        <v>380</v>
      </c>
      <c r="AA1727" s="55">
        <f t="shared" si="372"/>
        <v>0</v>
      </c>
      <c r="AB1727" s="55">
        <f t="shared" si="373"/>
        <v>206.89999999999998</v>
      </c>
      <c r="AC1727" s="54">
        <f t="shared" si="374"/>
        <v>0.35253024365309249</v>
      </c>
      <c r="AD1727" s="56">
        <f>INDEX(Assumptions!$B$14:$B$16,MATCH($R1727,Assumptions!$A$14:$A$16,0))</f>
        <v>0.32</v>
      </c>
      <c r="AE1727" s="56">
        <f>INDEX(Assumptions!$C$14:$C$16,MATCH($R1727,Assumptions!$A$14:$A$16,0))</f>
        <v>0.22</v>
      </c>
      <c r="AF1727" s="49">
        <f t="shared" si="375"/>
        <v>0</v>
      </c>
      <c r="AG1727" s="49">
        <f t="shared" si="376"/>
        <v>0</v>
      </c>
      <c r="AH1727" s="55">
        <f t="shared" si="377"/>
        <v>0</v>
      </c>
    </row>
    <row r="1728" spans="1:34" x14ac:dyDescent="0.2">
      <c r="A1728" s="48" t="s">
        <v>1400</v>
      </c>
      <c r="B1728" s="48">
        <v>1</v>
      </c>
      <c r="C1728" s="48" t="s">
        <v>1401</v>
      </c>
      <c r="D1728" s="48" t="s">
        <v>1355</v>
      </c>
      <c r="E1728" s="48" t="s">
        <v>498</v>
      </c>
      <c r="F1728" s="48" t="s">
        <v>280</v>
      </c>
      <c r="G1728" s="48" t="s">
        <v>302</v>
      </c>
      <c r="H1728" s="48" t="s">
        <v>66</v>
      </c>
      <c r="I1728" s="48" t="s">
        <v>93</v>
      </c>
      <c r="J1728" s="49">
        <v>6</v>
      </c>
      <c r="K1728" s="50">
        <v>1325</v>
      </c>
      <c r="L1728" s="50">
        <v>1224.3900000000001</v>
      </c>
      <c r="M1728" s="48" t="s">
        <v>276</v>
      </c>
      <c r="N1728" s="51">
        <v>0.92</v>
      </c>
      <c r="O1728" s="51">
        <v>0.93310000000000004</v>
      </c>
      <c r="P1728" s="52">
        <v>1206.2</v>
      </c>
      <c r="Q1728" s="52">
        <v>1206.2</v>
      </c>
      <c r="R1728" s="53" t="str">
        <f>INDEX(SKU_Master!$D$5:$D$34,MATCH($I1728,SKU_Master!$A$5:$A$34,0))</f>
        <v>Laptop</v>
      </c>
      <c r="S1728" s="54">
        <f t="shared" si="364"/>
        <v>7.5932075471698002E-2</v>
      </c>
      <c r="T1728" s="55">
        <f t="shared" si="365"/>
        <v>8641.3043478260861</v>
      </c>
      <c r="U1728" s="55">
        <f t="shared" si="366"/>
        <v>7985.152173913043</v>
      </c>
      <c r="V1728" s="55">
        <f t="shared" si="367"/>
        <v>-656.15217391304304</v>
      </c>
      <c r="W1728" s="55">
        <f t="shared" si="368"/>
        <v>7873.0468331368556</v>
      </c>
      <c r="X1728" s="55">
        <f t="shared" si="369"/>
        <v>-112.1053407761874</v>
      </c>
      <c r="Y1728" s="55">
        <f t="shared" si="370"/>
        <v>7237.2000000000007</v>
      </c>
      <c r="Z1728" s="55">
        <f t="shared" si="371"/>
        <v>7237.2000000000007</v>
      </c>
      <c r="AA1728" s="55">
        <f t="shared" si="372"/>
        <v>0</v>
      </c>
      <c r="AB1728" s="55">
        <f t="shared" si="373"/>
        <v>635.84683313685491</v>
      </c>
      <c r="AC1728" s="54">
        <f t="shared" si="374"/>
        <v>8.0762485809260029E-2</v>
      </c>
      <c r="AD1728" s="56">
        <f>INDEX(Assumptions!$B$14:$B$16,MATCH($R1728,Assumptions!$A$14:$A$16,0))</f>
        <v>0.12</v>
      </c>
      <c r="AE1728" s="56">
        <f>INDEX(Assumptions!$C$14:$C$16,MATCH($R1728,Assumptions!$A$14:$A$16,0))</f>
        <v>0.08</v>
      </c>
      <c r="AF1728" s="49">
        <f t="shared" si="375"/>
        <v>0</v>
      </c>
      <c r="AG1728" s="49">
        <f t="shared" si="376"/>
        <v>0</v>
      </c>
      <c r="AH1728" s="55">
        <f t="shared" si="377"/>
        <v>308.9187868395677</v>
      </c>
    </row>
    <row r="1729" spans="1:34" x14ac:dyDescent="0.2">
      <c r="A1729" s="48" t="s">
        <v>1400</v>
      </c>
      <c r="B1729" s="48">
        <v>2</v>
      </c>
      <c r="C1729" s="48" t="s">
        <v>1401</v>
      </c>
      <c r="D1729" s="48" t="s">
        <v>1355</v>
      </c>
      <c r="E1729" s="48" t="s">
        <v>498</v>
      </c>
      <c r="F1729" s="48" t="s">
        <v>280</v>
      </c>
      <c r="G1729" s="48" t="s">
        <v>302</v>
      </c>
      <c r="H1729" s="48" t="s">
        <v>66</v>
      </c>
      <c r="I1729" s="48" t="s">
        <v>146</v>
      </c>
      <c r="J1729" s="49">
        <v>3</v>
      </c>
      <c r="K1729" s="50">
        <v>250</v>
      </c>
      <c r="L1729" s="50">
        <v>245.93</v>
      </c>
      <c r="M1729" s="48" t="s">
        <v>276</v>
      </c>
      <c r="N1729" s="51">
        <v>0.92</v>
      </c>
      <c r="O1729" s="51">
        <v>0.93310000000000004</v>
      </c>
      <c r="P1729" s="52">
        <v>206.8</v>
      </c>
      <c r="Q1729" s="52">
        <v>206.8</v>
      </c>
      <c r="R1729" s="53" t="str">
        <f>INDEX(SKU_Master!$D$5:$D$34,MATCH($I1729,SKU_Master!$A$5:$A$34,0))</f>
        <v>Monitor</v>
      </c>
      <c r="S1729" s="54">
        <f t="shared" si="364"/>
        <v>1.6279999999999961E-2</v>
      </c>
      <c r="T1729" s="55">
        <f t="shared" si="365"/>
        <v>815.21739130434776</v>
      </c>
      <c r="U1729" s="55">
        <f t="shared" si="366"/>
        <v>801.945652173913</v>
      </c>
      <c r="V1729" s="55">
        <f t="shared" si="367"/>
        <v>-13.271739130434753</v>
      </c>
      <c r="W1729" s="55">
        <f t="shared" si="368"/>
        <v>790.68695745364903</v>
      </c>
      <c r="X1729" s="55">
        <f t="shared" si="369"/>
        <v>-11.258694720263975</v>
      </c>
      <c r="Y1729" s="55">
        <f t="shared" si="370"/>
        <v>620.40000000000009</v>
      </c>
      <c r="Z1729" s="55">
        <f t="shared" si="371"/>
        <v>620.40000000000009</v>
      </c>
      <c r="AA1729" s="55">
        <f t="shared" si="372"/>
        <v>0</v>
      </c>
      <c r="AB1729" s="55">
        <f t="shared" si="373"/>
        <v>170.28695745364894</v>
      </c>
      <c r="AC1729" s="54">
        <f t="shared" si="374"/>
        <v>0.21536583580693672</v>
      </c>
      <c r="AD1729" s="56">
        <f>INDEX(Assumptions!$B$14:$B$16,MATCH($R1729,Assumptions!$A$14:$A$16,0))</f>
        <v>0.18</v>
      </c>
      <c r="AE1729" s="56">
        <f>INDEX(Assumptions!$C$14:$C$16,MATCH($R1729,Assumptions!$A$14:$A$16,0))</f>
        <v>0.12</v>
      </c>
      <c r="AF1729" s="49">
        <f t="shared" si="375"/>
        <v>0</v>
      </c>
      <c r="AG1729" s="49">
        <f t="shared" si="376"/>
        <v>0</v>
      </c>
      <c r="AH1729" s="55">
        <f t="shared" si="377"/>
        <v>0</v>
      </c>
    </row>
    <row r="1730" spans="1:34" x14ac:dyDescent="0.2">
      <c r="A1730" s="48" t="s">
        <v>1402</v>
      </c>
      <c r="B1730" s="48">
        <v>1</v>
      </c>
      <c r="C1730" s="48" t="s">
        <v>1401</v>
      </c>
      <c r="D1730" s="48" t="s">
        <v>1355</v>
      </c>
      <c r="E1730" s="48" t="s">
        <v>588</v>
      </c>
      <c r="F1730" s="48" t="s">
        <v>274</v>
      </c>
      <c r="G1730" s="48" t="s">
        <v>281</v>
      </c>
      <c r="H1730" s="48" t="s">
        <v>62</v>
      </c>
      <c r="I1730" s="48" t="s">
        <v>115</v>
      </c>
      <c r="J1730" s="49">
        <v>8</v>
      </c>
      <c r="K1730" s="50">
        <v>850</v>
      </c>
      <c r="L1730" s="50">
        <v>839.79</v>
      </c>
      <c r="M1730" s="48" t="s">
        <v>276</v>
      </c>
      <c r="N1730" s="51">
        <v>1</v>
      </c>
      <c r="O1730" s="51">
        <v>1</v>
      </c>
      <c r="P1730" s="52">
        <v>723.6</v>
      </c>
      <c r="Q1730" s="52">
        <v>723.6</v>
      </c>
      <c r="R1730" s="53" t="str">
        <f>INDEX(SKU_Master!$D$5:$D$34,MATCH($I1730,SKU_Master!$A$5:$A$34,0))</f>
        <v>Laptop</v>
      </c>
      <c r="S1730" s="54">
        <f t="shared" si="364"/>
        <v>1.2011764705882388E-2</v>
      </c>
      <c r="T1730" s="55">
        <f t="shared" si="365"/>
        <v>6800</v>
      </c>
      <c r="U1730" s="55">
        <f t="shared" si="366"/>
        <v>6718.32</v>
      </c>
      <c r="V1730" s="55">
        <f t="shared" si="367"/>
        <v>-81.680000000000291</v>
      </c>
      <c r="W1730" s="55">
        <f t="shared" si="368"/>
        <v>6718.32</v>
      </c>
      <c r="X1730" s="55">
        <f t="shared" si="369"/>
        <v>0</v>
      </c>
      <c r="Y1730" s="55">
        <f t="shared" si="370"/>
        <v>5788.8</v>
      </c>
      <c r="Z1730" s="55">
        <f t="shared" si="371"/>
        <v>5788.8</v>
      </c>
      <c r="AA1730" s="55">
        <f t="shared" si="372"/>
        <v>0</v>
      </c>
      <c r="AB1730" s="55">
        <f t="shared" si="373"/>
        <v>929.51999999999953</v>
      </c>
      <c r="AC1730" s="54">
        <f t="shared" si="374"/>
        <v>0.13835601757582247</v>
      </c>
      <c r="AD1730" s="56">
        <f>INDEX(Assumptions!$B$14:$B$16,MATCH($R1730,Assumptions!$A$14:$A$16,0))</f>
        <v>0.12</v>
      </c>
      <c r="AE1730" s="56">
        <f>INDEX(Assumptions!$C$14:$C$16,MATCH($R1730,Assumptions!$A$14:$A$16,0))</f>
        <v>0.08</v>
      </c>
      <c r="AF1730" s="49">
        <f t="shared" si="375"/>
        <v>0</v>
      </c>
      <c r="AG1730" s="49">
        <f t="shared" si="376"/>
        <v>0</v>
      </c>
      <c r="AH1730" s="55">
        <f t="shared" si="377"/>
        <v>0</v>
      </c>
    </row>
    <row r="1731" spans="1:34" x14ac:dyDescent="0.2">
      <c r="A1731" s="48" t="s">
        <v>1402</v>
      </c>
      <c r="B1731" s="48">
        <v>2</v>
      </c>
      <c r="C1731" s="48" t="s">
        <v>1401</v>
      </c>
      <c r="D1731" s="48" t="s">
        <v>1355</v>
      </c>
      <c r="E1731" s="48" t="s">
        <v>588</v>
      </c>
      <c r="F1731" s="48" t="s">
        <v>274</v>
      </c>
      <c r="G1731" s="48" t="s">
        <v>281</v>
      </c>
      <c r="H1731" s="48" t="s">
        <v>62</v>
      </c>
      <c r="I1731" s="48" t="s">
        <v>164</v>
      </c>
      <c r="J1731" s="49">
        <v>5</v>
      </c>
      <c r="K1731" s="50">
        <v>190</v>
      </c>
      <c r="L1731" s="50">
        <v>189.01</v>
      </c>
      <c r="M1731" s="48" t="s">
        <v>276</v>
      </c>
      <c r="N1731" s="51">
        <v>1</v>
      </c>
      <c r="O1731" s="51">
        <v>1</v>
      </c>
      <c r="P1731" s="52">
        <v>121</v>
      </c>
      <c r="Q1731" s="52">
        <v>121</v>
      </c>
      <c r="R1731" s="53" t="str">
        <f>INDEX(SKU_Master!$D$5:$D$34,MATCH($I1731,SKU_Master!$A$5:$A$34,0))</f>
        <v>Accessory</v>
      </c>
      <c r="S1731" s="54">
        <f t="shared" si="364"/>
        <v>5.2105263157895543E-3</v>
      </c>
      <c r="T1731" s="55">
        <f t="shared" si="365"/>
        <v>950</v>
      </c>
      <c r="U1731" s="55">
        <f t="shared" si="366"/>
        <v>945.05</v>
      </c>
      <c r="V1731" s="55">
        <f t="shared" si="367"/>
        <v>-4.9500000000000455</v>
      </c>
      <c r="W1731" s="55">
        <f t="shared" si="368"/>
        <v>945.05</v>
      </c>
      <c r="X1731" s="55">
        <f t="shared" si="369"/>
        <v>0</v>
      </c>
      <c r="Y1731" s="55">
        <f t="shared" si="370"/>
        <v>605</v>
      </c>
      <c r="Z1731" s="55">
        <f t="shared" si="371"/>
        <v>605</v>
      </c>
      <c r="AA1731" s="55">
        <f t="shared" si="372"/>
        <v>0</v>
      </c>
      <c r="AB1731" s="55">
        <f t="shared" si="373"/>
        <v>340.04999999999995</v>
      </c>
      <c r="AC1731" s="54">
        <f t="shared" si="374"/>
        <v>0.35982223162795618</v>
      </c>
      <c r="AD1731" s="56">
        <f>INDEX(Assumptions!$B$14:$B$16,MATCH($R1731,Assumptions!$A$14:$A$16,0))</f>
        <v>0.32</v>
      </c>
      <c r="AE1731" s="56">
        <f>INDEX(Assumptions!$C$14:$C$16,MATCH($R1731,Assumptions!$A$14:$A$16,0))</f>
        <v>0.22</v>
      </c>
      <c r="AF1731" s="49">
        <f t="shared" si="375"/>
        <v>0</v>
      </c>
      <c r="AG1731" s="49">
        <f t="shared" si="376"/>
        <v>0</v>
      </c>
      <c r="AH1731" s="55">
        <f t="shared" si="377"/>
        <v>0</v>
      </c>
    </row>
    <row r="1732" spans="1:34" x14ac:dyDescent="0.2">
      <c r="A1732" s="48" t="s">
        <v>1403</v>
      </c>
      <c r="B1732" s="48">
        <v>1</v>
      </c>
      <c r="C1732" s="48" t="s">
        <v>1361</v>
      </c>
      <c r="D1732" s="48" t="s">
        <v>1355</v>
      </c>
      <c r="E1732" s="48" t="s">
        <v>317</v>
      </c>
      <c r="F1732" s="48" t="s">
        <v>280</v>
      </c>
      <c r="G1732" s="48" t="s">
        <v>306</v>
      </c>
      <c r="H1732" s="48" t="s">
        <v>62</v>
      </c>
      <c r="I1732" s="48" t="s">
        <v>121</v>
      </c>
      <c r="J1732" s="49">
        <v>28</v>
      </c>
      <c r="K1732" s="50">
        <v>920</v>
      </c>
      <c r="L1732" s="50">
        <v>892.05</v>
      </c>
      <c r="M1732" s="48" t="s">
        <v>276</v>
      </c>
      <c r="N1732" s="51">
        <v>1</v>
      </c>
      <c r="O1732" s="51">
        <v>1</v>
      </c>
      <c r="P1732" s="52">
        <v>782.4</v>
      </c>
      <c r="Q1732" s="52">
        <v>782.4</v>
      </c>
      <c r="R1732" s="53" t="str">
        <f>INDEX(SKU_Master!$D$5:$D$34,MATCH($I1732,SKU_Master!$A$5:$A$34,0))</f>
        <v>Laptop</v>
      </c>
      <c r="S1732" s="54">
        <f t="shared" si="364"/>
        <v>3.0380434782608767E-2</v>
      </c>
      <c r="T1732" s="55">
        <f t="shared" si="365"/>
        <v>25760</v>
      </c>
      <c r="U1732" s="55">
        <f t="shared" si="366"/>
        <v>24977.399999999998</v>
      </c>
      <c r="V1732" s="55">
        <f t="shared" si="367"/>
        <v>-782.60000000000218</v>
      </c>
      <c r="W1732" s="55">
        <f t="shared" si="368"/>
        <v>24977.399999999998</v>
      </c>
      <c r="X1732" s="55">
        <f t="shared" si="369"/>
        <v>0</v>
      </c>
      <c r="Y1732" s="55">
        <f t="shared" si="370"/>
        <v>21907.200000000001</v>
      </c>
      <c r="Z1732" s="55">
        <f t="shared" si="371"/>
        <v>21907.200000000001</v>
      </c>
      <c r="AA1732" s="55">
        <f t="shared" si="372"/>
        <v>0</v>
      </c>
      <c r="AB1732" s="55">
        <f t="shared" si="373"/>
        <v>3070.1999999999971</v>
      </c>
      <c r="AC1732" s="54">
        <f t="shared" si="374"/>
        <v>0.12291911888347055</v>
      </c>
      <c r="AD1732" s="56">
        <f>INDEX(Assumptions!$B$14:$B$16,MATCH($R1732,Assumptions!$A$14:$A$16,0))</f>
        <v>0.12</v>
      </c>
      <c r="AE1732" s="56">
        <f>INDEX(Assumptions!$C$14:$C$16,MATCH($R1732,Assumptions!$A$14:$A$16,0))</f>
        <v>0.08</v>
      </c>
      <c r="AF1732" s="49">
        <f t="shared" si="375"/>
        <v>0</v>
      </c>
      <c r="AG1732" s="49">
        <f t="shared" si="376"/>
        <v>0</v>
      </c>
      <c r="AH1732" s="55">
        <f t="shared" si="377"/>
        <v>0</v>
      </c>
    </row>
    <row r="1733" spans="1:34" x14ac:dyDescent="0.2">
      <c r="A1733" s="48" t="s">
        <v>1403</v>
      </c>
      <c r="B1733" s="48">
        <v>2</v>
      </c>
      <c r="C1733" s="48" t="s">
        <v>1361</v>
      </c>
      <c r="D1733" s="48" t="s">
        <v>1355</v>
      </c>
      <c r="E1733" s="48" t="s">
        <v>317</v>
      </c>
      <c r="F1733" s="48" t="s">
        <v>280</v>
      </c>
      <c r="G1733" s="48" t="s">
        <v>306</v>
      </c>
      <c r="H1733" s="48" t="s">
        <v>62</v>
      </c>
      <c r="I1733" s="48" t="s">
        <v>157</v>
      </c>
      <c r="J1733" s="49">
        <v>20</v>
      </c>
      <c r="K1733" s="50">
        <v>135</v>
      </c>
      <c r="L1733" s="50">
        <v>130.22</v>
      </c>
      <c r="M1733" s="48" t="s">
        <v>276</v>
      </c>
      <c r="N1733" s="51">
        <v>1</v>
      </c>
      <c r="O1733" s="51">
        <v>1</v>
      </c>
      <c r="P1733" s="52">
        <v>86</v>
      </c>
      <c r="Q1733" s="52">
        <v>86</v>
      </c>
      <c r="R1733" s="53" t="str">
        <f>INDEX(SKU_Master!$D$5:$D$34,MATCH($I1733,SKU_Master!$A$5:$A$34,0))</f>
        <v>Accessory</v>
      </c>
      <c r="S1733" s="54">
        <f t="shared" ref="S1733:S1796" si="378">IF(K1733=0,0,1-L1733/K1733)</f>
        <v>3.5407407407407443E-2</v>
      </c>
      <c r="T1733" s="55">
        <f t="shared" ref="T1733:T1796" si="379">J1733*K1733/N1733</f>
        <v>2700</v>
      </c>
      <c r="U1733" s="55">
        <f t="shared" ref="U1733:U1796" si="380">J1733*L1733/N1733</f>
        <v>2604.4</v>
      </c>
      <c r="V1733" s="55">
        <f t="shared" ref="V1733:V1796" si="381">U1733-T1733</f>
        <v>-95.599999999999909</v>
      </c>
      <c r="W1733" s="55">
        <f t="shared" ref="W1733:W1796" si="382">J1733*L1733/O1733</f>
        <v>2604.4</v>
      </c>
      <c r="X1733" s="55">
        <f t="shared" ref="X1733:X1796" si="383">W1733-U1733</f>
        <v>0</v>
      </c>
      <c r="Y1733" s="55">
        <f t="shared" ref="Y1733:Y1796" si="384">J1733*P1733</f>
        <v>1720</v>
      </c>
      <c r="Z1733" s="55">
        <f t="shared" ref="Z1733:Z1796" si="385">J1733*Q1733</f>
        <v>1720</v>
      </c>
      <c r="AA1733" s="55">
        <f t="shared" ref="AA1733:AA1796" si="386">Y1733-Z1733</f>
        <v>0</v>
      </c>
      <c r="AB1733" s="55">
        <f t="shared" ref="AB1733:AB1796" si="387">W1733-Z1733</f>
        <v>884.40000000000009</v>
      </c>
      <c r="AC1733" s="54">
        <f t="shared" ref="AC1733:AC1796" si="388">IF(W1733=0,0,AB1733/W1733)</f>
        <v>0.33957917370603596</v>
      </c>
      <c r="AD1733" s="56">
        <f>INDEX(Assumptions!$B$14:$B$16,MATCH($R1733,Assumptions!$A$14:$A$16,0))</f>
        <v>0.32</v>
      </c>
      <c r="AE1733" s="56">
        <f>INDEX(Assumptions!$C$14:$C$16,MATCH($R1733,Assumptions!$A$14:$A$16,0))</f>
        <v>0.22</v>
      </c>
      <c r="AF1733" s="49">
        <f t="shared" ref="AF1733:AF1796" si="389">IF(AC1733&lt;AE1733,1,0)</f>
        <v>0</v>
      </c>
      <c r="AG1733" s="49">
        <f t="shared" ref="AG1733:AG1796" si="390">IF(AND(AF1733=1,M1733="N"),1,0)</f>
        <v>0</v>
      </c>
      <c r="AH1733" s="55">
        <f t="shared" ref="AH1733:AH1796" si="391">MAX(0,W1733*AD1733-AB1733)</f>
        <v>0</v>
      </c>
    </row>
    <row r="1734" spans="1:34" x14ac:dyDescent="0.2">
      <c r="A1734" s="48" t="s">
        <v>1404</v>
      </c>
      <c r="B1734" s="48">
        <v>1</v>
      </c>
      <c r="C1734" s="48" t="s">
        <v>1382</v>
      </c>
      <c r="D1734" s="48" t="s">
        <v>1355</v>
      </c>
      <c r="E1734" s="48" t="s">
        <v>358</v>
      </c>
      <c r="F1734" s="48" t="s">
        <v>274</v>
      </c>
      <c r="G1734" s="48" t="s">
        <v>288</v>
      </c>
      <c r="H1734" s="48" t="s">
        <v>62</v>
      </c>
      <c r="I1734" s="48" t="s">
        <v>121</v>
      </c>
      <c r="J1734" s="49">
        <v>9</v>
      </c>
      <c r="K1734" s="50">
        <v>920</v>
      </c>
      <c r="L1734" s="50">
        <v>913.45</v>
      </c>
      <c r="M1734" s="48" t="s">
        <v>276</v>
      </c>
      <c r="N1734" s="51">
        <v>1</v>
      </c>
      <c r="O1734" s="51">
        <v>1</v>
      </c>
      <c r="P1734" s="52">
        <v>782.4</v>
      </c>
      <c r="Q1734" s="52">
        <v>782.4</v>
      </c>
      <c r="R1734" s="53" t="str">
        <f>INDEX(SKU_Master!$D$5:$D$34,MATCH($I1734,SKU_Master!$A$5:$A$34,0))</f>
        <v>Laptop</v>
      </c>
      <c r="S1734" s="54">
        <f t="shared" si="378"/>
        <v>7.1195652173912105E-3</v>
      </c>
      <c r="T1734" s="55">
        <f t="shared" si="379"/>
        <v>8280</v>
      </c>
      <c r="U1734" s="55">
        <f t="shared" si="380"/>
        <v>8221.0500000000011</v>
      </c>
      <c r="V1734" s="55">
        <f t="shared" si="381"/>
        <v>-58.949999999998909</v>
      </c>
      <c r="W1734" s="55">
        <f t="shared" si="382"/>
        <v>8221.0500000000011</v>
      </c>
      <c r="X1734" s="55">
        <f t="shared" si="383"/>
        <v>0</v>
      </c>
      <c r="Y1734" s="55">
        <f t="shared" si="384"/>
        <v>7041.5999999999995</v>
      </c>
      <c r="Z1734" s="55">
        <f t="shared" si="385"/>
        <v>7041.5999999999995</v>
      </c>
      <c r="AA1734" s="55">
        <f t="shared" si="386"/>
        <v>0</v>
      </c>
      <c r="AB1734" s="55">
        <f t="shared" si="387"/>
        <v>1179.4500000000016</v>
      </c>
      <c r="AC1734" s="54">
        <f t="shared" si="388"/>
        <v>0.14346707537358386</v>
      </c>
      <c r="AD1734" s="56">
        <f>INDEX(Assumptions!$B$14:$B$16,MATCH($R1734,Assumptions!$A$14:$A$16,0))</f>
        <v>0.12</v>
      </c>
      <c r="AE1734" s="56">
        <f>INDEX(Assumptions!$C$14:$C$16,MATCH($R1734,Assumptions!$A$14:$A$16,0))</f>
        <v>0.08</v>
      </c>
      <c r="AF1734" s="49">
        <f t="shared" si="389"/>
        <v>0</v>
      </c>
      <c r="AG1734" s="49">
        <f t="shared" si="390"/>
        <v>0</v>
      </c>
      <c r="AH1734" s="55">
        <f t="shared" si="391"/>
        <v>0</v>
      </c>
    </row>
    <row r="1735" spans="1:34" x14ac:dyDescent="0.2">
      <c r="A1735" s="48" t="s">
        <v>1405</v>
      </c>
      <c r="B1735" s="48">
        <v>1</v>
      </c>
      <c r="C1735" s="48" t="s">
        <v>1386</v>
      </c>
      <c r="D1735" s="48" t="s">
        <v>1355</v>
      </c>
      <c r="E1735" s="48" t="s">
        <v>395</v>
      </c>
      <c r="F1735" s="48" t="s">
        <v>280</v>
      </c>
      <c r="G1735" s="48" t="s">
        <v>281</v>
      </c>
      <c r="H1735" s="48" t="s">
        <v>66</v>
      </c>
      <c r="I1735" s="48" t="s">
        <v>103</v>
      </c>
      <c r="J1735" s="49">
        <v>15</v>
      </c>
      <c r="K1735" s="50">
        <v>1090</v>
      </c>
      <c r="L1735" s="50">
        <v>1054.31</v>
      </c>
      <c r="M1735" s="48" t="s">
        <v>276</v>
      </c>
      <c r="N1735" s="51">
        <v>0.92</v>
      </c>
      <c r="O1735" s="51">
        <v>0.93310000000000004</v>
      </c>
      <c r="P1735" s="52">
        <v>988.6</v>
      </c>
      <c r="Q1735" s="52">
        <v>988.6</v>
      </c>
      <c r="R1735" s="53" t="str">
        <f>INDEX(SKU_Master!$D$5:$D$34,MATCH($I1735,SKU_Master!$A$5:$A$34,0))</f>
        <v>Laptop</v>
      </c>
      <c r="S1735" s="54">
        <f t="shared" si="378"/>
        <v>3.274311926605511E-2</v>
      </c>
      <c r="T1735" s="55">
        <f t="shared" si="379"/>
        <v>17771.73913043478</v>
      </c>
      <c r="U1735" s="55">
        <f t="shared" si="380"/>
        <v>17189.836956521736</v>
      </c>
      <c r="V1735" s="55">
        <f t="shared" si="381"/>
        <v>-581.90217391304395</v>
      </c>
      <c r="W1735" s="55">
        <f t="shared" si="382"/>
        <v>16948.504983388702</v>
      </c>
      <c r="X1735" s="55">
        <f t="shared" si="383"/>
        <v>-241.3319731330339</v>
      </c>
      <c r="Y1735" s="55">
        <f t="shared" si="384"/>
        <v>14829</v>
      </c>
      <c r="Z1735" s="55">
        <f t="shared" si="385"/>
        <v>14829</v>
      </c>
      <c r="AA1735" s="55">
        <f t="shared" si="386"/>
        <v>0</v>
      </c>
      <c r="AB1735" s="55">
        <f t="shared" si="387"/>
        <v>2119.5049833887024</v>
      </c>
      <c r="AC1735" s="54">
        <f t="shared" si="388"/>
        <v>0.1250555718906203</v>
      </c>
      <c r="AD1735" s="56">
        <f>INDEX(Assumptions!$B$14:$B$16,MATCH($R1735,Assumptions!$A$14:$A$16,0))</f>
        <v>0.12</v>
      </c>
      <c r="AE1735" s="56">
        <f>INDEX(Assumptions!$C$14:$C$16,MATCH($R1735,Assumptions!$A$14:$A$16,0))</f>
        <v>0.08</v>
      </c>
      <c r="AF1735" s="49">
        <f t="shared" si="389"/>
        <v>0</v>
      </c>
      <c r="AG1735" s="49">
        <f t="shared" si="390"/>
        <v>0</v>
      </c>
      <c r="AH1735" s="55">
        <f t="shared" si="391"/>
        <v>0</v>
      </c>
    </row>
    <row r="1736" spans="1:34" x14ac:dyDescent="0.2">
      <c r="A1736" s="48" t="s">
        <v>1405</v>
      </c>
      <c r="B1736" s="48">
        <v>2</v>
      </c>
      <c r="C1736" s="48" t="s">
        <v>1386</v>
      </c>
      <c r="D1736" s="48" t="s">
        <v>1355</v>
      </c>
      <c r="E1736" s="48" t="s">
        <v>395</v>
      </c>
      <c r="F1736" s="48" t="s">
        <v>280</v>
      </c>
      <c r="G1736" s="48" t="s">
        <v>281</v>
      </c>
      <c r="H1736" s="48" t="s">
        <v>66</v>
      </c>
      <c r="I1736" s="48" t="s">
        <v>173</v>
      </c>
      <c r="J1736" s="49">
        <v>15</v>
      </c>
      <c r="K1736" s="50">
        <v>60</v>
      </c>
      <c r="L1736" s="50">
        <v>57.67</v>
      </c>
      <c r="M1736" s="48" t="s">
        <v>276</v>
      </c>
      <c r="N1736" s="51">
        <v>0.92</v>
      </c>
      <c r="O1736" s="51">
        <v>0.93310000000000004</v>
      </c>
      <c r="P1736" s="52">
        <v>39</v>
      </c>
      <c r="Q1736" s="52">
        <v>39</v>
      </c>
      <c r="R1736" s="53" t="str">
        <f>INDEX(SKU_Master!$D$5:$D$34,MATCH($I1736,SKU_Master!$A$5:$A$34,0))</f>
        <v>Accessory</v>
      </c>
      <c r="S1736" s="54">
        <f t="shared" si="378"/>
        <v>3.8833333333333275E-2</v>
      </c>
      <c r="T1736" s="55">
        <f t="shared" si="379"/>
        <v>978.26086956521738</v>
      </c>
      <c r="U1736" s="55">
        <f t="shared" si="380"/>
        <v>940.27173913043487</v>
      </c>
      <c r="V1736" s="55">
        <f t="shared" si="381"/>
        <v>-37.98913043478251</v>
      </c>
      <c r="W1736" s="55">
        <f t="shared" si="382"/>
        <v>927.07105347765514</v>
      </c>
      <c r="X1736" s="55">
        <f t="shared" si="383"/>
        <v>-13.200685652779725</v>
      </c>
      <c r="Y1736" s="55">
        <f t="shared" si="384"/>
        <v>585</v>
      </c>
      <c r="Z1736" s="55">
        <f t="shared" si="385"/>
        <v>585</v>
      </c>
      <c r="AA1736" s="55">
        <f t="shared" si="386"/>
        <v>0</v>
      </c>
      <c r="AB1736" s="55">
        <f t="shared" si="387"/>
        <v>342.07105347765514</v>
      </c>
      <c r="AC1736" s="54">
        <f t="shared" si="388"/>
        <v>0.36898040575689267</v>
      </c>
      <c r="AD1736" s="56">
        <f>INDEX(Assumptions!$B$14:$B$16,MATCH($R1736,Assumptions!$A$14:$A$16,0))</f>
        <v>0.32</v>
      </c>
      <c r="AE1736" s="56">
        <f>INDEX(Assumptions!$C$14:$C$16,MATCH($R1736,Assumptions!$A$14:$A$16,0))</f>
        <v>0.22</v>
      </c>
      <c r="AF1736" s="49">
        <f t="shared" si="389"/>
        <v>0</v>
      </c>
      <c r="AG1736" s="49">
        <f t="shared" si="390"/>
        <v>0</v>
      </c>
      <c r="AH1736" s="55">
        <f t="shared" si="391"/>
        <v>0</v>
      </c>
    </row>
    <row r="1737" spans="1:34" x14ac:dyDescent="0.2">
      <c r="A1737" s="48" t="s">
        <v>1406</v>
      </c>
      <c r="B1737" s="48">
        <v>1</v>
      </c>
      <c r="C1737" s="48" t="s">
        <v>1407</v>
      </c>
      <c r="D1737" s="48" t="s">
        <v>1355</v>
      </c>
      <c r="E1737" s="48" t="s">
        <v>322</v>
      </c>
      <c r="F1737" s="48" t="s">
        <v>274</v>
      </c>
      <c r="G1737" s="48" t="s">
        <v>288</v>
      </c>
      <c r="H1737" s="48" t="s">
        <v>62</v>
      </c>
      <c r="I1737" s="48" t="s">
        <v>113</v>
      </c>
      <c r="J1737" s="49">
        <v>2</v>
      </c>
      <c r="K1737" s="50">
        <v>1740</v>
      </c>
      <c r="L1737" s="50">
        <v>1728.74</v>
      </c>
      <c r="M1737" s="48" t="s">
        <v>276</v>
      </c>
      <c r="N1737" s="51">
        <v>1</v>
      </c>
      <c r="O1737" s="51">
        <v>1</v>
      </c>
      <c r="P1737" s="52">
        <v>1484.8</v>
      </c>
      <c r="Q1737" s="52">
        <v>1484.8</v>
      </c>
      <c r="R1737" s="53" t="str">
        <f>INDEX(SKU_Master!$D$5:$D$34,MATCH($I1737,SKU_Master!$A$5:$A$34,0))</f>
        <v>Laptop</v>
      </c>
      <c r="S1737" s="54">
        <f t="shared" si="378"/>
        <v>6.4712643678160875E-3</v>
      </c>
      <c r="T1737" s="55">
        <f t="shared" si="379"/>
        <v>3480</v>
      </c>
      <c r="U1737" s="55">
        <f t="shared" si="380"/>
        <v>3457.48</v>
      </c>
      <c r="V1737" s="55">
        <f t="shared" si="381"/>
        <v>-22.519999999999982</v>
      </c>
      <c r="W1737" s="55">
        <f t="shared" si="382"/>
        <v>3457.48</v>
      </c>
      <c r="X1737" s="55">
        <f t="shared" si="383"/>
        <v>0</v>
      </c>
      <c r="Y1737" s="55">
        <f t="shared" si="384"/>
        <v>2969.6</v>
      </c>
      <c r="Z1737" s="55">
        <f t="shared" si="385"/>
        <v>2969.6</v>
      </c>
      <c r="AA1737" s="55">
        <f t="shared" si="386"/>
        <v>0</v>
      </c>
      <c r="AB1737" s="55">
        <f t="shared" si="387"/>
        <v>487.88000000000011</v>
      </c>
      <c r="AC1737" s="54">
        <f t="shared" si="388"/>
        <v>0.14110855305019845</v>
      </c>
      <c r="AD1737" s="56">
        <f>INDEX(Assumptions!$B$14:$B$16,MATCH($R1737,Assumptions!$A$14:$A$16,0))</f>
        <v>0.12</v>
      </c>
      <c r="AE1737" s="56">
        <f>INDEX(Assumptions!$C$14:$C$16,MATCH($R1737,Assumptions!$A$14:$A$16,0))</f>
        <v>0.08</v>
      </c>
      <c r="AF1737" s="49">
        <f t="shared" si="389"/>
        <v>0</v>
      </c>
      <c r="AG1737" s="49">
        <f t="shared" si="390"/>
        <v>0</v>
      </c>
      <c r="AH1737" s="55">
        <f t="shared" si="391"/>
        <v>0</v>
      </c>
    </row>
    <row r="1738" spans="1:34" x14ac:dyDescent="0.2">
      <c r="A1738" s="48" t="s">
        <v>1406</v>
      </c>
      <c r="B1738" s="48">
        <v>2</v>
      </c>
      <c r="C1738" s="48" t="s">
        <v>1407</v>
      </c>
      <c r="D1738" s="48" t="s">
        <v>1355</v>
      </c>
      <c r="E1738" s="48" t="s">
        <v>322</v>
      </c>
      <c r="F1738" s="48" t="s">
        <v>274</v>
      </c>
      <c r="G1738" s="48" t="s">
        <v>288</v>
      </c>
      <c r="H1738" s="48" t="s">
        <v>62</v>
      </c>
      <c r="I1738" s="48" t="s">
        <v>135</v>
      </c>
      <c r="J1738" s="49">
        <v>1</v>
      </c>
      <c r="K1738" s="50">
        <v>240</v>
      </c>
      <c r="L1738" s="50">
        <v>238.64</v>
      </c>
      <c r="M1738" s="48" t="s">
        <v>276</v>
      </c>
      <c r="N1738" s="51">
        <v>1</v>
      </c>
      <c r="O1738" s="51">
        <v>1</v>
      </c>
      <c r="P1738" s="52">
        <v>186.7</v>
      </c>
      <c r="Q1738" s="52">
        <v>186.7</v>
      </c>
      <c r="R1738" s="53" t="str">
        <f>INDEX(SKU_Master!$D$5:$D$34,MATCH($I1738,SKU_Master!$A$5:$A$34,0))</f>
        <v>Monitor</v>
      </c>
      <c r="S1738" s="54">
        <f t="shared" si="378"/>
        <v>5.6666666666667087E-3</v>
      </c>
      <c r="T1738" s="55">
        <f t="shared" si="379"/>
        <v>240</v>
      </c>
      <c r="U1738" s="55">
        <f t="shared" si="380"/>
        <v>238.64</v>
      </c>
      <c r="V1738" s="55">
        <f t="shared" si="381"/>
        <v>-1.3600000000000136</v>
      </c>
      <c r="W1738" s="55">
        <f t="shared" si="382"/>
        <v>238.64</v>
      </c>
      <c r="X1738" s="55">
        <f t="shared" si="383"/>
        <v>0</v>
      </c>
      <c r="Y1738" s="55">
        <f t="shared" si="384"/>
        <v>186.7</v>
      </c>
      <c r="Z1738" s="55">
        <f t="shared" si="385"/>
        <v>186.7</v>
      </c>
      <c r="AA1738" s="55">
        <f t="shared" si="386"/>
        <v>0</v>
      </c>
      <c r="AB1738" s="55">
        <f t="shared" si="387"/>
        <v>51.94</v>
      </c>
      <c r="AC1738" s="54">
        <f t="shared" si="388"/>
        <v>0.21765001676164936</v>
      </c>
      <c r="AD1738" s="56">
        <f>INDEX(Assumptions!$B$14:$B$16,MATCH($R1738,Assumptions!$A$14:$A$16,0))</f>
        <v>0.18</v>
      </c>
      <c r="AE1738" s="56">
        <f>INDEX(Assumptions!$C$14:$C$16,MATCH($R1738,Assumptions!$A$14:$A$16,0))</f>
        <v>0.12</v>
      </c>
      <c r="AF1738" s="49">
        <f t="shared" si="389"/>
        <v>0</v>
      </c>
      <c r="AG1738" s="49">
        <f t="shared" si="390"/>
        <v>0</v>
      </c>
      <c r="AH1738" s="55">
        <f t="shared" si="391"/>
        <v>0</v>
      </c>
    </row>
    <row r="1739" spans="1:34" x14ac:dyDescent="0.2">
      <c r="A1739" s="48" t="s">
        <v>1406</v>
      </c>
      <c r="B1739" s="48">
        <v>3</v>
      </c>
      <c r="C1739" s="48" t="s">
        <v>1407</v>
      </c>
      <c r="D1739" s="48" t="s">
        <v>1355</v>
      </c>
      <c r="E1739" s="48" t="s">
        <v>322</v>
      </c>
      <c r="F1739" s="48" t="s">
        <v>274</v>
      </c>
      <c r="G1739" s="48" t="s">
        <v>288</v>
      </c>
      <c r="H1739" s="48" t="s">
        <v>62</v>
      </c>
      <c r="I1739" s="48" t="s">
        <v>157</v>
      </c>
      <c r="J1739" s="49">
        <v>1</v>
      </c>
      <c r="K1739" s="50">
        <v>135</v>
      </c>
      <c r="L1739" s="50">
        <v>133.41999999999999</v>
      </c>
      <c r="M1739" s="48" t="s">
        <v>276</v>
      </c>
      <c r="N1739" s="51">
        <v>1</v>
      </c>
      <c r="O1739" s="51">
        <v>1</v>
      </c>
      <c r="P1739" s="52">
        <v>86</v>
      </c>
      <c r="Q1739" s="52">
        <v>86</v>
      </c>
      <c r="R1739" s="53" t="str">
        <f>INDEX(SKU_Master!$D$5:$D$34,MATCH($I1739,SKU_Master!$A$5:$A$34,0))</f>
        <v>Accessory</v>
      </c>
      <c r="S1739" s="54">
        <f t="shared" si="378"/>
        <v>1.1703703703703772E-2</v>
      </c>
      <c r="T1739" s="55">
        <f t="shared" si="379"/>
        <v>135</v>
      </c>
      <c r="U1739" s="55">
        <f t="shared" si="380"/>
        <v>133.41999999999999</v>
      </c>
      <c r="V1739" s="55">
        <f t="shared" si="381"/>
        <v>-1.5800000000000125</v>
      </c>
      <c r="W1739" s="55">
        <f t="shared" si="382"/>
        <v>133.41999999999999</v>
      </c>
      <c r="X1739" s="55">
        <f t="shared" si="383"/>
        <v>0</v>
      </c>
      <c r="Y1739" s="55">
        <f t="shared" si="384"/>
        <v>86</v>
      </c>
      <c r="Z1739" s="55">
        <f t="shared" si="385"/>
        <v>86</v>
      </c>
      <c r="AA1739" s="55">
        <f t="shared" si="386"/>
        <v>0</v>
      </c>
      <c r="AB1739" s="55">
        <f t="shared" si="387"/>
        <v>47.419999999999987</v>
      </c>
      <c r="AC1739" s="54">
        <f t="shared" si="388"/>
        <v>0.35541897766451802</v>
      </c>
      <c r="AD1739" s="56">
        <f>INDEX(Assumptions!$B$14:$B$16,MATCH($R1739,Assumptions!$A$14:$A$16,0))</f>
        <v>0.32</v>
      </c>
      <c r="AE1739" s="56">
        <f>INDEX(Assumptions!$C$14:$C$16,MATCH($R1739,Assumptions!$A$14:$A$16,0))</f>
        <v>0.22</v>
      </c>
      <c r="AF1739" s="49">
        <f t="shared" si="389"/>
        <v>0</v>
      </c>
      <c r="AG1739" s="49">
        <f t="shared" si="390"/>
        <v>0</v>
      </c>
      <c r="AH1739" s="55">
        <f t="shared" si="391"/>
        <v>0</v>
      </c>
    </row>
    <row r="1740" spans="1:34" x14ac:dyDescent="0.2">
      <c r="A1740" s="48" t="s">
        <v>1408</v>
      </c>
      <c r="B1740" s="48">
        <v>1</v>
      </c>
      <c r="C1740" s="48" t="s">
        <v>1361</v>
      </c>
      <c r="D1740" s="48" t="s">
        <v>1355</v>
      </c>
      <c r="E1740" s="48" t="s">
        <v>588</v>
      </c>
      <c r="F1740" s="48" t="s">
        <v>274</v>
      </c>
      <c r="G1740" s="48" t="s">
        <v>281</v>
      </c>
      <c r="H1740" s="48" t="s">
        <v>62</v>
      </c>
      <c r="I1740" s="48" t="s">
        <v>93</v>
      </c>
      <c r="J1740" s="49">
        <v>4</v>
      </c>
      <c r="K1740" s="50">
        <v>1390</v>
      </c>
      <c r="L1740" s="50">
        <v>1375.74</v>
      </c>
      <c r="M1740" s="48" t="s">
        <v>276</v>
      </c>
      <c r="N1740" s="51">
        <v>1</v>
      </c>
      <c r="O1740" s="51">
        <v>1</v>
      </c>
      <c r="P1740" s="52">
        <v>1186.2</v>
      </c>
      <c r="Q1740" s="52">
        <v>1186.2</v>
      </c>
      <c r="R1740" s="53" t="str">
        <f>INDEX(SKU_Master!$D$5:$D$34,MATCH($I1740,SKU_Master!$A$5:$A$34,0))</f>
        <v>Laptop</v>
      </c>
      <c r="S1740" s="54">
        <f t="shared" si="378"/>
        <v>1.0258992805755374E-2</v>
      </c>
      <c r="T1740" s="55">
        <f t="shared" si="379"/>
        <v>5560</v>
      </c>
      <c r="U1740" s="55">
        <f t="shared" si="380"/>
        <v>5502.96</v>
      </c>
      <c r="V1740" s="55">
        <f t="shared" si="381"/>
        <v>-57.039999999999964</v>
      </c>
      <c r="W1740" s="55">
        <f t="shared" si="382"/>
        <v>5502.96</v>
      </c>
      <c r="X1740" s="55">
        <f t="shared" si="383"/>
        <v>0</v>
      </c>
      <c r="Y1740" s="55">
        <f t="shared" si="384"/>
        <v>4744.8</v>
      </c>
      <c r="Z1740" s="55">
        <f t="shared" si="385"/>
        <v>4744.8</v>
      </c>
      <c r="AA1740" s="55">
        <f t="shared" si="386"/>
        <v>0</v>
      </c>
      <c r="AB1740" s="55">
        <f t="shared" si="387"/>
        <v>758.15999999999985</v>
      </c>
      <c r="AC1740" s="54">
        <f t="shared" si="388"/>
        <v>0.13777312573596753</v>
      </c>
      <c r="AD1740" s="56">
        <f>INDEX(Assumptions!$B$14:$B$16,MATCH($R1740,Assumptions!$A$14:$A$16,0))</f>
        <v>0.12</v>
      </c>
      <c r="AE1740" s="56">
        <f>INDEX(Assumptions!$C$14:$C$16,MATCH($R1740,Assumptions!$A$14:$A$16,0))</f>
        <v>0.08</v>
      </c>
      <c r="AF1740" s="49">
        <f t="shared" si="389"/>
        <v>0</v>
      </c>
      <c r="AG1740" s="49">
        <f t="shared" si="390"/>
        <v>0</v>
      </c>
      <c r="AH1740" s="55">
        <f t="shared" si="391"/>
        <v>0</v>
      </c>
    </row>
    <row r="1741" spans="1:34" x14ac:dyDescent="0.2">
      <c r="A1741" s="48" t="s">
        <v>1408</v>
      </c>
      <c r="B1741" s="48">
        <v>2</v>
      </c>
      <c r="C1741" s="48" t="s">
        <v>1361</v>
      </c>
      <c r="D1741" s="48" t="s">
        <v>1355</v>
      </c>
      <c r="E1741" s="48" t="s">
        <v>588</v>
      </c>
      <c r="F1741" s="48" t="s">
        <v>274</v>
      </c>
      <c r="G1741" s="48" t="s">
        <v>281</v>
      </c>
      <c r="H1741" s="48" t="s">
        <v>62</v>
      </c>
      <c r="I1741" s="48" t="s">
        <v>138</v>
      </c>
      <c r="J1741" s="49">
        <v>3</v>
      </c>
      <c r="K1741" s="50">
        <v>455</v>
      </c>
      <c r="L1741" s="50">
        <v>446.94</v>
      </c>
      <c r="M1741" s="48" t="s">
        <v>276</v>
      </c>
      <c r="N1741" s="51">
        <v>1</v>
      </c>
      <c r="O1741" s="51">
        <v>1</v>
      </c>
      <c r="P1741" s="52">
        <v>358.2</v>
      </c>
      <c r="Q1741" s="52">
        <v>358.2</v>
      </c>
      <c r="R1741" s="53" t="str">
        <f>INDEX(SKU_Master!$D$5:$D$34,MATCH($I1741,SKU_Master!$A$5:$A$34,0))</f>
        <v>Monitor</v>
      </c>
      <c r="S1741" s="54">
        <f t="shared" si="378"/>
        <v>1.7714285714285682E-2</v>
      </c>
      <c r="T1741" s="55">
        <f t="shared" si="379"/>
        <v>1365</v>
      </c>
      <c r="U1741" s="55">
        <f t="shared" si="380"/>
        <v>1340.82</v>
      </c>
      <c r="V1741" s="55">
        <f t="shared" si="381"/>
        <v>-24.180000000000064</v>
      </c>
      <c r="W1741" s="55">
        <f t="shared" si="382"/>
        <v>1340.82</v>
      </c>
      <c r="X1741" s="55">
        <f t="shared" si="383"/>
        <v>0</v>
      </c>
      <c r="Y1741" s="55">
        <f t="shared" si="384"/>
        <v>1074.5999999999999</v>
      </c>
      <c r="Z1741" s="55">
        <f t="shared" si="385"/>
        <v>1074.5999999999999</v>
      </c>
      <c r="AA1741" s="55">
        <f t="shared" si="386"/>
        <v>0</v>
      </c>
      <c r="AB1741" s="55">
        <f t="shared" si="387"/>
        <v>266.22000000000003</v>
      </c>
      <c r="AC1741" s="54">
        <f t="shared" si="388"/>
        <v>0.19855014095851795</v>
      </c>
      <c r="AD1741" s="56">
        <f>INDEX(Assumptions!$B$14:$B$16,MATCH($R1741,Assumptions!$A$14:$A$16,0))</f>
        <v>0.18</v>
      </c>
      <c r="AE1741" s="56">
        <f>INDEX(Assumptions!$C$14:$C$16,MATCH($R1741,Assumptions!$A$14:$A$16,0))</f>
        <v>0.12</v>
      </c>
      <c r="AF1741" s="49">
        <f t="shared" si="389"/>
        <v>0</v>
      </c>
      <c r="AG1741" s="49">
        <f t="shared" si="390"/>
        <v>0</v>
      </c>
      <c r="AH1741" s="55">
        <f t="shared" si="391"/>
        <v>0</v>
      </c>
    </row>
    <row r="1742" spans="1:34" x14ac:dyDescent="0.2">
      <c r="A1742" s="48" t="s">
        <v>1409</v>
      </c>
      <c r="B1742" s="48">
        <v>1</v>
      </c>
      <c r="C1742" s="48" t="s">
        <v>1354</v>
      </c>
      <c r="D1742" s="48" t="s">
        <v>1355</v>
      </c>
      <c r="E1742" s="48" t="s">
        <v>301</v>
      </c>
      <c r="F1742" s="48" t="s">
        <v>274</v>
      </c>
      <c r="G1742" s="48" t="s">
        <v>302</v>
      </c>
      <c r="H1742" s="48" t="s">
        <v>62</v>
      </c>
      <c r="I1742" s="48" t="s">
        <v>98</v>
      </c>
      <c r="J1742" s="49">
        <v>7</v>
      </c>
      <c r="K1742" s="50">
        <v>2085</v>
      </c>
      <c r="L1742" s="50">
        <v>1994.33</v>
      </c>
      <c r="M1742" s="48" t="s">
        <v>276</v>
      </c>
      <c r="N1742" s="51">
        <v>1</v>
      </c>
      <c r="O1742" s="51">
        <v>1</v>
      </c>
      <c r="P1742" s="52">
        <v>1780.2</v>
      </c>
      <c r="Q1742" s="52">
        <v>1780.2</v>
      </c>
      <c r="R1742" s="53" t="str">
        <f>INDEX(SKU_Master!$D$5:$D$34,MATCH($I1742,SKU_Master!$A$5:$A$34,0))</f>
        <v>Laptop</v>
      </c>
      <c r="S1742" s="54">
        <f t="shared" si="378"/>
        <v>4.3486810551558785E-2</v>
      </c>
      <c r="T1742" s="55">
        <f t="shared" si="379"/>
        <v>14595</v>
      </c>
      <c r="U1742" s="55">
        <f t="shared" si="380"/>
        <v>13960.31</v>
      </c>
      <c r="V1742" s="55">
        <f t="shared" si="381"/>
        <v>-634.69000000000051</v>
      </c>
      <c r="W1742" s="55">
        <f t="shared" si="382"/>
        <v>13960.31</v>
      </c>
      <c r="X1742" s="55">
        <f t="shared" si="383"/>
        <v>0</v>
      </c>
      <c r="Y1742" s="55">
        <f t="shared" si="384"/>
        <v>12461.4</v>
      </c>
      <c r="Z1742" s="55">
        <f t="shared" si="385"/>
        <v>12461.4</v>
      </c>
      <c r="AA1742" s="55">
        <f t="shared" si="386"/>
        <v>0</v>
      </c>
      <c r="AB1742" s="55">
        <f t="shared" si="387"/>
        <v>1498.9099999999999</v>
      </c>
      <c r="AC1742" s="54">
        <f t="shared" si="388"/>
        <v>0.10736939222696343</v>
      </c>
      <c r="AD1742" s="56">
        <f>INDEX(Assumptions!$B$14:$B$16,MATCH($R1742,Assumptions!$A$14:$A$16,0))</f>
        <v>0.12</v>
      </c>
      <c r="AE1742" s="56">
        <f>INDEX(Assumptions!$C$14:$C$16,MATCH($R1742,Assumptions!$A$14:$A$16,0))</f>
        <v>0.08</v>
      </c>
      <c r="AF1742" s="49">
        <f t="shared" si="389"/>
        <v>0</v>
      </c>
      <c r="AG1742" s="49">
        <f t="shared" si="390"/>
        <v>0</v>
      </c>
      <c r="AH1742" s="55">
        <f t="shared" si="391"/>
        <v>176.32719999999995</v>
      </c>
    </row>
    <row r="1743" spans="1:34" x14ac:dyDescent="0.2">
      <c r="A1743" s="48" t="s">
        <v>1410</v>
      </c>
      <c r="B1743" s="48">
        <v>1</v>
      </c>
      <c r="C1743" s="48" t="s">
        <v>1411</v>
      </c>
      <c r="D1743" s="48" t="s">
        <v>1355</v>
      </c>
      <c r="E1743" s="48" t="s">
        <v>558</v>
      </c>
      <c r="F1743" s="48" t="s">
        <v>280</v>
      </c>
      <c r="G1743" s="48" t="s">
        <v>288</v>
      </c>
      <c r="H1743" s="48" t="s">
        <v>62</v>
      </c>
      <c r="I1743" s="48" t="s">
        <v>110</v>
      </c>
      <c r="J1743" s="49">
        <v>10</v>
      </c>
      <c r="K1743" s="50">
        <v>1165</v>
      </c>
      <c r="L1743" s="50">
        <v>1125.29</v>
      </c>
      <c r="M1743" s="48" t="s">
        <v>276</v>
      </c>
      <c r="N1743" s="51">
        <v>1</v>
      </c>
      <c r="O1743" s="51">
        <v>1</v>
      </c>
      <c r="P1743" s="52">
        <v>992.65</v>
      </c>
      <c r="Q1743" s="52">
        <v>992.65</v>
      </c>
      <c r="R1743" s="53" t="str">
        <f>INDEX(SKU_Master!$D$5:$D$34,MATCH($I1743,SKU_Master!$A$5:$A$34,0))</f>
        <v>Laptop</v>
      </c>
      <c r="S1743" s="54">
        <f t="shared" si="378"/>
        <v>3.4085836909871325E-2</v>
      </c>
      <c r="T1743" s="55">
        <f t="shared" si="379"/>
        <v>11650</v>
      </c>
      <c r="U1743" s="55">
        <f t="shared" si="380"/>
        <v>11252.9</v>
      </c>
      <c r="V1743" s="55">
        <f t="shared" si="381"/>
        <v>-397.10000000000036</v>
      </c>
      <c r="W1743" s="55">
        <f t="shared" si="382"/>
        <v>11252.9</v>
      </c>
      <c r="X1743" s="55">
        <f t="shared" si="383"/>
        <v>0</v>
      </c>
      <c r="Y1743" s="55">
        <f t="shared" si="384"/>
        <v>9926.5</v>
      </c>
      <c r="Z1743" s="55">
        <f t="shared" si="385"/>
        <v>9926.5</v>
      </c>
      <c r="AA1743" s="55">
        <f t="shared" si="386"/>
        <v>0</v>
      </c>
      <c r="AB1743" s="55">
        <f t="shared" si="387"/>
        <v>1326.3999999999996</v>
      </c>
      <c r="AC1743" s="54">
        <f t="shared" si="388"/>
        <v>0.11787183748189353</v>
      </c>
      <c r="AD1743" s="56">
        <f>INDEX(Assumptions!$B$14:$B$16,MATCH($R1743,Assumptions!$A$14:$A$16,0))</f>
        <v>0.12</v>
      </c>
      <c r="AE1743" s="56">
        <f>INDEX(Assumptions!$C$14:$C$16,MATCH($R1743,Assumptions!$A$14:$A$16,0))</f>
        <v>0.08</v>
      </c>
      <c r="AF1743" s="49">
        <f t="shared" si="389"/>
        <v>0</v>
      </c>
      <c r="AG1743" s="49">
        <f t="shared" si="390"/>
        <v>0</v>
      </c>
      <c r="AH1743" s="55">
        <f t="shared" si="391"/>
        <v>23.94800000000032</v>
      </c>
    </row>
    <row r="1744" spans="1:34" x14ac:dyDescent="0.2">
      <c r="A1744" s="48" t="s">
        <v>1410</v>
      </c>
      <c r="B1744" s="48">
        <v>2</v>
      </c>
      <c r="C1744" s="48" t="s">
        <v>1411</v>
      </c>
      <c r="D1744" s="48" t="s">
        <v>1355</v>
      </c>
      <c r="E1744" s="48" t="s">
        <v>558</v>
      </c>
      <c r="F1744" s="48" t="s">
        <v>280</v>
      </c>
      <c r="G1744" s="48" t="s">
        <v>288</v>
      </c>
      <c r="H1744" s="48" t="s">
        <v>62</v>
      </c>
      <c r="I1744" s="48" t="s">
        <v>146</v>
      </c>
      <c r="J1744" s="49">
        <v>5</v>
      </c>
      <c r="K1744" s="50">
        <v>235</v>
      </c>
      <c r="L1744" s="50">
        <v>229.42</v>
      </c>
      <c r="M1744" s="48" t="s">
        <v>276</v>
      </c>
      <c r="N1744" s="51">
        <v>1</v>
      </c>
      <c r="O1744" s="51">
        <v>1</v>
      </c>
      <c r="P1744" s="52">
        <v>181.8</v>
      </c>
      <c r="Q1744" s="52">
        <v>181.8</v>
      </c>
      <c r="R1744" s="53" t="str">
        <f>INDEX(SKU_Master!$D$5:$D$34,MATCH($I1744,SKU_Master!$A$5:$A$34,0))</f>
        <v>Monitor</v>
      </c>
      <c r="S1744" s="54">
        <f t="shared" si="378"/>
        <v>2.3744680851063849E-2</v>
      </c>
      <c r="T1744" s="55">
        <f t="shared" si="379"/>
        <v>1175</v>
      </c>
      <c r="U1744" s="55">
        <f t="shared" si="380"/>
        <v>1147.0999999999999</v>
      </c>
      <c r="V1744" s="55">
        <f t="shared" si="381"/>
        <v>-27.900000000000091</v>
      </c>
      <c r="W1744" s="55">
        <f t="shared" si="382"/>
        <v>1147.0999999999999</v>
      </c>
      <c r="X1744" s="55">
        <f t="shared" si="383"/>
        <v>0</v>
      </c>
      <c r="Y1744" s="55">
        <f t="shared" si="384"/>
        <v>909</v>
      </c>
      <c r="Z1744" s="55">
        <f t="shared" si="385"/>
        <v>909</v>
      </c>
      <c r="AA1744" s="55">
        <f t="shared" si="386"/>
        <v>0</v>
      </c>
      <c r="AB1744" s="55">
        <f t="shared" si="387"/>
        <v>238.09999999999991</v>
      </c>
      <c r="AC1744" s="54">
        <f t="shared" si="388"/>
        <v>0.20756690785458978</v>
      </c>
      <c r="AD1744" s="56">
        <f>INDEX(Assumptions!$B$14:$B$16,MATCH($R1744,Assumptions!$A$14:$A$16,0))</f>
        <v>0.18</v>
      </c>
      <c r="AE1744" s="56">
        <f>INDEX(Assumptions!$C$14:$C$16,MATCH($R1744,Assumptions!$A$14:$A$16,0))</f>
        <v>0.12</v>
      </c>
      <c r="AF1744" s="49">
        <f t="shared" si="389"/>
        <v>0</v>
      </c>
      <c r="AG1744" s="49">
        <f t="shared" si="390"/>
        <v>0</v>
      </c>
      <c r="AH1744" s="55">
        <f t="shared" si="391"/>
        <v>0</v>
      </c>
    </row>
    <row r="1745" spans="1:34" x14ac:dyDescent="0.2">
      <c r="A1745" s="48" t="s">
        <v>1410</v>
      </c>
      <c r="B1745" s="48">
        <v>3</v>
      </c>
      <c r="C1745" s="48" t="s">
        <v>1411</v>
      </c>
      <c r="D1745" s="48" t="s">
        <v>1355</v>
      </c>
      <c r="E1745" s="48" t="s">
        <v>558</v>
      </c>
      <c r="F1745" s="48" t="s">
        <v>280</v>
      </c>
      <c r="G1745" s="48" t="s">
        <v>288</v>
      </c>
      <c r="H1745" s="48" t="s">
        <v>62</v>
      </c>
      <c r="I1745" s="48" t="s">
        <v>177</v>
      </c>
      <c r="J1745" s="49">
        <v>9</v>
      </c>
      <c r="K1745" s="50">
        <v>70</v>
      </c>
      <c r="L1745" s="50">
        <v>67.849999999999994</v>
      </c>
      <c r="M1745" s="48" t="s">
        <v>276</v>
      </c>
      <c r="N1745" s="51">
        <v>1</v>
      </c>
      <c r="O1745" s="51">
        <v>1</v>
      </c>
      <c r="P1745" s="52">
        <v>44</v>
      </c>
      <c r="Q1745" s="52">
        <v>44</v>
      </c>
      <c r="R1745" s="53" t="str">
        <f>INDEX(SKU_Master!$D$5:$D$34,MATCH($I1745,SKU_Master!$A$5:$A$34,0))</f>
        <v>Accessory</v>
      </c>
      <c r="S1745" s="54">
        <f t="shared" si="378"/>
        <v>3.0714285714285805E-2</v>
      </c>
      <c r="T1745" s="55">
        <f t="shared" si="379"/>
        <v>630</v>
      </c>
      <c r="U1745" s="55">
        <f t="shared" si="380"/>
        <v>610.65</v>
      </c>
      <c r="V1745" s="55">
        <f t="shared" si="381"/>
        <v>-19.350000000000023</v>
      </c>
      <c r="W1745" s="55">
        <f t="shared" si="382"/>
        <v>610.65</v>
      </c>
      <c r="X1745" s="55">
        <f t="shared" si="383"/>
        <v>0</v>
      </c>
      <c r="Y1745" s="55">
        <f t="shared" si="384"/>
        <v>396</v>
      </c>
      <c r="Z1745" s="55">
        <f t="shared" si="385"/>
        <v>396</v>
      </c>
      <c r="AA1745" s="55">
        <f t="shared" si="386"/>
        <v>0</v>
      </c>
      <c r="AB1745" s="55">
        <f t="shared" si="387"/>
        <v>214.64999999999998</v>
      </c>
      <c r="AC1745" s="54">
        <f t="shared" si="388"/>
        <v>0.35151068533529845</v>
      </c>
      <c r="AD1745" s="56">
        <f>INDEX(Assumptions!$B$14:$B$16,MATCH($R1745,Assumptions!$A$14:$A$16,0))</f>
        <v>0.32</v>
      </c>
      <c r="AE1745" s="56">
        <f>INDEX(Assumptions!$C$14:$C$16,MATCH($R1745,Assumptions!$A$14:$A$16,0))</f>
        <v>0.22</v>
      </c>
      <c r="AF1745" s="49">
        <f t="shared" si="389"/>
        <v>0</v>
      </c>
      <c r="AG1745" s="49">
        <f t="shared" si="390"/>
        <v>0</v>
      </c>
      <c r="AH1745" s="55">
        <f t="shared" si="391"/>
        <v>0</v>
      </c>
    </row>
    <row r="1746" spans="1:34" x14ac:dyDescent="0.2">
      <c r="A1746" s="48" t="s">
        <v>1412</v>
      </c>
      <c r="B1746" s="48">
        <v>1</v>
      </c>
      <c r="C1746" s="48" t="s">
        <v>1413</v>
      </c>
      <c r="D1746" s="48" t="s">
        <v>1355</v>
      </c>
      <c r="E1746" s="48" t="s">
        <v>395</v>
      </c>
      <c r="F1746" s="48" t="s">
        <v>280</v>
      </c>
      <c r="G1746" s="48" t="s">
        <v>281</v>
      </c>
      <c r="H1746" s="48" t="s">
        <v>66</v>
      </c>
      <c r="I1746" s="48" t="s">
        <v>108</v>
      </c>
      <c r="J1746" s="49">
        <v>22</v>
      </c>
      <c r="K1746" s="50">
        <v>1280</v>
      </c>
      <c r="L1746" s="50">
        <v>1243.03</v>
      </c>
      <c r="M1746" s="48" t="s">
        <v>276</v>
      </c>
      <c r="N1746" s="51">
        <v>0.92</v>
      </c>
      <c r="O1746" s="51">
        <v>0.93310000000000004</v>
      </c>
      <c r="P1746" s="52">
        <v>1165</v>
      </c>
      <c r="Q1746" s="52">
        <v>1232.6199999999999</v>
      </c>
      <c r="R1746" s="53" t="str">
        <f>INDEX(SKU_Master!$D$5:$D$34,MATCH($I1746,SKU_Master!$A$5:$A$34,0))</f>
        <v>Laptop</v>
      </c>
      <c r="S1746" s="54">
        <f t="shared" si="378"/>
        <v>2.8882812500000021E-2</v>
      </c>
      <c r="T1746" s="55">
        <f t="shared" si="379"/>
        <v>30608.695652173912</v>
      </c>
      <c r="U1746" s="55">
        <f t="shared" si="380"/>
        <v>29724.630434782608</v>
      </c>
      <c r="V1746" s="55">
        <f t="shared" si="381"/>
        <v>-884.06521739130403</v>
      </c>
      <c r="W1746" s="55">
        <f t="shared" si="382"/>
        <v>29307.319687064621</v>
      </c>
      <c r="X1746" s="55">
        <f t="shared" si="383"/>
        <v>-417.3107477179874</v>
      </c>
      <c r="Y1746" s="55">
        <f t="shared" si="384"/>
        <v>25630</v>
      </c>
      <c r="Z1746" s="55">
        <f t="shared" si="385"/>
        <v>27117.64</v>
      </c>
      <c r="AA1746" s="55">
        <f t="shared" si="386"/>
        <v>-1487.6399999999994</v>
      </c>
      <c r="AB1746" s="55">
        <f t="shared" si="387"/>
        <v>2189.6796870646212</v>
      </c>
      <c r="AC1746" s="54">
        <f t="shared" si="388"/>
        <v>7.47144300620258E-2</v>
      </c>
      <c r="AD1746" s="56">
        <f>INDEX(Assumptions!$B$14:$B$16,MATCH($R1746,Assumptions!$A$14:$A$16,0))</f>
        <v>0.12</v>
      </c>
      <c r="AE1746" s="56">
        <f>INDEX(Assumptions!$C$14:$C$16,MATCH($R1746,Assumptions!$A$14:$A$16,0))</f>
        <v>0.08</v>
      </c>
      <c r="AF1746" s="49">
        <f t="shared" si="389"/>
        <v>1</v>
      </c>
      <c r="AG1746" s="49">
        <f t="shared" si="390"/>
        <v>1</v>
      </c>
      <c r="AH1746" s="55">
        <f t="shared" si="391"/>
        <v>1327.1986753831329</v>
      </c>
    </row>
    <row r="1747" spans="1:34" x14ac:dyDescent="0.2">
      <c r="A1747" s="48" t="s">
        <v>1412</v>
      </c>
      <c r="B1747" s="48">
        <v>2</v>
      </c>
      <c r="C1747" s="48" t="s">
        <v>1413</v>
      </c>
      <c r="D1747" s="48" t="s">
        <v>1355</v>
      </c>
      <c r="E1747" s="48" t="s">
        <v>395</v>
      </c>
      <c r="F1747" s="48" t="s">
        <v>280</v>
      </c>
      <c r="G1747" s="48" t="s">
        <v>281</v>
      </c>
      <c r="H1747" s="48" t="s">
        <v>66</v>
      </c>
      <c r="I1747" s="48" t="s">
        <v>138</v>
      </c>
      <c r="J1747" s="49">
        <v>13</v>
      </c>
      <c r="K1747" s="50">
        <v>460</v>
      </c>
      <c r="L1747" s="50">
        <v>443.24</v>
      </c>
      <c r="M1747" s="48" t="s">
        <v>276</v>
      </c>
      <c r="N1747" s="51">
        <v>0.92</v>
      </c>
      <c r="O1747" s="51">
        <v>0.93310000000000004</v>
      </c>
      <c r="P1747" s="52">
        <v>383.2</v>
      </c>
      <c r="Q1747" s="52">
        <v>383.2</v>
      </c>
      <c r="R1747" s="53" t="str">
        <f>INDEX(SKU_Master!$D$5:$D$34,MATCH($I1747,SKU_Master!$A$5:$A$34,0))</f>
        <v>Monitor</v>
      </c>
      <c r="S1747" s="54">
        <f t="shared" si="378"/>
        <v>3.6434782608695593E-2</v>
      </c>
      <c r="T1747" s="55">
        <f t="shared" si="379"/>
        <v>6500</v>
      </c>
      <c r="U1747" s="55">
        <f t="shared" si="380"/>
        <v>6263.173913043478</v>
      </c>
      <c r="V1747" s="55">
        <f t="shared" si="381"/>
        <v>-236.82608695652198</v>
      </c>
      <c r="W1747" s="55">
        <f t="shared" si="382"/>
        <v>6175.2438109527375</v>
      </c>
      <c r="X1747" s="55">
        <f t="shared" si="383"/>
        <v>-87.930102090740547</v>
      </c>
      <c r="Y1747" s="55">
        <f t="shared" si="384"/>
        <v>4981.5999999999995</v>
      </c>
      <c r="Z1747" s="55">
        <f t="shared" si="385"/>
        <v>4981.5999999999995</v>
      </c>
      <c r="AA1747" s="55">
        <f t="shared" si="386"/>
        <v>0</v>
      </c>
      <c r="AB1747" s="55">
        <f t="shared" si="387"/>
        <v>1193.643810952738</v>
      </c>
      <c r="AC1747" s="54">
        <f t="shared" si="388"/>
        <v>0.1932950094756791</v>
      </c>
      <c r="AD1747" s="56">
        <f>INDEX(Assumptions!$B$14:$B$16,MATCH($R1747,Assumptions!$A$14:$A$16,0))</f>
        <v>0.18</v>
      </c>
      <c r="AE1747" s="56">
        <f>INDEX(Assumptions!$C$14:$C$16,MATCH($R1747,Assumptions!$A$14:$A$16,0))</f>
        <v>0.12</v>
      </c>
      <c r="AF1747" s="49">
        <f t="shared" si="389"/>
        <v>0</v>
      </c>
      <c r="AG1747" s="49">
        <f t="shared" si="390"/>
        <v>0</v>
      </c>
      <c r="AH1747" s="55">
        <f t="shared" si="391"/>
        <v>0</v>
      </c>
    </row>
    <row r="1748" spans="1:34" x14ac:dyDescent="0.2">
      <c r="A1748" s="48" t="s">
        <v>1414</v>
      </c>
      <c r="B1748" s="48">
        <v>1</v>
      </c>
      <c r="C1748" s="48" t="s">
        <v>1415</v>
      </c>
      <c r="D1748" s="48" t="s">
        <v>1355</v>
      </c>
      <c r="E1748" s="48" t="s">
        <v>343</v>
      </c>
      <c r="F1748" s="48" t="s">
        <v>280</v>
      </c>
      <c r="G1748" s="48" t="s">
        <v>281</v>
      </c>
      <c r="H1748" s="48" t="s">
        <v>62</v>
      </c>
      <c r="I1748" s="48" t="s">
        <v>118</v>
      </c>
      <c r="J1748" s="49">
        <v>17</v>
      </c>
      <c r="K1748" s="50">
        <v>1365</v>
      </c>
      <c r="L1748" s="50">
        <v>1333.49</v>
      </c>
      <c r="M1748" s="48" t="s">
        <v>276</v>
      </c>
      <c r="N1748" s="51">
        <v>1</v>
      </c>
      <c r="O1748" s="51">
        <v>1</v>
      </c>
      <c r="P1748" s="52">
        <v>1162.5999999999999</v>
      </c>
      <c r="Q1748" s="52">
        <v>1231.28</v>
      </c>
      <c r="R1748" s="53" t="str">
        <f>INDEX(SKU_Master!$D$5:$D$34,MATCH($I1748,SKU_Master!$A$5:$A$34,0))</f>
        <v>Laptop</v>
      </c>
      <c r="S1748" s="54">
        <f t="shared" si="378"/>
        <v>2.3084249084249109E-2</v>
      </c>
      <c r="T1748" s="55">
        <f t="shared" si="379"/>
        <v>23205</v>
      </c>
      <c r="U1748" s="55">
        <f t="shared" si="380"/>
        <v>22669.33</v>
      </c>
      <c r="V1748" s="55">
        <f t="shared" si="381"/>
        <v>-535.66999999999825</v>
      </c>
      <c r="W1748" s="55">
        <f t="shared" si="382"/>
        <v>22669.33</v>
      </c>
      <c r="X1748" s="55">
        <f t="shared" si="383"/>
        <v>0</v>
      </c>
      <c r="Y1748" s="55">
        <f t="shared" si="384"/>
        <v>19764.199999999997</v>
      </c>
      <c r="Z1748" s="55">
        <f t="shared" si="385"/>
        <v>20931.759999999998</v>
      </c>
      <c r="AA1748" s="55">
        <f t="shared" si="386"/>
        <v>-1167.5600000000013</v>
      </c>
      <c r="AB1748" s="55">
        <f t="shared" si="387"/>
        <v>1737.5700000000033</v>
      </c>
      <c r="AC1748" s="54">
        <f t="shared" si="388"/>
        <v>7.6648493801978412E-2</v>
      </c>
      <c r="AD1748" s="56">
        <f>INDEX(Assumptions!$B$14:$B$16,MATCH($R1748,Assumptions!$A$14:$A$16,0))</f>
        <v>0.12</v>
      </c>
      <c r="AE1748" s="56">
        <f>INDEX(Assumptions!$C$14:$C$16,MATCH($R1748,Assumptions!$A$14:$A$16,0))</f>
        <v>0.08</v>
      </c>
      <c r="AF1748" s="49">
        <f t="shared" si="389"/>
        <v>1</v>
      </c>
      <c r="AG1748" s="49">
        <f t="shared" si="390"/>
        <v>1</v>
      </c>
      <c r="AH1748" s="55">
        <f t="shared" si="391"/>
        <v>982.74959999999692</v>
      </c>
    </row>
    <row r="1749" spans="1:34" x14ac:dyDescent="0.2">
      <c r="A1749" s="48" t="s">
        <v>1414</v>
      </c>
      <c r="B1749" s="48">
        <v>2</v>
      </c>
      <c r="C1749" s="48" t="s">
        <v>1415</v>
      </c>
      <c r="D1749" s="48" t="s">
        <v>1355</v>
      </c>
      <c r="E1749" s="48" t="s">
        <v>343</v>
      </c>
      <c r="F1749" s="48" t="s">
        <v>280</v>
      </c>
      <c r="G1749" s="48" t="s">
        <v>281</v>
      </c>
      <c r="H1749" s="48" t="s">
        <v>62</v>
      </c>
      <c r="I1749" s="48" t="s">
        <v>138</v>
      </c>
      <c r="J1749" s="49">
        <v>15</v>
      </c>
      <c r="K1749" s="50">
        <v>455</v>
      </c>
      <c r="L1749" s="50">
        <v>437.68</v>
      </c>
      <c r="M1749" s="48" t="s">
        <v>276</v>
      </c>
      <c r="N1749" s="51">
        <v>1</v>
      </c>
      <c r="O1749" s="51">
        <v>1</v>
      </c>
      <c r="P1749" s="52">
        <v>358.2</v>
      </c>
      <c r="Q1749" s="52">
        <v>358.2</v>
      </c>
      <c r="R1749" s="53" t="str">
        <f>INDEX(SKU_Master!$D$5:$D$34,MATCH($I1749,SKU_Master!$A$5:$A$34,0))</f>
        <v>Monitor</v>
      </c>
      <c r="S1749" s="54">
        <f t="shared" si="378"/>
        <v>3.8065934065934059E-2</v>
      </c>
      <c r="T1749" s="55">
        <f t="shared" si="379"/>
        <v>6825</v>
      </c>
      <c r="U1749" s="55">
        <f t="shared" si="380"/>
        <v>6565.2</v>
      </c>
      <c r="V1749" s="55">
        <f t="shared" si="381"/>
        <v>-259.80000000000018</v>
      </c>
      <c r="W1749" s="55">
        <f t="shared" si="382"/>
        <v>6565.2</v>
      </c>
      <c r="X1749" s="55">
        <f t="shared" si="383"/>
        <v>0</v>
      </c>
      <c r="Y1749" s="55">
        <f t="shared" si="384"/>
        <v>5373</v>
      </c>
      <c r="Z1749" s="55">
        <f t="shared" si="385"/>
        <v>5373</v>
      </c>
      <c r="AA1749" s="55">
        <f t="shared" si="386"/>
        <v>0</v>
      </c>
      <c r="AB1749" s="55">
        <f t="shared" si="387"/>
        <v>1192.1999999999998</v>
      </c>
      <c r="AC1749" s="54">
        <f t="shared" si="388"/>
        <v>0.18159385852677754</v>
      </c>
      <c r="AD1749" s="56">
        <f>INDEX(Assumptions!$B$14:$B$16,MATCH($R1749,Assumptions!$A$14:$A$16,0))</f>
        <v>0.18</v>
      </c>
      <c r="AE1749" s="56">
        <f>INDEX(Assumptions!$C$14:$C$16,MATCH($R1749,Assumptions!$A$14:$A$16,0))</f>
        <v>0.12</v>
      </c>
      <c r="AF1749" s="49">
        <f t="shared" si="389"/>
        <v>0</v>
      </c>
      <c r="AG1749" s="49">
        <f t="shared" si="390"/>
        <v>0</v>
      </c>
      <c r="AH1749" s="55">
        <f t="shared" si="391"/>
        <v>0</v>
      </c>
    </row>
    <row r="1750" spans="1:34" x14ac:dyDescent="0.2">
      <c r="A1750" s="48" t="s">
        <v>1414</v>
      </c>
      <c r="B1750" s="48">
        <v>3</v>
      </c>
      <c r="C1750" s="48" t="s">
        <v>1415</v>
      </c>
      <c r="D1750" s="48" t="s">
        <v>1355</v>
      </c>
      <c r="E1750" s="48" t="s">
        <v>343</v>
      </c>
      <c r="F1750" s="48" t="s">
        <v>280</v>
      </c>
      <c r="G1750" s="48" t="s">
        <v>281</v>
      </c>
      <c r="H1750" s="48" t="s">
        <v>62</v>
      </c>
      <c r="I1750" s="48" t="s">
        <v>166</v>
      </c>
      <c r="J1750" s="49">
        <v>18</v>
      </c>
      <c r="K1750" s="50">
        <v>265</v>
      </c>
      <c r="L1750" s="50">
        <v>261.29000000000002</v>
      </c>
      <c r="M1750" s="48" t="s">
        <v>276</v>
      </c>
      <c r="N1750" s="51">
        <v>1</v>
      </c>
      <c r="O1750" s="51">
        <v>1</v>
      </c>
      <c r="P1750" s="52">
        <v>169.35</v>
      </c>
      <c r="Q1750" s="52">
        <v>169.35</v>
      </c>
      <c r="R1750" s="53" t="str">
        <f>INDEX(SKU_Master!$D$5:$D$34,MATCH($I1750,SKU_Master!$A$5:$A$34,0))</f>
        <v>Accessory</v>
      </c>
      <c r="S1750" s="54">
        <f t="shared" si="378"/>
        <v>1.3999999999999901E-2</v>
      </c>
      <c r="T1750" s="55">
        <f t="shared" si="379"/>
        <v>4770</v>
      </c>
      <c r="U1750" s="55">
        <f t="shared" si="380"/>
        <v>4703.22</v>
      </c>
      <c r="V1750" s="55">
        <f t="shared" si="381"/>
        <v>-66.779999999999745</v>
      </c>
      <c r="W1750" s="55">
        <f t="shared" si="382"/>
        <v>4703.22</v>
      </c>
      <c r="X1750" s="55">
        <f t="shared" si="383"/>
        <v>0</v>
      </c>
      <c r="Y1750" s="55">
        <f t="shared" si="384"/>
        <v>3048.2999999999997</v>
      </c>
      <c r="Z1750" s="55">
        <f t="shared" si="385"/>
        <v>3048.2999999999997</v>
      </c>
      <c r="AA1750" s="55">
        <f t="shared" si="386"/>
        <v>0</v>
      </c>
      <c r="AB1750" s="55">
        <f t="shared" si="387"/>
        <v>1654.9200000000005</v>
      </c>
      <c r="AC1750" s="54">
        <f t="shared" si="388"/>
        <v>0.35186957020934601</v>
      </c>
      <c r="AD1750" s="56">
        <f>INDEX(Assumptions!$B$14:$B$16,MATCH($R1750,Assumptions!$A$14:$A$16,0))</f>
        <v>0.32</v>
      </c>
      <c r="AE1750" s="56">
        <f>INDEX(Assumptions!$C$14:$C$16,MATCH($R1750,Assumptions!$A$14:$A$16,0))</f>
        <v>0.22</v>
      </c>
      <c r="AF1750" s="49">
        <f t="shared" si="389"/>
        <v>0</v>
      </c>
      <c r="AG1750" s="49">
        <f t="shared" si="390"/>
        <v>0</v>
      </c>
      <c r="AH1750" s="55">
        <f t="shared" si="391"/>
        <v>0</v>
      </c>
    </row>
    <row r="1751" spans="1:34" x14ac:dyDescent="0.2">
      <c r="A1751" s="48" t="s">
        <v>1416</v>
      </c>
      <c r="B1751" s="48">
        <v>1</v>
      </c>
      <c r="C1751" s="48" t="s">
        <v>1361</v>
      </c>
      <c r="D1751" s="48" t="s">
        <v>1355</v>
      </c>
      <c r="E1751" s="48" t="s">
        <v>343</v>
      </c>
      <c r="F1751" s="48" t="s">
        <v>280</v>
      </c>
      <c r="G1751" s="48" t="s">
        <v>281</v>
      </c>
      <c r="H1751" s="48" t="s">
        <v>62</v>
      </c>
      <c r="I1751" s="48" t="s">
        <v>98</v>
      </c>
      <c r="J1751" s="49">
        <v>23</v>
      </c>
      <c r="K1751" s="50">
        <v>2085</v>
      </c>
      <c r="L1751" s="50">
        <v>2031.46</v>
      </c>
      <c r="M1751" s="48" t="s">
        <v>276</v>
      </c>
      <c r="N1751" s="51">
        <v>1</v>
      </c>
      <c r="O1751" s="51">
        <v>1</v>
      </c>
      <c r="P1751" s="52">
        <v>1780.2</v>
      </c>
      <c r="Q1751" s="52">
        <v>1780.2</v>
      </c>
      <c r="R1751" s="53" t="str">
        <f>INDEX(SKU_Master!$D$5:$D$34,MATCH($I1751,SKU_Master!$A$5:$A$34,0))</f>
        <v>Laptop</v>
      </c>
      <c r="S1751" s="54">
        <f t="shared" si="378"/>
        <v>2.5678657074340472E-2</v>
      </c>
      <c r="T1751" s="55">
        <f t="shared" si="379"/>
        <v>47955</v>
      </c>
      <c r="U1751" s="55">
        <f t="shared" si="380"/>
        <v>46723.58</v>
      </c>
      <c r="V1751" s="55">
        <f t="shared" si="381"/>
        <v>-1231.4199999999983</v>
      </c>
      <c r="W1751" s="55">
        <f t="shared" si="382"/>
        <v>46723.58</v>
      </c>
      <c r="X1751" s="55">
        <f t="shared" si="383"/>
        <v>0</v>
      </c>
      <c r="Y1751" s="55">
        <f t="shared" si="384"/>
        <v>40944.6</v>
      </c>
      <c r="Z1751" s="55">
        <f t="shared" si="385"/>
        <v>40944.6</v>
      </c>
      <c r="AA1751" s="55">
        <f t="shared" si="386"/>
        <v>0</v>
      </c>
      <c r="AB1751" s="55">
        <f t="shared" si="387"/>
        <v>5778.9800000000032</v>
      </c>
      <c r="AC1751" s="54">
        <f t="shared" si="388"/>
        <v>0.12368444370058979</v>
      </c>
      <c r="AD1751" s="56">
        <f>INDEX(Assumptions!$B$14:$B$16,MATCH($R1751,Assumptions!$A$14:$A$16,0))</f>
        <v>0.12</v>
      </c>
      <c r="AE1751" s="56">
        <f>INDEX(Assumptions!$C$14:$C$16,MATCH($R1751,Assumptions!$A$14:$A$16,0))</f>
        <v>0.08</v>
      </c>
      <c r="AF1751" s="49">
        <f t="shared" si="389"/>
        <v>0</v>
      </c>
      <c r="AG1751" s="49">
        <f t="shared" si="390"/>
        <v>0</v>
      </c>
      <c r="AH1751" s="55">
        <f t="shared" si="391"/>
        <v>0</v>
      </c>
    </row>
    <row r="1752" spans="1:34" x14ac:dyDescent="0.2">
      <c r="A1752" s="48" t="s">
        <v>1416</v>
      </c>
      <c r="B1752" s="48">
        <v>2</v>
      </c>
      <c r="C1752" s="48" t="s">
        <v>1361</v>
      </c>
      <c r="D1752" s="48" t="s">
        <v>1355</v>
      </c>
      <c r="E1752" s="48" t="s">
        <v>343</v>
      </c>
      <c r="F1752" s="48" t="s">
        <v>280</v>
      </c>
      <c r="G1752" s="48" t="s">
        <v>281</v>
      </c>
      <c r="H1752" s="48" t="s">
        <v>62</v>
      </c>
      <c r="I1752" s="48" t="s">
        <v>151</v>
      </c>
      <c r="J1752" s="49">
        <v>9</v>
      </c>
      <c r="K1752" s="50">
        <v>335</v>
      </c>
      <c r="L1752" s="50">
        <v>320.14999999999998</v>
      </c>
      <c r="M1752" s="48" t="s">
        <v>276</v>
      </c>
      <c r="N1752" s="51">
        <v>1</v>
      </c>
      <c r="O1752" s="51">
        <v>1</v>
      </c>
      <c r="P1752" s="52">
        <v>216.7</v>
      </c>
      <c r="Q1752" s="52">
        <v>216.7</v>
      </c>
      <c r="R1752" s="53" t="str">
        <f>INDEX(SKU_Master!$D$5:$D$34,MATCH($I1752,SKU_Master!$A$5:$A$34,0))</f>
        <v>Accessory</v>
      </c>
      <c r="S1752" s="54">
        <f t="shared" si="378"/>
        <v>4.432835820895531E-2</v>
      </c>
      <c r="T1752" s="55">
        <f t="shared" si="379"/>
        <v>3015</v>
      </c>
      <c r="U1752" s="55">
        <f t="shared" si="380"/>
        <v>2881.35</v>
      </c>
      <c r="V1752" s="55">
        <f t="shared" si="381"/>
        <v>-133.65000000000009</v>
      </c>
      <c r="W1752" s="55">
        <f t="shared" si="382"/>
        <v>2881.35</v>
      </c>
      <c r="X1752" s="55">
        <f t="shared" si="383"/>
        <v>0</v>
      </c>
      <c r="Y1752" s="55">
        <f t="shared" si="384"/>
        <v>1950.3</v>
      </c>
      <c r="Z1752" s="55">
        <f t="shared" si="385"/>
        <v>1950.3</v>
      </c>
      <c r="AA1752" s="55">
        <f t="shared" si="386"/>
        <v>0</v>
      </c>
      <c r="AB1752" s="55">
        <f t="shared" si="387"/>
        <v>931.05</v>
      </c>
      <c r="AC1752" s="54">
        <f t="shared" si="388"/>
        <v>0.32312978291425892</v>
      </c>
      <c r="AD1752" s="56">
        <f>INDEX(Assumptions!$B$14:$B$16,MATCH($R1752,Assumptions!$A$14:$A$16,0))</f>
        <v>0.32</v>
      </c>
      <c r="AE1752" s="56">
        <f>INDEX(Assumptions!$C$14:$C$16,MATCH($R1752,Assumptions!$A$14:$A$16,0))</f>
        <v>0.22</v>
      </c>
      <c r="AF1752" s="49">
        <f t="shared" si="389"/>
        <v>0</v>
      </c>
      <c r="AG1752" s="49">
        <f t="shared" si="390"/>
        <v>0</v>
      </c>
      <c r="AH1752" s="55">
        <f t="shared" si="391"/>
        <v>0</v>
      </c>
    </row>
    <row r="1753" spans="1:34" x14ac:dyDescent="0.2">
      <c r="A1753" s="48" t="s">
        <v>1417</v>
      </c>
      <c r="B1753" s="48">
        <v>1</v>
      </c>
      <c r="C1753" s="48" t="s">
        <v>1384</v>
      </c>
      <c r="D1753" s="48" t="s">
        <v>1355</v>
      </c>
      <c r="E1753" s="48" t="s">
        <v>273</v>
      </c>
      <c r="F1753" s="48" t="s">
        <v>274</v>
      </c>
      <c r="G1753" s="48" t="s">
        <v>275</v>
      </c>
      <c r="H1753" s="48" t="s">
        <v>66</v>
      </c>
      <c r="I1753" s="48" t="s">
        <v>103</v>
      </c>
      <c r="J1753" s="49">
        <v>4</v>
      </c>
      <c r="K1753" s="50">
        <v>1090</v>
      </c>
      <c r="L1753" s="50">
        <v>1081.33</v>
      </c>
      <c r="M1753" s="48" t="s">
        <v>276</v>
      </c>
      <c r="N1753" s="51">
        <v>0.92</v>
      </c>
      <c r="O1753" s="51">
        <v>0.93310000000000004</v>
      </c>
      <c r="P1753" s="52">
        <v>988.6</v>
      </c>
      <c r="Q1753" s="52">
        <v>988.6</v>
      </c>
      <c r="R1753" s="53" t="str">
        <f>INDEX(SKU_Master!$D$5:$D$34,MATCH($I1753,SKU_Master!$A$5:$A$34,0))</f>
        <v>Laptop</v>
      </c>
      <c r="S1753" s="54">
        <f t="shared" si="378"/>
        <v>7.9541284403670254E-3</v>
      </c>
      <c r="T1753" s="55">
        <f t="shared" si="379"/>
        <v>4739.1304347826081</v>
      </c>
      <c r="U1753" s="55">
        <f t="shared" si="380"/>
        <v>4701.4347826086951</v>
      </c>
      <c r="V1753" s="55">
        <f t="shared" si="381"/>
        <v>-37.695652173913004</v>
      </c>
      <c r="W1753" s="55">
        <f t="shared" si="382"/>
        <v>4635.4302861429642</v>
      </c>
      <c r="X1753" s="55">
        <f t="shared" si="383"/>
        <v>-66.004496465730881</v>
      </c>
      <c r="Y1753" s="55">
        <f t="shared" si="384"/>
        <v>3954.4</v>
      </c>
      <c r="Z1753" s="55">
        <f t="shared" si="385"/>
        <v>3954.4</v>
      </c>
      <c r="AA1753" s="55">
        <f t="shared" si="386"/>
        <v>0</v>
      </c>
      <c r="AB1753" s="55">
        <f t="shared" si="387"/>
        <v>681.03028614296409</v>
      </c>
      <c r="AC1753" s="54">
        <f t="shared" si="388"/>
        <v>0.14691846152423399</v>
      </c>
      <c r="AD1753" s="56">
        <f>INDEX(Assumptions!$B$14:$B$16,MATCH($R1753,Assumptions!$A$14:$A$16,0))</f>
        <v>0.12</v>
      </c>
      <c r="AE1753" s="56">
        <f>INDEX(Assumptions!$C$14:$C$16,MATCH($R1753,Assumptions!$A$14:$A$16,0))</f>
        <v>0.08</v>
      </c>
      <c r="AF1753" s="49">
        <f t="shared" si="389"/>
        <v>0</v>
      </c>
      <c r="AG1753" s="49">
        <f t="shared" si="390"/>
        <v>0</v>
      </c>
      <c r="AH1753" s="55">
        <f t="shared" si="391"/>
        <v>0</v>
      </c>
    </row>
    <row r="1754" spans="1:34" x14ac:dyDescent="0.2">
      <c r="A1754" s="48" t="s">
        <v>1417</v>
      </c>
      <c r="B1754" s="48">
        <v>2</v>
      </c>
      <c r="C1754" s="48" t="s">
        <v>1384</v>
      </c>
      <c r="D1754" s="48" t="s">
        <v>1355</v>
      </c>
      <c r="E1754" s="48" t="s">
        <v>273</v>
      </c>
      <c r="F1754" s="48" t="s">
        <v>274</v>
      </c>
      <c r="G1754" s="48" t="s">
        <v>275</v>
      </c>
      <c r="H1754" s="48" t="s">
        <v>66</v>
      </c>
      <c r="I1754" s="48" t="s">
        <v>157</v>
      </c>
      <c r="J1754" s="49">
        <v>3</v>
      </c>
      <c r="K1754" s="50">
        <v>135</v>
      </c>
      <c r="L1754" s="50">
        <v>132.41</v>
      </c>
      <c r="M1754" s="48" t="s">
        <v>276</v>
      </c>
      <c r="N1754" s="51">
        <v>0.92</v>
      </c>
      <c r="O1754" s="51">
        <v>0.93310000000000004</v>
      </c>
      <c r="P1754" s="52">
        <v>91</v>
      </c>
      <c r="Q1754" s="52">
        <v>91</v>
      </c>
      <c r="R1754" s="53" t="str">
        <f>INDEX(SKU_Master!$D$5:$D$34,MATCH($I1754,SKU_Master!$A$5:$A$34,0))</f>
        <v>Accessory</v>
      </c>
      <c r="S1754" s="54">
        <f t="shared" si="378"/>
        <v>1.9185185185185194E-2</v>
      </c>
      <c r="T1754" s="55">
        <f t="shared" si="379"/>
        <v>440.21739130434781</v>
      </c>
      <c r="U1754" s="55">
        <f t="shared" si="380"/>
        <v>431.77173913043481</v>
      </c>
      <c r="V1754" s="55">
        <f t="shared" si="381"/>
        <v>-8.4456521739130039</v>
      </c>
      <c r="W1754" s="55">
        <f t="shared" si="382"/>
        <v>425.70999892830349</v>
      </c>
      <c r="X1754" s="55">
        <f t="shared" si="383"/>
        <v>-6.0617402021313183</v>
      </c>
      <c r="Y1754" s="55">
        <f t="shared" si="384"/>
        <v>273</v>
      </c>
      <c r="Z1754" s="55">
        <f t="shared" si="385"/>
        <v>273</v>
      </c>
      <c r="AA1754" s="55">
        <f t="shared" si="386"/>
        <v>0</v>
      </c>
      <c r="AB1754" s="55">
        <f t="shared" si="387"/>
        <v>152.70999892830349</v>
      </c>
      <c r="AC1754" s="54">
        <f t="shared" si="388"/>
        <v>0.35871837474510987</v>
      </c>
      <c r="AD1754" s="56">
        <f>INDEX(Assumptions!$B$14:$B$16,MATCH($R1754,Assumptions!$A$14:$A$16,0))</f>
        <v>0.32</v>
      </c>
      <c r="AE1754" s="56">
        <f>INDEX(Assumptions!$C$14:$C$16,MATCH($R1754,Assumptions!$A$14:$A$16,0))</f>
        <v>0.22</v>
      </c>
      <c r="AF1754" s="49">
        <f t="shared" si="389"/>
        <v>0</v>
      </c>
      <c r="AG1754" s="49">
        <f t="shared" si="390"/>
        <v>0</v>
      </c>
      <c r="AH1754" s="55">
        <f t="shared" si="391"/>
        <v>0</v>
      </c>
    </row>
    <row r="1755" spans="1:34" x14ac:dyDescent="0.2">
      <c r="A1755" s="48" t="s">
        <v>1418</v>
      </c>
      <c r="B1755" s="48">
        <v>1</v>
      </c>
      <c r="C1755" s="48" t="s">
        <v>1398</v>
      </c>
      <c r="D1755" s="48" t="s">
        <v>1355</v>
      </c>
      <c r="E1755" s="48" t="s">
        <v>311</v>
      </c>
      <c r="F1755" s="48" t="s">
        <v>297</v>
      </c>
      <c r="G1755" s="48" t="s">
        <v>302</v>
      </c>
      <c r="H1755" s="48" t="s">
        <v>62</v>
      </c>
      <c r="I1755" s="48" t="s">
        <v>98</v>
      </c>
      <c r="J1755" s="49">
        <v>69</v>
      </c>
      <c r="K1755" s="50">
        <v>2085</v>
      </c>
      <c r="L1755" s="50">
        <v>2040.02</v>
      </c>
      <c r="M1755" s="48" t="s">
        <v>276</v>
      </c>
      <c r="N1755" s="51">
        <v>1</v>
      </c>
      <c r="O1755" s="51">
        <v>1</v>
      </c>
      <c r="P1755" s="52">
        <v>1780.2</v>
      </c>
      <c r="Q1755" s="52">
        <v>1780.2</v>
      </c>
      <c r="R1755" s="53" t="str">
        <f>INDEX(SKU_Master!$D$5:$D$34,MATCH($I1755,SKU_Master!$A$5:$A$34,0))</f>
        <v>Laptop</v>
      </c>
      <c r="S1755" s="54">
        <f t="shared" si="378"/>
        <v>2.1573141486810554E-2</v>
      </c>
      <c r="T1755" s="55">
        <f t="shared" si="379"/>
        <v>143865</v>
      </c>
      <c r="U1755" s="55">
        <f t="shared" si="380"/>
        <v>140761.38</v>
      </c>
      <c r="V1755" s="55">
        <f t="shared" si="381"/>
        <v>-3103.6199999999953</v>
      </c>
      <c r="W1755" s="55">
        <f t="shared" si="382"/>
        <v>140761.38</v>
      </c>
      <c r="X1755" s="55">
        <f t="shared" si="383"/>
        <v>0</v>
      </c>
      <c r="Y1755" s="55">
        <f t="shared" si="384"/>
        <v>122833.8</v>
      </c>
      <c r="Z1755" s="55">
        <f t="shared" si="385"/>
        <v>122833.8</v>
      </c>
      <c r="AA1755" s="55">
        <f t="shared" si="386"/>
        <v>0</v>
      </c>
      <c r="AB1755" s="55">
        <f t="shared" si="387"/>
        <v>17927.580000000002</v>
      </c>
      <c r="AC1755" s="54">
        <f t="shared" si="388"/>
        <v>0.1273614964559171</v>
      </c>
      <c r="AD1755" s="56">
        <f>INDEX(Assumptions!$B$14:$B$16,MATCH($R1755,Assumptions!$A$14:$A$16,0))</f>
        <v>0.12</v>
      </c>
      <c r="AE1755" s="56">
        <f>INDEX(Assumptions!$C$14:$C$16,MATCH($R1755,Assumptions!$A$14:$A$16,0))</f>
        <v>0.08</v>
      </c>
      <c r="AF1755" s="49">
        <f t="shared" si="389"/>
        <v>0</v>
      </c>
      <c r="AG1755" s="49">
        <f t="shared" si="390"/>
        <v>0</v>
      </c>
      <c r="AH1755" s="55">
        <f t="shared" si="391"/>
        <v>0</v>
      </c>
    </row>
    <row r="1756" spans="1:34" x14ac:dyDescent="0.2">
      <c r="A1756" s="48" t="s">
        <v>1418</v>
      </c>
      <c r="B1756" s="48">
        <v>2</v>
      </c>
      <c r="C1756" s="48" t="s">
        <v>1398</v>
      </c>
      <c r="D1756" s="48" t="s">
        <v>1355</v>
      </c>
      <c r="E1756" s="48" t="s">
        <v>311</v>
      </c>
      <c r="F1756" s="48" t="s">
        <v>297</v>
      </c>
      <c r="G1756" s="48" t="s">
        <v>302</v>
      </c>
      <c r="H1756" s="48" t="s">
        <v>62</v>
      </c>
      <c r="I1756" s="48" t="s">
        <v>164</v>
      </c>
      <c r="J1756" s="49">
        <v>50</v>
      </c>
      <c r="K1756" s="50">
        <v>190</v>
      </c>
      <c r="L1756" s="50">
        <v>174.08</v>
      </c>
      <c r="M1756" s="48" t="s">
        <v>276</v>
      </c>
      <c r="N1756" s="51">
        <v>1</v>
      </c>
      <c r="O1756" s="51">
        <v>1</v>
      </c>
      <c r="P1756" s="52">
        <v>121</v>
      </c>
      <c r="Q1756" s="52">
        <v>121</v>
      </c>
      <c r="R1756" s="53" t="str">
        <f>INDEX(SKU_Master!$D$5:$D$34,MATCH($I1756,SKU_Master!$A$5:$A$34,0))</f>
        <v>Accessory</v>
      </c>
      <c r="S1756" s="54">
        <f t="shared" si="378"/>
        <v>8.3789473684210414E-2</v>
      </c>
      <c r="T1756" s="55">
        <f t="shared" si="379"/>
        <v>9500</v>
      </c>
      <c r="U1756" s="55">
        <f t="shared" si="380"/>
        <v>8704</v>
      </c>
      <c r="V1756" s="55">
        <f t="shared" si="381"/>
        <v>-796</v>
      </c>
      <c r="W1756" s="55">
        <f t="shared" si="382"/>
        <v>8704</v>
      </c>
      <c r="X1756" s="55">
        <f t="shared" si="383"/>
        <v>0</v>
      </c>
      <c r="Y1756" s="55">
        <f t="shared" si="384"/>
        <v>6050</v>
      </c>
      <c r="Z1756" s="55">
        <f t="shared" si="385"/>
        <v>6050</v>
      </c>
      <c r="AA1756" s="55">
        <f t="shared" si="386"/>
        <v>0</v>
      </c>
      <c r="AB1756" s="55">
        <f t="shared" si="387"/>
        <v>2654</v>
      </c>
      <c r="AC1756" s="54">
        <f t="shared" si="388"/>
        <v>0.30491727941176472</v>
      </c>
      <c r="AD1756" s="56">
        <f>INDEX(Assumptions!$B$14:$B$16,MATCH($R1756,Assumptions!$A$14:$A$16,0))</f>
        <v>0.32</v>
      </c>
      <c r="AE1756" s="56">
        <f>INDEX(Assumptions!$C$14:$C$16,MATCH($R1756,Assumptions!$A$14:$A$16,0))</f>
        <v>0.22</v>
      </c>
      <c r="AF1756" s="49">
        <f t="shared" si="389"/>
        <v>0</v>
      </c>
      <c r="AG1756" s="49">
        <f t="shared" si="390"/>
        <v>0</v>
      </c>
      <c r="AH1756" s="55">
        <f t="shared" si="391"/>
        <v>131.2800000000002</v>
      </c>
    </row>
    <row r="1757" spans="1:34" x14ac:dyDescent="0.2">
      <c r="A1757" s="48" t="s">
        <v>1419</v>
      </c>
      <c r="B1757" s="48">
        <v>1</v>
      </c>
      <c r="C1757" s="48" t="s">
        <v>1390</v>
      </c>
      <c r="D1757" s="48" t="s">
        <v>1355</v>
      </c>
      <c r="E1757" s="48" t="s">
        <v>273</v>
      </c>
      <c r="F1757" s="48" t="s">
        <v>274</v>
      </c>
      <c r="G1757" s="48" t="s">
        <v>275</v>
      </c>
      <c r="H1757" s="48" t="s">
        <v>66</v>
      </c>
      <c r="I1757" s="48" t="s">
        <v>93</v>
      </c>
      <c r="J1757" s="49">
        <v>4</v>
      </c>
      <c r="K1757" s="50">
        <v>1325</v>
      </c>
      <c r="L1757" s="50">
        <v>1306.5</v>
      </c>
      <c r="M1757" s="48" t="s">
        <v>276</v>
      </c>
      <c r="N1757" s="51">
        <v>0.92</v>
      </c>
      <c r="O1757" s="51">
        <v>0.93310000000000004</v>
      </c>
      <c r="P1757" s="52">
        <v>1206.2</v>
      </c>
      <c r="Q1757" s="52">
        <v>1206.2</v>
      </c>
      <c r="R1757" s="53" t="str">
        <f>INDEX(SKU_Master!$D$5:$D$34,MATCH($I1757,SKU_Master!$A$5:$A$34,0))</f>
        <v>Laptop</v>
      </c>
      <c r="S1757" s="54">
        <f t="shared" si="378"/>
        <v>1.3962264150943371E-2</v>
      </c>
      <c r="T1757" s="55">
        <f t="shared" si="379"/>
        <v>5760.869565217391</v>
      </c>
      <c r="U1757" s="55">
        <f t="shared" si="380"/>
        <v>5680.4347826086951</v>
      </c>
      <c r="V1757" s="55">
        <f t="shared" si="381"/>
        <v>-80.434782608695969</v>
      </c>
      <c r="W1757" s="55">
        <f t="shared" si="382"/>
        <v>5600.6858857571533</v>
      </c>
      <c r="X1757" s="55">
        <f t="shared" si="383"/>
        <v>-79.748896851541758</v>
      </c>
      <c r="Y1757" s="55">
        <f t="shared" si="384"/>
        <v>4824.8</v>
      </c>
      <c r="Z1757" s="55">
        <f t="shared" si="385"/>
        <v>4824.8</v>
      </c>
      <c r="AA1757" s="55">
        <f t="shared" si="386"/>
        <v>0</v>
      </c>
      <c r="AB1757" s="55">
        <f t="shared" si="387"/>
        <v>775.88588575715312</v>
      </c>
      <c r="AC1757" s="54">
        <f t="shared" si="388"/>
        <v>0.13853408342900872</v>
      </c>
      <c r="AD1757" s="56">
        <f>INDEX(Assumptions!$B$14:$B$16,MATCH($R1757,Assumptions!$A$14:$A$16,0))</f>
        <v>0.12</v>
      </c>
      <c r="AE1757" s="56">
        <f>INDEX(Assumptions!$C$14:$C$16,MATCH($R1757,Assumptions!$A$14:$A$16,0))</f>
        <v>0.08</v>
      </c>
      <c r="AF1757" s="49">
        <f t="shared" si="389"/>
        <v>0</v>
      </c>
      <c r="AG1757" s="49">
        <f t="shared" si="390"/>
        <v>0</v>
      </c>
      <c r="AH1757" s="55">
        <f t="shared" si="391"/>
        <v>0</v>
      </c>
    </row>
    <row r="1758" spans="1:34" x14ac:dyDescent="0.2">
      <c r="A1758" s="48" t="s">
        <v>1419</v>
      </c>
      <c r="B1758" s="48">
        <v>2</v>
      </c>
      <c r="C1758" s="48" t="s">
        <v>1390</v>
      </c>
      <c r="D1758" s="48" t="s">
        <v>1355</v>
      </c>
      <c r="E1758" s="48" t="s">
        <v>273</v>
      </c>
      <c r="F1758" s="48" t="s">
        <v>274</v>
      </c>
      <c r="G1758" s="48" t="s">
        <v>275</v>
      </c>
      <c r="H1758" s="48" t="s">
        <v>66</v>
      </c>
      <c r="I1758" s="48" t="s">
        <v>151</v>
      </c>
      <c r="J1758" s="49">
        <v>4</v>
      </c>
      <c r="K1758" s="50">
        <v>325</v>
      </c>
      <c r="L1758" s="50">
        <v>320.74</v>
      </c>
      <c r="M1758" s="48" t="s">
        <v>276</v>
      </c>
      <c r="N1758" s="51">
        <v>0.92</v>
      </c>
      <c r="O1758" s="51">
        <v>0.93310000000000004</v>
      </c>
      <c r="P1758" s="52">
        <v>221.7</v>
      </c>
      <c r="Q1758" s="52">
        <v>221.7</v>
      </c>
      <c r="R1758" s="53" t="str">
        <f>INDEX(SKU_Master!$D$5:$D$34,MATCH($I1758,SKU_Master!$A$5:$A$34,0))</f>
        <v>Accessory</v>
      </c>
      <c r="S1758" s="54">
        <f t="shared" si="378"/>
        <v>1.3107692307692265E-2</v>
      </c>
      <c r="T1758" s="55">
        <f t="shared" si="379"/>
        <v>1413.0434782608695</v>
      </c>
      <c r="U1758" s="55">
        <f t="shared" si="380"/>
        <v>1394.5217391304348</v>
      </c>
      <c r="V1758" s="55">
        <f t="shared" si="381"/>
        <v>-18.521739130434753</v>
      </c>
      <c r="W1758" s="55">
        <f t="shared" si="382"/>
        <v>1374.9437359339834</v>
      </c>
      <c r="X1758" s="55">
        <f t="shared" si="383"/>
        <v>-19.578003196451391</v>
      </c>
      <c r="Y1758" s="55">
        <f t="shared" si="384"/>
        <v>886.8</v>
      </c>
      <c r="Z1758" s="55">
        <f t="shared" si="385"/>
        <v>886.8</v>
      </c>
      <c r="AA1758" s="55">
        <f t="shared" si="386"/>
        <v>0</v>
      </c>
      <c r="AB1758" s="55">
        <f t="shared" si="387"/>
        <v>488.14373593398341</v>
      </c>
      <c r="AC1758" s="54">
        <f t="shared" si="388"/>
        <v>0.35502815364469659</v>
      </c>
      <c r="AD1758" s="56">
        <f>INDEX(Assumptions!$B$14:$B$16,MATCH($R1758,Assumptions!$A$14:$A$16,0))</f>
        <v>0.32</v>
      </c>
      <c r="AE1758" s="56">
        <f>INDEX(Assumptions!$C$14:$C$16,MATCH($R1758,Assumptions!$A$14:$A$16,0))</f>
        <v>0.22</v>
      </c>
      <c r="AF1758" s="49">
        <f t="shared" si="389"/>
        <v>0</v>
      </c>
      <c r="AG1758" s="49">
        <f t="shared" si="390"/>
        <v>0</v>
      </c>
      <c r="AH1758" s="55">
        <f t="shared" si="391"/>
        <v>0</v>
      </c>
    </row>
    <row r="1759" spans="1:34" x14ac:dyDescent="0.2">
      <c r="A1759" s="48" t="s">
        <v>1420</v>
      </c>
      <c r="B1759" s="48">
        <v>1</v>
      </c>
      <c r="C1759" s="48" t="s">
        <v>1394</v>
      </c>
      <c r="D1759" s="48" t="s">
        <v>1355</v>
      </c>
      <c r="E1759" s="48" t="s">
        <v>309</v>
      </c>
      <c r="F1759" s="48" t="s">
        <v>280</v>
      </c>
      <c r="G1759" s="48" t="s">
        <v>298</v>
      </c>
      <c r="H1759" s="48" t="s">
        <v>70</v>
      </c>
      <c r="I1759" s="48" t="s">
        <v>118</v>
      </c>
      <c r="J1759" s="49">
        <v>12</v>
      </c>
      <c r="K1759" s="50">
        <v>132140</v>
      </c>
      <c r="L1759" s="50">
        <v>130308.82</v>
      </c>
      <c r="M1759" s="48" t="s">
        <v>276</v>
      </c>
      <c r="N1759" s="51">
        <v>83.5</v>
      </c>
      <c r="O1759" s="51">
        <v>84.872</v>
      </c>
      <c r="P1759" s="52">
        <v>1325.51</v>
      </c>
      <c r="Q1759" s="52">
        <v>1421.74</v>
      </c>
      <c r="R1759" s="53" t="str">
        <f>INDEX(SKU_Master!$D$5:$D$34,MATCH($I1759,SKU_Master!$A$5:$A$34,0))</f>
        <v>Laptop</v>
      </c>
      <c r="S1759" s="54">
        <f t="shared" si="378"/>
        <v>1.3857878008173063E-2</v>
      </c>
      <c r="T1759" s="55">
        <f t="shared" si="379"/>
        <v>18990.179640718561</v>
      </c>
      <c r="U1759" s="55">
        <f t="shared" si="380"/>
        <v>18727.016047904192</v>
      </c>
      <c r="V1759" s="55">
        <f t="shared" si="381"/>
        <v>-263.16359281436962</v>
      </c>
      <c r="W1759" s="55">
        <f t="shared" si="382"/>
        <v>18424.284098407014</v>
      </c>
      <c r="X1759" s="55">
        <f t="shared" si="383"/>
        <v>-302.73194949717799</v>
      </c>
      <c r="Y1759" s="55">
        <f t="shared" si="384"/>
        <v>15906.119999999999</v>
      </c>
      <c r="Z1759" s="55">
        <f t="shared" si="385"/>
        <v>17060.88</v>
      </c>
      <c r="AA1759" s="55">
        <f t="shared" si="386"/>
        <v>-1154.760000000002</v>
      </c>
      <c r="AB1759" s="55">
        <f t="shared" si="387"/>
        <v>1363.4040984070125</v>
      </c>
      <c r="AC1759" s="54">
        <f t="shared" si="388"/>
        <v>7.4000384010844369E-2</v>
      </c>
      <c r="AD1759" s="56">
        <f>INDEX(Assumptions!$B$14:$B$16,MATCH($R1759,Assumptions!$A$14:$A$16,0))</f>
        <v>0.12</v>
      </c>
      <c r="AE1759" s="56">
        <f>INDEX(Assumptions!$C$14:$C$16,MATCH($R1759,Assumptions!$A$14:$A$16,0))</f>
        <v>0.08</v>
      </c>
      <c r="AF1759" s="49">
        <f t="shared" si="389"/>
        <v>1</v>
      </c>
      <c r="AG1759" s="49">
        <f t="shared" si="390"/>
        <v>1</v>
      </c>
      <c r="AH1759" s="55">
        <f t="shared" si="391"/>
        <v>847.50999340182898</v>
      </c>
    </row>
    <row r="1760" spans="1:34" x14ac:dyDescent="0.2">
      <c r="A1760" s="48" t="s">
        <v>1420</v>
      </c>
      <c r="B1760" s="48">
        <v>2</v>
      </c>
      <c r="C1760" s="48" t="s">
        <v>1394</v>
      </c>
      <c r="D1760" s="48" t="s">
        <v>1355</v>
      </c>
      <c r="E1760" s="48" t="s">
        <v>309</v>
      </c>
      <c r="F1760" s="48" t="s">
        <v>280</v>
      </c>
      <c r="G1760" s="48" t="s">
        <v>298</v>
      </c>
      <c r="H1760" s="48" t="s">
        <v>70</v>
      </c>
      <c r="I1760" s="48" t="s">
        <v>146</v>
      </c>
      <c r="J1760" s="49">
        <v>9</v>
      </c>
      <c r="K1760" s="50">
        <v>26365</v>
      </c>
      <c r="L1760" s="50">
        <v>25484.55</v>
      </c>
      <c r="M1760" s="48" t="s">
        <v>276</v>
      </c>
      <c r="N1760" s="51">
        <v>83.5</v>
      </c>
      <c r="O1760" s="51">
        <v>84.872</v>
      </c>
      <c r="P1760" s="52">
        <v>244.05</v>
      </c>
      <c r="Q1760" s="52">
        <v>264.05</v>
      </c>
      <c r="R1760" s="53" t="str">
        <f>INDEX(SKU_Master!$D$5:$D$34,MATCH($I1760,SKU_Master!$A$5:$A$34,0))</f>
        <v>Monitor</v>
      </c>
      <c r="S1760" s="54">
        <f t="shared" si="378"/>
        <v>3.339465200075864E-2</v>
      </c>
      <c r="T1760" s="55">
        <f t="shared" si="379"/>
        <v>2841.7365269461079</v>
      </c>
      <c r="U1760" s="55">
        <f t="shared" si="380"/>
        <v>2746.8377245508982</v>
      </c>
      <c r="V1760" s="55">
        <f t="shared" si="381"/>
        <v>-94.898802395209714</v>
      </c>
      <c r="W1760" s="55">
        <f t="shared" si="382"/>
        <v>2702.4336648128947</v>
      </c>
      <c r="X1760" s="55">
        <f t="shared" si="383"/>
        <v>-44.404059738003525</v>
      </c>
      <c r="Y1760" s="55">
        <f t="shared" si="384"/>
        <v>2196.4500000000003</v>
      </c>
      <c r="Z1760" s="55">
        <f t="shared" si="385"/>
        <v>2376.4500000000003</v>
      </c>
      <c r="AA1760" s="55">
        <f t="shared" si="386"/>
        <v>-180</v>
      </c>
      <c r="AB1760" s="55">
        <f t="shared" si="387"/>
        <v>325.9836648128944</v>
      </c>
      <c r="AC1760" s="54">
        <f t="shared" si="388"/>
        <v>0.12062596357400845</v>
      </c>
      <c r="AD1760" s="56">
        <f>INDEX(Assumptions!$B$14:$B$16,MATCH($R1760,Assumptions!$A$14:$A$16,0))</f>
        <v>0.18</v>
      </c>
      <c r="AE1760" s="56">
        <f>INDEX(Assumptions!$C$14:$C$16,MATCH($R1760,Assumptions!$A$14:$A$16,0))</f>
        <v>0.12</v>
      </c>
      <c r="AF1760" s="49">
        <f t="shared" si="389"/>
        <v>0</v>
      </c>
      <c r="AG1760" s="49">
        <f t="shared" si="390"/>
        <v>0</v>
      </c>
      <c r="AH1760" s="55">
        <f t="shared" si="391"/>
        <v>160.45439485342661</v>
      </c>
    </row>
    <row r="1761" spans="1:34" x14ac:dyDescent="0.2">
      <c r="A1761" s="48" t="s">
        <v>1421</v>
      </c>
      <c r="B1761" s="48">
        <v>1</v>
      </c>
      <c r="C1761" s="48" t="s">
        <v>1422</v>
      </c>
      <c r="D1761" s="48" t="s">
        <v>1355</v>
      </c>
      <c r="E1761" s="48" t="s">
        <v>273</v>
      </c>
      <c r="F1761" s="48" t="s">
        <v>274</v>
      </c>
      <c r="G1761" s="48" t="s">
        <v>275</v>
      </c>
      <c r="H1761" s="48" t="s">
        <v>66</v>
      </c>
      <c r="I1761" s="48" t="s">
        <v>126</v>
      </c>
      <c r="J1761" s="49">
        <v>4</v>
      </c>
      <c r="K1761" s="50">
        <v>1020</v>
      </c>
      <c r="L1761" s="50">
        <v>1012.56</v>
      </c>
      <c r="M1761" s="48" t="s">
        <v>276</v>
      </c>
      <c r="N1761" s="51">
        <v>0.92</v>
      </c>
      <c r="O1761" s="51">
        <v>0.93310000000000004</v>
      </c>
      <c r="P1761" s="52">
        <v>928</v>
      </c>
      <c r="Q1761" s="52">
        <v>928</v>
      </c>
      <c r="R1761" s="53" t="str">
        <f>INDEX(SKU_Master!$D$5:$D$34,MATCH($I1761,SKU_Master!$A$5:$A$34,0))</f>
        <v>Laptop</v>
      </c>
      <c r="S1761" s="54">
        <f t="shared" si="378"/>
        <v>7.2941176470588953E-3</v>
      </c>
      <c r="T1761" s="55">
        <f t="shared" si="379"/>
        <v>4434.782608695652</v>
      </c>
      <c r="U1761" s="55">
        <f t="shared" si="380"/>
        <v>4402.4347826086951</v>
      </c>
      <c r="V1761" s="55">
        <f t="shared" si="381"/>
        <v>-32.347826086956957</v>
      </c>
      <c r="W1761" s="55">
        <f t="shared" si="382"/>
        <v>4340.6280141463931</v>
      </c>
      <c r="X1761" s="55">
        <f t="shared" si="383"/>
        <v>-61.806768462301989</v>
      </c>
      <c r="Y1761" s="55">
        <f t="shared" si="384"/>
        <v>3712</v>
      </c>
      <c r="Z1761" s="55">
        <f t="shared" si="385"/>
        <v>3712</v>
      </c>
      <c r="AA1761" s="55">
        <f t="shared" si="386"/>
        <v>0</v>
      </c>
      <c r="AB1761" s="55">
        <f t="shared" si="387"/>
        <v>628.62801414639307</v>
      </c>
      <c r="AC1761" s="54">
        <f t="shared" si="388"/>
        <v>0.14482420794817083</v>
      </c>
      <c r="AD1761" s="56">
        <f>INDEX(Assumptions!$B$14:$B$16,MATCH($R1761,Assumptions!$A$14:$A$16,0))</f>
        <v>0.12</v>
      </c>
      <c r="AE1761" s="56">
        <f>INDEX(Assumptions!$C$14:$C$16,MATCH($R1761,Assumptions!$A$14:$A$16,0))</f>
        <v>0.08</v>
      </c>
      <c r="AF1761" s="49">
        <f t="shared" si="389"/>
        <v>0</v>
      </c>
      <c r="AG1761" s="49">
        <f t="shared" si="390"/>
        <v>0</v>
      </c>
      <c r="AH1761" s="55">
        <f t="shared" si="391"/>
        <v>0</v>
      </c>
    </row>
    <row r="1762" spans="1:34" x14ac:dyDescent="0.2">
      <c r="A1762" s="48" t="s">
        <v>1421</v>
      </c>
      <c r="B1762" s="48">
        <v>2</v>
      </c>
      <c r="C1762" s="48" t="s">
        <v>1422</v>
      </c>
      <c r="D1762" s="48" t="s">
        <v>1355</v>
      </c>
      <c r="E1762" s="48" t="s">
        <v>273</v>
      </c>
      <c r="F1762" s="48" t="s">
        <v>274</v>
      </c>
      <c r="G1762" s="48" t="s">
        <v>275</v>
      </c>
      <c r="H1762" s="48" t="s">
        <v>66</v>
      </c>
      <c r="I1762" s="48" t="s">
        <v>146</v>
      </c>
      <c r="J1762" s="49">
        <v>2</v>
      </c>
      <c r="K1762" s="50">
        <v>250</v>
      </c>
      <c r="L1762" s="50">
        <v>249.23</v>
      </c>
      <c r="M1762" s="48" t="s">
        <v>276</v>
      </c>
      <c r="N1762" s="51">
        <v>0.92</v>
      </c>
      <c r="O1762" s="51">
        <v>0.93310000000000004</v>
      </c>
      <c r="P1762" s="52">
        <v>206.8</v>
      </c>
      <c r="Q1762" s="52">
        <v>206.8</v>
      </c>
      <c r="R1762" s="53" t="str">
        <f>INDEX(SKU_Master!$D$5:$D$34,MATCH($I1762,SKU_Master!$A$5:$A$34,0))</f>
        <v>Monitor</v>
      </c>
      <c r="S1762" s="54">
        <f t="shared" si="378"/>
        <v>3.0800000000000827E-3</v>
      </c>
      <c r="T1762" s="55">
        <f t="shared" si="379"/>
        <v>543.47826086956525</v>
      </c>
      <c r="U1762" s="55">
        <f t="shared" si="380"/>
        <v>541.80434782608688</v>
      </c>
      <c r="V1762" s="55">
        <f t="shared" si="381"/>
        <v>-1.6739130434783647</v>
      </c>
      <c r="W1762" s="55">
        <f t="shared" si="382"/>
        <v>534.19783517307894</v>
      </c>
      <c r="X1762" s="55">
        <f t="shared" si="383"/>
        <v>-7.6065126530079397</v>
      </c>
      <c r="Y1762" s="55">
        <f t="shared" si="384"/>
        <v>413.6</v>
      </c>
      <c r="Z1762" s="55">
        <f t="shared" si="385"/>
        <v>413.6</v>
      </c>
      <c r="AA1762" s="55">
        <f t="shared" si="386"/>
        <v>0</v>
      </c>
      <c r="AB1762" s="55">
        <f t="shared" si="387"/>
        <v>120.59783517307892</v>
      </c>
      <c r="AC1762" s="54">
        <f t="shared" si="388"/>
        <v>0.22575500541668328</v>
      </c>
      <c r="AD1762" s="56">
        <f>INDEX(Assumptions!$B$14:$B$16,MATCH($R1762,Assumptions!$A$14:$A$16,0))</f>
        <v>0.18</v>
      </c>
      <c r="AE1762" s="56">
        <f>INDEX(Assumptions!$C$14:$C$16,MATCH($R1762,Assumptions!$A$14:$A$16,0))</f>
        <v>0.12</v>
      </c>
      <c r="AF1762" s="49">
        <f t="shared" si="389"/>
        <v>0</v>
      </c>
      <c r="AG1762" s="49">
        <f t="shared" si="390"/>
        <v>0</v>
      </c>
      <c r="AH1762" s="55">
        <f t="shared" si="391"/>
        <v>0</v>
      </c>
    </row>
    <row r="1763" spans="1:34" x14ac:dyDescent="0.2">
      <c r="A1763" s="48" t="s">
        <v>1423</v>
      </c>
      <c r="B1763" s="48">
        <v>1</v>
      </c>
      <c r="C1763" s="48" t="s">
        <v>1378</v>
      </c>
      <c r="D1763" s="48" t="s">
        <v>1355</v>
      </c>
      <c r="E1763" s="48" t="s">
        <v>384</v>
      </c>
      <c r="F1763" s="48" t="s">
        <v>297</v>
      </c>
      <c r="G1763" s="48" t="s">
        <v>281</v>
      </c>
      <c r="H1763" s="48" t="s">
        <v>70</v>
      </c>
      <c r="I1763" s="48" t="s">
        <v>93</v>
      </c>
      <c r="J1763" s="49">
        <v>48</v>
      </c>
      <c r="K1763" s="50">
        <v>134750</v>
      </c>
      <c r="L1763" s="50">
        <v>129594.03</v>
      </c>
      <c r="M1763" s="48" t="s">
        <v>276</v>
      </c>
      <c r="N1763" s="51">
        <v>83.5</v>
      </c>
      <c r="O1763" s="51">
        <v>84.872</v>
      </c>
      <c r="P1763" s="52">
        <v>1351.7</v>
      </c>
      <c r="Q1763" s="52">
        <v>1371.7</v>
      </c>
      <c r="R1763" s="53" t="str">
        <f>INDEX(SKU_Master!$D$5:$D$34,MATCH($I1763,SKU_Master!$A$5:$A$34,0))</f>
        <v>Laptop</v>
      </c>
      <c r="S1763" s="54">
        <f t="shared" si="378"/>
        <v>3.8263228200371091E-2</v>
      </c>
      <c r="T1763" s="55">
        <f t="shared" si="379"/>
        <v>77461.077844311381</v>
      </c>
      <c r="U1763" s="55">
        <f t="shared" si="380"/>
        <v>74497.166946107784</v>
      </c>
      <c r="V1763" s="55">
        <f t="shared" si="381"/>
        <v>-2963.9108982035978</v>
      </c>
      <c r="W1763" s="55">
        <f t="shared" si="382"/>
        <v>73292.881515694215</v>
      </c>
      <c r="X1763" s="55">
        <f t="shared" si="383"/>
        <v>-1204.285430413569</v>
      </c>
      <c r="Y1763" s="55">
        <f t="shared" si="384"/>
        <v>64881.600000000006</v>
      </c>
      <c r="Z1763" s="55">
        <f t="shared" si="385"/>
        <v>65841.600000000006</v>
      </c>
      <c r="AA1763" s="55">
        <f t="shared" si="386"/>
        <v>-960</v>
      </c>
      <c r="AB1763" s="55">
        <f t="shared" si="387"/>
        <v>7451.2815156942088</v>
      </c>
      <c r="AC1763" s="54">
        <f t="shared" si="388"/>
        <v>0.10166446401890564</v>
      </c>
      <c r="AD1763" s="56">
        <f>INDEX(Assumptions!$B$14:$B$16,MATCH($R1763,Assumptions!$A$14:$A$16,0))</f>
        <v>0.12</v>
      </c>
      <c r="AE1763" s="56">
        <f>INDEX(Assumptions!$C$14:$C$16,MATCH($R1763,Assumptions!$A$14:$A$16,0))</f>
        <v>0.08</v>
      </c>
      <c r="AF1763" s="49">
        <f t="shared" si="389"/>
        <v>0</v>
      </c>
      <c r="AG1763" s="49">
        <f t="shared" si="390"/>
        <v>0</v>
      </c>
      <c r="AH1763" s="55">
        <f t="shared" si="391"/>
        <v>1343.8642661890972</v>
      </c>
    </row>
    <row r="1764" spans="1:34" x14ac:dyDescent="0.2">
      <c r="A1764" s="48" t="s">
        <v>1423</v>
      </c>
      <c r="B1764" s="48">
        <v>2</v>
      </c>
      <c r="C1764" s="48" t="s">
        <v>1378</v>
      </c>
      <c r="D1764" s="48" t="s">
        <v>1355</v>
      </c>
      <c r="E1764" s="48" t="s">
        <v>384</v>
      </c>
      <c r="F1764" s="48" t="s">
        <v>297</v>
      </c>
      <c r="G1764" s="48" t="s">
        <v>281</v>
      </c>
      <c r="H1764" s="48" t="s">
        <v>70</v>
      </c>
      <c r="I1764" s="48" t="s">
        <v>144</v>
      </c>
      <c r="J1764" s="49">
        <v>45</v>
      </c>
      <c r="K1764" s="50">
        <v>39290</v>
      </c>
      <c r="L1764" s="50">
        <v>38307.26</v>
      </c>
      <c r="M1764" s="48" t="s">
        <v>276</v>
      </c>
      <c r="N1764" s="51">
        <v>83.5</v>
      </c>
      <c r="O1764" s="51">
        <v>84.872</v>
      </c>
      <c r="P1764" s="52">
        <v>363.71</v>
      </c>
      <c r="Q1764" s="52">
        <v>383.71</v>
      </c>
      <c r="R1764" s="53" t="str">
        <f>INDEX(SKU_Master!$D$5:$D$34,MATCH($I1764,SKU_Master!$A$5:$A$34,0))</f>
        <v>Monitor</v>
      </c>
      <c r="S1764" s="54">
        <f t="shared" si="378"/>
        <v>2.5012471366759992E-2</v>
      </c>
      <c r="T1764" s="55">
        <f t="shared" si="379"/>
        <v>21174.251497005989</v>
      </c>
      <c r="U1764" s="55">
        <f t="shared" si="380"/>
        <v>20644.631137724555</v>
      </c>
      <c r="V1764" s="55">
        <f t="shared" si="381"/>
        <v>-529.6203592814345</v>
      </c>
      <c r="W1764" s="55">
        <f t="shared" si="382"/>
        <v>20310.899943444248</v>
      </c>
      <c r="X1764" s="55">
        <f t="shared" si="383"/>
        <v>-333.73119428030623</v>
      </c>
      <c r="Y1764" s="55">
        <f t="shared" si="384"/>
        <v>16366.949999999999</v>
      </c>
      <c r="Z1764" s="55">
        <f t="shared" si="385"/>
        <v>17266.95</v>
      </c>
      <c r="AA1764" s="55">
        <f t="shared" si="386"/>
        <v>-900.00000000000182</v>
      </c>
      <c r="AB1764" s="55">
        <f t="shared" si="387"/>
        <v>3043.9499434442478</v>
      </c>
      <c r="AC1764" s="54">
        <f t="shared" si="388"/>
        <v>0.14986780260451946</v>
      </c>
      <c r="AD1764" s="56">
        <f>INDEX(Assumptions!$B$14:$B$16,MATCH($R1764,Assumptions!$A$14:$A$16,0))</f>
        <v>0.18</v>
      </c>
      <c r="AE1764" s="56">
        <f>INDEX(Assumptions!$C$14:$C$16,MATCH($R1764,Assumptions!$A$14:$A$16,0))</f>
        <v>0.12</v>
      </c>
      <c r="AF1764" s="49">
        <f t="shared" si="389"/>
        <v>0</v>
      </c>
      <c r="AG1764" s="49">
        <f t="shared" si="390"/>
        <v>0</v>
      </c>
      <c r="AH1764" s="55">
        <f t="shared" si="391"/>
        <v>612.01204637571664</v>
      </c>
    </row>
    <row r="1765" spans="1:34" x14ac:dyDescent="0.2">
      <c r="A1765" s="48" t="s">
        <v>1423</v>
      </c>
      <c r="B1765" s="48">
        <v>3</v>
      </c>
      <c r="C1765" s="48" t="s">
        <v>1378</v>
      </c>
      <c r="D1765" s="48" t="s">
        <v>1355</v>
      </c>
      <c r="E1765" s="48" t="s">
        <v>384</v>
      </c>
      <c r="F1765" s="48" t="s">
        <v>297</v>
      </c>
      <c r="G1765" s="48" t="s">
        <v>281</v>
      </c>
      <c r="H1765" s="48" t="s">
        <v>70</v>
      </c>
      <c r="I1765" s="48" t="s">
        <v>166</v>
      </c>
      <c r="J1765" s="49">
        <v>28</v>
      </c>
      <c r="K1765" s="50">
        <v>25820</v>
      </c>
      <c r="L1765" s="50">
        <v>24813.35</v>
      </c>
      <c r="M1765" s="48" t="s">
        <v>276</v>
      </c>
      <c r="N1765" s="51">
        <v>83.5</v>
      </c>
      <c r="O1765" s="51">
        <v>84.872</v>
      </c>
      <c r="P1765" s="52">
        <v>196.32</v>
      </c>
      <c r="Q1765" s="52">
        <v>201.32</v>
      </c>
      <c r="R1765" s="53" t="str">
        <f>INDEX(SKU_Master!$D$5:$D$34,MATCH($I1765,SKU_Master!$A$5:$A$34,0))</f>
        <v>Accessory</v>
      </c>
      <c r="S1765" s="54">
        <f t="shared" si="378"/>
        <v>3.8987219209914881E-2</v>
      </c>
      <c r="T1765" s="55">
        <f t="shared" si="379"/>
        <v>8658.2035928143705</v>
      </c>
      <c r="U1765" s="55">
        <f t="shared" si="380"/>
        <v>8320.6443113772439</v>
      </c>
      <c r="V1765" s="55">
        <f t="shared" si="381"/>
        <v>-337.55928143712663</v>
      </c>
      <c r="W1765" s="55">
        <f t="shared" si="382"/>
        <v>8186.1367706664141</v>
      </c>
      <c r="X1765" s="55">
        <f t="shared" si="383"/>
        <v>-134.50754071082974</v>
      </c>
      <c r="Y1765" s="55">
        <f t="shared" si="384"/>
        <v>5496.96</v>
      </c>
      <c r="Z1765" s="55">
        <f t="shared" si="385"/>
        <v>5636.96</v>
      </c>
      <c r="AA1765" s="55">
        <f t="shared" si="386"/>
        <v>-140</v>
      </c>
      <c r="AB1765" s="55">
        <f t="shared" si="387"/>
        <v>2549.1767706664141</v>
      </c>
      <c r="AC1765" s="54">
        <f t="shared" si="388"/>
        <v>0.31140168336802559</v>
      </c>
      <c r="AD1765" s="56">
        <f>INDEX(Assumptions!$B$14:$B$16,MATCH($R1765,Assumptions!$A$14:$A$16,0))</f>
        <v>0.32</v>
      </c>
      <c r="AE1765" s="56">
        <f>INDEX(Assumptions!$C$14:$C$16,MATCH($R1765,Assumptions!$A$14:$A$16,0))</f>
        <v>0.22</v>
      </c>
      <c r="AF1765" s="49">
        <f t="shared" si="389"/>
        <v>0</v>
      </c>
      <c r="AG1765" s="49">
        <f t="shared" si="390"/>
        <v>0</v>
      </c>
      <c r="AH1765" s="55">
        <f t="shared" si="391"/>
        <v>70.386995946838397</v>
      </c>
    </row>
    <row r="1766" spans="1:34" x14ac:dyDescent="0.2">
      <c r="A1766" s="48" t="s">
        <v>1424</v>
      </c>
      <c r="B1766" s="48">
        <v>1</v>
      </c>
      <c r="C1766" s="48" t="s">
        <v>1425</v>
      </c>
      <c r="D1766" s="48" t="s">
        <v>1355</v>
      </c>
      <c r="E1766" s="48" t="s">
        <v>407</v>
      </c>
      <c r="F1766" s="48" t="s">
        <v>274</v>
      </c>
      <c r="G1766" s="48" t="s">
        <v>302</v>
      </c>
      <c r="H1766" s="48" t="s">
        <v>62</v>
      </c>
      <c r="I1766" s="48" t="s">
        <v>115</v>
      </c>
      <c r="J1766" s="49">
        <v>6</v>
      </c>
      <c r="K1766" s="50">
        <v>850</v>
      </c>
      <c r="L1766" s="50">
        <v>834.03</v>
      </c>
      <c r="M1766" s="48" t="s">
        <v>276</v>
      </c>
      <c r="N1766" s="51">
        <v>1</v>
      </c>
      <c r="O1766" s="51">
        <v>1</v>
      </c>
      <c r="P1766" s="52">
        <v>723.6</v>
      </c>
      <c r="Q1766" s="52">
        <v>723.6</v>
      </c>
      <c r="R1766" s="53" t="str">
        <f>INDEX(SKU_Master!$D$5:$D$34,MATCH($I1766,SKU_Master!$A$5:$A$34,0))</f>
        <v>Laptop</v>
      </c>
      <c r="S1766" s="54">
        <f t="shared" si="378"/>
        <v>1.8788235294117661E-2</v>
      </c>
      <c r="T1766" s="55">
        <f t="shared" si="379"/>
        <v>5100</v>
      </c>
      <c r="U1766" s="55">
        <f t="shared" si="380"/>
        <v>5004.18</v>
      </c>
      <c r="V1766" s="55">
        <f t="shared" si="381"/>
        <v>-95.819999999999709</v>
      </c>
      <c r="W1766" s="55">
        <f t="shared" si="382"/>
        <v>5004.18</v>
      </c>
      <c r="X1766" s="55">
        <f t="shared" si="383"/>
        <v>0</v>
      </c>
      <c r="Y1766" s="55">
        <f t="shared" si="384"/>
        <v>4341.6000000000004</v>
      </c>
      <c r="Z1766" s="55">
        <f t="shared" si="385"/>
        <v>4341.6000000000004</v>
      </c>
      <c r="AA1766" s="55">
        <f t="shared" si="386"/>
        <v>0</v>
      </c>
      <c r="AB1766" s="55">
        <f t="shared" si="387"/>
        <v>662.57999999999993</v>
      </c>
      <c r="AC1766" s="54">
        <f t="shared" si="388"/>
        <v>0.13240530916154092</v>
      </c>
      <c r="AD1766" s="56">
        <f>INDEX(Assumptions!$B$14:$B$16,MATCH($R1766,Assumptions!$A$14:$A$16,0))</f>
        <v>0.12</v>
      </c>
      <c r="AE1766" s="56">
        <f>INDEX(Assumptions!$C$14:$C$16,MATCH($R1766,Assumptions!$A$14:$A$16,0))</f>
        <v>0.08</v>
      </c>
      <c r="AF1766" s="49">
        <f t="shared" si="389"/>
        <v>0</v>
      </c>
      <c r="AG1766" s="49">
        <f t="shared" si="390"/>
        <v>0</v>
      </c>
      <c r="AH1766" s="55">
        <f t="shared" si="391"/>
        <v>0</v>
      </c>
    </row>
    <row r="1767" spans="1:34" x14ac:dyDescent="0.2">
      <c r="A1767" s="48" t="s">
        <v>1424</v>
      </c>
      <c r="B1767" s="48">
        <v>2</v>
      </c>
      <c r="C1767" s="48" t="s">
        <v>1425</v>
      </c>
      <c r="D1767" s="48" t="s">
        <v>1355</v>
      </c>
      <c r="E1767" s="48" t="s">
        <v>407</v>
      </c>
      <c r="F1767" s="48" t="s">
        <v>274</v>
      </c>
      <c r="G1767" s="48" t="s">
        <v>302</v>
      </c>
      <c r="H1767" s="48" t="s">
        <v>62</v>
      </c>
      <c r="I1767" s="48" t="s">
        <v>146</v>
      </c>
      <c r="J1767" s="49">
        <v>6</v>
      </c>
      <c r="K1767" s="50">
        <v>235</v>
      </c>
      <c r="L1767" s="50">
        <v>234.09</v>
      </c>
      <c r="M1767" s="48" t="s">
        <v>276</v>
      </c>
      <c r="N1767" s="51">
        <v>1</v>
      </c>
      <c r="O1767" s="51">
        <v>1</v>
      </c>
      <c r="P1767" s="52">
        <v>181.8</v>
      </c>
      <c r="Q1767" s="52">
        <v>181.8</v>
      </c>
      <c r="R1767" s="53" t="str">
        <f>INDEX(SKU_Master!$D$5:$D$34,MATCH($I1767,SKU_Master!$A$5:$A$34,0))</f>
        <v>Monitor</v>
      </c>
      <c r="S1767" s="54">
        <f t="shared" si="378"/>
        <v>3.8723404255318616E-3</v>
      </c>
      <c r="T1767" s="55">
        <f t="shared" si="379"/>
        <v>1410</v>
      </c>
      <c r="U1767" s="55">
        <f t="shared" si="380"/>
        <v>1404.54</v>
      </c>
      <c r="V1767" s="55">
        <f t="shared" si="381"/>
        <v>-5.4600000000000364</v>
      </c>
      <c r="W1767" s="55">
        <f t="shared" si="382"/>
        <v>1404.54</v>
      </c>
      <c r="X1767" s="55">
        <f t="shared" si="383"/>
        <v>0</v>
      </c>
      <c r="Y1767" s="55">
        <f t="shared" si="384"/>
        <v>1090.8000000000002</v>
      </c>
      <c r="Z1767" s="55">
        <f t="shared" si="385"/>
        <v>1090.8000000000002</v>
      </c>
      <c r="AA1767" s="55">
        <f t="shared" si="386"/>
        <v>0</v>
      </c>
      <c r="AB1767" s="55">
        <f t="shared" si="387"/>
        <v>313.73999999999978</v>
      </c>
      <c r="AC1767" s="54">
        <f t="shared" si="388"/>
        <v>0.22337562475970765</v>
      </c>
      <c r="AD1767" s="56">
        <f>INDEX(Assumptions!$B$14:$B$16,MATCH($R1767,Assumptions!$A$14:$A$16,0))</f>
        <v>0.18</v>
      </c>
      <c r="AE1767" s="56">
        <f>INDEX(Assumptions!$C$14:$C$16,MATCH($R1767,Assumptions!$A$14:$A$16,0))</f>
        <v>0.12</v>
      </c>
      <c r="AF1767" s="49">
        <f t="shared" si="389"/>
        <v>0</v>
      </c>
      <c r="AG1767" s="49">
        <f t="shared" si="390"/>
        <v>0</v>
      </c>
      <c r="AH1767" s="55">
        <f t="shared" si="391"/>
        <v>0</v>
      </c>
    </row>
    <row r="1768" spans="1:34" x14ac:dyDescent="0.2">
      <c r="A1768" s="48" t="s">
        <v>1424</v>
      </c>
      <c r="B1768" s="48">
        <v>3</v>
      </c>
      <c r="C1768" s="48" t="s">
        <v>1425</v>
      </c>
      <c r="D1768" s="48" t="s">
        <v>1355</v>
      </c>
      <c r="E1768" s="48" t="s">
        <v>407</v>
      </c>
      <c r="F1768" s="48" t="s">
        <v>274</v>
      </c>
      <c r="G1768" s="48" t="s">
        <v>302</v>
      </c>
      <c r="H1768" s="48" t="s">
        <v>62</v>
      </c>
      <c r="I1768" s="48" t="s">
        <v>157</v>
      </c>
      <c r="J1768" s="49">
        <v>4</v>
      </c>
      <c r="K1768" s="50">
        <v>135</v>
      </c>
      <c r="L1768" s="50">
        <v>134.58000000000001</v>
      </c>
      <c r="M1768" s="48" t="s">
        <v>276</v>
      </c>
      <c r="N1768" s="51">
        <v>1</v>
      </c>
      <c r="O1768" s="51">
        <v>1</v>
      </c>
      <c r="P1768" s="52">
        <v>86</v>
      </c>
      <c r="Q1768" s="52">
        <v>86</v>
      </c>
      <c r="R1768" s="53" t="str">
        <f>INDEX(SKU_Master!$D$5:$D$34,MATCH($I1768,SKU_Master!$A$5:$A$34,0))</f>
        <v>Accessory</v>
      </c>
      <c r="S1768" s="54">
        <f t="shared" si="378"/>
        <v>3.1111111111110645E-3</v>
      </c>
      <c r="T1768" s="55">
        <f t="shared" si="379"/>
        <v>540</v>
      </c>
      <c r="U1768" s="55">
        <f t="shared" si="380"/>
        <v>538.32000000000005</v>
      </c>
      <c r="V1768" s="55">
        <f t="shared" si="381"/>
        <v>-1.67999999999995</v>
      </c>
      <c r="W1768" s="55">
        <f t="shared" si="382"/>
        <v>538.32000000000005</v>
      </c>
      <c r="X1768" s="55">
        <f t="shared" si="383"/>
        <v>0</v>
      </c>
      <c r="Y1768" s="55">
        <f t="shared" si="384"/>
        <v>344</v>
      </c>
      <c r="Z1768" s="55">
        <f t="shared" si="385"/>
        <v>344</v>
      </c>
      <c r="AA1768" s="55">
        <f t="shared" si="386"/>
        <v>0</v>
      </c>
      <c r="AB1768" s="55">
        <f t="shared" si="387"/>
        <v>194.32000000000005</v>
      </c>
      <c r="AC1768" s="54">
        <f t="shared" si="388"/>
        <v>0.36097488482686885</v>
      </c>
      <c r="AD1768" s="56">
        <f>INDEX(Assumptions!$B$14:$B$16,MATCH($R1768,Assumptions!$A$14:$A$16,0))</f>
        <v>0.32</v>
      </c>
      <c r="AE1768" s="56">
        <f>INDEX(Assumptions!$C$14:$C$16,MATCH($R1768,Assumptions!$A$14:$A$16,0))</f>
        <v>0.22</v>
      </c>
      <c r="AF1768" s="49">
        <f t="shared" si="389"/>
        <v>0</v>
      </c>
      <c r="AG1768" s="49">
        <f t="shared" si="390"/>
        <v>0</v>
      </c>
      <c r="AH1768" s="55">
        <f t="shared" si="391"/>
        <v>0</v>
      </c>
    </row>
    <row r="1769" spans="1:34" x14ac:dyDescent="0.2">
      <c r="A1769" s="48" t="s">
        <v>1426</v>
      </c>
      <c r="B1769" s="48">
        <v>1</v>
      </c>
      <c r="C1769" s="48" t="s">
        <v>1401</v>
      </c>
      <c r="D1769" s="48" t="s">
        <v>1355</v>
      </c>
      <c r="E1769" s="48" t="s">
        <v>311</v>
      </c>
      <c r="F1769" s="48" t="s">
        <v>297</v>
      </c>
      <c r="G1769" s="48" t="s">
        <v>302</v>
      </c>
      <c r="H1769" s="48" t="s">
        <v>62</v>
      </c>
      <c r="I1769" s="48" t="s">
        <v>113</v>
      </c>
      <c r="J1769" s="49">
        <v>70</v>
      </c>
      <c r="K1769" s="50">
        <v>1740</v>
      </c>
      <c r="L1769" s="50">
        <v>1605.47</v>
      </c>
      <c r="M1769" s="48" t="s">
        <v>276</v>
      </c>
      <c r="N1769" s="51">
        <v>1</v>
      </c>
      <c r="O1769" s="51">
        <v>1</v>
      </c>
      <c r="P1769" s="52">
        <v>1484.8</v>
      </c>
      <c r="Q1769" s="52">
        <v>1484.8</v>
      </c>
      <c r="R1769" s="53" t="str">
        <f>INDEX(SKU_Master!$D$5:$D$34,MATCH($I1769,SKU_Master!$A$5:$A$34,0))</f>
        <v>Laptop</v>
      </c>
      <c r="S1769" s="54">
        <f t="shared" si="378"/>
        <v>7.7316091954023003E-2</v>
      </c>
      <c r="T1769" s="55">
        <f t="shared" si="379"/>
        <v>121800</v>
      </c>
      <c r="U1769" s="55">
        <f t="shared" si="380"/>
        <v>112382.90000000001</v>
      </c>
      <c r="V1769" s="55">
        <f t="shared" si="381"/>
        <v>-9417.0999999999913</v>
      </c>
      <c r="W1769" s="55">
        <f t="shared" si="382"/>
        <v>112382.90000000001</v>
      </c>
      <c r="X1769" s="55">
        <f t="shared" si="383"/>
        <v>0</v>
      </c>
      <c r="Y1769" s="55">
        <f t="shared" si="384"/>
        <v>103936</v>
      </c>
      <c r="Z1769" s="55">
        <f t="shared" si="385"/>
        <v>103936</v>
      </c>
      <c r="AA1769" s="55">
        <f t="shared" si="386"/>
        <v>0</v>
      </c>
      <c r="AB1769" s="55">
        <f t="shared" si="387"/>
        <v>8446.9000000000087</v>
      </c>
      <c r="AC1769" s="54">
        <f t="shared" si="388"/>
        <v>7.5161790628289607E-2</v>
      </c>
      <c r="AD1769" s="56">
        <f>INDEX(Assumptions!$B$14:$B$16,MATCH($R1769,Assumptions!$A$14:$A$16,0))</f>
        <v>0.12</v>
      </c>
      <c r="AE1769" s="56">
        <f>INDEX(Assumptions!$C$14:$C$16,MATCH($R1769,Assumptions!$A$14:$A$16,0))</f>
        <v>0.08</v>
      </c>
      <c r="AF1769" s="49">
        <f t="shared" si="389"/>
        <v>1</v>
      </c>
      <c r="AG1769" s="49">
        <f t="shared" si="390"/>
        <v>1</v>
      </c>
      <c r="AH1769" s="55">
        <f t="shared" si="391"/>
        <v>5039.0479999999916</v>
      </c>
    </row>
    <row r="1770" spans="1:34" x14ac:dyDescent="0.2">
      <c r="A1770" s="48" t="s">
        <v>1426</v>
      </c>
      <c r="B1770" s="48">
        <v>2</v>
      </c>
      <c r="C1770" s="48" t="s">
        <v>1401</v>
      </c>
      <c r="D1770" s="48" t="s">
        <v>1355</v>
      </c>
      <c r="E1770" s="48" t="s">
        <v>311</v>
      </c>
      <c r="F1770" s="48" t="s">
        <v>297</v>
      </c>
      <c r="G1770" s="48" t="s">
        <v>302</v>
      </c>
      <c r="H1770" s="48" t="s">
        <v>62</v>
      </c>
      <c r="I1770" s="48" t="s">
        <v>138</v>
      </c>
      <c r="J1770" s="49">
        <v>56</v>
      </c>
      <c r="K1770" s="50">
        <v>455</v>
      </c>
      <c r="L1770" s="50">
        <v>430.12</v>
      </c>
      <c r="M1770" s="48" t="s">
        <v>276</v>
      </c>
      <c r="N1770" s="51">
        <v>1</v>
      </c>
      <c r="O1770" s="51">
        <v>1</v>
      </c>
      <c r="P1770" s="52">
        <v>358.2</v>
      </c>
      <c r="Q1770" s="52">
        <v>358.2</v>
      </c>
      <c r="R1770" s="53" t="str">
        <f>INDEX(SKU_Master!$D$5:$D$34,MATCH($I1770,SKU_Master!$A$5:$A$34,0))</f>
        <v>Monitor</v>
      </c>
      <c r="S1770" s="54">
        <f t="shared" si="378"/>
        <v>5.4681318681318647E-2</v>
      </c>
      <c r="T1770" s="55">
        <f t="shared" si="379"/>
        <v>25480</v>
      </c>
      <c r="U1770" s="55">
        <f t="shared" si="380"/>
        <v>24086.720000000001</v>
      </c>
      <c r="V1770" s="55">
        <f t="shared" si="381"/>
        <v>-1393.2799999999988</v>
      </c>
      <c r="W1770" s="55">
        <f t="shared" si="382"/>
        <v>24086.720000000001</v>
      </c>
      <c r="X1770" s="55">
        <f t="shared" si="383"/>
        <v>0</v>
      </c>
      <c r="Y1770" s="55">
        <f t="shared" si="384"/>
        <v>20059.2</v>
      </c>
      <c r="Z1770" s="55">
        <f t="shared" si="385"/>
        <v>20059.2</v>
      </c>
      <c r="AA1770" s="55">
        <f t="shared" si="386"/>
        <v>0</v>
      </c>
      <c r="AB1770" s="55">
        <f t="shared" si="387"/>
        <v>4027.5200000000004</v>
      </c>
      <c r="AC1770" s="54">
        <f t="shared" si="388"/>
        <v>0.16720915093462291</v>
      </c>
      <c r="AD1770" s="56">
        <f>INDEX(Assumptions!$B$14:$B$16,MATCH($R1770,Assumptions!$A$14:$A$16,0))</f>
        <v>0.18</v>
      </c>
      <c r="AE1770" s="56">
        <f>INDEX(Assumptions!$C$14:$C$16,MATCH($R1770,Assumptions!$A$14:$A$16,0))</f>
        <v>0.12</v>
      </c>
      <c r="AF1770" s="49">
        <f t="shared" si="389"/>
        <v>0</v>
      </c>
      <c r="AG1770" s="49">
        <f t="shared" si="390"/>
        <v>0</v>
      </c>
      <c r="AH1770" s="55">
        <f t="shared" si="391"/>
        <v>308.08959999999934</v>
      </c>
    </row>
    <row r="1771" spans="1:34" x14ac:dyDescent="0.2">
      <c r="A1771" s="48" t="s">
        <v>1426</v>
      </c>
      <c r="B1771" s="48">
        <v>3</v>
      </c>
      <c r="C1771" s="48" t="s">
        <v>1401</v>
      </c>
      <c r="D1771" s="48" t="s">
        <v>1355</v>
      </c>
      <c r="E1771" s="48" t="s">
        <v>311</v>
      </c>
      <c r="F1771" s="48" t="s">
        <v>297</v>
      </c>
      <c r="G1771" s="48" t="s">
        <v>302</v>
      </c>
      <c r="H1771" s="48" t="s">
        <v>62</v>
      </c>
      <c r="I1771" s="48" t="s">
        <v>173</v>
      </c>
      <c r="J1771" s="49">
        <v>47</v>
      </c>
      <c r="K1771" s="50">
        <v>55</v>
      </c>
      <c r="L1771" s="50">
        <v>53.56</v>
      </c>
      <c r="M1771" s="48" t="s">
        <v>276</v>
      </c>
      <c r="N1771" s="51">
        <v>1</v>
      </c>
      <c r="O1771" s="51">
        <v>1</v>
      </c>
      <c r="P1771" s="52">
        <v>34</v>
      </c>
      <c r="Q1771" s="52">
        <v>34</v>
      </c>
      <c r="R1771" s="53" t="str">
        <f>INDEX(SKU_Master!$D$5:$D$34,MATCH($I1771,SKU_Master!$A$5:$A$34,0))</f>
        <v>Accessory</v>
      </c>
      <c r="S1771" s="54">
        <f t="shared" si="378"/>
        <v>2.6181818181818195E-2</v>
      </c>
      <c r="T1771" s="55">
        <f t="shared" si="379"/>
        <v>2585</v>
      </c>
      <c r="U1771" s="55">
        <f t="shared" si="380"/>
        <v>2517.3200000000002</v>
      </c>
      <c r="V1771" s="55">
        <f t="shared" si="381"/>
        <v>-67.679999999999836</v>
      </c>
      <c r="W1771" s="55">
        <f t="shared" si="382"/>
        <v>2517.3200000000002</v>
      </c>
      <c r="X1771" s="55">
        <f t="shared" si="383"/>
        <v>0</v>
      </c>
      <c r="Y1771" s="55">
        <f t="shared" si="384"/>
        <v>1598</v>
      </c>
      <c r="Z1771" s="55">
        <f t="shared" si="385"/>
        <v>1598</v>
      </c>
      <c r="AA1771" s="55">
        <f t="shared" si="386"/>
        <v>0</v>
      </c>
      <c r="AB1771" s="55">
        <f t="shared" si="387"/>
        <v>919.32000000000016</v>
      </c>
      <c r="AC1771" s="54">
        <f t="shared" si="388"/>
        <v>0.36519790888722931</v>
      </c>
      <c r="AD1771" s="56">
        <f>INDEX(Assumptions!$B$14:$B$16,MATCH($R1771,Assumptions!$A$14:$A$16,0))</f>
        <v>0.32</v>
      </c>
      <c r="AE1771" s="56">
        <f>INDEX(Assumptions!$C$14:$C$16,MATCH($R1771,Assumptions!$A$14:$A$16,0))</f>
        <v>0.22</v>
      </c>
      <c r="AF1771" s="49">
        <f t="shared" si="389"/>
        <v>0</v>
      </c>
      <c r="AG1771" s="49">
        <f t="shared" si="390"/>
        <v>0</v>
      </c>
      <c r="AH1771" s="55">
        <f t="shared" si="391"/>
        <v>0</v>
      </c>
    </row>
    <row r="1772" spans="1:34" x14ac:dyDescent="0.2">
      <c r="A1772" s="48" t="s">
        <v>1427</v>
      </c>
      <c r="B1772" s="48">
        <v>1</v>
      </c>
      <c r="C1772" s="48" t="s">
        <v>1388</v>
      </c>
      <c r="D1772" s="48" t="s">
        <v>1355</v>
      </c>
      <c r="E1772" s="48" t="s">
        <v>410</v>
      </c>
      <c r="F1772" s="48" t="s">
        <v>297</v>
      </c>
      <c r="G1772" s="48" t="s">
        <v>302</v>
      </c>
      <c r="H1772" s="48" t="s">
        <v>64</v>
      </c>
      <c r="I1772" s="48" t="s">
        <v>110</v>
      </c>
      <c r="J1772" s="49">
        <v>76</v>
      </c>
      <c r="K1772" s="50">
        <v>960</v>
      </c>
      <c r="L1772" s="50">
        <v>930.84</v>
      </c>
      <c r="M1772" s="48" t="s">
        <v>276</v>
      </c>
      <c r="N1772" s="51">
        <v>0.79</v>
      </c>
      <c r="O1772" s="51">
        <v>0.82520000000000004</v>
      </c>
      <c r="P1772" s="52">
        <v>1016.65</v>
      </c>
      <c r="Q1772" s="52">
        <v>1016.65</v>
      </c>
      <c r="R1772" s="53" t="str">
        <f>INDEX(SKU_Master!$D$5:$D$34,MATCH($I1772,SKU_Master!$A$5:$A$34,0))</f>
        <v>Laptop</v>
      </c>
      <c r="S1772" s="54">
        <f t="shared" si="378"/>
        <v>3.037499999999993E-2</v>
      </c>
      <c r="T1772" s="55">
        <f t="shared" si="379"/>
        <v>92354.430379746831</v>
      </c>
      <c r="U1772" s="55">
        <f t="shared" si="380"/>
        <v>89549.164556962016</v>
      </c>
      <c r="V1772" s="55">
        <f t="shared" si="381"/>
        <v>-2805.2658227848151</v>
      </c>
      <c r="W1772" s="55">
        <f t="shared" si="382"/>
        <v>85729.326223945696</v>
      </c>
      <c r="X1772" s="55">
        <f t="shared" si="383"/>
        <v>-3819.8383330163197</v>
      </c>
      <c r="Y1772" s="55">
        <f t="shared" si="384"/>
        <v>77265.399999999994</v>
      </c>
      <c r="Z1772" s="55">
        <f t="shared" si="385"/>
        <v>77265.399999999994</v>
      </c>
      <c r="AA1772" s="55">
        <f t="shared" si="386"/>
        <v>0</v>
      </c>
      <c r="AB1772" s="55">
        <f t="shared" si="387"/>
        <v>8463.9262239457021</v>
      </c>
      <c r="AC1772" s="54">
        <f t="shared" si="388"/>
        <v>9.8728481801383619E-2</v>
      </c>
      <c r="AD1772" s="56">
        <f>INDEX(Assumptions!$B$14:$B$16,MATCH($R1772,Assumptions!$A$14:$A$16,0))</f>
        <v>0.12</v>
      </c>
      <c r="AE1772" s="56">
        <f>INDEX(Assumptions!$C$14:$C$16,MATCH($R1772,Assumptions!$A$14:$A$16,0))</f>
        <v>0.08</v>
      </c>
      <c r="AF1772" s="49">
        <f t="shared" si="389"/>
        <v>0</v>
      </c>
      <c r="AG1772" s="49">
        <f t="shared" si="390"/>
        <v>0</v>
      </c>
      <c r="AH1772" s="55">
        <f t="shared" si="391"/>
        <v>1823.5929229277808</v>
      </c>
    </row>
    <row r="1773" spans="1:34" x14ac:dyDescent="0.2">
      <c r="A1773" s="48" t="s">
        <v>1427</v>
      </c>
      <c r="B1773" s="48">
        <v>2</v>
      </c>
      <c r="C1773" s="48" t="s">
        <v>1388</v>
      </c>
      <c r="D1773" s="48" t="s">
        <v>1355</v>
      </c>
      <c r="E1773" s="48" t="s">
        <v>410</v>
      </c>
      <c r="F1773" s="48" t="s">
        <v>297</v>
      </c>
      <c r="G1773" s="48" t="s">
        <v>302</v>
      </c>
      <c r="H1773" s="48" t="s">
        <v>64</v>
      </c>
      <c r="I1773" s="48" t="s">
        <v>135</v>
      </c>
      <c r="J1773" s="49">
        <v>30</v>
      </c>
      <c r="K1773" s="50">
        <v>225</v>
      </c>
      <c r="L1773" s="50">
        <v>218.56</v>
      </c>
      <c r="M1773" s="48" t="s">
        <v>276</v>
      </c>
      <c r="N1773" s="51">
        <v>0.79</v>
      </c>
      <c r="O1773" s="51">
        <v>0.82520000000000004</v>
      </c>
      <c r="P1773" s="52">
        <v>216.7</v>
      </c>
      <c r="Q1773" s="52">
        <v>216.7</v>
      </c>
      <c r="R1773" s="53" t="str">
        <f>INDEX(SKU_Master!$D$5:$D$34,MATCH($I1773,SKU_Master!$A$5:$A$34,0))</f>
        <v>Monitor</v>
      </c>
      <c r="S1773" s="54">
        <f t="shared" si="378"/>
        <v>2.8622222222222216E-2</v>
      </c>
      <c r="T1773" s="55">
        <f t="shared" si="379"/>
        <v>8544.3037974683539</v>
      </c>
      <c r="U1773" s="55">
        <f t="shared" si="380"/>
        <v>8299.7468354430384</v>
      </c>
      <c r="V1773" s="55">
        <f t="shared" si="381"/>
        <v>-244.55696202531544</v>
      </c>
      <c r="W1773" s="55">
        <f t="shared" si="382"/>
        <v>7945.7101308773626</v>
      </c>
      <c r="X1773" s="55">
        <f t="shared" si="383"/>
        <v>-354.03670456567579</v>
      </c>
      <c r="Y1773" s="55">
        <f t="shared" si="384"/>
        <v>6501</v>
      </c>
      <c r="Z1773" s="55">
        <f t="shared" si="385"/>
        <v>6501</v>
      </c>
      <c r="AA1773" s="55">
        <f t="shared" si="386"/>
        <v>0</v>
      </c>
      <c r="AB1773" s="55">
        <f t="shared" si="387"/>
        <v>1444.7101308773626</v>
      </c>
      <c r="AC1773" s="54">
        <f t="shared" si="388"/>
        <v>0.18182265739385062</v>
      </c>
      <c r="AD1773" s="56">
        <f>INDEX(Assumptions!$B$14:$B$16,MATCH($R1773,Assumptions!$A$14:$A$16,0))</f>
        <v>0.18</v>
      </c>
      <c r="AE1773" s="56">
        <f>INDEX(Assumptions!$C$14:$C$16,MATCH($R1773,Assumptions!$A$14:$A$16,0))</f>
        <v>0.12</v>
      </c>
      <c r="AF1773" s="49">
        <f t="shared" si="389"/>
        <v>0</v>
      </c>
      <c r="AG1773" s="49">
        <f t="shared" si="390"/>
        <v>0</v>
      </c>
      <c r="AH1773" s="55">
        <f t="shared" si="391"/>
        <v>0</v>
      </c>
    </row>
    <row r="1774" spans="1:34" x14ac:dyDescent="0.2">
      <c r="A1774" s="48" t="s">
        <v>1427</v>
      </c>
      <c r="B1774" s="48">
        <v>3</v>
      </c>
      <c r="C1774" s="48" t="s">
        <v>1388</v>
      </c>
      <c r="D1774" s="48" t="s">
        <v>1355</v>
      </c>
      <c r="E1774" s="48" t="s">
        <v>410</v>
      </c>
      <c r="F1774" s="48" t="s">
        <v>297</v>
      </c>
      <c r="G1774" s="48" t="s">
        <v>302</v>
      </c>
      <c r="H1774" s="48" t="s">
        <v>64</v>
      </c>
      <c r="I1774" s="48" t="s">
        <v>161</v>
      </c>
      <c r="J1774" s="49">
        <v>43</v>
      </c>
      <c r="K1774" s="50">
        <v>105</v>
      </c>
      <c r="L1774" s="50">
        <v>101.68</v>
      </c>
      <c r="M1774" s="48" t="s">
        <v>276</v>
      </c>
      <c r="N1774" s="51">
        <v>0.79</v>
      </c>
      <c r="O1774" s="51">
        <v>0.82520000000000004</v>
      </c>
      <c r="P1774" s="52">
        <v>82</v>
      </c>
      <c r="Q1774" s="52">
        <v>82</v>
      </c>
      <c r="R1774" s="53" t="str">
        <f>INDEX(SKU_Master!$D$5:$D$34,MATCH($I1774,SKU_Master!$A$5:$A$34,0))</f>
        <v>Accessory</v>
      </c>
      <c r="S1774" s="54">
        <f t="shared" si="378"/>
        <v>3.1619047619047547E-2</v>
      </c>
      <c r="T1774" s="55">
        <f t="shared" si="379"/>
        <v>5715.1898734177212</v>
      </c>
      <c r="U1774" s="55">
        <f t="shared" si="380"/>
        <v>5534.4810126582288</v>
      </c>
      <c r="V1774" s="55">
        <f t="shared" si="381"/>
        <v>-180.70886075949238</v>
      </c>
      <c r="W1774" s="55">
        <f t="shared" si="382"/>
        <v>5298.4003877847799</v>
      </c>
      <c r="X1774" s="55">
        <f t="shared" si="383"/>
        <v>-236.08062487344887</v>
      </c>
      <c r="Y1774" s="55">
        <f t="shared" si="384"/>
        <v>3526</v>
      </c>
      <c r="Z1774" s="55">
        <f t="shared" si="385"/>
        <v>3526</v>
      </c>
      <c r="AA1774" s="55">
        <f t="shared" si="386"/>
        <v>0</v>
      </c>
      <c r="AB1774" s="55">
        <f t="shared" si="387"/>
        <v>1772.4003877847799</v>
      </c>
      <c r="AC1774" s="54">
        <f t="shared" si="388"/>
        <v>0.33451612903225814</v>
      </c>
      <c r="AD1774" s="56">
        <f>INDEX(Assumptions!$B$14:$B$16,MATCH($R1774,Assumptions!$A$14:$A$16,0))</f>
        <v>0.32</v>
      </c>
      <c r="AE1774" s="56">
        <f>INDEX(Assumptions!$C$14:$C$16,MATCH($R1774,Assumptions!$A$14:$A$16,0))</f>
        <v>0.22</v>
      </c>
      <c r="AF1774" s="49">
        <f t="shared" si="389"/>
        <v>0</v>
      </c>
      <c r="AG1774" s="49">
        <f t="shared" si="390"/>
        <v>0</v>
      </c>
      <c r="AH1774" s="55">
        <f t="shared" si="391"/>
        <v>0</v>
      </c>
    </row>
    <row r="1775" spans="1:34" x14ac:dyDescent="0.2">
      <c r="A1775" s="48" t="s">
        <v>1428</v>
      </c>
      <c r="B1775" s="48">
        <v>1</v>
      </c>
      <c r="C1775" s="48" t="s">
        <v>1365</v>
      </c>
      <c r="D1775" s="48" t="s">
        <v>1355</v>
      </c>
      <c r="E1775" s="48" t="s">
        <v>437</v>
      </c>
      <c r="F1775" s="48" t="s">
        <v>274</v>
      </c>
      <c r="G1775" s="48" t="s">
        <v>302</v>
      </c>
      <c r="H1775" s="48" t="s">
        <v>62</v>
      </c>
      <c r="I1775" s="48" t="s">
        <v>123</v>
      </c>
      <c r="J1775" s="49">
        <v>7</v>
      </c>
      <c r="K1775" s="50">
        <v>1465</v>
      </c>
      <c r="L1775" s="50">
        <v>1408.12</v>
      </c>
      <c r="M1775" s="48" t="s">
        <v>276</v>
      </c>
      <c r="N1775" s="51">
        <v>1</v>
      </c>
      <c r="O1775" s="51">
        <v>1</v>
      </c>
      <c r="P1775" s="52">
        <v>1249.25</v>
      </c>
      <c r="Q1775" s="52">
        <v>1249.25</v>
      </c>
      <c r="R1775" s="53" t="str">
        <f>INDEX(SKU_Master!$D$5:$D$34,MATCH($I1775,SKU_Master!$A$5:$A$34,0))</f>
        <v>Laptop</v>
      </c>
      <c r="S1775" s="54">
        <f t="shared" si="378"/>
        <v>3.8825938566553031E-2</v>
      </c>
      <c r="T1775" s="55">
        <f t="shared" si="379"/>
        <v>10255</v>
      </c>
      <c r="U1775" s="55">
        <f t="shared" si="380"/>
        <v>9856.84</v>
      </c>
      <c r="V1775" s="55">
        <f t="shared" si="381"/>
        <v>-398.15999999999985</v>
      </c>
      <c r="W1775" s="55">
        <f t="shared" si="382"/>
        <v>9856.84</v>
      </c>
      <c r="X1775" s="55">
        <f t="shared" si="383"/>
        <v>0</v>
      </c>
      <c r="Y1775" s="55">
        <f t="shared" si="384"/>
        <v>8744.75</v>
      </c>
      <c r="Z1775" s="55">
        <f t="shared" si="385"/>
        <v>8744.75</v>
      </c>
      <c r="AA1775" s="55">
        <f t="shared" si="386"/>
        <v>0</v>
      </c>
      <c r="AB1775" s="55">
        <f t="shared" si="387"/>
        <v>1112.0900000000001</v>
      </c>
      <c r="AC1775" s="54">
        <f t="shared" si="388"/>
        <v>0.11282419112007501</v>
      </c>
      <c r="AD1775" s="56">
        <f>INDEX(Assumptions!$B$14:$B$16,MATCH($R1775,Assumptions!$A$14:$A$16,0))</f>
        <v>0.12</v>
      </c>
      <c r="AE1775" s="56">
        <f>INDEX(Assumptions!$C$14:$C$16,MATCH($R1775,Assumptions!$A$14:$A$16,0))</f>
        <v>0.08</v>
      </c>
      <c r="AF1775" s="49">
        <f t="shared" si="389"/>
        <v>0</v>
      </c>
      <c r="AG1775" s="49">
        <f t="shared" si="390"/>
        <v>0</v>
      </c>
      <c r="AH1775" s="55">
        <f t="shared" si="391"/>
        <v>70.730799999999817</v>
      </c>
    </row>
    <row r="1776" spans="1:34" x14ac:dyDescent="0.2">
      <c r="A1776" s="48" t="s">
        <v>1428</v>
      </c>
      <c r="B1776" s="48">
        <v>2</v>
      </c>
      <c r="C1776" s="48" t="s">
        <v>1365</v>
      </c>
      <c r="D1776" s="48" t="s">
        <v>1355</v>
      </c>
      <c r="E1776" s="48" t="s">
        <v>437</v>
      </c>
      <c r="F1776" s="48" t="s">
        <v>274</v>
      </c>
      <c r="G1776" s="48" t="s">
        <v>302</v>
      </c>
      <c r="H1776" s="48" t="s">
        <v>62</v>
      </c>
      <c r="I1776" s="48" t="s">
        <v>157</v>
      </c>
      <c r="J1776" s="49">
        <v>3</v>
      </c>
      <c r="K1776" s="50">
        <v>135</v>
      </c>
      <c r="L1776" s="50">
        <v>133.52000000000001</v>
      </c>
      <c r="M1776" s="48" t="s">
        <v>276</v>
      </c>
      <c r="N1776" s="51">
        <v>1</v>
      </c>
      <c r="O1776" s="51">
        <v>1</v>
      </c>
      <c r="P1776" s="52">
        <v>86</v>
      </c>
      <c r="Q1776" s="52">
        <v>86</v>
      </c>
      <c r="R1776" s="53" t="str">
        <f>INDEX(SKU_Master!$D$5:$D$34,MATCH($I1776,SKU_Master!$A$5:$A$34,0))</f>
        <v>Accessory</v>
      </c>
      <c r="S1776" s="54">
        <f t="shared" si="378"/>
        <v>1.0962962962962841E-2</v>
      </c>
      <c r="T1776" s="55">
        <f t="shared" si="379"/>
        <v>405</v>
      </c>
      <c r="U1776" s="55">
        <f t="shared" si="380"/>
        <v>400.56000000000006</v>
      </c>
      <c r="V1776" s="55">
        <f t="shared" si="381"/>
        <v>-4.4399999999999409</v>
      </c>
      <c r="W1776" s="55">
        <f t="shared" si="382"/>
        <v>400.56000000000006</v>
      </c>
      <c r="X1776" s="55">
        <f t="shared" si="383"/>
        <v>0</v>
      </c>
      <c r="Y1776" s="55">
        <f t="shared" si="384"/>
        <v>258</v>
      </c>
      <c r="Z1776" s="55">
        <f t="shared" si="385"/>
        <v>258</v>
      </c>
      <c r="AA1776" s="55">
        <f t="shared" si="386"/>
        <v>0</v>
      </c>
      <c r="AB1776" s="55">
        <f t="shared" si="387"/>
        <v>142.56000000000006</v>
      </c>
      <c r="AC1776" s="54">
        <f t="shared" si="388"/>
        <v>0.35590173756740573</v>
      </c>
      <c r="AD1776" s="56">
        <f>INDEX(Assumptions!$B$14:$B$16,MATCH($R1776,Assumptions!$A$14:$A$16,0))</f>
        <v>0.32</v>
      </c>
      <c r="AE1776" s="56">
        <f>INDEX(Assumptions!$C$14:$C$16,MATCH($R1776,Assumptions!$A$14:$A$16,0))</f>
        <v>0.22</v>
      </c>
      <c r="AF1776" s="49">
        <f t="shared" si="389"/>
        <v>0</v>
      </c>
      <c r="AG1776" s="49">
        <f t="shared" si="390"/>
        <v>0</v>
      </c>
      <c r="AH1776" s="55">
        <f t="shared" si="391"/>
        <v>0</v>
      </c>
    </row>
    <row r="1777" spans="1:34" x14ac:dyDescent="0.2">
      <c r="A1777" s="48" t="s">
        <v>1429</v>
      </c>
      <c r="B1777" s="48">
        <v>1</v>
      </c>
      <c r="C1777" s="48" t="s">
        <v>1378</v>
      </c>
      <c r="D1777" s="48" t="s">
        <v>1355</v>
      </c>
      <c r="E1777" s="48" t="s">
        <v>358</v>
      </c>
      <c r="F1777" s="48" t="s">
        <v>274</v>
      </c>
      <c r="G1777" s="48" t="s">
        <v>288</v>
      </c>
      <c r="H1777" s="48" t="s">
        <v>62</v>
      </c>
      <c r="I1777" s="48" t="s">
        <v>93</v>
      </c>
      <c r="J1777" s="49">
        <v>8</v>
      </c>
      <c r="K1777" s="50">
        <v>1390</v>
      </c>
      <c r="L1777" s="50">
        <v>1374.87</v>
      </c>
      <c r="M1777" s="48" t="s">
        <v>276</v>
      </c>
      <c r="N1777" s="51">
        <v>1</v>
      </c>
      <c r="O1777" s="51">
        <v>1</v>
      </c>
      <c r="P1777" s="52">
        <v>1186.2</v>
      </c>
      <c r="Q1777" s="52">
        <v>1186.2</v>
      </c>
      <c r="R1777" s="53" t="str">
        <f>INDEX(SKU_Master!$D$5:$D$34,MATCH($I1777,SKU_Master!$A$5:$A$34,0))</f>
        <v>Laptop</v>
      </c>
      <c r="S1777" s="54">
        <f t="shared" si="378"/>
        <v>1.0884892086331033E-2</v>
      </c>
      <c r="T1777" s="55">
        <f t="shared" si="379"/>
        <v>11120</v>
      </c>
      <c r="U1777" s="55">
        <f t="shared" si="380"/>
        <v>10998.96</v>
      </c>
      <c r="V1777" s="55">
        <f t="shared" si="381"/>
        <v>-121.04000000000087</v>
      </c>
      <c r="W1777" s="55">
        <f t="shared" si="382"/>
        <v>10998.96</v>
      </c>
      <c r="X1777" s="55">
        <f t="shared" si="383"/>
        <v>0</v>
      </c>
      <c r="Y1777" s="55">
        <f t="shared" si="384"/>
        <v>9489.6</v>
      </c>
      <c r="Z1777" s="55">
        <f t="shared" si="385"/>
        <v>9489.6</v>
      </c>
      <c r="AA1777" s="55">
        <f t="shared" si="386"/>
        <v>0</v>
      </c>
      <c r="AB1777" s="55">
        <f t="shared" si="387"/>
        <v>1509.3599999999988</v>
      </c>
      <c r="AC1777" s="54">
        <f t="shared" si="388"/>
        <v>0.13722751969277086</v>
      </c>
      <c r="AD1777" s="56">
        <f>INDEX(Assumptions!$B$14:$B$16,MATCH($R1777,Assumptions!$A$14:$A$16,0))</f>
        <v>0.12</v>
      </c>
      <c r="AE1777" s="56">
        <f>INDEX(Assumptions!$C$14:$C$16,MATCH($R1777,Assumptions!$A$14:$A$16,0))</f>
        <v>0.08</v>
      </c>
      <c r="AF1777" s="49">
        <f t="shared" si="389"/>
        <v>0</v>
      </c>
      <c r="AG1777" s="49">
        <f t="shared" si="390"/>
        <v>0</v>
      </c>
      <c r="AH1777" s="55">
        <f t="shared" si="391"/>
        <v>0</v>
      </c>
    </row>
    <row r="1778" spans="1:34" x14ac:dyDescent="0.2">
      <c r="A1778" s="48" t="s">
        <v>1429</v>
      </c>
      <c r="B1778" s="48">
        <v>2</v>
      </c>
      <c r="C1778" s="48" t="s">
        <v>1378</v>
      </c>
      <c r="D1778" s="48" t="s">
        <v>1355</v>
      </c>
      <c r="E1778" s="48" t="s">
        <v>358</v>
      </c>
      <c r="F1778" s="48" t="s">
        <v>274</v>
      </c>
      <c r="G1778" s="48" t="s">
        <v>288</v>
      </c>
      <c r="H1778" s="48" t="s">
        <v>62</v>
      </c>
      <c r="I1778" s="48" t="s">
        <v>135</v>
      </c>
      <c r="J1778" s="49">
        <v>9</v>
      </c>
      <c r="K1778" s="50">
        <v>240</v>
      </c>
      <c r="L1778" s="50">
        <v>235.84</v>
      </c>
      <c r="M1778" s="48" t="s">
        <v>276</v>
      </c>
      <c r="N1778" s="51">
        <v>1</v>
      </c>
      <c r="O1778" s="51">
        <v>1</v>
      </c>
      <c r="P1778" s="52">
        <v>186.7</v>
      </c>
      <c r="Q1778" s="52">
        <v>186.7</v>
      </c>
      <c r="R1778" s="53" t="str">
        <f>INDEX(SKU_Master!$D$5:$D$34,MATCH($I1778,SKU_Master!$A$5:$A$34,0))</f>
        <v>Monitor</v>
      </c>
      <c r="S1778" s="54">
        <f t="shared" si="378"/>
        <v>1.7333333333333312E-2</v>
      </c>
      <c r="T1778" s="55">
        <f t="shared" si="379"/>
        <v>2160</v>
      </c>
      <c r="U1778" s="55">
        <f t="shared" si="380"/>
        <v>2122.56</v>
      </c>
      <c r="V1778" s="55">
        <f t="shared" si="381"/>
        <v>-37.440000000000055</v>
      </c>
      <c r="W1778" s="55">
        <f t="shared" si="382"/>
        <v>2122.56</v>
      </c>
      <c r="X1778" s="55">
        <f t="shared" si="383"/>
        <v>0</v>
      </c>
      <c r="Y1778" s="55">
        <f t="shared" si="384"/>
        <v>1680.3</v>
      </c>
      <c r="Z1778" s="55">
        <f t="shared" si="385"/>
        <v>1680.3</v>
      </c>
      <c r="AA1778" s="55">
        <f t="shared" si="386"/>
        <v>0</v>
      </c>
      <c r="AB1778" s="55">
        <f t="shared" si="387"/>
        <v>442.26</v>
      </c>
      <c r="AC1778" s="54">
        <f t="shared" si="388"/>
        <v>0.20836160108548168</v>
      </c>
      <c r="AD1778" s="56">
        <f>INDEX(Assumptions!$B$14:$B$16,MATCH($R1778,Assumptions!$A$14:$A$16,0))</f>
        <v>0.18</v>
      </c>
      <c r="AE1778" s="56">
        <f>INDEX(Assumptions!$C$14:$C$16,MATCH($R1778,Assumptions!$A$14:$A$16,0))</f>
        <v>0.12</v>
      </c>
      <c r="AF1778" s="49">
        <f t="shared" si="389"/>
        <v>0</v>
      </c>
      <c r="AG1778" s="49">
        <f t="shared" si="390"/>
        <v>0</v>
      </c>
      <c r="AH1778" s="55">
        <f t="shared" si="391"/>
        <v>0</v>
      </c>
    </row>
    <row r="1779" spans="1:34" x14ac:dyDescent="0.2">
      <c r="A1779" s="48" t="s">
        <v>1429</v>
      </c>
      <c r="B1779" s="48">
        <v>3</v>
      </c>
      <c r="C1779" s="48" t="s">
        <v>1378</v>
      </c>
      <c r="D1779" s="48" t="s">
        <v>1355</v>
      </c>
      <c r="E1779" s="48" t="s">
        <v>358</v>
      </c>
      <c r="F1779" s="48" t="s">
        <v>274</v>
      </c>
      <c r="G1779" s="48" t="s">
        <v>288</v>
      </c>
      <c r="H1779" s="48" t="s">
        <v>62</v>
      </c>
      <c r="I1779" s="48" t="s">
        <v>154</v>
      </c>
      <c r="J1779" s="49">
        <v>7</v>
      </c>
      <c r="K1779" s="50">
        <v>475</v>
      </c>
      <c r="L1779" s="50">
        <v>469.6</v>
      </c>
      <c r="M1779" s="48" t="s">
        <v>276</v>
      </c>
      <c r="N1779" s="51">
        <v>1</v>
      </c>
      <c r="O1779" s="51">
        <v>1</v>
      </c>
      <c r="P1779" s="52">
        <v>306</v>
      </c>
      <c r="Q1779" s="52">
        <v>306</v>
      </c>
      <c r="R1779" s="53" t="str">
        <f>INDEX(SKU_Master!$D$5:$D$34,MATCH($I1779,SKU_Master!$A$5:$A$34,0))</f>
        <v>Accessory</v>
      </c>
      <c r="S1779" s="54">
        <f t="shared" si="378"/>
        <v>1.1368421052631583E-2</v>
      </c>
      <c r="T1779" s="55">
        <f t="shared" si="379"/>
        <v>3325</v>
      </c>
      <c r="U1779" s="55">
        <f t="shared" si="380"/>
        <v>3287.2000000000003</v>
      </c>
      <c r="V1779" s="55">
        <f t="shared" si="381"/>
        <v>-37.799999999999727</v>
      </c>
      <c r="W1779" s="55">
        <f t="shared" si="382"/>
        <v>3287.2000000000003</v>
      </c>
      <c r="X1779" s="55">
        <f t="shared" si="383"/>
        <v>0</v>
      </c>
      <c r="Y1779" s="55">
        <f t="shared" si="384"/>
        <v>2142</v>
      </c>
      <c r="Z1779" s="55">
        <f t="shared" si="385"/>
        <v>2142</v>
      </c>
      <c r="AA1779" s="55">
        <f t="shared" si="386"/>
        <v>0</v>
      </c>
      <c r="AB1779" s="55">
        <f t="shared" si="387"/>
        <v>1145.2000000000003</v>
      </c>
      <c r="AC1779" s="54">
        <f t="shared" si="388"/>
        <v>0.34838160136286206</v>
      </c>
      <c r="AD1779" s="56">
        <f>INDEX(Assumptions!$B$14:$B$16,MATCH($R1779,Assumptions!$A$14:$A$16,0))</f>
        <v>0.32</v>
      </c>
      <c r="AE1779" s="56">
        <f>INDEX(Assumptions!$C$14:$C$16,MATCH($R1779,Assumptions!$A$14:$A$16,0))</f>
        <v>0.22</v>
      </c>
      <c r="AF1779" s="49">
        <f t="shared" si="389"/>
        <v>0</v>
      </c>
      <c r="AG1779" s="49">
        <f t="shared" si="390"/>
        <v>0</v>
      </c>
      <c r="AH1779" s="55">
        <f t="shared" si="391"/>
        <v>0</v>
      </c>
    </row>
    <row r="1780" spans="1:34" x14ac:dyDescent="0.2">
      <c r="A1780" s="48" t="s">
        <v>1430</v>
      </c>
      <c r="B1780" s="48">
        <v>1</v>
      </c>
      <c r="C1780" s="48" t="s">
        <v>1371</v>
      </c>
      <c r="D1780" s="48" t="s">
        <v>1355</v>
      </c>
      <c r="E1780" s="48" t="s">
        <v>287</v>
      </c>
      <c r="F1780" s="48" t="s">
        <v>274</v>
      </c>
      <c r="G1780" s="48" t="s">
        <v>288</v>
      </c>
      <c r="H1780" s="48" t="s">
        <v>62</v>
      </c>
      <c r="I1780" s="48" t="s">
        <v>93</v>
      </c>
      <c r="J1780" s="49">
        <v>2</v>
      </c>
      <c r="K1780" s="50">
        <v>1390</v>
      </c>
      <c r="L1780" s="50">
        <v>1373.75</v>
      </c>
      <c r="M1780" s="48" t="s">
        <v>276</v>
      </c>
      <c r="N1780" s="51">
        <v>1</v>
      </c>
      <c r="O1780" s="51">
        <v>1</v>
      </c>
      <c r="P1780" s="52">
        <v>1186.2</v>
      </c>
      <c r="Q1780" s="52">
        <v>1186.2</v>
      </c>
      <c r="R1780" s="53" t="str">
        <f>INDEX(SKU_Master!$D$5:$D$34,MATCH($I1780,SKU_Master!$A$5:$A$34,0))</f>
        <v>Laptop</v>
      </c>
      <c r="S1780" s="54">
        <f t="shared" si="378"/>
        <v>1.1690647482014427E-2</v>
      </c>
      <c r="T1780" s="55">
        <f t="shared" si="379"/>
        <v>2780</v>
      </c>
      <c r="U1780" s="55">
        <f t="shared" si="380"/>
        <v>2747.5</v>
      </c>
      <c r="V1780" s="55">
        <f t="shared" si="381"/>
        <v>-32.5</v>
      </c>
      <c r="W1780" s="55">
        <f t="shared" si="382"/>
        <v>2747.5</v>
      </c>
      <c r="X1780" s="55">
        <f t="shared" si="383"/>
        <v>0</v>
      </c>
      <c r="Y1780" s="55">
        <f t="shared" si="384"/>
        <v>2372.4</v>
      </c>
      <c r="Z1780" s="55">
        <f t="shared" si="385"/>
        <v>2372.4</v>
      </c>
      <c r="AA1780" s="55">
        <f t="shared" si="386"/>
        <v>0</v>
      </c>
      <c r="AB1780" s="55">
        <f t="shared" si="387"/>
        <v>375.09999999999991</v>
      </c>
      <c r="AC1780" s="54">
        <f t="shared" si="388"/>
        <v>0.13652411282984528</v>
      </c>
      <c r="AD1780" s="56">
        <f>INDEX(Assumptions!$B$14:$B$16,MATCH($R1780,Assumptions!$A$14:$A$16,0))</f>
        <v>0.12</v>
      </c>
      <c r="AE1780" s="56">
        <f>INDEX(Assumptions!$C$14:$C$16,MATCH($R1780,Assumptions!$A$14:$A$16,0))</f>
        <v>0.08</v>
      </c>
      <c r="AF1780" s="49">
        <f t="shared" si="389"/>
        <v>0</v>
      </c>
      <c r="AG1780" s="49">
        <f t="shared" si="390"/>
        <v>0</v>
      </c>
      <c r="AH1780" s="55">
        <f t="shared" si="391"/>
        <v>0</v>
      </c>
    </row>
    <row r="1781" spans="1:34" x14ac:dyDescent="0.2">
      <c r="A1781" s="48" t="s">
        <v>1430</v>
      </c>
      <c r="B1781" s="48">
        <v>2</v>
      </c>
      <c r="C1781" s="48" t="s">
        <v>1371</v>
      </c>
      <c r="D1781" s="48" t="s">
        <v>1355</v>
      </c>
      <c r="E1781" s="48" t="s">
        <v>287</v>
      </c>
      <c r="F1781" s="48" t="s">
        <v>274</v>
      </c>
      <c r="G1781" s="48" t="s">
        <v>288</v>
      </c>
      <c r="H1781" s="48" t="s">
        <v>62</v>
      </c>
      <c r="I1781" s="48" t="s">
        <v>135</v>
      </c>
      <c r="J1781" s="49">
        <v>1</v>
      </c>
      <c r="K1781" s="50">
        <v>240</v>
      </c>
      <c r="L1781" s="50">
        <v>236.03</v>
      </c>
      <c r="M1781" s="48" t="s">
        <v>276</v>
      </c>
      <c r="N1781" s="51">
        <v>1</v>
      </c>
      <c r="O1781" s="51">
        <v>1</v>
      </c>
      <c r="P1781" s="52">
        <v>186.7</v>
      </c>
      <c r="Q1781" s="52">
        <v>186.7</v>
      </c>
      <c r="R1781" s="53" t="str">
        <f>INDEX(SKU_Master!$D$5:$D$34,MATCH($I1781,SKU_Master!$A$5:$A$34,0))</f>
        <v>Monitor</v>
      </c>
      <c r="S1781" s="54">
        <f t="shared" si="378"/>
        <v>1.6541666666666677E-2</v>
      </c>
      <c r="T1781" s="55">
        <f t="shared" si="379"/>
        <v>240</v>
      </c>
      <c r="U1781" s="55">
        <f t="shared" si="380"/>
        <v>236.03</v>
      </c>
      <c r="V1781" s="55">
        <f t="shared" si="381"/>
        <v>-3.9699999999999989</v>
      </c>
      <c r="W1781" s="55">
        <f t="shared" si="382"/>
        <v>236.03</v>
      </c>
      <c r="X1781" s="55">
        <f t="shared" si="383"/>
        <v>0</v>
      </c>
      <c r="Y1781" s="55">
        <f t="shared" si="384"/>
        <v>186.7</v>
      </c>
      <c r="Z1781" s="55">
        <f t="shared" si="385"/>
        <v>186.7</v>
      </c>
      <c r="AA1781" s="55">
        <f t="shared" si="386"/>
        <v>0</v>
      </c>
      <c r="AB1781" s="55">
        <f t="shared" si="387"/>
        <v>49.330000000000013</v>
      </c>
      <c r="AC1781" s="54">
        <f t="shared" si="388"/>
        <v>0.20899885607761731</v>
      </c>
      <c r="AD1781" s="56">
        <f>INDEX(Assumptions!$B$14:$B$16,MATCH($R1781,Assumptions!$A$14:$A$16,0))</f>
        <v>0.18</v>
      </c>
      <c r="AE1781" s="56">
        <f>INDEX(Assumptions!$C$14:$C$16,MATCH($R1781,Assumptions!$A$14:$A$16,0))</f>
        <v>0.12</v>
      </c>
      <c r="AF1781" s="49">
        <f t="shared" si="389"/>
        <v>0</v>
      </c>
      <c r="AG1781" s="49">
        <f t="shared" si="390"/>
        <v>0</v>
      </c>
      <c r="AH1781" s="55">
        <f t="shared" si="391"/>
        <v>0</v>
      </c>
    </row>
    <row r="1782" spans="1:34" x14ac:dyDescent="0.2">
      <c r="A1782" s="48" t="s">
        <v>1430</v>
      </c>
      <c r="B1782" s="48">
        <v>3</v>
      </c>
      <c r="C1782" s="48" t="s">
        <v>1371</v>
      </c>
      <c r="D1782" s="48" t="s">
        <v>1355</v>
      </c>
      <c r="E1782" s="48" t="s">
        <v>287</v>
      </c>
      <c r="F1782" s="48" t="s">
        <v>274</v>
      </c>
      <c r="G1782" s="48" t="s">
        <v>288</v>
      </c>
      <c r="H1782" s="48" t="s">
        <v>62</v>
      </c>
      <c r="I1782" s="48" t="s">
        <v>151</v>
      </c>
      <c r="J1782" s="49">
        <v>1</v>
      </c>
      <c r="K1782" s="50">
        <v>335</v>
      </c>
      <c r="L1782" s="50">
        <v>330.09</v>
      </c>
      <c r="M1782" s="48" t="s">
        <v>276</v>
      </c>
      <c r="N1782" s="51">
        <v>1</v>
      </c>
      <c r="O1782" s="51">
        <v>1</v>
      </c>
      <c r="P1782" s="52">
        <v>216.7</v>
      </c>
      <c r="Q1782" s="52">
        <v>216.7</v>
      </c>
      <c r="R1782" s="53" t="str">
        <f>INDEX(SKU_Master!$D$5:$D$34,MATCH($I1782,SKU_Master!$A$5:$A$34,0))</f>
        <v>Accessory</v>
      </c>
      <c r="S1782" s="54">
        <f t="shared" si="378"/>
        <v>1.4656716417910554E-2</v>
      </c>
      <c r="T1782" s="55">
        <f t="shared" si="379"/>
        <v>335</v>
      </c>
      <c r="U1782" s="55">
        <f t="shared" si="380"/>
        <v>330.09</v>
      </c>
      <c r="V1782" s="55">
        <f t="shared" si="381"/>
        <v>-4.910000000000025</v>
      </c>
      <c r="W1782" s="55">
        <f t="shared" si="382"/>
        <v>330.09</v>
      </c>
      <c r="X1782" s="55">
        <f t="shared" si="383"/>
        <v>0</v>
      </c>
      <c r="Y1782" s="55">
        <f t="shared" si="384"/>
        <v>216.7</v>
      </c>
      <c r="Z1782" s="55">
        <f t="shared" si="385"/>
        <v>216.7</v>
      </c>
      <c r="AA1782" s="55">
        <f t="shared" si="386"/>
        <v>0</v>
      </c>
      <c r="AB1782" s="55">
        <f t="shared" si="387"/>
        <v>113.38999999999999</v>
      </c>
      <c r="AC1782" s="54">
        <f t="shared" si="388"/>
        <v>0.34351237541276619</v>
      </c>
      <c r="AD1782" s="56">
        <f>INDEX(Assumptions!$B$14:$B$16,MATCH($R1782,Assumptions!$A$14:$A$16,0))</f>
        <v>0.32</v>
      </c>
      <c r="AE1782" s="56">
        <f>INDEX(Assumptions!$C$14:$C$16,MATCH($R1782,Assumptions!$A$14:$A$16,0))</f>
        <v>0.22</v>
      </c>
      <c r="AF1782" s="49">
        <f t="shared" si="389"/>
        <v>0</v>
      </c>
      <c r="AG1782" s="49">
        <f t="shared" si="390"/>
        <v>0</v>
      </c>
      <c r="AH1782" s="55">
        <f t="shared" si="391"/>
        <v>0</v>
      </c>
    </row>
    <row r="1783" spans="1:34" x14ac:dyDescent="0.2">
      <c r="A1783" s="48" t="s">
        <v>1431</v>
      </c>
      <c r="B1783" s="48">
        <v>1</v>
      </c>
      <c r="C1783" s="48" t="s">
        <v>1432</v>
      </c>
      <c r="D1783" s="48" t="s">
        <v>1355</v>
      </c>
      <c r="E1783" s="48" t="s">
        <v>343</v>
      </c>
      <c r="F1783" s="48" t="s">
        <v>280</v>
      </c>
      <c r="G1783" s="48" t="s">
        <v>281</v>
      </c>
      <c r="H1783" s="48" t="s">
        <v>62</v>
      </c>
      <c r="I1783" s="48" t="s">
        <v>103</v>
      </c>
      <c r="J1783" s="49">
        <v>9</v>
      </c>
      <c r="K1783" s="50">
        <v>1135</v>
      </c>
      <c r="L1783" s="50">
        <v>1090.5999999999999</v>
      </c>
      <c r="M1783" s="48" t="s">
        <v>276</v>
      </c>
      <c r="N1783" s="51">
        <v>1</v>
      </c>
      <c r="O1783" s="51">
        <v>1</v>
      </c>
      <c r="P1783" s="52">
        <v>968.6</v>
      </c>
      <c r="Q1783" s="52">
        <v>968.6</v>
      </c>
      <c r="R1783" s="53" t="str">
        <f>INDEX(SKU_Master!$D$5:$D$34,MATCH($I1783,SKU_Master!$A$5:$A$34,0))</f>
        <v>Laptop</v>
      </c>
      <c r="S1783" s="54">
        <f t="shared" si="378"/>
        <v>3.9118942731277584E-2</v>
      </c>
      <c r="T1783" s="55">
        <f t="shared" si="379"/>
        <v>10215</v>
      </c>
      <c r="U1783" s="55">
        <f t="shared" si="380"/>
        <v>9815.4</v>
      </c>
      <c r="V1783" s="55">
        <f t="shared" si="381"/>
        <v>-399.60000000000036</v>
      </c>
      <c r="W1783" s="55">
        <f t="shared" si="382"/>
        <v>9815.4</v>
      </c>
      <c r="X1783" s="55">
        <f t="shared" si="383"/>
        <v>0</v>
      </c>
      <c r="Y1783" s="55">
        <f t="shared" si="384"/>
        <v>8717.4</v>
      </c>
      <c r="Z1783" s="55">
        <f t="shared" si="385"/>
        <v>8717.4</v>
      </c>
      <c r="AA1783" s="55">
        <f t="shared" si="386"/>
        <v>0</v>
      </c>
      <c r="AB1783" s="55">
        <f t="shared" si="387"/>
        <v>1098</v>
      </c>
      <c r="AC1783" s="54">
        <f t="shared" si="388"/>
        <v>0.11186502842472035</v>
      </c>
      <c r="AD1783" s="56">
        <f>INDEX(Assumptions!$B$14:$B$16,MATCH($R1783,Assumptions!$A$14:$A$16,0))</f>
        <v>0.12</v>
      </c>
      <c r="AE1783" s="56">
        <f>INDEX(Assumptions!$C$14:$C$16,MATCH($R1783,Assumptions!$A$14:$A$16,0))</f>
        <v>0.08</v>
      </c>
      <c r="AF1783" s="49">
        <f t="shared" si="389"/>
        <v>0</v>
      </c>
      <c r="AG1783" s="49">
        <f t="shared" si="390"/>
        <v>0</v>
      </c>
      <c r="AH1783" s="55">
        <f t="shared" si="391"/>
        <v>79.847999999999956</v>
      </c>
    </row>
    <row r="1784" spans="1:34" x14ac:dyDescent="0.2">
      <c r="A1784" s="48" t="s">
        <v>1431</v>
      </c>
      <c r="B1784" s="48">
        <v>2</v>
      </c>
      <c r="C1784" s="48" t="s">
        <v>1432</v>
      </c>
      <c r="D1784" s="48" t="s">
        <v>1355</v>
      </c>
      <c r="E1784" s="48" t="s">
        <v>343</v>
      </c>
      <c r="F1784" s="48" t="s">
        <v>280</v>
      </c>
      <c r="G1784" s="48" t="s">
        <v>281</v>
      </c>
      <c r="H1784" s="48" t="s">
        <v>62</v>
      </c>
      <c r="I1784" s="48" t="s">
        <v>161</v>
      </c>
      <c r="J1784" s="49">
        <v>8</v>
      </c>
      <c r="K1784" s="50">
        <v>120</v>
      </c>
      <c r="L1784" s="50">
        <v>118.21</v>
      </c>
      <c r="M1784" s="48" t="s">
        <v>276</v>
      </c>
      <c r="N1784" s="51">
        <v>1</v>
      </c>
      <c r="O1784" s="51">
        <v>1</v>
      </c>
      <c r="P1784" s="52">
        <v>76</v>
      </c>
      <c r="Q1784" s="52">
        <v>76</v>
      </c>
      <c r="R1784" s="53" t="str">
        <f>INDEX(SKU_Master!$D$5:$D$34,MATCH($I1784,SKU_Master!$A$5:$A$34,0))</f>
        <v>Accessory</v>
      </c>
      <c r="S1784" s="54">
        <f t="shared" si="378"/>
        <v>1.4916666666666689E-2</v>
      </c>
      <c r="T1784" s="55">
        <f t="shared" si="379"/>
        <v>960</v>
      </c>
      <c r="U1784" s="55">
        <f t="shared" si="380"/>
        <v>945.68</v>
      </c>
      <c r="V1784" s="55">
        <f t="shared" si="381"/>
        <v>-14.32000000000005</v>
      </c>
      <c r="W1784" s="55">
        <f t="shared" si="382"/>
        <v>945.68</v>
      </c>
      <c r="X1784" s="55">
        <f t="shared" si="383"/>
        <v>0</v>
      </c>
      <c r="Y1784" s="55">
        <f t="shared" si="384"/>
        <v>608</v>
      </c>
      <c r="Z1784" s="55">
        <f t="shared" si="385"/>
        <v>608</v>
      </c>
      <c r="AA1784" s="55">
        <f t="shared" si="386"/>
        <v>0</v>
      </c>
      <c r="AB1784" s="55">
        <f t="shared" si="387"/>
        <v>337.67999999999995</v>
      </c>
      <c r="AC1784" s="54">
        <f t="shared" si="388"/>
        <v>0.35707638947635562</v>
      </c>
      <c r="AD1784" s="56">
        <f>INDEX(Assumptions!$B$14:$B$16,MATCH($R1784,Assumptions!$A$14:$A$16,0))</f>
        <v>0.32</v>
      </c>
      <c r="AE1784" s="56">
        <f>INDEX(Assumptions!$C$14:$C$16,MATCH($R1784,Assumptions!$A$14:$A$16,0))</f>
        <v>0.22</v>
      </c>
      <c r="AF1784" s="49">
        <f t="shared" si="389"/>
        <v>0</v>
      </c>
      <c r="AG1784" s="49">
        <f t="shared" si="390"/>
        <v>0</v>
      </c>
      <c r="AH1784" s="55">
        <f t="shared" si="391"/>
        <v>0</v>
      </c>
    </row>
    <row r="1785" spans="1:34" x14ac:dyDescent="0.2">
      <c r="A1785" s="48" t="s">
        <v>1433</v>
      </c>
      <c r="B1785" s="48">
        <v>1</v>
      </c>
      <c r="C1785" s="48" t="s">
        <v>1425</v>
      </c>
      <c r="D1785" s="48" t="s">
        <v>1355</v>
      </c>
      <c r="E1785" s="48" t="s">
        <v>395</v>
      </c>
      <c r="F1785" s="48" t="s">
        <v>280</v>
      </c>
      <c r="G1785" s="48" t="s">
        <v>281</v>
      </c>
      <c r="H1785" s="48" t="s">
        <v>66</v>
      </c>
      <c r="I1785" s="48" t="s">
        <v>113</v>
      </c>
      <c r="J1785" s="49">
        <v>15</v>
      </c>
      <c r="K1785" s="50">
        <v>1655</v>
      </c>
      <c r="L1785" s="50">
        <v>1626.89</v>
      </c>
      <c r="M1785" s="48" t="s">
        <v>276</v>
      </c>
      <c r="N1785" s="51">
        <v>0.92</v>
      </c>
      <c r="O1785" s="51">
        <v>0.93310000000000004</v>
      </c>
      <c r="P1785" s="52">
        <v>1504.8</v>
      </c>
      <c r="Q1785" s="52">
        <v>1504.8</v>
      </c>
      <c r="R1785" s="53" t="str">
        <f>INDEX(SKU_Master!$D$5:$D$34,MATCH($I1785,SKU_Master!$A$5:$A$34,0))</f>
        <v>Laptop</v>
      </c>
      <c r="S1785" s="54">
        <f t="shared" si="378"/>
        <v>1.6984894259818639E-2</v>
      </c>
      <c r="T1785" s="55">
        <f t="shared" si="379"/>
        <v>26983.695652173912</v>
      </c>
      <c r="U1785" s="55">
        <f t="shared" si="380"/>
        <v>26525.380434782612</v>
      </c>
      <c r="V1785" s="55">
        <f t="shared" si="381"/>
        <v>-458.31521739130039</v>
      </c>
      <c r="W1785" s="55">
        <f t="shared" si="382"/>
        <v>26152.984674740113</v>
      </c>
      <c r="X1785" s="55">
        <f t="shared" si="383"/>
        <v>-372.3957600424983</v>
      </c>
      <c r="Y1785" s="55">
        <f t="shared" si="384"/>
        <v>22572</v>
      </c>
      <c r="Z1785" s="55">
        <f t="shared" si="385"/>
        <v>22572</v>
      </c>
      <c r="AA1785" s="55">
        <f t="shared" si="386"/>
        <v>0</v>
      </c>
      <c r="AB1785" s="55">
        <f t="shared" si="387"/>
        <v>3580.9846747401134</v>
      </c>
      <c r="AC1785" s="54">
        <f t="shared" si="388"/>
        <v>0.13692451241325473</v>
      </c>
      <c r="AD1785" s="56">
        <f>INDEX(Assumptions!$B$14:$B$16,MATCH($R1785,Assumptions!$A$14:$A$16,0))</f>
        <v>0.12</v>
      </c>
      <c r="AE1785" s="56">
        <f>INDEX(Assumptions!$C$14:$C$16,MATCH($R1785,Assumptions!$A$14:$A$16,0))</f>
        <v>0.08</v>
      </c>
      <c r="AF1785" s="49">
        <f t="shared" si="389"/>
        <v>0</v>
      </c>
      <c r="AG1785" s="49">
        <f t="shared" si="390"/>
        <v>0</v>
      </c>
      <c r="AH1785" s="55">
        <f t="shared" si="391"/>
        <v>0</v>
      </c>
    </row>
    <row r="1786" spans="1:34" x14ac:dyDescent="0.2">
      <c r="A1786" s="48" t="s">
        <v>1433</v>
      </c>
      <c r="B1786" s="48">
        <v>2</v>
      </c>
      <c r="C1786" s="48" t="s">
        <v>1425</v>
      </c>
      <c r="D1786" s="48" t="s">
        <v>1355</v>
      </c>
      <c r="E1786" s="48" t="s">
        <v>395</v>
      </c>
      <c r="F1786" s="48" t="s">
        <v>280</v>
      </c>
      <c r="G1786" s="48" t="s">
        <v>281</v>
      </c>
      <c r="H1786" s="48" t="s">
        <v>66</v>
      </c>
      <c r="I1786" s="48" t="s">
        <v>138</v>
      </c>
      <c r="J1786" s="49">
        <v>15</v>
      </c>
      <c r="K1786" s="50">
        <v>460</v>
      </c>
      <c r="L1786" s="50">
        <v>444.54</v>
      </c>
      <c r="M1786" s="48" t="s">
        <v>276</v>
      </c>
      <c r="N1786" s="51">
        <v>0.92</v>
      </c>
      <c r="O1786" s="51">
        <v>0.93310000000000004</v>
      </c>
      <c r="P1786" s="52">
        <v>383.2</v>
      </c>
      <c r="Q1786" s="52">
        <v>383.2</v>
      </c>
      <c r="R1786" s="53" t="str">
        <f>INDEX(SKU_Master!$D$5:$D$34,MATCH($I1786,SKU_Master!$A$5:$A$34,0))</f>
        <v>Monitor</v>
      </c>
      <c r="S1786" s="54">
        <f t="shared" si="378"/>
        <v>3.3608695652173837E-2</v>
      </c>
      <c r="T1786" s="55">
        <f t="shared" si="379"/>
        <v>7500</v>
      </c>
      <c r="U1786" s="55">
        <f t="shared" si="380"/>
        <v>7247.934782608696</v>
      </c>
      <c r="V1786" s="55">
        <f t="shared" si="381"/>
        <v>-252.06521739130403</v>
      </c>
      <c r="W1786" s="55">
        <f t="shared" si="382"/>
        <v>7146.1794019933559</v>
      </c>
      <c r="X1786" s="55">
        <f t="shared" si="383"/>
        <v>-101.75538061534007</v>
      </c>
      <c r="Y1786" s="55">
        <f t="shared" si="384"/>
        <v>5748</v>
      </c>
      <c r="Z1786" s="55">
        <f t="shared" si="385"/>
        <v>5748</v>
      </c>
      <c r="AA1786" s="55">
        <f t="shared" si="386"/>
        <v>0</v>
      </c>
      <c r="AB1786" s="55">
        <f t="shared" si="387"/>
        <v>1398.1794019933559</v>
      </c>
      <c r="AC1786" s="54">
        <f t="shared" si="388"/>
        <v>0.1956541143654115</v>
      </c>
      <c r="AD1786" s="56">
        <f>INDEX(Assumptions!$B$14:$B$16,MATCH($R1786,Assumptions!$A$14:$A$16,0))</f>
        <v>0.18</v>
      </c>
      <c r="AE1786" s="56">
        <f>INDEX(Assumptions!$C$14:$C$16,MATCH($R1786,Assumptions!$A$14:$A$16,0))</f>
        <v>0.12</v>
      </c>
      <c r="AF1786" s="49">
        <f t="shared" si="389"/>
        <v>0</v>
      </c>
      <c r="AG1786" s="49">
        <f t="shared" si="390"/>
        <v>0</v>
      </c>
      <c r="AH1786" s="55">
        <f t="shared" si="391"/>
        <v>0</v>
      </c>
    </row>
    <row r="1787" spans="1:34" x14ac:dyDescent="0.2">
      <c r="A1787" s="48" t="s">
        <v>1434</v>
      </c>
      <c r="B1787" s="48">
        <v>1</v>
      </c>
      <c r="C1787" s="48" t="s">
        <v>1373</v>
      </c>
      <c r="D1787" s="48" t="s">
        <v>1355</v>
      </c>
      <c r="E1787" s="48" t="s">
        <v>325</v>
      </c>
      <c r="F1787" s="48" t="s">
        <v>274</v>
      </c>
      <c r="G1787" s="48" t="s">
        <v>298</v>
      </c>
      <c r="H1787" s="48" t="s">
        <v>62</v>
      </c>
      <c r="I1787" s="48" t="s">
        <v>93</v>
      </c>
      <c r="J1787" s="49">
        <v>2</v>
      </c>
      <c r="K1787" s="50">
        <v>1390</v>
      </c>
      <c r="L1787" s="50">
        <v>1364.95</v>
      </c>
      <c r="M1787" s="48" t="s">
        <v>276</v>
      </c>
      <c r="N1787" s="51">
        <v>1</v>
      </c>
      <c r="O1787" s="51">
        <v>1</v>
      </c>
      <c r="P1787" s="52">
        <v>1186.2</v>
      </c>
      <c r="Q1787" s="52">
        <v>1186.2</v>
      </c>
      <c r="R1787" s="53" t="str">
        <f>INDEX(SKU_Master!$D$5:$D$34,MATCH($I1787,SKU_Master!$A$5:$A$34,0))</f>
        <v>Laptop</v>
      </c>
      <c r="S1787" s="54">
        <f t="shared" si="378"/>
        <v>1.8021582733812935E-2</v>
      </c>
      <c r="T1787" s="55">
        <f t="shared" si="379"/>
        <v>2780</v>
      </c>
      <c r="U1787" s="55">
        <f t="shared" si="380"/>
        <v>2729.9</v>
      </c>
      <c r="V1787" s="55">
        <f t="shared" si="381"/>
        <v>-50.099999999999909</v>
      </c>
      <c r="W1787" s="55">
        <f t="shared" si="382"/>
        <v>2729.9</v>
      </c>
      <c r="X1787" s="55">
        <f t="shared" si="383"/>
        <v>0</v>
      </c>
      <c r="Y1787" s="55">
        <f t="shared" si="384"/>
        <v>2372.4</v>
      </c>
      <c r="Z1787" s="55">
        <f t="shared" si="385"/>
        <v>2372.4</v>
      </c>
      <c r="AA1787" s="55">
        <f t="shared" si="386"/>
        <v>0</v>
      </c>
      <c r="AB1787" s="55">
        <f t="shared" si="387"/>
        <v>357.5</v>
      </c>
      <c r="AC1787" s="54">
        <f t="shared" si="388"/>
        <v>0.13095717791860506</v>
      </c>
      <c r="AD1787" s="56">
        <f>INDEX(Assumptions!$B$14:$B$16,MATCH($R1787,Assumptions!$A$14:$A$16,0))</f>
        <v>0.12</v>
      </c>
      <c r="AE1787" s="56">
        <f>INDEX(Assumptions!$C$14:$C$16,MATCH($R1787,Assumptions!$A$14:$A$16,0))</f>
        <v>0.08</v>
      </c>
      <c r="AF1787" s="49">
        <f t="shared" si="389"/>
        <v>0</v>
      </c>
      <c r="AG1787" s="49">
        <f t="shared" si="390"/>
        <v>0</v>
      </c>
      <c r="AH1787" s="55">
        <f t="shared" si="391"/>
        <v>0</v>
      </c>
    </row>
    <row r="1788" spans="1:34" x14ac:dyDescent="0.2">
      <c r="A1788" s="48" t="s">
        <v>1434</v>
      </c>
      <c r="B1788" s="48">
        <v>2</v>
      </c>
      <c r="C1788" s="48" t="s">
        <v>1373</v>
      </c>
      <c r="D1788" s="48" t="s">
        <v>1355</v>
      </c>
      <c r="E1788" s="48" t="s">
        <v>325</v>
      </c>
      <c r="F1788" s="48" t="s">
        <v>274</v>
      </c>
      <c r="G1788" s="48" t="s">
        <v>298</v>
      </c>
      <c r="H1788" s="48" t="s">
        <v>62</v>
      </c>
      <c r="I1788" s="48" t="s">
        <v>161</v>
      </c>
      <c r="J1788" s="49">
        <v>1</v>
      </c>
      <c r="K1788" s="50">
        <v>120</v>
      </c>
      <c r="L1788" s="50">
        <v>118.67</v>
      </c>
      <c r="M1788" s="48" t="s">
        <v>276</v>
      </c>
      <c r="N1788" s="51">
        <v>1</v>
      </c>
      <c r="O1788" s="51">
        <v>1</v>
      </c>
      <c r="P1788" s="52">
        <v>76</v>
      </c>
      <c r="Q1788" s="52">
        <v>76</v>
      </c>
      <c r="R1788" s="53" t="str">
        <f>INDEX(SKU_Master!$D$5:$D$34,MATCH($I1788,SKU_Master!$A$5:$A$34,0))</f>
        <v>Accessory</v>
      </c>
      <c r="S1788" s="54">
        <f t="shared" si="378"/>
        <v>1.1083333333333334E-2</v>
      </c>
      <c r="T1788" s="55">
        <f t="shared" si="379"/>
        <v>120</v>
      </c>
      <c r="U1788" s="55">
        <f t="shared" si="380"/>
        <v>118.67</v>
      </c>
      <c r="V1788" s="55">
        <f t="shared" si="381"/>
        <v>-1.3299999999999983</v>
      </c>
      <c r="W1788" s="55">
        <f t="shared" si="382"/>
        <v>118.67</v>
      </c>
      <c r="X1788" s="55">
        <f t="shared" si="383"/>
        <v>0</v>
      </c>
      <c r="Y1788" s="55">
        <f t="shared" si="384"/>
        <v>76</v>
      </c>
      <c r="Z1788" s="55">
        <f t="shared" si="385"/>
        <v>76</v>
      </c>
      <c r="AA1788" s="55">
        <f t="shared" si="386"/>
        <v>0</v>
      </c>
      <c r="AB1788" s="55">
        <f t="shared" si="387"/>
        <v>42.67</v>
      </c>
      <c r="AC1788" s="54">
        <f t="shared" si="388"/>
        <v>0.35956855144518413</v>
      </c>
      <c r="AD1788" s="56">
        <f>INDEX(Assumptions!$B$14:$B$16,MATCH($R1788,Assumptions!$A$14:$A$16,0))</f>
        <v>0.32</v>
      </c>
      <c r="AE1788" s="56">
        <f>INDEX(Assumptions!$C$14:$C$16,MATCH($R1788,Assumptions!$A$14:$A$16,0))</f>
        <v>0.22</v>
      </c>
      <c r="AF1788" s="49">
        <f t="shared" si="389"/>
        <v>0</v>
      </c>
      <c r="AG1788" s="49">
        <f t="shared" si="390"/>
        <v>0</v>
      </c>
      <c r="AH1788" s="55">
        <f t="shared" si="391"/>
        <v>0</v>
      </c>
    </row>
    <row r="1789" spans="1:34" x14ac:dyDescent="0.2">
      <c r="A1789" s="48" t="s">
        <v>1435</v>
      </c>
      <c r="B1789" s="48">
        <v>1</v>
      </c>
      <c r="C1789" s="48" t="s">
        <v>1368</v>
      </c>
      <c r="D1789" s="48" t="s">
        <v>1355</v>
      </c>
      <c r="E1789" s="48" t="s">
        <v>325</v>
      </c>
      <c r="F1789" s="48" t="s">
        <v>274</v>
      </c>
      <c r="G1789" s="48" t="s">
        <v>298</v>
      </c>
      <c r="H1789" s="48" t="s">
        <v>62</v>
      </c>
      <c r="I1789" s="48" t="s">
        <v>93</v>
      </c>
      <c r="J1789" s="49">
        <v>6</v>
      </c>
      <c r="K1789" s="50">
        <v>1390</v>
      </c>
      <c r="L1789" s="50">
        <v>1378.27</v>
      </c>
      <c r="M1789" s="48" t="s">
        <v>276</v>
      </c>
      <c r="N1789" s="51">
        <v>1</v>
      </c>
      <c r="O1789" s="51">
        <v>1</v>
      </c>
      <c r="P1789" s="52">
        <v>1186.2</v>
      </c>
      <c r="Q1789" s="52">
        <v>1186.2</v>
      </c>
      <c r="R1789" s="53" t="str">
        <f>INDEX(SKU_Master!$D$5:$D$34,MATCH($I1789,SKU_Master!$A$5:$A$34,0))</f>
        <v>Laptop</v>
      </c>
      <c r="S1789" s="54">
        <f t="shared" si="378"/>
        <v>8.4388489208633288E-3</v>
      </c>
      <c r="T1789" s="55">
        <f t="shared" si="379"/>
        <v>8340</v>
      </c>
      <c r="U1789" s="55">
        <f t="shared" si="380"/>
        <v>8269.619999999999</v>
      </c>
      <c r="V1789" s="55">
        <f t="shared" si="381"/>
        <v>-70.380000000001019</v>
      </c>
      <c r="W1789" s="55">
        <f t="shared" si="382"/>
        <v>8269.619999999999</v>
      </c>
      <c r="X1789" s="55">
        <f t="shared" si="383"/>
        <v>0</v>
      </c>
      <c r="Y1789" s="55">
        <f t="shared" si="384"/>
        <v>7117.2000000000007</v>
      </c>
      <c r="Z1789" s="55">
        <f t="shared" si="385"/>
        <v>7117.2000000000007</v>
      </c>
      <c r="AA1789" s="55">
        <f t="shared" si="386"/>
        <v>0</v>
      </c>
      <c r="AB1789" s="55">
        <f t="shared" si="387"/>
        <v>1152.4199999999983</v>
      </c>
      <c r="AC1789" s="54">
        <f t="shared" si="388"/>
        <v>0.13935585915676879</v>
      </c>
      <c r="AD1789" s="56">
        <f>INDEX(Assumptions!$B$14:$B$16,MATCH($R1789,Assumptions!$A$14:$A$16,0))</f>
        <v>0.12</v>
      </c>
      <c r="AE1789" s="56">
        <f>INDEX(Assumptions!$C$14:$C$16,MATCH($R1789,Assumptions!$A$14:$A$16,0))</f>
        <v>0.08</v>
      </c>
      <c r="AF1789" s="49">
        <f t="shared" si="389"/>
        <v>0</v>
      </c>
      <c r="AG1789" s="49">
        <f t="shared" si="390"/>
        <v>0</v>
      </c>
      <c r="AH1789" s="55">
        <f t="shared" si="391"/>
        <v>0</v>
      </c>
    </row>
    <row r="1790" spans="1:34" x14ac:dyDescent="0.2">
      <c r="A1790" s="48" t="s">
        <v>1435</v>
      </c>
      <c r="B1790" s="48">
        <v>2</v>
      </c>
      <c r="C1790" s="48" t="s">
        <v>1368</v>
      </c>
      <c r="D1790" s="48" t="s">
        <v>1355</v>
      </c>
      <c r="E1790" s="48" t="s">
        <v>325</v>
      </c>
      <c r="F1790" s="48" t="s">
        <v>274</v>
      </c>
      <c r="G1790" s="48" t="s">
        <v>298</v>
      </c>
      <c r="H1790" s="48" t="s">
        <v>62</v>
      </c>
      <c r="I1790" s="48" t="s">
        <v>138</v>
      </c>
      <c r="J1790" s="49">
        <v>3</v>
      </c>
      <c r="K1790" s="50">
        <v>455</v>
      </c>
      <c r="L1790" s="50">
        <v>451.31</v>
      </c>
      <c r="M1790" s="48" t="s">
        <v>276</v>
      </c>
      <c r="N1790" s="51">
        <v>1</v>
      </c>
      <c r="O1790" s="51">
        <v>1</v>
      </c>
      <c r="P1790" s="52">
        <v>358.2</v>
      </c>
      <c r="Q1790" s="52">
        <v>358.2</v>
      </c>
      <c r="R1790" s="53" t="str">
        <f>INDEX(SKU_Master!$D$5:$D$34,MATCH($I1790,SKU_Master!$A$5:$A$34,0))</f>
        <v>Monitor</v>
      </c>
      <c r="S1790" s="54">
        <f t="shared" si="378"/>
        <v>8.10989010989005E-3</v>
      </c>
      <c r="T1790" s="55">
        <f t="shared" si="379"/>
        <v>1365</v>
      </c>
      <c r="U1790" s="55">
        <f t="shared" si="380"/>
        <v>1353.93</v>
      </c>
      <c r="V1790" s="55">
        <f t="shared" si="381"/>
        <v>-11.069999999999936</v>
      </c>
      <c r="W1790" s="55">
        <f t="shared" si="382"/>
        <v>1353.93</v>
      </c>
      <c r="X1790" s="55">
        <f t="shared" si="383"/>
        <v>0</v>
      </c>
      <c r="Y1790" s="55">
        <f t="shared" si="384"/>
        <v>1074.5999999999999</v>
      </c>
      <c r="Z1790" s="55">
        <f t="shared" si="385"/>
        <v>1074.5999999999999</v>
      </c>
      <c r="AA1790" s="55">
        <f t="shared" si="386"/>
        <v>0</v>
      </c>
      <c r="AB1790" s="55">
        <f t="shared" si="387"/>
        <v>279.33000000000015</v>
      </c>
      <c r="AC1790" s="54">
        <f t="shared" si="388"/>
        <v>0.20631051826903912</v>
      </c>
      <c r="AD1790" s="56">
        <f>INDEX(Assumptions!$B$14:$B$16,MATCH($R1790,Assumptions!$A$14:$A$16,0))</f>
        <v>0.18</v>
      </c>
      <c r="AE1790" s="56">
        <f>INDEX(Assumptions!$C$14:$C$16,MATCH($R1790,Assumptions!$A$14:$A$16,0))</f>
        <v>0.12</v>
      </c>
      <c r="AF1790" s="49">
        <f t="shared" si="389"/>
        <v>0</v>
      </c>
      <c r="AG1790" s="49">
        <f t="shared" si="390"/>
        <v>0</v>
      </c>
      <c r="AH1790" s="55">
        <f t="shared" si="391"/>
        <v>0</v>
      </c>
    </row>
    <row r="1791" spans="1:34" x14ac:dyDescent="0.2">
      <c r="A1791" s="48" t="s">
        <v>1436</v>
      </c>
      <c r="B1791" s="48">
        <v>1</v>
      </c>
      <c r="C1791" s="48" t="s">
        <v>1394</v>
      </c>
      <c r="D1791" s="48" t="s">
        <v>1355</v>
      </c>
      <c r="E1791" s="48" t="s">
        <v>422</v>
      </c>
      <c r="F1791" s="48" t="s">
        <v>280</v>
      </c>
      <c r="G1791" s="48" t="s">
        <v>281</v>
      </c>
      <c r="H1791" s="48" t="s">
        <v>68</v>
      </c>
      <c r="I1791" s="48" t="s">
        <v>115</v>
      </c>
      <c r="J1791" s="49">
        <v>20</v>
      </c>
      <c r="K1791" s="50">
        <v>1205</v>
      </c>
      <c r="L1791" s="50">
        <v>1175.69</v>
      </c>
      <c r="M1791" s="48" t="s">
        <v>276</v>
      </c>
      <c r="N1791" s="51">
        <v>1.37</v>
      </c>
      <c r="O1791" s="51">
        <v>1.3718999999999999</v>
      </c>
      <c r="P1791" s="52">
        <v>735.6</v>
      </c>
      <c r="Q1791" s="52">
        <v>735.6</v>
      </c>
      <c r="R1791" s="53" t="str">
        <f>INDEX(SKU_Master!$D$5:$D$34,MATCH($I1791,SKU_Master!$A$5:$A$34,0))</f>
        <v>Laptop</v>
      </c>
      <c r="S1791" s="54">
        <f t="shared" si="378"/>
        <v>2.4323651452282102E-2</v>
      </c>
      <c r="T1791" s="55">
        <f t="shared" si="379"/>
        <v>17591.240875912408</v>
      </c>
      <c r="U1791" s="55">
        <f t="shared" si="380"/>
        <v>17163.357664233576</v>
      </c>
      <c r="V1791" s="55">
        <f t="shared" si="381"/>
        <v>-427.88321167883259</v>
      </c>
      <c r="W1791" s="55">
        <f t="shared" si="382"/>
        <v>17139.587433486409</v>
      </c>
      <c r="X1791" s="55">
        <f t="shared" si="383"/>
        <v>-23.770230747166352</v>
      </c>
      <c r="Y1791" s="55">
        <f t="shared" si="384"/>
        <v>14712</v>
      </c>
      <c r="Z1791" s="55">
        <f t="shared" si="385"/>
        <v>14712</v>
      </c>
      <c r="AA1791" s="55">
        <f t="shared" si="386"/>
        <v>0</v>
      </c>
      <c r="AB1791" s="55">
        <f t="shared" si="387"/>
        <v>2427.5874334864093</v>
      </c>
      <c r="AC1791" s="54">
        <f t="shared" si="388"/>
        <v>0.14163628167289014</v>
      </c>
      <c r="AD1791" s="56">
        <f>INDEX(Assumptions!$B$14:$B$16,MATCH($R1791,Assumptions!$A$14:$A$16,0))</f>
        <v>0.12</v>
      </c>
      <c r="AE1791" s="56">
        <f>INDEX(Assumptions!$C$14:$C$16,MATCH($R1791,Assumptions!$A$14:$A$16,0))</f>
        <v>0.08</v>
      </c>
      <c r="AF1791" s="49">
        <f t="shared" si="389"/>
        <v>0</v>
      </c>
      <c r="AG1791" s="49">
        <f t="shared" si="390"/>
        <v>0</v>
      </c>
      <c r="AH1791" s="55">
        <f t="shared" si="391"/>
        <v>0</v>
      </c>
    </row>
    <row r="1792" spans="1:34" x14ac:dyDescent="0.2">
      <c r="A1792" s="48" t="s">
        <v>1437</v>
      </c>
      <c r="B1792" s="48">
        <v>1</v>
      </c>
      <c r="C1792" s="48" t="s">
        <v>1398</v>
      </c>
      <c r="D1792" s="48" t="s">
        <v>1355</v>
      </c>
      <c r="E1792" s="48" t="s">
        <v>407</v>
      </c>
      <c r="F1792" s="48" t="s">
        <v>274</v>
      </c>
      <c r="G1792" s="48" t="s">
        <v>302</v>
      </c>
      <c r="H1792" s="48" t="s">
        <v>62</v>
      </c>
      <c r="I1792" s="48" t="s">
        <v>101</v>
      </c>
      <c r="J1792" s="49">
        <v>4</v>
      </c>
      <c r="K1792" s="50">
        <v>3440</v>
      </c>
      <c r="L1792" s="50">
        <v>3258.92</v>
      </c>
      <c r="M1792" s="48" t="s">
        <v>276</v>
      </c>
      <c r="N1792" s="51">
        <v>1</v>
      </c>
      <c r="O1792" s="51">
        <v>1</v>
      </c>
      <c r="P1792" s="52">
        <v>2938.5</v>
      </c>
      <c r="Q1792" s="52">
        <v>2938.5</v>
      </c>
      <c r="R1792" s="53" t="str">
        <f>INDEX(SKU_Master!$D$5:$D$34,MATCH($I1792,SKU_Master!$A$5:$A$34,0))</f>
        <v>Laptop</v>
      </c>
      <c r="S1792" s="54">
        <f t="shared" si="378"/>
        <v>5.2639534883720862E-2</v>
      </c>
      <c r="T1792" s="55">
        <f t="shared" si="379"/>
        <v>13760</v>
      </c>
      <c r="U1792" s="55">
        <f t="shared" si="380"/>
        <v>13035.68</v>
      </c>
      <c r="V1792" s="55">
        <f t="shared" si="381"/>
        <v>-724.31999999999971</v>
      </c>
      <c r="W1792" s="55">
        <f t="shared" si="382"/>
        <v>13035.68</v>
      </c>
      <c r="X1792" s="55">
        <f t="shared" si="383"/>
        <v>0</v>
      </c>
      <c r="Y1792" s="55">
        <f t="shared" si="384"/>
        <v>11754</v>
      </c>
      <c r="Z1792" s="55">
        <f t="shared" si="385"/>
        <v>11754</v>
      </c>
      <c r="AA1792" s="55">
        <f t="shared" si="386"/>
        <v>0</v>
      </c>
      <c r="AB1792" s="55">
        <f t="shared" si="387"/>
        <v>1281.6800000000003</v>
      </c>
      <c r="AC1792" s="54">
        <f t="shared" si="388"/>
        <v>9.8320916131724639E-2</v>
      </c>
      <c r="AD1792" s="56">
        <f>INDEX(Assumptions!$B$14:$B$16,MATCH($R1792,Assumptions!$A$14:$A$16,0))</f>
        <v>0.12</v>
      </c>
      <c r="AE1792" s="56">
        <f>INDEX(Assumptions!$C$14:$C$16,MATCH($R1792,Assumptions!$A$14:$A$16,0))</f>
        <v>0.08</v>
      </c>
      <c r="AF1792" s="49">
        <f t="shared" si="389"/>
        <v>0</v>
      </c>
      <c r="AG1792" s="49">
        <f t="shared" si="390"/>
        <v>0</v>
      </c>
      <c r="AH1792" s="55">
        <f t="shared" si="391"/>
        <v>282.60159999999973</v>
      </c>
    </row>
    <row r="1793" spans="1:34" x14ac:dyDescent="0.2">
      <c r="A1793" s="48" t="s">
        <v>1437</v>
      </c>
      <c r="B1793" s="48">
        <v>2</v>
      </c>
      <c r="C1793" s="48" t="s">
        <v>1398</v>
      </c>
      <c r="D1793" s="48" t="s">
        <v>1355</v>
      </c>
      <c r="E1793" s="48" t="s">
        <v>407</v>
      </c>
      <c r="F1793" s="48" t="s">
        <v>274</v>
      </c>
      <c r="G1793" s="48" t="s">
        <v>302</v>
      </c>
      <c r="H1793" s="48" t="s">
        <v>62</v>
      </c>
      <c r="I1793" s="48" t="s">
        <v>141</v>
      </c>
      <c r="J1793" s="49">
        <v>2</v>
      </c>
      <c r="K1793" s="50">
        <v>450</v>
      </c>
      <c r="L1793" s="50">
        <v>444.91</v>
      </c>
      <c r="M1793" s="48" t="s">
        <v>276</v>
      </c>
      <c r="N1793" s="51">
        <v>1</v>
      </c>
      <c r="O1793" s="51">
        <v>1</v>
      </c>
      <c r="P1793" s="52">
        <v>351.7</v>
      </c>
      <c r="Q1793" s="52">
        <v>351.7</v>
      </c>
      <c r="R1793" s="53" t="str">
        <f>INDEX(SKU_Master!$D$5:$D$34,MATCH($I1793,SKU_Master!$A$5:$A$34,0))</f>
        <v>Monitor</v>
      </c>
      <c r="S1793" s="54">
        <f t="shared" si="378"/>
        <v>1.131111111111105E-2</v>
      </c>
      <c r="T1793" s="55">
        <f t="shared" si="379"/>
        <v>900</v>
      </c>
      <c r="U1793" s="55">
        <f t="shared" si="380"/>
        <v>889.82</v>
      </c>
      <c r="V1793" s="55">
        <f t="shared" si="381"/>
        <v>-10.17999999999995</v>
      </c>
      <c r="W1793" s="55">
        <f t="shared" si="382"/>
        <v>889.82</v>
      </c>
      <c r="X1793" s="55">
        <f t="shared" si="383"/>
        <v>0</v>
      </c>
      <c r="Y1793" s="55">
        <f t="shared" si="384"/>
        <v>703.4</v>
      </c>
      <c r="Z1793" s="55">
        <f t="shared" si="385"/>
        <v>703.4</v>
      </c>
      <c r="AA1793" s="55">
        <f t="shared" si="386"/>
        <v>0</v>
      </c>
      <c r="AB1793" s="55">
        <f t="shared" si="387"/>
        <v>186.42000000000007</v>
      </c>
      <c r="AC1793" s="54">
        <f t="shared" si="388"/>
        <v>0.2095030455597762</v>
      </c>
      <c r="AD1793" s="56">
        <f>INDEX(Assumptions!$B$14:$B$16,MATCH($R1793,Assumptions!$A$14:$A$16,0))</f>
        <v>0.18</v>
      </c>
      <c r="AE1793" s="56">
        <f>INDEX(Assumptions!$C$14:$C$16,MATCH($R1793,Assumptions!$A$14:$A$16,0))</f>
        <v>0.12</v>
      </c>
      <c r="AF1793" s="49">
        <f t="shared" si="389"/>
        <v>0</v>
      </c>
      <c r="AG1793" s="49">
        <f t="shared" si="390"/>
        <v>0</v>
      </c>
      <c r="AH1793" s="55">
        <f t="shared" si="391"/>
        <v>0</v>
      </c>
    </row>
    <row r="1794" spans="1:34" x14ac:dyDescent="0.2">
      <c r="A1794" s="48" t="s">
        <v>1437</v>
      </c>
      <c r="B1794" s="48">
        <v>3</v>
      </c>
      <c r="C1794" s="48" t="s">
        <v>1398</v>
      </c>
      <c r="D1794" s="48" t="s">
        <v>1355</v>
      </c>
      <c r="E1794" s="48" t="s">
        <v>407</v>
      </c>
      <c r="F1794" s="48" t="s">
        <v>274</v>
      </c>
      <c r="G1794" s="48" t="s">
        <v>302</v>
      </c>
      <c r="H1794" s="48" t="s">
        <v>62</v>
      </c>
      <c r="I1794" s="48" t="s">
        <v>161</v>
      </c>
      <c r="J1794" s="49">
        <v>3</v>
      </c>
      <c r="K1794" s="50">
        <v>120</v>
      </c>
      <c r="L1794" s="50">
        <v>113.97</v>
      </c>
      <c r="M1794" s="48" t="s">
        <v>276</v>
      </c>
      <c r="N1794" s="51">
        <v>1</v>
      </c>
      <c r="O1794" s="51">
        <v>1</v>
      </c>
      <c r="P1794" s="52">
        <v>76</v>
      </c>
      <c r="Q1794" s="52">
        <v>76</v>
      </c>
      <c r="R1794" s="53" t="str">
        <f>INDEX(SKU_Master!$D$5:$D$34,MATCH($I1794,SKU_Master!$A$5:$A$34,0))</f>
        <v>Accessory</v>
      </c>
      <c r="S1794" s="54">
        <f t="shared" si="378"/>
        <v>5.0250000000000017E-2</v>
      </c>
      <c r="T1794" s="55">
        <f t="shared" si="379"/>
        <v>360</v>
      </c>
      <c r="U1794" s="55">
        <f t="shared" si="380"/>
        <v>341.90999999999997</v>
      </c>
      <c r="V1794" s="55">
        <f t="shared" si="381"/>
        <v>-18.090000000000032</v>
      </c>
      <c r="W1794" s="55">
        <f t="shared" si="382"/>
        <v>341.90999999999997</v>
      </c>
      <c r="X1794" s="55">
        <f t="shared" si="383"/>
        <v>0</v>
      </c>
      <c r="Y1794" s="55">
        <f t="shared" si="384"/>
        <v>228</v>
      </c>
      <c r="Z1794" s="55">
        <f t="shared" si="385"/>
        <v>228</v>
      </c>
      <c r="AA1794" s="55">
        <f t="shared" si="386"/>
        <v>0</v>
      </c>
      <c r="AB1794" s="55">
        <f t="shared" si="387"/>
        <v>113.90999999999997</v>
      </c>
      <c r="AC1794" s="54">
        <f t="shared" si="388"/>
        <v>0.33315784855663766</v>
      </c>
      <c r="AD1794" s="56">
        <f>INDEX(Assumptions!$B$14:$B$16,MATCH($R1794,Assumptions!$A$14:$A$16,0))</f>
        <v>0.32</v>
      </c>
      <c r="AE1794" s="56">
        <f>INDEX(Assumptions!$C$14:$C$16,MATCH($R1794,Assumptions!$A$14:$A$16,0))</f>
        <v>0.22</v>
      </c>
      <c r="AF1794" s="49">
        <f t="shared" si="389"/>
        <v>0</v>
      </c>
      <c r="AG1794" s="49">
        <f t="shared" si="390"/>
        <v>0</v>
      </c>
      <c r="AH1794" s="55">
        <f t="shared" si="391"/>
        <v>0</v>
      </c>
    </row>
    <row r="1795" spans="1:34" x14ac:dyDescent="0.2">
      <c r="A1795" s="48" t="s">
        <v>1438</v>
      </c>
      <c r="B1795" s="48">
        <v>1</v>
      </c>
      <c r="C1795" s="48" t="s">
        <v>1380</v>
      </c>
      <c r="D1795" s="48" t="s">
        <v>1355</v>
      </c>
      <c r="E1795" s="48" t="s">
        <v>346</v>
      </c>
      <c r="F1795" s="48" t="s">
        <v>297</v>
      </c>
      <c r="G1795" s="48" t="s">
        <v>302</v>
      </c>
      <c r="H1795" s="48" t="s">
        <v>62</v>
      </c>
      <c r="I1795" s="48" t="s">
        <v>113</v>
      </c>
      <c r="J1795" s="49">
        <v>50</v>
      </c>
      <c r="K1795" s="50">
        <v>1740</v>
      </c>
      <c r="L1795" s="50">
        <v>1617.78</v>
      </c>
      <c r="M1795" s="48" t="s">
        <v>276</v>
      </c>
      <c r="N1795" s="51">
        <v>1</v>
      </c>
      <c r="O1795" s="51">
        <v>1</v>
      </c>
      <c r="P1795" s="52">
        <v>1484.8</v>
      </c>
      <c r="Q1795" s="52">
        <v>1484.8</v>
      </c>
      <c r="R1795" s="53" t="str">
        <f>INDEX(SKU_Master!$D$5:$D$34,MATCH($I1795,SKU_Master!$A$5:$A$34,0))</f>
        <v>Laptop</v>
      </c>
      <c r="S1795" s="54">
        <f t="shared" si="378"/>
        <v>7.0241379310344798E-2</v>
      </c>
      <c r="T1795" s="55">
        <f t="shared" si="379"/>
        <v>87000</v>
      </c>
      <c r="U1795" s="55">
        <f t="shared" si="380"/>
        <v>80889</v>
      </c>
      <c r="V1795" s="55">
        <f t="shared" si="381"/>
        <v>-6111</v>
      </c>
      <c r="W1795" s="55">
        <f t="shared" si="382"/>
        <v>80889</v>
      </c>
      <c r="X1795" s="55">
        <f t="shared" si="383"/>
        <v>0</v>
      </c>
      <c r="Y1795" s="55">
        <f t="shared" si="384"/>
        <v>74240</v>
      </c>
      <c r="Z1795" s="55">
        <f t="shared" si="385"/>
        <v>74240</v>
      </c>
      <c r="AA1795" s="55">
        <f t="shared" si="386"/>
        <v>0</v>
      </c>
      <c r="AB1795" s="55">
        <f t="shared" si="387"/>
        <v>6649</v>
      </c>
      <c r="AC1795" s="54">
        <f t="shared" si="388"/>
        <v>8.2199062913375115E-2</v>
      </c>
      <c r="AD1795" s="56">
        <f>INDEX(Assumptions!$B$14:$B$16,MATCH($R1795,Assumptions!$A$14:$A$16,0))</f>
        <v>0.12</v>
      </c>
      <c r="AE1795" s="56">
        <f>INDEX(Assumptions!$C$14:$C$16,MATCH($R1795,Assumptions!$A$14:$A$16,0))</f>
        <v>0.08</v>
      </c>
      <c r="AF1795" s="49">
        <f t="shared" si="389"/>
        <v>0</v>
      </c>
      <c r="AG1795" s="49">
        <f t="shared" si="390"/>
        <v>0</v>
      </c>
      <c r="AH1795" s="55">
        <f t="shared" si="391"/>
        <v>3057.6800000000003</v>
      </c>
    </row>
    <row r="1796" spans="1:34" x14ac:dyDescent="0.2">
      <c r="A1796" s="48" t="s">
        <v>1439</v>
      </c>
      <c r="B1796" s="48">
        <v>1</v>
      </c>
      <c r="C1796" s="48" t="s">
        <v>1373</v>
      </c>
      <c r="D1796" s="48" t="s">
        <v>1355</v>
      </c>
      <c r="E1796" s="48" t="s">
        <v>366</v>
      </c>
      <c r="F1796" s="48" t="s">
        <v>297</v>
      </c>
      <c r="G1796" s="48" t="s">
        <v>302</v>
      </c>
      <c r="H1796" s="48" t="s">
        <v>66</v>
      </c>
      <c r="I1796" s="48" t="s">
        <v>110</v>
      </c>
      <c r="J1796" s="49">
        <v>34</v>
      </c>
      <c r="K1796" s="50">
        <v>1115</v>
      </c>
      <c r="L1796" s="50">
        <v>1068.17</v>
      </c>
      <c r="M1796" s="48" t="s">
        <v>276</v>
      </c>
      <c r="N1796" s="51">
        <v>0.92</v>
      </c>
      <c r="O1796" s="51">
        <v>0.93310000000000004</v>
      </c>
      <c r="P1796" s="52">
        <v>1012.65</v>
      </c>
      <c r="Q1796" s="52">
        <v>1012.65</v>
      </c>
      <c r="R1796" s="53" t="str">
        <f>INDEX(SKU_Master!$D$5:$D$34,MATCH($I1796,SKU_Master!$A$5:$A$34,0))</f>
        <v>Laptop</v>
      </c>
      <c r="S1796" s="54">
        <f t="shared" si="378"/>
        <v>4.1999999999999926E-2</v>
      </c>
      <c r="T1796" s="55">
        <f t="shared" si="379"/>
        <v>41206.521739130432</v>
      </c>
      <c r="U1796" s="55">
        <f t="shared" si="380"/>
        <v>39475.847826086952</v>
      </c>
      <c r="V1796" s="55">
        <f t="shared" si="381"/>
        <v>-1730.6739130434798</v>
      </c>
      <c r="W1796" s="55">
        <f t="shared" si="382"/>
        <v>38921.6375522452</v>
      </c>
      <c r="X1796" s="55">
        <f t="shared" si="383"/>
        <v>-554.2102738417525</v>
      </c>
      <c r="Y1796" s="55">
        <f t="shared" si="384"/>
        <v>34430.1</v>
      </c>
      <c r="Z1796" s="55">
        <f t="shared" si="385"/>
        <v>34430.1</v>
      </c>
      <c r="AA1796" s="55">
        <f t="shared" si="386"/>
        <v>0</v>
      </c>
      <c r="AB1796" s="55">
        <f t="shared" si="387"/>
        <v>4491.5375522452014</v>
      </c>
      <c r="AC1796" s="54">
        <f t="shared" si="388"/>
        <v>0.11539950101575586</v>
      </c>
      <c r="AD1796" s="56">
        <f>INDEX(Assumptions!$B$14:$B$16,MATCH($R1796,Assumptions!$A$14:$A$16,0))</f>
        <v>0.12</v>
      </c>
      <c r="AE1796" s="56">
        <f>INDEX(Assumptions!$C$14:$C$16,MATCH($R1796,Assumptions!$A$14:$A$16,0))</f>
        <v>0.08</v>
      </c>
      <c r="AF1796" s="49">
        <f t="shared" si="389"/>
        <v>0</v>
      </c>
      <c r="AG1796" s="49">
        <f t="shared" si="390"/>
        <v>0</v>
      </c>
      <c r="AH1796" s="55">
        <f t="shared" si="391"/>
        <v>179.05895402422266</v>
      </c>
    </row>
    <row r="1797" spans="1:34" x14ac:dyDescent="0.2">
      <c r="A1797" s="48" t="s">
        <v>1440</v>
      </c>
      <c r="B1797" s="48">
        <v>1</v>
      </c>
      <c r="C1797" s="48" t="s">
        <v>1388</v>
      </c>
      <c r="D1797" s="48" t="s">
        <v>1355</v>
      </c>
      <c r="E1797" s="48" t="s">
        <v>395</v>
      </c>
      <c r="F1797" s="48" t="s">
        <v>280</v>
      </c>
      <c r="G1797" s="48" t="s">
        <v>281</v>
      </c>
      <c r="H1797" s="48" t="s">
        <v>66</v>
      </c>
      <c r="I1797" s="48" t="s">
        <v>98</v>
      </c>
      <c r="J1797" s="49">
        <v>22</v>
      </c>
      <c r="K1797" s="50">
        <v>1980</v>
      </c>
      <c r="L1797" s="50">
        <v>1954.05</v>
      </c>
      <c r="M1797" s="48" t="s">
        <v>276</v>
      </c>
      <c r="N1797" s="51">
        <v>0.92</v>
      </c>
      <c r="O1797" s="51">
        <v>0.93310000000000004</v>
      </c>
      <c r="P1797" s="52">
        <v>1800.2</v>
      </c>
      <c r="Q1797" s="52">
        <v>1800.2</v>
      </c>
      <c r="R1797" s="53" t="str">
        <f>INDEX(SKU_Master!$D$5:$D$34,MATCH($I1797,SKU_Master!$A$5:$A$34,0))</f>
        <v>Laptop</v>
      </c>
      <c r="S1797" s="54">
        <f t="shared" ref="S1797:S1860" si="392">IF(K1797=0,0,1-L1797/K1797)</f>
        <v>1.3106060606060677E-2</v>
      </c>
      <c r="T1797" s="55">
        <f t="shared" ref="T1797:T1860" si="393">J1797*K1797/N1797</f>
        <v>47347.82608695652</v>
      </c>
      <c r="U1797" s="55">
        <f t="shared" ref="U1797:U1860" si="394">J1797*L1797/N1797</f>
        <v>46727.282608695648</v>
      </c>
      <c r="V1797" s="55">
        <f t="shared" ref="V1797:V1860" si="395">U1797-T1797</f>
        <v>-620.54347826087178</v>
      </c>
      <c r="W1797" s="55">
        <f t="shared" ref="W1797:W1860" si="396">J1797*L1797/O1797</f>
        <v>46071.267816954234</v>
      </c>
      <c r="X1797" s="55">
        <f t="shared" ref="X1797:X1860" si="397">W1797-U1797</f>
        <v>-656.01479174141423</v>
      </c>
      <c r="Y1797" s="55">
        <f t="shared" ref="Y1797:Y1860" si="398">J1797*P1797</f>
        <v>39604.400000000001</v>
      </c>
      <c r="Z1797" s="55">
        <f t="shared" ref="Z1797:Z1860" si="399">J1797*Q1797</f>
        <v>39604.400000000001</v>
      </c>
      <c r="AA1797" s="55">
        <f t="shared" ref="AA1797:AA1860" si="400">Y1797-Z1797</f>
        <v>0</v>
      </c>
      <c r="AB1797" s="55">
        <f t="shared" ref="AB1797:AB1860" si="401">W1797-Z1797</f>
        <v>6466.8678169542327</v>
      </c>
      <c r="AC1797" s="54">
        <f t="shared" ref="AC1797:AC1860" si="402">IF(W1797=0,0,AB1797/W1797)</f>
        <v>0.14036661293211525</v>
      </c>
      <c r="AD1797" s="56">
        <f>INDEX(Assumptions!$B$14:$B$16,MATCH($R1797,Assumptions!$A$14:$A$16,0))</f>
        <v>0.12</v>
      </c>
      <c r="AE1797" s="56">
        <f>INDEX(Assumptions!$C$14:$C$16,MATCH($R1797,Assumptions!$A$14:$A$16,0))</f>
        <v>0.08</v>
      </c>
      <c r="AF1797" s="49">
        <f t="shared" ref="AF1797:AF1860" si="403">IF(AC1797&lt;AE1797,1,0)</f>
        <v>0</v>
      </c>
      <c r="AG1797" s="49">
        <f t="shared" ref="AG1797:AG1860" si="404">IF(AND(AF1797=1,M1797="N"),1,0)</f>
        <v>0</v>
      </c>
      <c r="AH1797" s="55">
        <f t="shared" ref="AH1797:AH1860" si="405">MAX(0,W1797*AD1797-AB1797)</f>
        <v>0</v>
      </c>
    </row>
    <row r="1798" spans="1:34" x14ac:dyDescent="0.2">
      <c r="A1798" s="48" t="s">
        <v>1440</v>
      </c>
      <c r="B1798" s="48">
        <v>2</v>
      </c>
      <c r="C1798" s="48" t="s">
        <v>1388</v>
      </c>
      <c r="D1798" s="48" t="s">
        <v>1355</v>
      </c>
      <c r="E1798" s="48" t="s">
        <v>395</v>
      </c>
      <c r="F1798" s="48" t="s">
        <v>280</v>
      </c>
      <c r="G1798" s="48" t="s">
        <v>281</v>
      </c>
      <c r="H1798" s="48" t="s">
        <v>66</v>
      </c>
      <c r="I1798" s="48" t="s">
        <v>144</v>
      </c>
      <c r="J1798" s="49">
        <v>25</v>
      </c>
      <c r="K1798" s="50">
        <v>375</v>
      </c>
      <c r="L1798" s="50">
        <v>360</v>
      </c>
      <c r="M1798" s="48" t="s">
        <v>276</v>
      </c>
      <c r="N1798" s="51">
        <v>0.92</v>
      </c>
      <c r="O1798" s="51">
        <v>0.93310000000000004</v>
      </c>
      <c r="P1798" s="52">
        <v>314.60000000000002</v>
      </c>
      <c r="Q1798" s="52">
        <v>314.60000000000002</v>
      </c>
      <c r="R1798" s="53" t="str">
        <f>INDEX(SKU_Master!$D$5:$D$34,MATCH($I1798,SKU_Master!$A$5:$A$34,0))</f>
        <v>Monitor</v>
      </c>
      <c r="S1798" s="54">
        <f t="shared" si="392"/>
        <v>4.0000000000000036E-2</v>
      </c>
      <c r="T1798" s="55">
        <f t="shared" si="393"/>
        <v>10190.217391304348</v>
      </c>
      <c r="U1798" s="55">
        <f t="shared" si="394"/>
        <v>9782.608695652174</v>
      </c>
      <c r="V1798" s="55">
        <f t="shared" si="395"/>
        <v>-407.60869565217399</v>
      </c>
      <c r="W1798" s="55">
        <f t="shared" si="396"/>
        <v>9645.268459972136</v>
      </c>
      <c r="X1798" s="55">
        <f t="shared" si="397"/>
        <v>-137.34023568003795</v>
      </c>
      <c r="Y1798" s="55">
        <f t="shared" si="398"/>
        <v>7865.0000000000009</v>
      </c>
      <c r="Z1798" s="55">
        <f t="shared" si="399"/>
        <v>7865.0000000000009</v>
      </c>
      <c r="AA1798" s="55">
        <f t="shared" si="400"/>
        <v>0</v>
      </c>
      <c r="AB1798" s="55">
        <f t="shared" si="401"/>
        <v>1780.2684599721351</v>
      </c>
      <c r="AC1798" s="54">
        <f t="shared" si="402"/>
        <v>0.18457427777777768</v>
      </c>
      <c r="AD1798" s="56">
        <f>INDEX(Assumptions!$B$14:$B$16,MATCH($R1798,Assumptions!$A$14:$A$16,0))</f>
        <v>0.18</v>
      </c>
      <c r="AE1798" s="56">
        <f>INDEX(Assumptions!$C$14:$C$16,MATCH($R1798,Assumptions!$A$14:$A$16,0))</f>
        <v>0.12</v>
      </c>
      <c r="AF1798" s="49">
        <f t="shared" si="403"/>
        <v>0</v>
      </c>
      <c r="AG1798" s="49">
        <f t="shared" si="404"/>
        <v>0</v>
      </c>
      <c r="AH1798" s="55">
        <f t="shared" si="405"/>
        <v>0</v>
      </c>
    </row>
    <row r="1799" spans="1:34" x14ac:dyDescent="0.2">
      <c r="A1799" s="48" t="s">
        <v>1440</v>
      </c>
      <c r="B1799" s="48">
        <v>3</v>
      </c>
      <c r="C1799" s="48" t="s">
        <v>1388</v>
      </c>
      <c r="D1799" s="48" t="s">
        <v>1355</v>
      </c>
      <c r="E1799" s="48" t="s">
        <v>395</v>
      </c>
      <c r="F1799" s="48" t="s">
        <v>280</v>
      </c>
      <c r="G1799" s="48" t="s">
        <v>281</v>
      </c>
      <c r="H1799" s="48" t="s">
        <v>66</v>
      </c>
      <c r="I1799" s="48" t="s">
        <v>157</v>
      </c>
      <c r="J1799" s="49">
        <v>10</v>
      </c>
      <c r="K1799" s="50">
        <v>135</v>
      </c>
      <c r="L1799" s="50">
        <v>132.33000000000001</v>
      </c>
      <c r="M1799" s="48" t="s">
        <v>276</v>
      </c>
      <c r="N1799" s="51">
        <v>0.92</v>
      </c>
      <c r="O1799" s="51">
        <v>0.93310000000000004</v>
      </c>
      <c r="P1799" s="52">
        <v>91</v>
      </c>
      <c r="Q1799" s="52">
        <v>91</v>
      </c>
      <c r="R1799" s="53" t="str">
        <f>INDEX(SKU_Master!$D$5:$D$34,MATCH($I1799,SKU_Master!$A$5:$A$34,0))</f>
        <v>Accessory</v>
      </c>
      <c r="S1799" s="54">
        <f t="shared" si="392"/>
        <v>1.9777777777777672E-2</v>
      </c>
      <c r="T1799" s="55">
        <f t="shared" si="393"/>
        <v>1467.391304347826</v>
      </c>
      <c r="U1799" s="55">
        <f t="shared" si="394"/>
        <v>1438.3695652173915</v>
      </c>
      <c r="V1799" s="55">
        <f t="shared" si="395"/>
        <v>-29.021739130434526</v>
      </c>
      <c r="W1799" s="55">
        <f t="shared" si="396"/>
        <v>1418.1759725645697</v>
      </c>
      <c r="X1799" s="55">
        <f t="shared" si="397"/>
        <v>-20.193592652821735</v>
      </c>
      <c r="Y1799" s="55">
        <f t="shared" si="398"/>
        <v>910</v>
      </c>
      <c r="Z1799" s="55">
        <f t="shared" si="399"/>
        <v>910</v>
      </c>
      <c r="AA1799" s="55">
        <f t="shared" si="400"/>
        <v>0</v>
      </c>
      <c r="AB1799" s="55">
        <f t="shared" si="401"/>
        <v>508.17597256456975</v>
      </c>
      <c r="AC1799" s="54">
        <f t="shared" si="402"/>
        <v>0.35833068843043908</v>
      </c>
      <c r="AD1799" s="56">
        <f>INDEX(Assumptions!$B$14:$B$16,MATCH($R1799,Assumptions!$A$14:$A$16,0))</f>
        <v>0.32</v>
      </c>
      <c r="AE1799" s="56">
        <f>INDEX(Assumptions!$C$14:$C$16,MATCH($R1799,Assumptions!$A$14:$A$16,0))</f>
        <v>0.22</v>
      </c>
      <c r="AF1799" s="49">
        <f t="shared" si="403"/>
        <v>0</v>
      </c>
      <c r="AG1799" s="49">
        <f t="shared" si="404"/>
        <v>0</v>
      </c>
      <c r="AH1799" s="55">
        <f t="shared" si="405"/>
        <v>0</v>
      </c>
    </row>
    <row r="1800" spans="1:34" x14ac:dyDescent="0.2">
      <c r="A1800" s="48" t="s">
        <v>1441</v>
      </c>
      <c r="B1800" s="48">
        <v>1</v>
      </c>
      <c r="C1800" s="48" t="s">
        <v>1384</v>
      </c>
      <c r="D1800" s="48" t="s">
        <v>1355</v>
      </c>
      <c r="E1800" s="48" t="s">
        <v>349</v>
      </c>
      <c r="F1800" s="48" t="s">
        <v>274</v>
      </c>
      <c r="G1800" s="48" t="s">
        <v>275</v>
      </c>
      <c r="H1800" s="48" t="s">
        <v>66</v>
      </c>
      <c r="I1800" s="48" t="s">
        <v>108</v>
      </c>
      <c r="J1800" s="49">
        <v>3</v>
      </c>
      <c r="K1800" s="50">
        <v>1280</v>
      </c>
      <c r="L1800" s="50">
        <v>1259.78</v>
      </c>
      <c r="M1800" s="48" t="s">
        <v>276</v>
      </c>
      <c r="N1800" s="51">
        <v>0.92</v>
      </c>
      <c r="O1800" s="51">
        <v>0.93310000000000004</v>
      </c>
      <c r="P1800" s="52">
        <v>1165</v>
      </c>
      <c r="Q1800" s="52">
        <v>1232.6199999999999</v>
      </c>
      <c r="R1800" s="53" t="str">
        <f>INDEX(SKU_Master!$D$5:$D$34,MATCH($I1800,SKU_Master!$A$5:$A$34,0))</f>
        <v>Laptop</v>
      </c>
      <c r="S1800" s="54">
        <f t="shared" si="392"/>
        <v>1.5796875000000044E-2</v>
      </c>
      <c r="T1800" s="55">
        <f t="shared" si="393"/>
        <v>4173.913043478261</v>
      </c>
      <c r="U1800" s="55">
        <f t="shared" si="394"/>
        <v>4107.978260869565</v>
      </c>
      <c r="V1800" s="55">
        <f t="shared" si="395"/>
        <v>-65.934782608695969</v>
      </c>
      <c r="W1800" s="55">
        <f t="shared" si="396"/>
        <v>4050.3054335012325</v>
      </c>
      <c r="X1800" s="55">
        <f t="shared" si="397"/>
        <v>-57.672827368332491</v>
      </c>
      <c r="Y1800" s="55">
        <f t="shared" si="398"/>
        <v>3495</v>
      </c>
      <c r="Z1800" s="55">
        <f t="shared" si="399"/>
        <v>3697.8599999999997</v>
      </c>
      <c r="AA1800" s="55">
        <f t="shared" si="400"/>
        <v>-202.85999999999967</v>
      </c>
      <c r="AB1800" s="55">
        <f t="shared" si="401"/>
        <v>352.44543350123286</v>
      </c>
      <c r="AC1800" s="54">
        <f t="shared" si="402"/>
        <v>8.7017001381193643E-2</v>
      </c>
      <c r="AD1800" s="56">
        <f>INDEX(Assumptions!$B$14:$B$16,MATCH($R1800,Assumptions!$A$14:$A$16,0))</f>
        <v>0.12</v>
      </c>
      <c r="AE1800" s="56">
        <f>INDEX(Assumptions!$C$14:$C$16,MATCH($R1800,Assumptions!$A$14:$A$16,0))</f>
        <v>0.08</v>
      </c>
      <c r="AF1800" s="49">
        <f t="shared" si="403"/>
        <v>0</v>
      </c>
      <c r="AG1800" s="49">
        <f t="shared" si="404"/>
        <v>0</v>
      </c>
      <c r="AH1800" s="55">
        <f t="shared" si="405"/>
        <v>133.59121851891501</v>
      </c>
    </row>
    <row r="1801" spans="1:34" x14ac:dyDescent="0.2">
      <c r="A1801" s="48" t="s">
        <v>1442</v>
      </c>
      <c r="B1801" s="48">
        <v>1</v>
      </c>
      <c r="C1801" s="48" t="s">
        <v>1443</v>
      </c>
      <c r="D1801" s="48" t="s">
        <v>1444</v>
      </c>
      <c r="E1801" s="48" t="s">
        <v>422</v>
      </c>
      <c r="F1801" s="48" t="s">
        <v>280</v>
      </c>
      <c r="G1801" s="48" t="s">
        <v>281</v>
      </c>
      <c r="H1801" s="48" t="s">
        <v>68</v>
      </c>
      <c r="I1801" s="48" t="s">
        <v>113</v>
      </c>
      <c r="J1801" s="49">
        <v>5</v>
      </c>
      <c r="K1801" s="50">
        <v>2450</v>
      </c>
      <c r="L1801" s="50">
        <v>2358.27</v>
      </c>
      <c r="M1801" s="48" t="s">
        <v>276</v>
      </c>
      <c r="N1801" s="51">
        <v>1.37</v>
      </c>
      <c r="O1801" s="51">
        <v>1.3702000000000001</v>
      </c>
      <c r="P1801" s="52">
        <v>1496.8</v>
      </c>
      <c r="Q1801" s="52">
        <v>1496.8</v>
      </c>
      <c r="R1801" s="53" t="str">
        <f>INDEX(SKU_Master!$D$5:$D$34,MATCH($I1801,SKU_Master!$A$5:$A$34,0))</f>
        <v>Laptop</v>
      </c>
      <c r="S1801" s="54">
        <f t="shared" si="392"/>
        <v>3.7440816326530624E-2</v>
      </c>
      <c r="T1801" s="55">
        <f t="shared" si="393"/>
        <v>8941.6058394160573</v>
      </c>
      <c r="U1801" s="55">
        <f t="shared" si="394"/>
        <v>8606.8248175182471</v>
      </c>
      <c r="V1801" s="55">
        <f t="shared" si="395"/>
        <v>-334.78102189781021</v>
      </c>
      <c r="W1801" s="55">
        <f t="shared" si="396"/>
        <v>8605.5685301415851</v>
      </c>
      <c r="X1801" s="55">
        <f t="shared" si="397"/>
        <v>-1.2562873766619305</v>
      </c>
      <c r="Y1801" s="55">
        <f t="shared" si="398"/>
        <v>7484</v>
      </c>
      <c r="Z1801" s="55">
        <f t="shared" si="399"/>
        <v>7484</v>
      </c>
      <c r="AA1801" s="55">
        <f t="shared" si="400"/>
        <v>0</v>
      </c>
      <c r="AB1801" s="55">
        <f t="shared" si="401"/>
        <v>1121.5685301415851</v>
      </c>
      <c r="AC1801" s="54">
        <f t="shared" si="402"/>
        <v>0.1303305558735853</v>
      </c>
      <c r="AD1801" s="56">
        <f>INDEX(Assumptions!$B$14:$B$16,MATCH($R1801,Assumptions!$A$14:$A$16,0))</f>
        <v>0.12</v>
      </c>
      <c r="AE1801" s="56">
        <f>INDEX(Assumptions!$C$14:$C$16,MATCH($R1801,Assumptions!$A$14:$A$16,0))</f>
        <v>0.08</v>
      </c>
      <c r="AF1801" s="49">
        <f t="shared" si="403"/>
        <v>0</v>
      </c>
      <c r="AG1801" s="49">
        <f t="shared" si="404"/>
        <v>0</v>
      </c>
      <c r="AH1801" s="55">
        <f t="shared" si="405"/>
        <v>0</v>
      </c>
    </row>
    <row r="1802" spans="1:34" x14ac:dyDescent="0.2">
      <c r="A1802" s="48" t="s">
        <v>1442</v>
      </c>
      <c r="B1802" s="48">
        <v>2</v>
      </c>
      <c r="C1802" s="48" t="s">
        <v>1443</v>
      </c>
      <c r="D1802" s="48" t="s">
        <v>1444</v>
      </c>
      <c r="E1802" s="48" t="s">
        <v>422</v>
      </c>
      <c r="F1802" s="48" t="s">
        <v>280</v>
      </c>
      <c r="G1802" s="48" t="s">
        <v>281</v>
      </c>
      <c r="H1802" s="48" t="s">
        <v>68</v>
      </c>
      <c r="I1802" s="48" t="s">
        <v>161</v>
      </c>
      <c r="J1802" s="49">
        <v>5</v>
      </c>
      <c r="K1802" s="50">
        <v>175</v>
      </c>
      <c r="L1802" s="50">
        <v>167.51</v>
      </c>
      <c r="M1802" s="48" t="s">
        <v>276</v>
      </c>
      <c r="N1802" s="51">
        <v>1.37</v>
      </c>
      <c r="O1802" s="51">
        <v>1.3702000000000001</v>
      </c>
      <c r="P1802" s="52">
        <v>79</v>
      </c>
      <c r="Q1802" s="52">
        <v>79</v>
      </c>
      <c r="R1802" s="53" t="str">
        <f>INDEX(SKU_Master!$D$5:$D$34,MATCH($I1802,SKU_Master!$A$5:$A$34,0))</f>
        <v>Accessory</v>
      </c>
      <c r="S1802" s="54">
        <f t="shared" si="392"/>
        <v>4.280000000000006E-2</v>
      </c>
      <c r="T1802" s="55">
        <f t="shared" si="393"/>
        <v>638.68613138686123</v>
      </c>
      <c r="U1802" s="55">
        <f t="shared" si="394"/>
        <v>611.35036496350358</v>
      </c>
      <c r="V1802" s="55">
        <f t="shared" si="395"/>
        <v>-27.335766423357654</v>
      </c>
      <c r="W1802" s="55">
        <f t="shared" si="396"/>
        <v>611.26112976207844</v>
      </c>
      <c r="X1802" s="55">
        <f t="shared" si="397"/>
        <v>-8.9235201425140076E-2</v>
      </c>
      <c r="Y1802" s="55">
        <f t="shared" si="398"/>
        <v>395</v>
      </c>
      <c r="Z1802" s="55">
        <f t="shared" si="399"/>
        <v>395</v>
      </c>
      <c r="AA1802" s="55">
        <f t="shared" si="400"/>
        <v>0</v>
      </c>
      <c r="AB1802" s="55">
        <f t="shared" si="401"/>
        <v>216.26112976207844</v>
      </c>
      <c r="AC1802" s="54">
        <f t="shared" si="402"/>
        <v>0.35379499731359315</v>
      </c>
      <c r="AD1802" s="56">
        <f>INDEX(Assumptions!$B$14:$B$16,MATCH($R1802,Assumptions!$A$14:$A$16,0))</f>
        <v>0.32</v>
      </c>
      <c r="AE1802" s="56">
        <f>INDEX(Assumptions!$C$14:$C$16,MATCH($R1802,Assumptions!$A$14:$A$16,0))</f>
        <v>0.22</v>
      </c>
      <c r="AF1802" s="49">
        <f t="shared" si="403"/>
        <v>0</v>
      </c>
      <c r="AG1802" s="49">
        <f t="shared" si="404"/>
        <v>0</v>
      </c>
      <c r="AH1802" s="55">
        <f t="shared" si="405"/>
        <v>0</v>
      </c>
    </row>
    <row r="1803" spans="1:34" x14ac:dyDescent="0.2">
      <c r="A1803" s="48" t="s">
        <v>1445</v>
      </c>
      <c r="B1803" s="48">
        <v>1</v>
      </c>
      <c r="C1803" s="48" t="s">
        <v>1446</v>
      </c>
      <c r="D1803" s="48" t="s">
        <v>1444</v>
      </c>
      <c r="E1803" s="48" t="s">
        <v>395</v>
      </c>
      <c r="F1803" s="48" t="s">
        <v>280</v>
      </c>
      <c r="G1803" s="48" t="s">
        <v>281</v>
      </c>
      <c r="H1803" s="48" t="s">
        <v>66</v>
      </c>
      <c r="I1803" s="48" t="s">
        <v>103</v>
      </c>
      <c r="J1803" s="49">
        <v>5</v>
      </c>
      <c r="K1803" s="50">
        <v>1090</v>
      </c>
      <c r="L1803" s="50">
        <v>1046.1500000000001</v>
      </c>
      <c r="M1803" s="48" t="s">
        <v>276</v>
      </c>
      <c r="N1803" s="51">
        <v>0.92</v>
      </c>
      <c r="O1803" s="51">
        <v>0.93759999999999999</v>
      </c>
      <c r="P1803" s="52">
        <v>988.6</v>
      </c>
      <c r="Q1803" s="52">
        <v>988.6</v>
      </c>
      <c r="R1803" s="53" t="str">
        <f>INDEX(SKU_Master!$D$5:$D$34,MATCH($I1803,SKU_Master!$A$5:$A$34,0))</f>
        <v>Laptop</v>
      </c>
      <c r="S1803" s="54">
        <f t="shared" si="392"/>
        <v>4.0229357798165055E-2</v>
      </c>
      <c r="T1803" s="55">
        <f t="shared" si="393"/>
        <v>5923.913043478261</v>
      </c>
      <c r="U1803" s="55">
        <f t="shared" si="394"/>
        <v>5685.597826086956</v>
      </c>
      <c r="V1803" s="55">
        <f t="shared" si="395"/>
        <v>-238.31521739130494</v>
      </c>
      <c r="W1803" s="55">
        <f t="shared" si="396"/>
        <v>5578.8715870307169</v>
      </c>
      <c r="X1803" s="55">
        <f t="shared" si="397"/>
        <v>-106.72623905623914</v>
      </c>
      <c r="Y1803" s="55">
        <f t="shared" si="398"/>
        <v>4943</v>
      </c>
      <c r="Z1803" s="55">
        <f t="shared" si="399"/>
        <v>4943</v>
      </c>
      <c r="AA1803" s="55">
        <f t="shared" si="400"/>
        <v>0</v>
      </c>
      <c r="AB1803" s="55">
        <f t="shared" si="401"/>
        <v>635.87158703071691</v>
      </c>
      <c r="AC1803" s="54">
        <f t="shared" si="402"/>
        <v>0.1139785308034221</v>
      </c>
      <c r="AD1803" s="56">
        <f>INDEX(Assumptions!$B$14:$B$16,MATCH($R1803,Assumptions!$A$14:$A$16,0))</f>
        <v>0.12</v>
      </c>
      <c r="AE1803" s="56">
        <f>INDEX(Assumptions!$C$14:$C$16,MATCH($R1803,Assumptions!$A$14:$A$16,0))</f>
        <v>0.08</v>
      </c>
      <c r="AF1803" s="49">
        <f t="shared" si="403"/>
        <v>0</v>
      </c>
      <c r="AG1803" s="49">
        <f t="shared" si="404"/>
        <v>0</v>
      </c>
      <c r="AH1803" s="55">
        <f t="shared" si="405"/>
        <v>33.593003412969097</v>
      </c>
    </row>
    <row r="1804" spans="1:34" x14ac:dyDescent="0.2">
      <c r="A1804" s="48" t="s">
        <v>1445</v>
      </c>
      <c r="B1804" s="48">
        <v>2</v>
      </c>
      <c r="C1804" s="48" t="s">
        <v>1446</v>
      </c>
      <c r="D1804" s="48" t="s">
        <v>1444</v>
      </c>
      <c r="E1804" s="48" t="s">
        <v>395</v>
      </c>
      <c r="F1804" s="48" t="s">
        <v>280</v>
      </c>
      <c r="G1804" s="48" t="s">
        <v>281</v>
      </c>
      <c r="H1804" s="48" t="s">
        <v>66</v>
      </c>
      <c r="I1804" s="48" t="s">
        <v>151</v>
      </c>
      <c r="J1804" s="49">
        <v>3</v>
      </c>
      <c r="K1804" s="50">
        <v>325</v>
      </c>
      <c r="L1804" s="50">
        <v>314.01</v>
      </c>
      <c r="M1804" s="48" t="s">
        <v>276</v>
      </c>
      <c r="N1804" s="51">
        <v>0.92</v>
      </c>
      <c r="O1804" s="51">
        <v>0.93759999999999999</v>
      </c>
      <c r="P1804" s="52">
        <v>221.7</v>
      </c>
      <c r="Q1804" s="52">
        <v>221.7</v>
      </c>
      <c r="R1804" s="53" t="str">
        <f>INDEX(SKU_Master!$D$5:$D$34,MATCH($I1804,SKU_Master!$A$5:$A$34,0))</f>
        <v>Accessory</v>
      </c>
      <c r="S1804" s="54">
        <f t="shared" si="392"/>
        <v>3.3815384615384692E-2</v>
      </c>
      <c r="T1804" s="55">
        <f t="shared" si="393"/>
        <v>1059.782608695652</v>
      </c>
      <c r="U1804" s="55">
        <f t="shared" si="394"/>
        <v>1023.945652173913</v>
      </c>
      <c r="V1804" s="55">
        <f t="shared" si="395"/>
        <v>-35.836956521739012</v>
      </c>
      <c r="W1804" s="55">
        <f t="shared" si="396"/>
        <v>1004.7248293515358</v>
      </c>
      <c r="X1804" s="55">
        <f t="shared" si="397"/>
        <v>-19.220822822377158</v>
      </c>
      <c r="Y1804" s="55">
        <f t="shared" si="398"/>
        <v>665.09999999999991</v>
      </c>
      <c r="Z1804" s="55">
        <f t="shared" si="399"/>
        <v>665.09999999999991</v>
      </c>
      <c r="AA1804" s="55">
        <f t="shared" si="400"/>
        <v>0</v>
      </c>
      <c r="AB1804" s="55">
        <f t="shared" si="401"/>
        <v>339.62482935153594</v>
      </c>
      <c r="AC1804" s="54">
        <f t="shared" si="402"/>
        <v>0.3380277061240089</v>
      </c>
      <c r="AD1804" s="56">
        <f>INDEX(Assumptions!$B$14:$B$16,MATCH($R1804,Assumptions!$A$14:$A$16,0))</f>
        <v>0.32</v>
      </c>
      <c r="AE1804" s="56">
        <f>INDEX(Assumptions!$C$14:$C$16,MATCH($R1804,Assumptions!$A$14:$A$16,0))</f>
        <v>0.22</v>
      </c>
      <c r="AF1804" s="49">
        <f t="shared" si="403"/>
        <v>0</v>
      </c>
      <c r="AG1804" s="49">
        <f t="shared" si="404"/>
        <v>0</v>
      </c>
      <c r="AH1804" s="55">
        <f t="shared" si="405"/>
        <v>0</v>
      </c>
    </row>
    <row r="1805" spans="1:34" x14ac:dyDescent="0.2">
      <c r="A1805" s="48" t="s">
        <v>1447</v>
      </c>
      <c r="B1805" s="48">
        <v>1</v>
      </c>
      <c r="C1805" s="48" t="s">
        <v>1448</v>
      </c>
      <c r="D1805" s="48" t="s">
        <v>1444</v>
      </c>
      <c r="E1805" s="48" t="s">
        <v>284</v>
      </c>
      <c r="F1805" s="48" t="s">
        <v>274</v>
      </c>
      <c r="G1805" s="48" t="s">
        <v>275</v>
      </c>
      <c r="H1805" s="48" t="s">
        <v>64</v>
      </c>
      <c r="I1805" s="48" t="s">
        <v>93</v>
      </c>
      <c r="J1805" s="49">
        <v>2</v>
      </c>
      <c r="K1805" s="50">
        <v>1145</v>
      </c>
      <c r="L1805" s="50">
        <v>1141.5</v>
      </c>
      <c r="M1805" s="48" t="s">
        <v>276</v>
      </c>
      <c r="N1805" s="51">
        <v>0.79</v>
      </c>
      <c r="O1805" s="51">
        <v>0.83179999999999998</v>
      </c>
      <c r="P1805" s="52">
        <v>1210.2</v>
      </c>
      <c r="Q1805" s="52">
        <v>1210.2</v>
      </c>
      <c r="R1805" s="53" t="str">
        <f>INDEX(SKU_Master!$D$5:$D$34,MATCH($I1805,SKU_Master!$A$5:$A$34,0))</f>
        <v>Laptop</v>
      </c>
      <c r="S1805" s="54">
        <f t="shared" si="392"/>
        <v>3.0567685589519833E-3</v>
      </c>
      <c r="T1805" s="55">
        <f t="shared" si="393"/>
        <v>2898.7341772151899</v>
      </c>
      <c r="U1805" s="55">
        <f t="shared" si="394"/>
        <v>2889.8734177215188</v>
      </c>
      <c r="V1805" s="55">
        <f t="shared" si="395"/>
        <v>-8.8607594936711394</v>
      </c>
      <c r="W1805" s="55">
        <f t="shared" si="396"/>
        <v>2744.6501562875692</v>
      </c>
      <c r="X1805" s="55">
        <f t="shared" si="397"/>
        <v>-145.22326143394957</v>
      </c>
      <c r="Y1805" s="55">
        <f t="shared" si="398"/>
        <v>2420.4</v>
      </c>
      <c r="Z1805" s="55">
        <f t="shared" si="399"/>
        <v>2420.4</v>
      </c>
      <c r="AA1805" s="55">
        <f t="shared" si="400"/>
        <v>0</v>
      </c>
      <c r="AB1805" s="55">
        <f t="shared" si="401"/>
        <v>324.2501562875691</v>
      </c>
      <c r="AC1805" s="54">
        <f t="shared" si="402"/>
        <v>0.11813897503285149</v>
      </c>
      <c r="AD1805" s="56">
        <f>INDEX(Assumptions!$B$14:$B$16,MATCH($R1805,Assumptions!$A$14:$A$16,0))</f>
        <v>0.12</v>
      </c>
      <c r="AE1805" s="56">
        <f>INDEX(Assumptions!$C$14:$C$16,MATCH($R1805,Assumptions!$A$14:$A$16,0))</f>
        <v>0.08</v>
      </c>
      <c r="AF1805" s="49">
        <f t="shared" si="403"/>
        <v>0</v>
      </c>
      <c r="AG1805" s="49">
        <f t="shared" si="404"/>
        <v>0</v>
      </c>
      <c r="AH1805" s="55">
        <f t="shared" si="405"/>
        <v>5.1078624669391957</v>
      </c>
    </row>
    <row r="1806" spans="1:34" x14ac:dyDescent="0.2">
      <c r="A1806" s="48" t="s">
        <v>1449</v>
      </c>
      <c r="B1806" s="48">
        <v>1</v>
      </c>
      <c r="C1806" s="48" t="s">
        <v>1450</v>
      </c>
      <c r="D1806" s="48" t="s">
        <v>1444</v>
      </c>
      <c r="E1806" s="48" t="s">
        <v>317</v>
      </c>
      <c r="F1806" s="48" t="s">
        <v>280</v>
      </c>
      <c r="G1806" s="48" t="s">
        <v>306</v>
      </c>
      <c r="H1806" s="48" t="s">
        <v>62</v>
      </c>
      <c r="I1806" s="48" t="s">
        <v>118</v>
      </c>
      <c r="J1806" s="49">
        <v>12</v>
      </c>
      <c r="K1806" s="50">
        <v>1365</v>
      </c>
      <c r="L1806" s="50">
        <v>1320.02</v>
      </c>
      <c r="M1806" s="48" t="s">
        <v>276</v>
      </c>
      <c r="N1806" s="51">
        <v>1</v>
      </c>
      <c r="O1806" s="51">
        <v>1</v>
      </c>
      <c r="P1806" s="52">
        <v>1162.5999999999999</v>
      </c>
      <c r="Q1806" s="52">
        <v>1231.28</v>
      </c>
      <c r="R1806" s="53" t="str">
        <f>INDEX(SKU_Master!$D$5:$D$34,MATCH($I1806,SKU_Master!$A$5:$A$34,0))</f>
        <v>Laptop</v>
      </c>
      <c r="S1806" s="54">
        <f t="shared" si="392"/>
        <v>3.2952380952380955E-2</v>
      </c>
      <c r="T1806" s="55">
        <f t="shared" si="393"/>
        <v>16380</v>
      </c>
      <c r="U1806" s="55">
        <f t="shared" si="394"/>
        <v>15840.24</v>
      </c>
      <c r="V1806" s="55">
        <f t="shared" si="395"/>
        <v>-539.76000000000022</v>
      </c>
      <c r="W1806" s="55">
        <f t="shared" si="396"/>
        <v>15840.24</v>
      </c>
      <c r="X1806" s="55">
        <f t="shared" si="397"/>
        <v>0</v>
      </c>
      <c r="Y1806" s="55">
        <f t="shared" si="398"/>
        <v>13951.199999999999</v>
      </c>
      <c r="Z1806" s="55">
        <f t="shared" si="399"/>
        <v>14775.36</v>
      </c>
      <c r="AA1806" s="55">
        <f t="shared" si="400"/>
        <v>-824.16000000000167</v>
      </c>
      <c r="AB1806" s="55">
        <f t="shared" si="401"/>
        <v>1064.8799999999992</v>
      </c>
      <c r="AC1806" s="54">
        <f t="shared" si="402"/>
        <v>6.722625414766438E-2</v>
      </c>
      <c r="AD1806" s="56">
        <f>INDEX(Assumptions!$B$14:$B$16,MATCH($R1806,Assumptions!$A$14:$A$16,0))</f>
        <v>0.12</v>
      </c>
      <c r="AE1806" s="56">
        <f>INDEX(Assumptions!$C$14:$C$16,MATCH($R1806,Assumptions!$A$14:$A$16,0))</f>
        <v>0.08</v>
      </c>
      <c r="AF1806" s="49">
        <f t="shared" si="403"/>
        <v>1</v>
      </c>
      <c r="AG1806" s="49">
        <f t="shared" si="404"/>
        <v>1</v>
      </c>
      <c r="AH1806" s="55">
        <f t="shared" si="405"/>
        <v>835.9488000000008</v>
      </c>
    </row>
    <row r="1807" spans="1:34" x14ac:dyDescent="0.2">
      <c r="A1807" s="48" t="s">
        <v>1449</v>
      </c>
      <c r="B1807" s="48">
        <v>2</v>
      </c>
      <c r="C1807" s="48" t="s">
        <v>1450</v>
      </c>
      <c r="D1807" s="48" t="s">
        <v>1444</v>
      </c>
      <c r="E1807" s="48" t="s">
        <v>317</v>
      </c>
      <c r="F1807" s="48" t="s">
        <v>280</v>
      </c>
      <c r="G1807" s="48" t="s">
        <v>306</v>
      </c>
      <c r="H1807" s="48" t="s">
        <v>62</v>
      </c>
      <c r="I1807" s="48" t="s">
        <v>138</v>
      </c>
      <c r="J1807" s="49">
        <v>13</v>
      </c>
      <c r="K1807" s="50">
        <v>455</v>
      </c>
      <c r="L1807" s="50">
        <v>440.01</v>
      </c>
      <c r="M1807" s="48" t="s">
        <v>276</v>
      </c>
      <c r="N1807" s="51">
        <v>1</v>
      </c>
      <c r="O1807" s="51">
        <v>1</v>
      </c>
      <c r="P1807" s="52">
        <v>358.2</v>
      </c>
      <c r="Q1807" s="52">
        <v>358.2</v>
      </c>
      <c r="R1807" s="53" t="str">
        <f>INDEX(SKU_Master!$D$5:$D$34,MATCH($I1807,SKU_Master!$A$5:$A$34,0))</f>
        <v>Monitor</v>
      </c>
      <c r="S1807" s="54">
        <f t="shared" si="392"/>
        <v>3.2945054945054952E-2</v>
      </c>
      <c r="T1807" s="55">
        <f t="shared" si="393"/>
        <v>5915</v>
      </c>
      <c r="U1807" s="55">
        <f t="shared" si="394"/>
        <v>5720.13</v>
      </c>
      <c r="V1807" s="55">
        <f t="shared" si="395"/>
        <v>-194.86999999999989</v>
      </c>
      <c r="W1807" s="55">
        <f t="shared" si="396"/>
        <v>5720.13</v>
      </c>
      <c r="X1807" s="55">
        <f t="shared" si="397"/>
        <v>0</v>
      </c>
      <c r="Y1807" s="55">
        <f t="shared" si="398"/>
        <v>4656.5999999999995</v>
      </c>
      <c r="Z1807" s="55">
        <f t="shared" si="399"/>
        <v>4656.5999999999995</v>
      </c>
      <c r="AA1807" s="55">
        <f t="shared" si="400"/>
        <v>0</v>
      </c>
      <c r="AB1807" s="55">
        <f t="shared" si="401"/>
        <v>1063.5300000000007</v>
      </c>
      <c r="AC1807" s="54">
        <f t="shared" si="402"/>
        <v>0.18592759255471478</v>
      </c>
      <c r="AD1807" s="56">
        <f>INDEX(Assumptions!$B$14:$B$16,MATCH($R1807,Assumptions!$A$14:$A$16,0))</f>
        <v>0.18</v>
      </c>
      <c r="AE1807" s="56">
        <f>INDEX(Assumptions!$C$14:$C$16,MATCH($R1807,Assumptions!$A$14:$A$16,0))</f>
        <v>0.12</v>
      </c>
      <c r="AF1807" s="49">
        <f t="shared" si="403"/>
        <v>0</v>
      </c>
      <c r="AG1807" s="49">
        <f t="shared" si="404"/>
        <v>0</v>
      </c>
      <c r="AH1807" s="55">
        <f t="shared" si="405"/>
        <v>0</v>
      </c>
    </row>
    <row r="1808" spans="1:34" x14ac:dyDescent="0.2">
      <c r="A1808" s="48" t="s">
        <v>1449</v>
      </c>
      <c r="B1808" s="48">
        <v>3</v>
      </c>
      <c r="C1808" s="48" t="s">
        <v>1450</v>
      </c>
      <c r="D1808" s="48" t="s">
        <v>1444</v>
      </c>
      <c r="E1808" s="48" t="s">
        <v>317</v>
      </c>
      <c r="F1808" s="48" t="s">
        <v>280</v>
      </c>
      <c r="G1808" s="48" t="s">
        <v>306</v>
      </c>
      <c r="H1808" s="48" t="s">
        <v>62</v>
      </c>
      <c r="I1808" s="48" t="s">
        <v>166</v>
      </c>
      <c r="J1808" s="49">
        <v>12</v>
      </c>
      <c r="K1808" s="50">
        <v>265</v>
      </c>
      <c r="L1808" s="50">
        <v>256.29000000000002</v>
      </c>
      <c r="M1808" s="48" t="s">
        <v>276</v>
      </c>
      <c r="N1808" s="51">
        <v>1</v>
      </c>
      <c r="O1808" s="51">
        <v>1</v>
      </c>
      <c r="P1808" s="52">
        <v>169.35</v>
      </c>
      <c r="Q1808" s="52">
        <v>169.35</v>
      </c>
      <c r="R1808" s="53" t="str">
        <f>INDEX(SKU_Master!$D$5:$D$34,MATCH($I1808,SKU_Master!$A$5:$A$34,0))</f>
        <v>Accessory</v>
      </c>
      <c r="S1808" s="54">
        <f t="shared" si="392"/>
        <v>3.2867924528301784E-2</v>
      </c>
      <c r="T1808" s="55">
        <f t="shared" si="393"/>
        <v>3180</v>
      </c>
      <c r="U1808" s="55">
        <f t="shared" si="394"/>
        <v>3075.4800000000005</v>
      </c>
      <c r="V1808" s="55">
        <f t="shared" si="395"/>
        <v>-104.51999999999953</v>
      </c>
      <c r="W1808" s="55">
        <f t="shared" si="396"/>
        <v>3075.4800000000005</v>
      </c>
      <c r="X1808" s="55">
        <f t="shared" si="397"/>
        <v>0</v>
      </c>
      <c r="Y1808" s="55">
        <f t="shared" si="398"/>
        <v>2032.1999999999998</v>
      </c>
      <c r="Z1808" s="55">
        <f t="shared" si="399"/>
        <v>2032.1999999999998</v>
      </c>
      <c r="AA1808" s="55">
        <f t="shared" si="400"/>
        <v>0</v>
      </c>
      <c r="AB1808" s="55">
        <f t="shared" si="401"/>
        <v>1043.2800000000007</v>
      </c>
      <c r="AC1808" s="54">
        <f t="shared" si="402"/>
        <v>0.33922509657029165</v>
      </c>
      <c r="AD1808" s="56">
        <f>INDEX(Assumptions!$B$14:$B$16,MATCH($R1808,Assumptions!$A$14:$A$16,0))</f>
        <v>0.32</v>
      </c>
      <c r="AE1808" s="56">
        <f>INDEX(Assumptions!$C$14:$C$16,MATCH($R1808,Assumptions!$A$14:$A$16,0))</f>
        <v>0.22</v>
      </c>
      <c r="AF1808" s="49">
        <f t="shared" si="403"/>
        <v>0</v>
      </c>
      <c r="AG1808" s="49">
        <f t="shared" si="404"/>
        <v>0</v>
      </c>
      <c r="AH1808" s="55">
        <f t="shared" si="405"/>
        <v>0</v>
      </c>
    </row>
    <row r="1809" spans="1:34" x14ac:dyDescent="0.2">
      <c r="A1809" s="48" t="s">
        <v>1451</v>
      </c>
      <c r="B1809" s="48">
        <v>1</v>
      </c>
      <c r="C1809" s="48" t="s">
        <v>1452</v>
      </c>
      <c r="D1809" s="48" t="s">
        <v>1444</v>
      </c>
      <c r="E1809" s="48" t="s">
        <v>336</v>
      </c>
      <c r="F1809" s="48" t="s">
        <v>274</v>
      </c>
      <c r="G1809" s="48" t="s">
        <v>288</v>
      </c>
      <c r="H1809" s="48" t="s">
        <v>62</v>
      </c>
      <c r="I1809" s="48" t="s">
        <v>108</v>
      </c>
      <c r="J1809" s="49">
        <v>6</v>
      </c>
      <c r="K1809" s="50">
        <v>1345</v>
      </c>
      <c r="L1809" s="50">
        <v>1335.29</v>
      </c>
      <c r="M1809" s="48" t="s">
        <v>276</v>
      </c>
      <c r="N1809" s="51">
        <v>1</v>
      </c>
      <c r="O1809" s="51">
        <v>1</v>
      </c>
      <c r="P1809" s="52">
        <v>1145</v>
      </c>
      <c r="Q1809" s="52">
        <v>1212.6199999999999</v>
      </c>
      <c r="R1809" s="53" t="str">
        <f>INDEX(SKU_Master!$D$5:$D$34,MATCH($I1809,SKU_Master!$A$5:$A$34,0))</f>
        <v>Laptop</v>
      </c>
      <c r="S1809" s="54">
        <f t="shared" si="392"/>
        <v>7.2193308550185797E-3</v>
      </c>
      <c r="T1809" s="55">
        <f t="shared" si="393"/>
        <v>8070</v>
      </c>
      <c r="U1809" s="55">
        <f t="shared" si="394"/>
        <v>8011.74</v>
      </c>
      <c r="V1809" s="55">
        <f t="shared" si="395"/>
        <v>-58.260000000000218</v>
      </c>
      <c r="W1809" s="55">
        <f t="shared" si="396"/>
        <v>8011.74</v>
      </c>
      <c r="X1809" s="55">
        <f t="shared" si="397"/>
        <v>0</v>
      </c>
      <c r="Y1809" s="55">
        <f t="shared" si="398"/>
        <v>6870</v>
      </c>
      <c r="Z1809" s="55">
        <f t="shared" si="399"/>
        <v>7275.7199999999993</v>
      </c>
      <c r="AA1809" s="55">
        <f t="shared" si="400"/>
        <v>-405.71999999999935</v>
      </c>
      <c r="AB1809" s="55">
        <f t="shared" si="401"/>
        <v>736.02000000000044</v>
      </c>
      <c r="AC1809" s="54">
        <f t="shared" si="402"/>
        <v>9.1867684173475475E-2</v>
      </c>
      <c r="AD1809" s="56">
        <f>INDEX(Assumptions!$B$14:$B$16,MATCH($R1809,Assumptions!$A$14:$A$16,0))</f>
        <v>0.12</v>
      </c>
      <c r="AE1809" s="56">
        <f>INDEX(Assumptions!$C$14:$C$16,MATCH($R1809,Assumptions!$A$14:$A$16,0))</f>
        <v>0.08</v>
      </c>
      <c r="AF1809" s="49">
        <f t="shared" si="403"/>
        <v>0</v>
      </c>
      <c r="AG1809" s="49">
        <f t="shared" si="404"/>
        <v>0</v>
      </c>
      <c r="AH1809" s="55">
        <f t="shared" si="405"/>
        <v>225.38879999999949</v>
      </c>
    </row>
    <row r="1810" spans="1:34" x14ac:dyDescent="0.2">
      <c r="A1810" s="48" t="s">
        <v>1451</v>
      </c>
      <c r="B1810" s="48">
        <v>2</v>
      </c>
      <c r="C1810" s="48" t="s">
        <v>1452</v>
      </c>
      <c r="D1810" s="48" t="s">
        <v>1444</v>
      </c>
      <c r="E1810" s="48" t="s">
        <v>336</v>
      </c>
      <c r="F1810" s="48" t="s">
        <v>274</v>
      </c>
      <c r="G1810" s="48" t="s">
        <v>288</v>
      </c>
      <c r="H1810" s="48" t="s">
        <v>62</v>
      </c>
      <c r="I1810" s="48" t="s">
        <v>138</v>
      </c>
      <c r="J1810" s="49">
        <v>6</v>
      </c>
      <c r="K1810" s="50">
        <v>455</v>
      </c>
      <c r="L1810" s="50">
        <v>451.21</v>
      </c>
      <c r="M1810" s="48" t="s">
        <v>276</v>
      </c>
      <c r="N1810" s="51">
        <v>1</v>
      </c>
      <c r="O1810" s="51">
        <v>1</v>
      </c>
      <c r="P1810" s="52">
        <v>358.2</v>
      </c>
      <c r="Q1810" s="52">
        <v>358.2</v>
      </c>
      <c r="R1810" s="53" t="str">
        <f>INDEX(SKU_Master!$D$5:$D$34,MATCH($I1810,SKU_Master!$A$5:$A$34,0))</f>
        <v>Monitor</v>
      </c>
      <c r="S1810" s="54">
        <f t="shared" si="392"/>
        <v>8.3296703296703578E-3</v>
      </c>
      <c r="T1810" s="55">
        <f t="shared" si="393"/>
        <v>2730</v>
      </c>
      <c r="U1810" s="55">
        <f t="shared" si="394"/>
        <v>2707.2599999999998</v>
      </c>
      <c r="V1810" s="55">
        <f t="shared" si="395"/>
        <v>-22.740000000000236</v>
      </c>
      <c r="W1810" s="55">
        <f t="shared" si="396"/>
        <v>2707.2599999999998</v>
      </c>
      <c r="X1810" s="55">
        <f t="shared" si="397"/>
        <v>0</v>
      </c>
      <c r="Y1810" s="55">
        <f t="shared" si="398"/>
        <v>2149.1999999999998</v>
      </c>
      <c r="Z1810" s="55">
        <f t="shared" si="399"/>
        <v>2149.1999999999998</v>
      </c>
      <c r="AA1810" s="55">
        <f t="shared" si="400"/>
        <v>0</v>
      </c>
      <c r="AB1810" s="55">
        <f t="shared" si="401"/>
        <v>558.05999999999995</v>
      </c>
      <c r="AC1810" s="54">
        <f t="shared" si="402"/>
        <v>0.20613461581081979</v>
      </c>
      <c r="AD1810" s="56">
        <f>INDEX(Assumptions!$B$14:$B$16,MATCH($R1810,Assumptions!$A$14:$A$16,0))</f>
        <v>0.18</v>
      </c>
      <c r="AE1810" s="56">
        <f>INDEX(Assumptions!$C$14:$C$16,MATCH($R1810,Assumptions!$A$14:$A$16,0))</f>
        <v>0.12</v>
      </c>
      <c r="AF1810" s="49">
        <f t="shared" si="403"/>
        <v>0</v>
      </c>
      <c r="AG1810" s="49">
        <f t="shared" si="404"/>
        <v>0</v>
      </c>
      <c r="AH1810" s="55">
        <f t="shared" si="405"/>
        <v>0</v>
      </c>
    </row>
    <row r="1811" spans="1:34" x14ac:dyDescent="0.2">
      <c r="A1811" s="48" t="s">
        <v>1451</v>
      </c>
      <c r="B1811" s="48">
        <v>3</v>
      </c>
      <c r="C1811" s="48" t="s">
        <v>1452</v>
      </c>
      <c r="D1811" s="48" t="s">
        <v>1444</v>
      </c>
      <c r="E1811" s="48" t="s">
        <v>336</v>
      </c>
      <c r="F1811" s="48" t="s">
        <v>274</v>
      </c>
      <c r="G1811" s="48" t="s">
        <v>288</v>
      </c>
      <c r="H1811" s="48" t="s">
        <v>62</v>
      </c>
      <c r="I1811" s="48" t="s">
        <v>151</v>
      </c>
      <c r="J1811" s="49">
        <v>3</v>
      </c>
      <c r="K1811" s="50">
        <v>335</v>
      </c>
      <c r="L1811" s="50">
        <v>333.45</v>
      </c>
      <c r="M1811" s="48" t="s">
        <v>276</v>
      </c>
      <c r="N1811" s="51">
        <v>1</v>
      </c>
      <c r="O1811" s="51">
        <v>1</v>
      </c>
      <c r="P1811" s="52">
        <v>216.7</v>
      </c>
      <c r="Q1811" s="52">
        <v>216.7</v>
      </c>
      <c r="R1811" s="53" t="str">
        <f>INDEX(SKU_Master!$D$5:$D$34,MATCH($I1811,SKU_Master!$A$5:$A$34,0))</f>
        <v>Accessory</v>
      </c>
      <c r="S1811" s="54">
        <f t="shared" si="392"/>
        <v>4.6268656716418333E-3</v>
      </c>
      <c r="T1811" s="55">
        <f t="shared" si="393"/>
        <v>1005</v>
      </c>
      <c r="U1811" s="55">
        <f t="shared" si="394"/>
        <v>1000.3499999999999</v>
      </c>
      <c r="V1811" s="55">
        <f t="shared" si="395"/>
        <v>-4.6500000000000909</v>
      </c>
      <c r="W1811" s="55">
        <f t="shared" si="396"/>
        <v>1000.3499999999999</v>
      </c>
      <c r="X1811" s="55">
        <f t="shared" si="397"/>
        <v>0</v>
      </c>
      <c r="Y1811" s="55">
        <f t="shared" si="398"/>
        <v>650.09999999999991</v>
      </c>
      <c r="Z1811" s="55">
        <f t="shared" si="399"/>
        <v>650.09999999999991</v>
      </c>
      <c r="AA1811" s="55">
        <f t="shared" si="400"/>
        <v>0</v>
      </c>
      <c r="AB1811" s="55">
        <f t="shared" si="401"/>
        <v>350.25</v>
      </c>
      <c r="AC1811" s="54">
        <f t="shared" si="402"/>
        <v>0.3501274553906133</v>
      </c>
      <c r="AD1811" s="56">
        <f>INDEX(Assumptions!$B$14:$B$16,MATCH($R1811,Assumptions!$A$14:$A$16,0))</f>
        <v>0.32</v>
      </c>
      <c r="AE1811" s="56">
        <f>INDEX(Assumptions!$C$14:$C$16,MATCH($R1811,Assumptions!$A$14:$A$16,0))</f>
        <v>0.22</v>
      </c>
      <c r="AF1811" s="49">
        <f t="shared" si="403"/>
        <v>0</v>
      </c>
      <c r="AG1811" s="49">
        <f t="shared" si="404"/>
        <v>0</v>
      </c>
      <c r="AH1811" s="55">
        <f t="shared" si="405"/>
        <v>0</v>
      </c>
    </row>
    <row r="1812" spans="1:34" x14ac:dyDescent="0.2">
      <c r="A1812" s="48" t="s">
        <v>1453</v>
      </c>
      <c r="B1812" s="48">
        <v>1</v>
      </c>
      <c r="C1812" s="48" t="s">
        <v>1454</v>
      </c>
      <c r="D1812" s="48" t="s">
        <v>1444</v>
      </c>
      <c r="E1812" s="48" t="s">
        <v>366</v>
      </c>
      <c r="F1812" s="48" t="s">
        <v>297</v>
      </c>
      <c r="G1812" s="48" t="s">
        <v>302</v>
      </c>
      <c r="H1812" s="48" t="s">
        <v>66</v>
      </c>
      <c r="I1812" s="48" t="s">
        <v>93</v>
      </c>
      <c r="J1812" s="49">
        <v>67</v>
      </c>
      <c r="K1812" s="50">
        <v>1325</v>
      </c>
      <c r="L1812" s="50">
        <v>1292.73</v>
      </c>
      <c r="M1812" s="48" t="s">
        <v>276</v>
      </c>
      <c r="N1812" s="51">
        <v>0.92</v>
      </c>
      <c r="O1812" s="51">
        <v>0.93759999999999999</v>
      </c>
      <c r="P1812" s="52">
        <v>1206.2</v>
      </c>
      <c r="Q1812" s="52">
        <v>1206.2</v>
      </c>
      <c r="R1812" s="53" t="str">
        <f>INDEX(SKU_Master!$D$5:$D$34,MATCH($I1812,SKU_Master!$A$5:$A$34,0))</f>
        <v>Laptop</v>
      </c>
      <c r="S1812" s="54">
        <f t="shared" si="392"/>
        <v>2.4354716981132007E-2</v>
      </c>
      <c r="T1812" s="55">
        <f t="shared" si="393"/>
        <v>96494.565217391297</v>
      </c>
      <c r="U1812" s="55">
        <f t="shared" si="394"/>
        <v>94144.467391304352</v>
      </c>
      <c r="V1812" s="55">
        <f t="shared" si="395"/>
        <v>-2350.0978260869451</v>
      </c>
      <c r="W1812" s="55">
        <f t="shared" si="396"/>
        <v>92377.250426621162</v>
      </c>
      <c r="X1812" s="55">
        <f t="shared" si="397"/>
        <v>-1767.2169646831899</v>
      </c>
      <c r="Y1812" s="55">
        <f t="shared" si="398"/>
        <v>80815.400000000009</v>
      </c>
      <c r="Z1812" s="55">
        <f t="shared" si="399"/>
        <v>80815.400000000009</v>
      </c>
      <c r="AA1812" s="55">
        <f t="shared" si="400"/>
        <v>0</v>
      </c>
      <c r="AB1812" s="55">
        <f t="shared" si="401"/>
        <v>11561.850426621153</v>
      </c>
      <c r="AC1812" s="54">
        <f t="shared" si="402"/>
        <v>0.12515906647173028</v>
      </c>
      <c r="AD1812" s="56">
        <f>INDEX(Assumptions!$B$14:$B$16,MATCH($R1812,Assumptions!$A$14:$A$16,0))</f>
        <v>0.12</v>
      </c>
      <c r="AE1812" s="56">
        <f>INDEX(Assumptions!$C$14:$C$16,MATCH($R1812,Assumptions!$A$14:$A$16,0))</f>
        <v>0.08</v>
      </c>
      <c r="AF1812" s="49">
        <f t="shared" si="403"/>
        <v>0</v>
      </c>
      <c r="AG1812" s="49">
        <f t="shared" si="404"/>
        <v>0</v>
      </c>
      <c r="AH1812" s="55">
        <f t="shared" si="405"/>
        <v>0</v>
      </c>
    </row>
    <row r="1813" spans="1:34" x14ac:dyDescent="0.2">
      <c r="A1813" s="48" t="s">
        <v>1453</v>
      </c>
      <c r="B1813" s="48">
        <v>2</v>
      </c>
      <c r="C1813" s="48" t="s">
        <v>1454</v>
      </c>
      <c r="D1813" s="48" t="s">
        <v>1444</v>
      </c>
      <c r="E1813" s="48" t="s">
        <v>366</v>
      </c>
      <c r="F1813" s="48" t="s">
        <v>297</v>
      </c>
      <c r="G1813" s="48" t="s">
        <v>302</v>
      </c>
      <c r="H1813" s="48" t="s">
        <v>66</v>
      </c>
      <c r="I1813" s="48" t="s">
        <v>138</v>
      </c>
      <c r="J1813" s="49">
        <v>68</v>
      </c>
      <c r="K1813" s="50">
        <v>460</v>
      </c>
      <c r="L1813" s="50">
        <v>441.16</v>
      </c>
      <c r="M1813" s="48" t="s">
        <v>276</v>
      </c>
      <c r="N1813" s="51">
        <v>0.92</v>
      </c>
      <c r="O1813" s="51">
        <v>0.93759999999999999</v>
      </c>
      <c r="P1813" s="52">
        <v>383.2</v>
      </c>
      <c r="Q1813" s="52">
        <v>383.2</v>
      </c>
      <c r="R1813" s="53" t="str">
        <f>INDEX(SKU_Master!$D$5:$D$34,MATCH($I1813,SKU_Master!$A$5:$A$34,0))</f>
        <v>Monitor</v>
      </c>
      <c r="S1813" s="54">
        <f t="shared" si="392"/>
        <v>4.0956521739130336E-2</v>
      </c>
      <c r="T1813" s="55">
        <f t="shared" si="393"/>
        <v>34000</v>
      </c>
      <c r="U1813" s="55">
        <f t="shared" si="394"/>
        <v>32607.478260869564</v>
      </c>
      <c r="V1813" s="55">
        <f t="shared" si="395"/>
        <v>-1392.5217391304359</v>
      </c>
      <c r="W1813" s="55">
        <f t="shared" si="396"/>
        <v>31995.392491467577</v>
      </c>
      <c r="X1813" s="55">
        <f t="shared" si="397"/>
        <v>-612.08576940198691</v>
      </c>
      <c r="Y1813" s="55">
        <f t="shared" si="398"/>
        <v>26057.599999999999</v>
      </c>
      <c r="Z1813" s="55">
        <f t="shared" si="399"/>
        <v>26057.599999999999</v>
      </c>
      <c r="AA1813" s="55">
        <f t="shared" si="400"/>
        <v>0</v>
      </c>
      <c r="AB1813" s="55">
        <f t="shared" si="401"/>
        <v>5937.7924914675787</v>
      </c>
      <c r="AC1813" s="54">
        <f t="shared" si="402"/>
        <v>0.18558273642215981</v>
      </c>
      <c r="AD1813" s="56">
        <f>INDEX(Assumptions!$B$14:$B$16,MATCH($R1813,Assumptions!$A$14:$A$16,0))</f>
        <v>0.18</v>
      </c>
      <c r="AE1813" s="56">
        <f>INDEX(Assumptions!$C$14:$C$16,MATCH($R1813,Assumptions!$A$14:$A$16,0))</f>
        <v>0.12</v>
      </c>
      <c r="AF1813" s="49">
        <f t="shared" si="403"/>
        <v>0</v>
      </c>
      <c r="AG1813" s="49">
        <f t="shared" si="404"/>
        <v>0</v>
      </c>
      <c r="AH1813" s="55">
        <f t="shared" si="405"/>
        <v>0</v>
      </c>
    </row>
    <row r="1814" spans="1:34" x14ac:dyDescent="0.2">
      <c r="A1814" s="48" t="s">
        <v>1453</v>
      </c>
      <c r="B1814" s="48">
        <v>3</v>
      </c>
      <c r="C1814" s="48" t="s">
        <v>1454</v>
      </c>
      <c r="D1814" s="48" t="s">
        <v>1444</v>
      </c>
      <c r="E1814" s="48" t="s">
        <v>366</v>
      </c>
      <c r="F1814" s="48" t="s">
        <v>297</v>
      </c>
      <c r="G1814" s="48" t="s">
        <v>302</v>
      </c>
      <c r="H1814" s="48" t="s">
        <v>66</v>
      </c>
      <c r="I1814" s="48" t="s">
        <v>151</v>
      </c>
      <c r="J1814" s="49">
        <v>69</v>
      </c>
      <c r="K1814" s="50">
        <v>325</v>
      </c>
      <c r="L1814" s="50">
        <v>297.16000000000003</v>
      </c>
      <c r="M1814" s="48" t="s">
        <v>276</v>
      </c>
      <c r="N1814" s="51">
        <v>0.92</v>
      </c>
      <c r="O1814" s="51">
        <v>0.93759999999999999</v>
      </c>
      <c r="P1814" s="52">
        <v>221.7</v>
      </c>
      <c r="Q1814" s="52">
        <v>221.7</v>
      </c>
      <c r="R1814" s="53" t="str">
        <f>INDEX(SKU_Master!$D$5:$D$34,MATCH($I1814,SKU_Master!$A$5:$A$34,0))</f>
        <v>Accessory</v>
      </c>
      <c r="S1814" s="54">
        <f t="shared" si="392"/>
        <v>8.5661538461538345E-2</v>
      </c>
      <c r="T1814" s="55">
        <f t="shared" si="393"/>
        <v>24375</v>
      </c>
      <c r="U1814" s="55">
        <f t="shared" si="394"/>
        <v>22287</v>
      </c>
      <c r="V1814" s="55">
        <f t="shared" si="395"/>
        <v>-2088</v>
      </c>
      <c r="W1814" s="55">
        <f t="shared" si="396"/>
        <v>21868.643344709897</v>
      </c>
      <c r="X1814" s="55">
        <f t="shared" si="397"/>
        <v>-418.35665529010294</v>
      </c>
      <c r="Y1814" s="55">
        <f t="shared" si="398"/>
        <v>15297.3</v>
      </c>
      <c r="Z1814" s="55">
        <f t="shared" si="399"/>
        <v>15297.3</v>
      </c>
      <c r="AA1814" s="55">
        <f t="shared" si="400"/>
        <v>0</v>
      </c>
      <c r="AB1814" s="55">
        <f t="shared" si="401"/>
        <v>6571.3433447098978</v>
      </c>
      <c r="AC1814" s="54">
        <f t="shared" si="402"/>
        <v>0.30049158702382556</v>
      </c>
      <c r="AD1814" s="56">
        <f>INDEX(Assumptions!$B$14:$B$16,MATCH($R1814,Assumptions!$A$14:$A$16,0))</f>
        <v>0.32</v>
      </c>
      <c r="AE1814" s="56">
        <f>INDEX(Assumptions!$C$14:$C$16,MATCH($R1814,Assumptions!$A$14:$A$16,0))</f>
        <v>0.22</v>
      </c>
      <c r="AF1814" s="49">
        <f t="shared" si="403"/>
        <v>0</v>
      </c>
      <c r="AG1814" s="49">
        <f t="shared" si="404"/>
        <v>0</v>
      </c>
      <c r="AH1814" s="55">
        <f t="shared" si="405"/>
        <v>426.62252559726949</v>
      </c>
    </row>
    <row r="1815" spans="1:34" x14ac:dyDescent="0.2">
      <c r="A1815" s="48" t="s">
        <v>1455</v>
      </c>
      <c r="B1815" s="48">
        <v>1</v>
      </c>
      <c r="C1815" s="48" t="s">
        <v>1456</v>
      </c>
      <c r="D1815" s="48" t="s">
        <v>1444</v>
      </c>
      <c r="E1815" s="48" t="s">
        <v>322</v>
      </c>
      <c r="F1815" s="48" t="s">
        <v>274</v>
      </c>
      <c r="G1815" s="48" t="s">
        <v>288</v>
      </c>
      <c r="H1815" s="48" t="s">
        <v>62</v>
      </c>
      <c r="I1815" s="48" t="s">
        <v>108</v>
      </c>
      <c r="J1815" s="49">
        <v>5</v>
      </c>
      <c r="K1815" s="50">
        <v>1345</v>
      </c>
      <c r="L1815" s="50">
        <v>1340.71</v>
      </c>
      <c r="M1815" s="48" t="s">
        <v>276</v>
      </c>
      <c r="N1815" s="51">
        <v>1</v>
      </c>
      <c r="O1815" s="51">
        <v>1</v>
      </c>
      <c r="P1815" s="52">
        <v>1145</v>
      </c>
      <c r="Q1815" s="52">
        <v>1212.6199999999999</v>
      </c>
      <c r="R1815" s="53" t="str">
        <f>INDEX(SKU_Master!$D$5:$D$34,MATCH($I1815,SKU_Master!$A$5:$A$34,0))</f>
        <v>Laptop</v>
      </c>
      <c r="S1815" s="54">
        <f t="shared" si="392"/>
        <v>3.1895910780669334E-3</v>
      </c>
      <c r="T1815" s="55">
        <f t="shared" si="393"/>
        <v>6725</v>
      </c>
      <c r="U1815" s="55">
        <f t="shared" si="394"/>
        <v>6703.55</v>
      </c>
      <c r="V1815" s="55">
        <f t="shared" si="395"/>
        <v>-21.449999999999818</v>
      </c>
      <c r="W1815" s="55">
        <f t="shared" si="396"/>
        <v>6703.55</v>
      </c>
      <c r="X1815" s="55">
        <f t="shared" si="397"/>
        <v>0</v>
      </c>
      <c r="Y1815" s="55">
        <f t="shared" si="398"/>
        <v>5725</v>
      </c>
      <c r="Z1815" s="55">
        <f t="shared" si="399"/>
        <v>6063.0999999999995</v>
      </c>
      <c r="AA1815" s="55">
        <f t="shared" si="400"/>
        <v>-338.09999999999945</v>
      </c>
      <c r="AB1815" s="55">
        <f t="shared" si="401"/>
        <v>640.45000000000073</v>
      </c>
      <c r="AC1815" s="54">
        <f t="shared" si="402"/>
        <v>9.5538930864989546E-2</v>
      </c>
      <c r="AD1815" s="56">
        <f>INDEX(Assumptions!$B$14:$B$16,MATCH($R1815,Assumptions!$A$14:$A$16,0))</f>
        <v>0.12</v>
      </c>
      <c r="AE1815" s="56">
        <f>INDEX(Assumptions!$C$14:$C$16,MATCH($R1815,Assumptions!$A$14:$A$16,0))</f>
        <v>0.08</v>
      </c>
      <c r="AF1815" s="49">
        <f t="shared" si="403"/>
        <v>0</v>
      </c>
      <c r="AG1815" s="49">
        <f t="shared" si="404"/>
        <v>0</v>
      </c>
      <c r="AH1815" s="55">
        <f t="shared" si="405"/>
        <v>163.97599999999932</v>
      </c>
    </row>
    <row r="1816" spans="1:34" x14ac:dyDescent="0.2">
      <c r="A1816" s="48" t="s">
        <v>1455</v>
      </c>
      <c r="B1816" s="48">
        <v>2</v>
      </c>
      <c r="C1816" s="48" t="s">
        <v>1456</v>
      </c>
      <c r="D1816" s="48" t="s">
        <v>1444</v>
      </c>
      <c r="E1816" s="48" t="s">
        <v>322</v>
      </c>
      <c r="F1816" s="48" t="s">
        <v>274</v>
      </c>
      <c r="G1816" s="48" t="s">
        <v>288</v>
      </c>
      <c r="H1816" s="48" t="s">
        <v>62</v>
      </c>
      <c r="I1816" s="48" t="s">
        <v>173</v>
      </c>
      <c r="J1816" s="49">
        <v>4</v>
      </c>
      <c r="K1816" s="50">
        <v>55</v>
      </c>
      <c r="L1816" s="50">
        <v>54.99</v>
      </c>
      <c r="M1816" s="48" t="s">
        <v>276</v>
      </c>
      <c r="N1816" s="51">
        <v>1</v>
      </c>
      <c r="O1816" s="51">
        <v>1</v>
      </c>
      <c r="P1816" s="52">
        <v>34</v>
      </c>
      <c r="Q1816" s="52">
        <v>34</v>
      </c>
      <c r="R1816" s="53" t="str">
        <f>INDEX(SKU_Master!$D$5:$D$34,MATCH($I1816,SKU_Master!$A$5:$A$34,0))</f>
        <v>Accessory</v>
      </c>
      <c r="S1816" s="54">
        <f t="shared" si="392"/>
        <v>1.8181818181817189E-4</v>
      </c>
      <c r="T1816" s="55">
        <f t="shared" si="393"/>
        <v>220</v>
      </c>
      <c r="U1816" s="55">
        <f t="shared" si="394"/>
        <v>219.96</v>
      </c>
      <c r="V1816" s="55">
        <f t="shared" si="395"/>
        <v>-3.9999999999992042E-2</v>
      </c>
      <c r="W1816" s="55">
        <f t="shared" si="396"/>
        <v>219.96</v>
      </c>
      <c r="X1816" s="55">
        <f t="shared" si="397"/>
        <v>0</v>
      </c>
      <c r="Y1816" s="55">
        <f t="shared" si="398"/>
        <v>136</v>
      </c>
      <c r="Z1816" s="55">
        <f t="shared" si="399"/>
        <v>136</v>
      </c>
      <c r="AA1816" s="55">
        <f t="shared" si="400"/>
        <v>0</v>
      </c>
      <c r="AB1816" s="55">
        <f t="shared" si="401"/>
        <v>83.960000000000008</v>
      </c>
      <c r="AC1816" s="54">
        <f t="shared" si="402"/>
        <v>0.38170576468448814</v>
      </c>
      <c r="AD1816" s="56">
        <f>INDEX(Assumptions!$B$14:$B$16,MATCH($R1816,Assumptions!$A$14:$A$16,0))</f>
        <v>0.32</v>
      </c>
      <c r="AE1816" s="56">
        <f>INDEX(Assumptions!$C$14:$C$16,MATCH($R1816,Assumptions!$A$14:$A$16,0))</f>
        <v>0.22</v>
      </c>
      <c r="AF1816" s="49">
        <f t="shared" si="403"/>
        <v>0</v>
      </c>
      <c r="AG1816" s="49">
        <f t="shared" si="404"/>
        <v>0</v>
      </c>
      <c r="AH1816" s="55">
        <f t="shared" si="405"/>
        <v>0</v>
      </c>
    </row>
    <row r="1817" spans="1:34" x14ac:dyDescent="0.2">
      <c r="A1817" s="48" t="s">
        <v>1457</v>
      </c>
      <c r="B1817" s="48">
        <v>1</v>
      </c>
      <c r="C1817" s="48" t="s">
        <v>1458</v>
      </c>
      <c r="D1817" s="48" t="s">
        <v>1444</v>
      </c>
      <c r="E1817" s="48" t="s">
        <v>362</v>
      </c>
      <c r="F1817" s="48" t="s">
        <v>280</v>
      </c>
      <c r="G1817" s="48" t="s">
        <v>275</v>
      </c>
      <c r="H1817" s="48" t="s">
        <v>62</v>
      </c>
      <c r="I1817" s="48" t="s">
        <v>110</v>
      </c>
      <c r="J1817" s="49">
        <v>27</v>
      </c>
      <c r="K1817" s="50">
        <v>1165</v>
      </c>
      <c r="L1817" s="50">
        <v>1141.96</v>
      </c>
      <c r="M1817" s="48" t="s">
        <v>276</v>
      </c>
      <c r="N1817" s="51">
        <v>1</v>
      </c>
      <c r="O1817" s="51">
        <v>1</v>
      </c>
      <c r="P1817" s="52">
        <v>992.65</v>
      </c>
      <c r="Q1817" s="52">
        <v>992.65</v>
      </c>
      <c r="R1817" s="53" t="str">
        <f>INDEX(SKU_Master!$D$5:$D$34,MATCH($I1817,SKU_Master!$A$5:$A$34,0))</f>
        <v>Laptop</v>
      </c>
      <c r="S1817" s="54">
        <f t="shared" si="392"/>
        <v>1.9776824034334783E-2</v>
      </c>
      <c r="T1817" s="55">
        <f t="shared" si="393"/>
        <v>31455</v>
      </c>
      <c r="U1817" s="55">
        <f t="shared" si="394"/>
        <v>30832.920000000002</v>
      </c>
      <c r="V1817" s="55">
        <f t="shared" si="395"/>
        <v>-622.07999999999811</v>
      </c>
      <c r="W1817" s="55">
        <f t="shared" si="396"/>
        <v>30832.920000000002</v>
      </c>
      <c r="X1817" s="55">
        <f t="shared" si="397"/>
        <v>0</v>
      </c>
      <c r="Y1817" s="55">
        <f t="shared" si="398"/>
        <v>26801.55</v>
      </c>
      <c r="Z1817" s="55">
        <f t="shared" si="399"/>
        <v>26801.55</v>
      </c>
      <c r="AA1817" s="55">
        <f t="shared" si="400"/>
        <v>0</v>
      </c>
      <c r="AB1817" s="55">
        <f t="shared" si="401"/>
        <v>4031.3700000000026</v>
      </c>
      <c r="AC1817" s="54">
        <f t="shared" si="402"/>
        <v>0.13074888787698352</v>
      </c>
      <c r="AD1817" s="56">
        <f>INDEX(Assumptions!$B$14:$B$16,MATCH($R1817,Assumptions!$A$14:$A$16,0))</f>
        <v>0.12</v>
      </c>
      <c r="AE1817" s="56">
        <f>INDEX(Assumptions!$C$14:$C$16,MATCH($R1817,Assumptions!$A$14:$A$16,0))</f>
        <v>0.08</v>
      </c>
      <c r="AF1817" s="49">
        <f t="shared" si="403"/>
        <v>0</v>
      </c>
      <c r="AG1817" s="49">
        <f t="shared" si="404"/>
        <v>0</v>
      </c>
      <c r="AH1817" s="55">
        <f t="shared" si="405"/>
        <v>0</v>
      </c>
    </row>
    <row r="1818" spans="1:34" x14ac:dyDescent="0.2">
      <c r="A1818" s="48" t="s">
        <v>1457</v>
      </c>
      <c r="B1818" s="48">
        <v>2</v>
      </c>
      <c r="C1818" s="48" t="s">
        <v>1458</v>
      </c>
      <c r="D1818" s="48" t="s">
        <v>1444</v>
      </c>
      <c r="E1818" s="48" t="s">
        <v>362</v>
      </c>
      <c r="F1818" s="48" t="s">
        <v>280</v>
      </c>
      <c r="G1818" s="48" t="s">
        <v>275</v>
      </c>
      <c r="H1818" s="48" t="s">
        <v>62</v>
      </c>
      <c r="I1818" s="48" t="s">
        <v>161</v>
      </c>
      <c r="J1818" s="49">
        <v>15</v>
      </c>
      <c r="K1818" s="50">
        <v>120</v>
      </c>
      <c r="L1818" s="50">
        <v>114.83</v>
      </c>
      <c r="M1818" s="48" t="s">
        <v>276</v>
      </c>
      <c r="N1818" s="51">
        <v>1</v>
      </c>
      <c r="O1818" s="51">
        <v>1</v>
      </c>
      <c r="P1818" s="52">
        <v>76</v>
      </c>
      <c r="Q1818" s="52">
        <v>76</v>
      </c>
      <c r="R1818" s="53" t="str">
        <f>INDEX(SKU_Master!$D$5:$D$34,MATCH($I1818,SKU_Master!$A$5:$A$34,0))</f>
        <v>Accessory</v>
      </c>
      <c r="S1818" s="54">
        <f t="shared" si="392"/>
        <v>4.3083333333333362E-2</v>
      </c>
      <c r="T1818" s="55">
        <f t="shared" si="393"/>
        <v>1800</v>
      </c>
      <c r="U1818" s="55">
        <f t="shared" si="394"/>
        <v>1722.45</v>
      </c>
      <c r="V1818" s="55">
        <f t="shared" si="395"/>
        <v>-77.549999999999955</v>
      </c>
      <c r="W1818" s="55">
        <f t="shared" si="396"/>
        <v>1722.45</v>
      </c>
      <c r="X1818" s="55">
        <f t="shared" si="397"/>
        <v>0</v>
      </c>
      <c r="Y1818" s="55">
        <f t="shared" si="398"/>
        <v>1140</v>
      </c>
      <c r="Z1818" s="55">
        <f t="shared" si="399"/>
        <v>1140</v>
      </c>
      <c r="AA1818" s="55">
        <f t="shared" si="400"/>
        <v>0</v>
      </c>
      <c r="AB1818" s="55">
        <f t="shared" si="401"/>
        <v>582.45000000000005</v>
      </c>
      <c r="AC1818" s="54">
        <f t="shared" si="402"/>
        <v>0.33815205085778982</v>
      </c>
      <c r="AD1818" s="56">
        <f>INDEX(Assumptions!$B$14:$B$16,MATCH($R1818,Assumptions!$A$14:$A$16,0))</f>
        <v>0.32</v>
      </c>
      <c r="AE1818" s="56">
        <f>INDEX(Assumptions!$C$14:$C$16,MATCH($R1818,Assumptions!$A$14:$A$16,0))</f>
        <v>0.22</v>
      </c>
      <c r="AF1818" s="49">
        <f t="shared" si="403"/>
        <v>0</v>
      </c>
      <c r="AG1818" s="49">
        <f t="shared" si="404"/>
        <v>0</v>
      </c>
      <c r="AH1818" s="55">
        <f t="shared" si="405"/>
        <v>0</v>
      </c>
    </row>
    <row r="1819" spans="1:34" x14ac:dyDescent="0.2">
      <c r="A1819" s="48" t="s">
        <v>1459</v>
      </c>
      <c r="B1819" s="48">
        <v>1</v>
      </c>
      <c r="C1819" s="48" t="s">
        <v>1460</v>
      </c>
      <c r="D1819" s="48" t="s">
        <v>1444</v>
      </c>
      <c r="E1819" s="48" t="s">
        <v>314</v>
      </c>
      <c r="F1819" s="48" t="s">
        <v>274</v>
      </c>
      <c r="G1819" s="48" t="s">
        <v>298</v>
      </c>
      <c r="H1819" s="48" t="s">
        <v>68</v>
      </c>
      <c r="I1819" s="48" t="s">
        <v>106</v>
      </c>
      <c r="J1819" s="49">
        <v>8</v>
      </c>
      <c r="K1819" s="50">
        <v>2145</v>
      </c>
      <c r="L1819" s="50">
        <v>2103.8200000000002</v>
      </c>
      <c r="M1819" s="48" t="s">
        <v>276</v>
      </c>
      <c r="N1819" s="51">
        <v>1.37</v>
      </c>
      <c r="O1819" s="51">
        <v>1.3702000000000001</v>
      </c>
      <c r="P1819" s="52">
        <v>1310.4000000000001</v>
      </c>
      <c r="Q1819" s="52">
        <v>1310.4000000000001</v>
      </c>
      <c r="R1819" s="53" t="str">
        <f>INDEX(SKU_Master!$D$5:$D$34,MATCH($I1819,SKU_Master!$A$5:$A$34,0))</f>
        <v>Laptop</v>
      </c>
      <c r="S1819" s="54">
        <f t="shared" si="392"/>
        <v>1.9198135198135069E-2</v>
      </c>
      <c r="T1819" s="55">
        <f t="shared" si="393"/>
        <v>12525.547445255474</v>
      </c>
      <c r="U1819" s="55">
        <f t="shared" si="394"/>
        <v>12285.080291970802</v>
      </c>
      <c r="V1819" s="55">
        <f t="shared" si="395"/>
        <v>-240.46715328467144</v>
      </c>
      <c r="W1819" s="55">
        <f t="shared" si="396"/>
        <v>12283.287111370602</v>
      </c>
      <c r="X1819" s="55">
        <f t="shared" si="397"/>
        <v>-1.7931806001997757</v>
      </c>
      <c r="Y1819" s="55">
        <f t="shared" si="398"/>
        <v>10483.200000000001</v>
      </c>
      <c r="Z1819" s="55">
        <f t="shared" si="399"/>
        <v>10483.200000000001</v>
      </c>
      <c r="AA1819" s="55">
        <f t="shared" si="400"/>
        <v>0</v>
      </c>
      <c r="AB1819" s="55">
        <f t="shared" si="401"/>
        <v>1800.0871113706016</v>
      </c>
      <c r="AC1819" s="54">
        <f t="shared" si="402"/>
        <v>0.14654767042807837</v>
      </c>
      <c r="AD1819" s="56">
        <f>INDEX(Assumptions!$B$14:$B$16,MATCH($R1819,Assumptions!$A$14:$A$16,0))</f>
        <v>0.12</v>
      </c>
      <c r="AE1819" s="56">
        <f>INDEX(Assumptions!$C$14:$C$16,MATCH($R1819,Assumptions!$A$14:$A$16,0))</f>
        <v>0.08</v>
      </c>
      <c r="AF1819" s="49">
        <f t="shared" si="403"/>
        <v>0</v>
      </c>
      <c r="AG1819" s="49">
        <f t="shared" si="404"/>
        <v>0</v>
      </c>
      <c r="AH1819" s="55">
        <f t="shared" si="405"/>
        <v>0</v>
      </c>
    </row>
    <row r="1820" spans="1:34" x14ac:dyDescent="0.2">
      <c r="A1820" s="48" t="s">
        <v>1459</v>
      </c>
      <c r="B1820" s="48">
        <v>2</v>
      </c>
      <c r="C1820" s="48" t="s">
        <v>1460</v>
      </c>
      <c r="D1820" s="48" t="s">
        <v>1444</v>
      </c>
      <c r="E1820" s="48" t="s">
        <v>314</v>
      </c>
      <c r="F1820" s="48" t="s">
        <v>274</v>
      </c>
      <c r="G1820" s="48" t="s">
        <v>298</v>
      </c>
      <c r="H1820" s="48" t="s">
        <v>68</v>
      </c>
      <c r="I1820" s="48" t="s">
        <v>138</v>
      </c>
      <c r="J1820" s="49">
        <v>6</v>
      </c>
      <c r="K1820" s="50">
        <v>665</v>
      </c>
      <c r="L1820" s="50">
        <v>652.65</v>
      </c>
      <c r="M1820" s="48" t="s">
        <v>276</v>
      </c>
      <c r="N1820" s="51">
        <v>1.37</v>
      </c>
      <c r="O1820" s="51">
        <v>1.3702000000000001</v>
      </c>
      <c r="P1820" s="52">
        <v>373.2</v>
      </c>
      <c r="Q1820" s="52">
        <v>373.2</v>
      </c>
      <c r="R1820" s="53" t="str">
        <f>INDEX(SKU_Master!$D$5:$D$34,MATCH($I1820,SKU_Master!$A$5:$A$34,0))</f>
        <v>Monitor</v>
      </c>
      <c r="S1820" s="54">
        <f t="shared" si="392"/>
        <v>1.8571428571428572E-2</v>
      </c>
      <c r="T1820" s="55">
        <f t="shared" si="393"/>
        <v>2912.4087591240873</v>
      </c>
      <c r="U1820" s="55">
        <f t="shared" si="394"/>
        <v>2858.3211678832113</v>
      </c>
      <c r="V1820" s="55">
        <f t="shared" si="395"/>
        <v>-54.087591240876009</v>
      </c>
      <c r="W1820" s="55">
        <f t="shared" si="396"/>
        <v>2857.9039556269154</v>
      </c>
      <c r="X1820" s="55">
        <f t="shared" si="397"/>
        <v>-0.41721225629589753</v>
      </c>
      <c r="Y1820" s="55">
        <f t="shared" si="398"/>
        <v>2239.1999999999998</v>
      </c>
      <c r="Z1820" s="55">
        <f t="shared" si="399"/>
        <v>2239.1999999999998</v>
      </c>
      <c r="AA1820" s="55">
        <f t="shared" si="400"/>
        <v>0</v>
      </c>
      <c r="AB1820" s="55">
        <f t="shared" si="401"/>
        <v>618.70395562691556</v>
      </c>
      <c r="AC1820" s="54">
        <f t="shared" si="402"/>
        <v>0.2164887152378763</v>
      </c>
      <c r="AD1820" s="56">
        <f>INDEX(Assumptions!$B$14:$B$16,MATCH($R1820,Assumptions!$A$14:$A$16,0))</f>
        <v>0.18</v>
      </c>
      <c r="AE1820" s="56">
        <f>INDEX(Assumptions!$C$14:$C$16,MATCH($R1820,Assumptions!$A$14:$A$16,0))</f>
        <v>0.12</v>
      </c>
      <c r="AF1820" s="49">
        <f t="shared" si="403"/>
        <v>0</v>
      </c>
      <c r="AG1820" s="49">
        <f t="shared" si="404"/>
        <v>0</v>
      </c>
      <c r="AH1820" s="55">
        <f t="shared" si="405"/>
        <v>0</v>
      </c>
    </row>
    <row r="1821" spans="1:34" x14ac:dyDescent="0.2">
      <c r="A1821" s="48" t="s">
        <v>1459</v>
      </c>
      <c r="B1821" s="48">
        <v>3</v>
      </c>
      <c r="C1821" s="48" t="s">
        <v>1460</v>
      </c>
      <c r="D1821" s="48" t="s">
        <v>1444</v>
      </c>
      <c r="E1821" s="48" t="s">
        <v>314</v>
      </c>
      <c r="F1821" s="48" t="s">
        <v>274</v>
      </c>
      <c r="G1821" s="48" t="s">
        <v>298</v>
      </c>
      <c r="H1821" s="48" t="s">
        <v>68</v>
      </c>
      <c r="I1821" s="48" t="s">
        <v>151</v>
      </c>
      <c r="J1821" s="49">
        <v>6</v>
      </c>
      <c r="K1821" s="50">
        <v>475</v>
      </c>
      <c r="L1821" s="50">
        <v>474</v>
      </c>
      <c r="M1821" s="48" t="s">
        <v>276</v>
      </c>
      <c r="N1821" s="51">
        <v>1.37</v>
      </c>
      <c r="O1821" s="51">
        <v>1.3702000000000001</v>
      </c>
      <c r="P1821" s="52">
        <v>219.7</v>
      </c>
      <c r="Q1821" s="52">
        <v>219.7</v>
      </c>
      <c r="R1821" s="53" t="str">
        <f>INDEX(SKU_Master!$D$5:$D$34,MATCH($I1821,SKU_Master!$A$5:$A$34,0))</f>
        <v>Accessory</v>
      </c>
      <c r="S1821" s="54">
        <f t="shared" si="392"/>
        <v>2.1052631578947212E-3</v>
      </c>
      <c r="T1821" s="55">
        <f t="shared" si="393"/>
        <v>2080.2919708029194</v>
      </c>
      <c r="U1821" s="55">
        <f t="shared" si="394"/>
        <v>2075.912408759124</v>
      </c>
      <c r="V1821" s="55">
        <f t="shared" si="395"/>
        <v>-4.3795620437954312</v>
      </c>
      <c r="W1821" s="55">
        <f t="shared" si="396"/>
        <v>2075.6094000875783</v>
      </c>
      <c r="X1821" s="55">
        <f t="shared" si="397"/>
        <v>-0.30300867154574007</v>
      </c>
      <c r="Y1821" s="55">
        <f t="shared" si="398"/>
        <v>1318.1999999999998</v>
      </c>
      <c r="Z1821" s="55">
        <f t="shared" si="399"/>
        <v>1318.1999999999998</v>
      </c>
      <c r="AA1821" s="55">
        <f t="shared" si="400"/>
        <v>0</v>
      </c>
      <c r="AB1821" s="55">
        <f t="shared" si="401"/>
        <v>757.40940008757843</v>
      </c>
      <c r="AC1821" s="54">
        <f t="shared" si="402"/>
        <v>0.36490940928270044</v>
      </c>
      <c r="AD1821" s="56">
        <f>INDEX(Assumptions!$B$14:$B$16,MATCH($R1821,Assumptions!$A$14:$A$16,0))</f>
        <v>0.32</v>
      </c>
      <c r="AE1821" s="56">
        <f>INDEX(Assumptions!$C$14:$C$16,MATCH($R1821,Assumptions!$A$14:$A$16,0))</f>
        <v>0.22</v>
      </c>
      <c r="AF1821" s="49">
        <f t="shared" si="403"/>
        <v>0</v>
      </c>
      <c r="AG1821" s="49">
        <f t="shared" si="404"/>
        <v>0</v>
      </c>
      <c r="AH1821" s="55">
        <f t="shared" si="405"/>
        <v>0</v>
      </c>
    </row>
    <row r="1822" spans="1:34" x14ac:dyDescent="0.2">
      <c r="A1822" s="48" t="s">
        <v>1461</v>
      </c>
      <c r="B1822" s="48">
        <v>1</v>
      </c>
      <c r="C1822" s="48" t="s">
        <v>1462</v>
      </c>
      <c r="D1822" s="48" t="s">
        <v>1444</v>
      </c>
      <c r="E1822" s="48" t="s">
        <v>279</v>
      </c>
      <c r="F1822" s="48" t="s">
        <v>280</v>
      </c>
      <c r="G1822" s="48" t="s">
        <v>281</v>
      </c>
      <c r="H1822" s="48" t="s">
        <v>64</v>
      </c>
      <c r="I1822" s="48" t="s">
        <v>93</v>
      </c>
      <c r="J1822" s="49">
        <v>17</v>
      </c>
      <c r="K1822" s="50">
        <v>1145</v>
      </c>
      <c r="L1822" s="50">
        <v>1100.1300000000001</v>
      </c>
      <c r="M1822" s="48" t="s">
        <v>276</v>
      </c>
      <c r="N1822" s="51">
        <v>0.79</v>
      </c>
      <c r="O1822" s="51">
        <v>0.83179999999999998</v>
      </c>
      <c r="P1822" s="52">
        <v>1210.2</v>
      </c>
      <c r="Q1822" s="52">
        <v>1210.2</v>
      </c>
      <c r="R1822" s="53" t="str">
        <f>INDEX(SKU_Master!$D$5:$D$34,MATCH($I1822,SKU_Master!$A$5:$A$34,0))</f>
        <v>Laptop</v>
      </c>
      <c r="S1822" s="54">
        <f t="shared" si="392"/>
        <v>3.9187772925764142E-2</v>
      </c>
      <c r="T1822" s="55">
        <f t="shared" si="393"/>
        <v>24639.240506329112</v>
      </c>
      <c r="U1822" s="55">
        <f t="shared" si="394"/>
        <v>23673.6835443038</v>
      </c>
      <c r="V1822" s="55">
        <f t="shared" si="395"/>
        <v>-965.5569620253118</v>
      </c>
      <c r="W1822" s="55">
        <f t="shared" si="396"/>
        <v>22484.022601586923</v>
      </c>
      <c r="X1822" s="55">
        <f t="shared" si="397"/>
        <v>-1189.6609427168769</v>
      </c>
      <c r="Y1822" s="55">
        <f t="shared" si="398"/>
        <v>20573.400000000001</v>
      </c>
      <c r="Z1822" s="55">
        <f t="shared" si="399"/>
        <v>20573.400000000001</v>
      </c>
      <c r="AA1822" s="55">
        <f t="shared" si="400"/>
        <v>0</v>
      </c>
      <c r="AB1822" s="55">
        <f t="shared" si="401"/>
        <v>1910.6226015869215</v>
      </c>
      <c r="AC1822" s="54">
        <f t="shared" si="402"/>
        <v>8.4976902729677464E-2</v>
      </c>
      <c r="AD1822" s="56">
        <f>INDEX(Assumptions!$B$14:$B$16,MATCH($R1822,Assumptions!$A$14:$A$16,0))</f>
        <v>0.12</v>
      </c>
      <c r="AE1822" s="56">
        <f>INDEX(Assumptions!$C$14:$C$16,MATCH($R1822,Assumptions!$A$14:$A$16,0))</f>
        <v>0.08</v>
      </c>
      <c r="AF1822" s="49">
        <f t="shared" si="403"/>
        <v>0</v>
      </c>
      <c r="AG1822" s="49">
        <f t="shared" si="404"/>
        <v>0</v>
      </c>
      <c r="AH1822" s="55">
        <f t="shared" si="405"/>
        <v>787.46011060350929</v>
      </c>
    </row>
    <row r="1823" spans="1:34" x14ac:dyDescent="0.2">
      <c r="A1823" s="48" t="s">
        <v>1461</v>
      </c>
      <c r="B1823" s="48">
        <v>2</v>
      </c>
      <c r="C1823" s="48" t="s">
        <v>1462</v>
      </c>
      <c r="D1823" s="48" t="s">
        <v>1444</v>
      </c>
      <c r="E1823" s="48" t="s">
        <v>279</v>
      </c>
      <c r="F1823" s="48" t="s">
        <v>280</v>
      </c>
      <c r="G1823" s="48" t="s">
        <v>281</v>
      </c>
      <c r="H1823" s="48" t="s">
        <v>64</v>
      </c>
      <c r="I1823" s="48" t="s">
        <v>144</v>
      </c>
      <c r="J1823" s="49">
        <v>16</v>
      </c>
      <c r="K1823" s="50">
        <v>330</v>
      </c>
      <c r="L1823" s="50">
        <v>318.05</v>
      </c>
      <c r="M1823" s="48" t="s">
        <v>276</v>
      </c>
      <c r="N1823" s="51">
        <v>0.79</v>
      </c>
      <c r="O1823" s="51">
        <v>0.83179999999999998</v>
      </c>
      <c r="P1823" s="52">
        <v>319.60000000000002</v>
      </c>
      <c r="Q1823" s="52">
        <v>319.60000000000002</v>
      </c>
      <c r="R1823" s="53" t="str">
        <f>INDEX(SKU_Master!$D$5:$D$34,MATCH($I1823,SKU_Master!$A$5:$A$34,0))</f>
        <v>Monitor</v>
      </c>
      <c r="S1823" s="54">
        <f t="shared" si="392"/>
        <v>3.621212121212114E-2</v>
      </c>
      <c r="T1823" s="55">
        <f t="shared" si="393"/>
        <v>6683.5443037974683</v>
      </c>
      <c r="U1823" s="55">
        <f t="shared" si="394"/>
        <v>6441.5189873417721</v>
      </c>
      <c r="V1823" s="55">
        <f t="shared" si="395"/>
        <v>-242.02531645569616</v>
      </c>
      <c r="W1823" s="55">
        <f t="shared" si="396"/>
        <v>6117.8167828805008</v>
      </c>
      <c r="X1823" s="55">
        <f t="shared" si="397"/>
        <v>-323.70220446127132</v>
      </c>
      <c r="Y1823" s="55">
        <f t="shared" si="398"/>
        <v>5113.6000000000004</v>
      </c>
      <c r="Z1823" s="55">
        <f t="shared" si="399"/>
        <v>5113.6000000000004</v>
      </c>
      <c r="AA1823" s="55">
        <f t="shared" si="400"/>
        <v>0</v>
      </c>
      <c r="AB1823" s="55">
        <f t="shared" si="401"/>
        <v>1004.2167828805004</v>
      </c>
      <c r="AC1823" s="54">
        <f t="shared" si="402"/>
        <v>0.16414626631032861</v>
      </c>
      <c r="AD1823" s="56">
        <f>INDEX(Assumptions!$B$14:$B$16,MATCH($R1823,Assumptions!$A$14:$A$16,0))</f>
        <v>0.18</v>
      </c>
      <c r="AE1823" s="56">
        <f>INDEX(Assumptions!$C$14:$C$16,MATCH($R1823,Assumptions!$A$14:$A$16,0))</f>
        <v>0.12</v>
      </c>
      <c r="AF1823" s="49">
        <f t="shared" si="403"/>
        <v>0</v>
      </c>
      <c r="AG1823" s="49">
        <f t="shared" si="404"/>
        <v>0</v>
      </c>
      <c r="AH1823" s="55">
        <f t="shared" si="405"/>
        <v>96.990238037989684</v>
      </c>
    </row>
    <row r="1824" spans="1:34" x14ac:dyDescent="0.2">
      <c r="A1824" s="48" t="s">
        <v>1463</v>
      </c>
      <c r="B1824" s="48">
        <v>1</v>
      </c>
      <c r="C1824" s="48" t="s">
        <v>1464</v>
      </c>
      <c r="D1824" s="48" t="s">
        <v>1444</v>
      </c>
      <c r="E1824" s="48" t="s">
        <v>410</v>
      </c>
      <c r="F1824" s="48" t="s">
        <v>297</v>
      </c>
      <c r="G1824" s="48" t="s">
        <v>302</v>
      </c>
      <c r="H1824" s="48" t="s">
        <v>64</v>
      </c>
      <c r="I1824" s="48" t="s">
        <v>98</v>
      </c>
      <c r="J1824" s="49">
        <v>32</v>
      </c>
      <c r="K1824" s="50">
        <v>1705</v>
      </c>
      <c r="L1824" s="50">
        <v>1631.16</v>
      </c>
      <c r="M1824" s="48" t="s">
        <v>276</v>
      </c>
      <c r="N1824" s="51">
        <v>0.79</v>
      </c>
      <c r="O1824" s="51">
        <v>0.83179999999999998</v>
      </c>
      <c r="P1824" s="52">
        <v>1804.2</v>
      </c>
      <c r="Q1824" s="52">
        <v>1804.2</v>
      </c>
      <c r="R1824" s="53" t="str">
        <f>INDEX(SKU_Master!$D$5:$D$34,MATCH($I1824,SKU_Master!$A$5:$A$34,0))</f>
        <v>Laptop</v>
      </c>
      <c r="S1824" s="54">
        <f t="shared" si="392"/>
        <v>4.330791788856303E-2</v>
      </c>
      <c r="T1824" s="55">
        <f t="shared" si="393"/>
        <v>69063.291139240508</v>
      </c>
      <c r="U1824" s="55">
        <f t="shared" si="394"/>
        <v>66072.303797468354</v>
      </c>
      <c r="V1824" s="55">
        <f t="shared" si="395"/>
        <v>-2990.9873417721537</v>
      </c>
      <c r="W1824" s="55">
        <f t="shared" si="396"/>
        <v>62752.007694157255</v>
      </c>
      <c r="X1824" s="55">
        <f t="shared" si="397"/>
        <v>-3320.2961033110987</v>
      </c>
      <c r="Y1824" s="55">
        <f t="shared" si="398"/>
        <v>57734.400000000001</v>
      </c>
      <c r="Z1824" s="55">
        <f t="shared" si="399"/>
        <v>57734.400000000001</v>
      </c>
      <c r="AA1824" s="55">
        <f t="shared" si="400"/>
        <v>0</v>
      </c>
      <c r="AB1824" s="55">
        <f t="shared" si="401"/>
        <v>5017.6076941572537</v>
      </c>
      <c r="AC1824" s="54">
        <f t="shared" si="402"/>
        <v>7.9959317295666951E-2</v>
      </c>
      <c r="AD1824" s="56">
        <f>INDEX(Assumptions!$B$14:$B$16,MATCH($R1824,Assumptions!$A$14:$A$16,0))</f>
        <v>0.12</v>
      </c>
      <c r="AE1824" s="56">
        <f>INDEX(Assumptions!$C$14:$C$16,MATCH($R1824,Assumptions!$A$14:$A$16,0))</f>
        <v>0.08</v>
      </c>
      <c r="AF1824" s="49">
        <f t="shared" si="403"/>
        <v>1</v>
      </c>
      <c r="AG1824" s="49">
        <f t="shared" si="404"/>
        <v>1</v>
      </c>
      <c r="AH1824" s="55">
        <f t="shared" si="405"/>
        <v>2512.6332291416165</v>
      </c>
    </row>
    <row r="1825" spans="1:34" x14ac:dyDescent="0.2">
      <c r="A1825" s="48" t="s">
        <v>1463</v>
      </c>
      <c r="B1825" s="48">
        <v>2</v>
      </c>
      <c r="C1825" s="48" t="s">
        <v>1464</v>
      </c>
      <c r="D1825" s="48" t="s">
        <v>1444</v>
      </c>
      <c r="E1825" s="48" t="s">
        <v>410</v>
      </c>
      <c r="F1825" s="48" t="s">
        <v>297</v>
      </c>
      <c r="G1825" s="48" t="s">
        <v>302</v>
      </c>
      <c r="H1825" s="48" t="s">
        <v>64</v>
      </c>
      <c r="I1825" s="48" t="s">
        <v>157</v>
      </c>
      <c r="J1825" s="49">
        <v>15</v>
      </c>
      <c r="K1825" s="50">
        <v>115</v>
      </c>
      <c r="L1825" s="50">
        <v>106.78</v>
      </c>
      <c r="M1825" s="48" t="s">
        <v>276</v>
      </c>
      <c r="N1825" s="51">
        <v>0.79</v>
      </c>
      <c r="O1825" s="51">
        <v>0.83179999999999998</v>
      </c>
      <c r="P1825" s="52">
        <v>92</v>
      </c>
      <c r="Q1825" s="52">
        <v>92</v>
      </c>
      <c r="R1825" s="53" t="str">
        <f>INDEX(SKU_Master!$D$5:$D$34,MATCH($I1825,SKU_Master!$A$5:$A$34,0))</f>
        <v>Accessory</v>
      </c>
      <c r="S1825" s="54">
        <f t="shared" si="392"/>
        <v>7.1478260869565213E-2</v>
      </c>
      <c r="T1825" s="55">
        <f t="shared" si="393"/>
        <v>2183.5443037974683</v>
      </c>
      <c r="U1825" s="55">
        <f t="shared" si="394"/>
        <v>2027.4683544303798</v>
      </c>
      <c r="V1825" s="55">
        <f t="shared" si="395"/>
        <v>-156.07594936708847</v>
      </c>
      <c r="W1825" s="55">
        <f t="shared" si="396"/>
        <v>1925.5830728540516</v>
      </c>
      <c r="X1825" s="55">
        <f t="shared" si="397"/>
        <v>-101.88528157632823</v>
      </c>
      <c r="Y1825" s="55">
        <f t="shared" si="398"/>
        <v>1380</v>
      </c>
      <c r="Z1825" s="55">
        <f t="shared" si="399"/>
        <v>1380</v>
      </c>
      <c r="AA1825" s="55">
        <f t="shared" si="400"/>
        <v>0</v>
      </c>
      <c r="AB1825" s="55">
        <f t="shared" si="401"/>
        <v>545.58307285405158</v>
      </c>
      <c r="AC1825" s="54">
        <f t="shared" si="402"/>
        <v>0.28333395766997571</v>
      </c>
      <c r="AD1825" s="56">
        <f>INDEX(Assumptions!$B$14:$B$16,MATCH($R1825,Assumptions!$A$14:$A$16,0))</f>
        <v>0.32</v>
      </c>
      <c r="AE1825" s="56">
        <f>INDEX(Assumptions!$C$14:$C$16,MATCH($R1825,Assumptions!$A$14:$A$16,0))</f>
        <v>0.22</v>
      </c>
      <c r="AF1825" s="49">
        <f t="shared" si="403"/>
        <v>0</v>
      </c>
      <c r="AG1825" s="49">
        <f t="shared" si="404"/>
        <v>0</v>
      </c>
      <c r="AH1825" s="55">
        <f t="shared" si="405"/>
        <v>70.603510459244944</v>
      </c>
    </row>
    <row r="1826" spans="1:34" x14ac:dyDescent="0.2">
      <c r="A1826" s="48" t="s">
        <v>1465</v>
      </c>
      <c r="B1826" s="48">
        <v>1</v>
      </c>
      <c r="C1826" s="48" t="s">
        <v>1446</v>
      </c>
      <c r="D1826" s="48" t="s">
        <v>1444</v>
      </c>
      <c r="E1826" s="48" t="s">
        <v>368</v>
      </c>
      <c r="F1826" s="48" t="s">
        <v>274</v>
      </c>
      <c r="G1826" s="48" t="s">
        <v>288</v>
      </c>
      <c r="H1826" s="48" t="s">
        <v>68</v>
      </c>
      <c r="I1826" s="48" t="s">
        <v>103</v>
      </c>
      <c r="J1826" s="49">
        <v>9</v>
      </c>
      <c r="K1826" s="50">
        <v>1605</v>
      </c>
      <c r="L1826" s="50">
        <v>1588.81</v>
      </c>
      <c r="M1826" s="48" t="s">
        <v>276</v>
      </c>
      <c r="N1826" s="51">
        <v>1.37</v>
      </c>
      <c r="O1826" s="51">
        <v>1.3702000000000001</v>
      </c>
      <c r="P1826" s="52">
        <v>980.6</v>
      </c>
      <c r="Q1826" s="52">
        <v>980.6</v>
      </c>
      <c r="R1826" s="53" t="str">
        <f>INDEX(SKU_Master!$D$5:$D$34,MATCH($I1826,SKU_Master!$A$5:$A$34,0))</f>
        <v>Laptop</v>
      </c>
      <c r="S1826" s="54">
        <f t="shared" si="392"/>
        <v>1.0087227414330213E-2</v>
      </c>
      <c r="T1826" s="55">
        <f t="shared" si="393"/>
        <v>10543.795620437955</v>
      </c>
      <c r="U1826" s="55">
        <f t="shared" si="394"/>
        <v>10437.437956204378</v>
      </c>
      <c r="V1826" s="55">
        <f t="shared" si="395"/>
        <v>-106.35766423357745</v>
      </c>
      <c r="W1826" s="55">
        <f t="shared" si="396"/>
        <v>10435.914465041598</v>
      </c>
      <c r="X1826" s="55">
        <f t="shared" si="397"/>
        <v>-1.5234911627794645</v>
      </c>
      <c r="Y1826" s="55">
        <f t="shared" si="398"/>
        <v>8825.4</v>
      </c>
      <c r="Z1826" s="55">
        <f t="shared" si="399"/>
        <v>8825.4</v>
      </c>
      <c r="AA1826" s="55">
        <f t="shared" si="400"/>
        <v>0</v>
      </c>
      <c r="AB1826" s="55">
        <f t="shared" si="401"/>
        <v>1610.5144650415987</v>
      </c>
      <c r="AC1826" s="54">
        <f t="shared" si="402"/>
        <v>0.15432423008415094</v>
      </c>
      <c r="AD1826" s="56">
        <f>INDEX(Assumptions!$B$14:$B$16,MATCH($R1826,Assumptions!$A$14:$A$16,0))</f>
        <v>0.12</v>
      </c>
      <c r="AE1826" s="56">
        <f>INDEX(Assumptions!$C$14:$C$16,MATCH($R1826,Assumptions!$A$14:$A$16,0))</f>
        <v>0.08</v>
      </c>
      <c r="AF1826" s="49">
        <f t="shared" si="403"/>
        <v>0</v>
      </c>
      <c r="AG1826" s="49">
        <f t="shared" si="404"/>
        <v>0</v>
      </c>
      <c r="AH1826" s="55">
        <f t="shared" si="405"/>
        <v>0</v>
      </c>
    </row>
    <row r="1827" spans="1:34" x14ac:dyDescent="0.2">
      <c r="A1827" s="48" t="s">
        <v>1465</v>
      </c>
      <c r="B1827" s="48">
        <v>2</v>
      </c>
      <c r="C1827" s="48" t="s">
        <v>1446</v>
      </c>
      <c r="D1827" s="48" t="s">
        <v>1444</v>
      </c>
      <c r="E1827" s="48" t="s">
        <v>368</v>
      </c>
      <c r="F1827" s="48" t="s">
        <v>274</v>
      </c>
      <c r="G1827" s="48" t="s">
        <v>288</v>
      </c>
      <c r="H1827" s="48" t="s">
        <v>68</v>
      </c>
      <c r="I1827" s="48" t="s">
        <v>144</v>
      </c>
      <c r="J1827" s="49">
        <v>7</v>
      </c>
      <c r="K1827" s="50">
        <v>540</v>
      </c>
      <c r="L1827" s="50">
        <v>531.97</v>
      </c>
      <c r="M1827" s="48" t="s">
        <v>276</v>
      </c>
      <c r="N1827" s="51">
        <v>1.37</v>
      </c>
      <c r="O1827" s="51">
        <v>1.3702000000000001</v>
      </c>
      <c r="P1827" s="52">
        <v>304.60000000000002</v>
      </c>
      <c r="Q1827" s="52">
        <v>304.60000000000002</v>
      </c>
      <c r="R1827" s="53" t="str">
        <f>INDEX(SKU_Master!$D$5:$D$34,MATCH($I1827,SKU_Master!$A$5:$A$34,0))</f>
        <v>Monitor</v>
      </c>
      <c r="S1827" s="54">
        <f t="shared" si="392"/>
        <v>1.4870370370370312E-2</v>
      </c>
      <c r="T1827" s="55">
        <f t="shared" si="393"/>
        <v>2759.1240875912408</v>
      </c>
      <c r="U1827" s="55">
        <f t="shared" si="394"/>
        <v>2718.0948905109485</v>
      </c>
      <c r="V1827" s="55">
        <f t="shared" si="395"/>
        <v>-41.029197080292306</v>
      </c>
      <c r="W1827" s="55">
        <f t="shared" si="396"/>
        <v>2717.6981462560207</v>
      </c>
      <c r="X1827" s="55">
        <f t="shared" si="397"/>
        <v>-0.39674425492785304</v>
      </c>
      <c r="Y1827" s="55">
        <f t="shared" si="398"/>
        <v>2132.2000000000003</v>
      </c>
      <c r="Z1827" s="55">
        <f t="shared" si="399"/>
        <v>2132.2000000000003</v>
      </c>
      <c r="AA1827" s="55">
        <f t="shared" si="400"/>
        <v>0</v>
      </c>
      <c r="AB1827" s="55">
        <f t="shared" si="401"/>
        <v>585.49814625602039</v>
      </c>
      <c r="AC1827" s="54">
        <f t="shared" si="402"/>
        <v>0.21543899092054042</v>
      </c>
      <c r="AD1827" s="56">
        <f>INDEX(Assumptions!$B$14:$B$16,MATCH($R1827,Assumptions!$A$14:$A$16,0))</f>
        <v>0.18</v>
      </c>
      <c r="AE1827" s="56">
        <f>INDEX(Assumptions!$C$14:$C$16,MATCH($R1827,Assumptions!$A$14:$A$16,0))</f>
        <v>0.12</v>
      </c>
      <c r="AF1827" s="49">
        <f t="shared" si="403"/>
        <v>0</v>
      </c>
      <c r="AG1827" s="49">
        <f t="shared" si="404"/>
        <v>0</v>
      </c>
      <c r="AH1827" s="55">
        <f t="shared" si="405"/>
        <v>0</v>
      </c>
    </row>
    <row r="1828" spans="1:34" x14ac:dyDescent="0.2">
      <c r="A1828" s="48" t="s">
        <v>1465</v>
      </c>
      <c r="B1828" s="48">
        <v>3</v>
      </c>
      <c r="C1828" s="48" t="s">
        <v>1446</v>
      </c>
      <c r="D1828" s="48" t="s">
        <v>1444</v>
      </c>
      <c r="E1828" s="48" t="s">
        <v>368</v>
      </c>
      <c r="F1828" s="48" t="s">
        <v>274</v>
      </c>
      <c r="G1828" s="48" t="s">
        <v>288</v>
      </c>
      <c r="H1828" s="48" t="s">
        <v>68</v>
      </c>
      <c r="I1828" s="48" t="s">
        <v>166</v>
      </c>
      <c r="J1828" s="49">
        <v>7</v>
      </c>
      <c r="K1828" s="50">
        <v>375</v>
      </c>
      <c r="L1828" s="50">
        <v>370.13</v>
      </c>
      <c r="M1828" s="48" t="s">
        <v>276</v>
      </c>
      <c r="N1828" s="51">
        <v>1.37</v>
      </c>
      <c r="O1828" s="51">
        <v>1.3702000000000001</v>
      </c>
      <c r="P1828" s="52">
        <v>172.35</v>
      </c>
      <c r="Q1828" s="52">
        <v>172.35</v>
      </c>
      <c r="R1828" s="53" t="str">
        <f>INDEX(SKU_Master!$D$5:$D$34,MATCH($I1828,SKU_Master!$A$5:$A$34,0))</f>
        <v>Accessory</v>
      </c>
      <c r="S1828" s="54">
        <f t="shared" si="392"/>
        <v>1.2986666666666702E-2</v>
      </c>
      <c r="T1828" s="55">
        <f t="shared" si="393"/>
        <v>1916.0583941605837</v>
      </c>
      <c r="U1828" s="55">
        <f t="shared" si="394"/>
        <v>1891.1751824817516</v>
      </c>
      <c r="V1828" s="55">
        <f t="shared" si="395"/>
        <v>-24.88321167883214</v>
      </c>
      <c r="W1828" s="55">
        <f t="shared" si="396"/>
        <v>1890.899138811852</v>
      </c>
      <c r="X1828" s="55">
        <f t="shared" si="397"/>
        <v>-0.27604366989953633</v>
      </c>
      <c r="Y1828" s="55">
        <f t="shared" si="398"/>
        <v>1206.45</v>
      </c>
      <c r="Z1828" s="55">
        <f t="shared" si="399"/>
        <v>1206.45</v>
      </c>
      <c r="AA1828" s="55">
        <f t="shared" si="400"/>
        <v>0</v>
      </c>
      <c r="AB1828" s="55">
        <f t="shared" si="401"/>
        <v>684.44913881185198</v>
      </c>
      <c r="AC1828" s="54">
        <f t="shared" si="402"/>
        <v>0.36197019965957894</v>
      </c>
      <c r="AD1828" s="56">
        <f>INDEX(Assumptions!$B$14:$B$16,MATCH($R1828,Assumptions!$A$14:$A$16,0))</f>
        <v>0.32</v>
      </c>
      <c r="AE1828" s="56">
        <f>INDEX(Assumptions!$C$14:$C$16,MATCH($R1828,Assumptions!$A$14:$A$16,0))</f>
        <v>0.22</v>
      </c>
      <c r="AF1828" s="49">
        <f t="shared" si="403"/>
        <v>0</v>
      </c>
      <c r="AG1828" s="49">
        <f t="shared" si="404"/>
        <v>0</v>
      </c>
      <c r="AH1828" s="55">
        <f t="shared" si="405"/>
        <v>0</v>
      </c>
    </row>
    <row r="1829" spans="1:34" x14ac:dyDescent="0.2">
      <c r="A1829" s="48" t="s">
        <v>1466</v>
      </c>
      <c r="B1829" s="48">
        <v>1</v>
      </c>
      <c r="C1829" s="48" t="s">
        <v>1467</v>
      </c>
      <c r="D1829" s="48" t="s">
        <v>1444</v>
      </c>
      <c r="E1829" s="48" t="s">
        <v>336</v>
      </c>
      <c r="F1829" s="48" t="s">
        <v>274</v>
      </c>
      <c r="G1829" s="48" t="s">
        <v>288</v>
      </c>
      <c r="H1829" s="48" t="s">
        <v>62</v>
      </c>
      <c r="I1829" s="48" t="s">
        <v>93</v>
      </c>
      <c r="J1829" s="49">
        <v>8</v>
      </c>
      <c r="K1829" s="50">
        <v>1390</v>
      </c>
      <c r="L1829" s="50">
        <v>1371.16</v>
      </c>
      <c r="M1829" s="48" t="s">
        <v>276</v>
      </c>
      <c r="N1829" s="51">
        <v>1</v>
      </c>
      <c r="O1829" s="51">
        <v>1</v>
      </c>
      <c r="P1829" s="52">
        <v>1186.2</v>
      </c>
      <c r="Q1829" s="52">
        <v>1186.2</v>
      </c>
      <c r="R1829" s="53" t="str">
        <f>INDEX(SKU_Master!$D$5:$D$34,MATCH($I1829,SKU_Master!$A$5:$A$34,0))</f>
        <v>Laptop</v>
      </c>
      <c r="S1829" s="54">
        <f t="shared" si="392"/>
        <v>1.355395683453231E-2</v>
      </c>
      <c r="T1829" s="55">
        <f t="shared" si="393"/>
        <v>11120</v>
      </c>
      <c r="U1829" s="55">
        <f t="shared" si="394"/>
        <v>10969.28</v>
      </c>
      <c r="V1829" s="55">
        <f t="shared" si="395"/>
        <v>-150.71999999999935</v>
      </c>
      <c r="W1829" s="55">
        <f t="shared" si="396"/>
        <v>10969.28</v>
      </c>
      <c r="X1829" s="55">
        <f t="shared" si="397"/>
        <v>0</v>
      </c>
      <c r="Y1829" s="55">
        <f t="shared" si="398"/>
        <v>9489.6</v>
      </c>
      <c r="Z1829" s="55">
        <f t="shared" si="399"/>
        <v>9489.6</v>
      </c>
      <c r="AA1829" s="55">
        <f t="shared" si="400"/>
        <v>0</v>
      </c>
      <c r="AB1829" s="55">
        <f t="shared" si="401"/>
        <v>1479.6800000000003</v>
      </c>
      <c r="AC1829" s="54">
        <f t="shared" si="402"/>
        <v>0.134893083228799</v>
      </c>
      <c r="AD1829" s="56">
        <f>INDEX(Assumptions!$B$14:$B$16,MATCH($R1829,Assumptions!$A$14:$A$16,0))</f>
        <v>0.12</v>
      </c>
      <c r="AE1829" s="56">
        <f>INDEX(Assumptions!$C$14:$C$16,MATCH($R1829,Assumptions!$A$14:$A$16,0))</f>
        <v>0.08</v>
      </c>
      <c r="AF1829" s="49">
        <f t="shared" si="403"/>
        <v>0</v>
      </c>
      <c r="AG1829" s="49">
        <f t="shared" si="404"/>
        <v>0</v>
      </c>
      <c r="AH1829" s="55">
        <f t="shared" si="405"/>
        <v>0</v>
      </c>
    </row>
    <row r="1830" spans="1:34" x14ac:dyDescent="0.2">
      <c r="A1830" s="48" t="s">
        <v>1468</v>
      </c>
      <c r="B1830" s="48">
        <v>1</v>
      </c>
      <c r="C1830" s="48" t="s">
        <v>1469</v>
      </c>
      <c r="D1830" s="48" t="s">
        <v>1444</v>
      </c>
      <c r="E1830" s="48" t="s">
        <v>305</v>
      </c>
      <c r="F1830" s="48" t="s">
        <v>274</v>
      </c>
      <c r="G1830" s="48" t="s">
        <v>306</v>
      </c>
      <c r="H1830" s="48" t="s">
        <v>62</v>
      </c>
      <c r="I1830" s="48" t="s">
        <v>98</v>
      </c>
      <c r="J1830" s="49">
        <v>9</v>
      </c>
      <c r="K1830" s="50">
        <v>2085</v>
      </c>
      <c r="L1830" s="50">
        <v>2048.84</v>
      </c>
      <c r="M1830" s="48" t="s">
        <v>276</v>
      </c>
      <c r="N1830" s="51">
        <v>1</v>
      </c>
      <c r="O1830" s="51">
        <v>1</v>
      </c>
      <c r="P1830" s="52">
        <v>1780.2</v>
      </c>
      <c r="Q1830" s="52">
        <v>1780.2</v>
      </c>
      <c r="R1830" s="53" t="str">
        <f>INDEX(SKU_Master!$D$5:$D$34,MATCH($I1830,SKU_Master!$A$5:$A$34,0))</f>
        <v>Laptop</v>
      </c>
      <c r="S1830" s="54">
        <f t="shared" si="392"/>
        <v>1.7342925659472375E-2</v>
      </c>
      <c r="T1830" s="55">
        <f t="shared" si="393"/>
        <v>18765</v>
      </c>
      <c r="U1830" s="55">
        <f t="shared" si="394"/>
        <v>18439.560000000001</v>
      </c>
      <c r="V1830" s="55">
        <f t="shared" si="395"/>
        <v>-325.43999999999869</v>
      </c>
      <c r="W1830" s="55">
        <f t="shared" si="396"/>
        <v>18439.560000000001</v>
      </c>
      <c r="X1830" s="55">
        <f t="shared" si="397"/>
        <v>0</v>
      </c>
      <c r="Y1830" s="55">
        <f t="shared" si="398"/>
        <v>16021.800000000001</v>
      </c>
      <c r="Z1830" s="55">
        <f t="shared" si="399"/>
        <v>16021.800000000001</v>
      </c>
      <c r="AA1830" s="55">
        <f t="shared" si="400"/>
        <v>0</v>
      </c>
      <c r="AB1830" s="55">
        <f t="shared" si="401"/>
        <v>2417.7600000000002</v>
      </c>
      <c r="AC1830" s="54">
        <f t="shared" si="402"/>
        <v>0.13111809609339919</v>
      </c>
      <c r="AD1830" s="56">
        <f>INDEX(Assumptions!$B$14:$B$16,MATCH($R1830,Assumptions!$A$14:$A$16,0))</f>
        <v>0.12</v>
      </c>
      <c r="AE1830" s="56">
        <f>INDEX(Assumptions!$C$14:$C$16,MATCH($R1830,Assumptions!$A$14:$A$16,0))</f>
        <v>0.08</v>
      </c>
      <c r="AF1830" s="49">
        <f t="shared" si="403"/>
        <v>0</v>
      </c>
      <c r="AG1830" s="49">
        <f t="shared" si="404"/>
        <v>0</v>
      </c>
      <c r="AH1830" s="55">
        <f t="shared" si="405"/>
        <v>0</v>
      </c>
    </row>
    <row r="1831" spans="1:34" x14ac:dyDescent="0.2">
      <c r="A1831" s="48" t="s">
        <v>1468</v>
      </c>
      <c r="B1831" s="48">
        <v>2</v>
      </c>
      <c r="C1831" s="48" t="s">
        <v>1469</v>
      </c>
      <c r="D1831" s="48" t="s">
        <v>1444</v>
      </c>
      <c r="E1831" s="48" t="s">
        <v>305</v>
      </c>
      <c r="F1831" s="48" t="s">
        <v>274</v>
      </c>
      <c r="G1831" s="48" t="s">
        <v>306</v>
      </c>
      <c r="H1831" s="48" t="s">
        <v>62</v>
      </c>
      <c r="I1831" s="48" t="s">
        <v>135</v>
      </c>
      <c r="J1831" s="49">
        <v>6</v>
      </c>
      <c r="K1831" s="50">
        <v>240</v>
      </c>
      <c r="L1831" s="50">
        <v>238.23</v>
      </c>
      <c r="M1831" s="48" t="s">
        <v>276</v>
      </c>
      <c r="N1831" s="51">
        <v>1</v>
      </c>
      <c r="O1831" s="51">
        <v>1</v>
      </c>
      <c r="P1831" s="52">
        <v>186.7</v>
      </c>
      <c r="Q1831" s="52">
        <v>186.7</v>
      </c>
      <c r="R1831" s="53" t="str">
        <f>INDEX(SKU_Master!$D$5:$D$34,MATCH($I1831,SKU_Master!$A$5:$A$34,0))</f>
        <v>Monitor</v>
      </c>
      <c r="S1831" s="54">
        <f t="shared" si="392"/>
        <v>7.3750000000000204E-3</v>
      </c>
      <c r="T1831" s="55">
        <f t="shared" si="393"/>
        <v>1440</v>
      </c>
      <c r="U1831" s="55">
        <f t="shared" si="394"/>
        <v>1429.3799999999999</v>
      </c>
      <c r="V1831" s="55">
        <f t="shared" si="395"/>
        <v>-10.620000000000118</v>
      </c>
      <c r="W1831" s="55">
        <f t="shared" si="396"/>
        <v>1429.3799999999999</v>
      </c>
      <c r="X1831" s="55">
        <f t="shared" si="397"/>
        <v>0</v>
      </c>
      <c r="Y1831" s="55">
        <f t="shared" si="398"/>
        <v>1120.1999999999998</v>
      </c>
      <c r="Z1831" s="55">
        <f t="shared" si="399"/>
        <v>1120.1999999999998</v>
      </c>
      <c r="AA1831" s="55">
        <f t="shared" si="400"/>
        <v>0</v>
      </c>
      <c r="AB1831" s="55">
        <f t="shared" si="401"/>
        <v>309.18000000000006</v>
      </c>
      <c r="AC1831" s="54">
        <f t="shared" si="402"/>
        <v>0.21630357217814722</v>
      </c>
      <c r="AD1831" s="56">
        <f>INDEX(Assumptions!$B$14:$B$16,MATCH($R1831,Assumptions!$A$14:$A$16,0))</f>
        <v>0.18</v>
      </c>
      <c r="AE1831" s="56">
        <f>INDEX(Assumptions!$C$14:$C$16,MATCH($R1831,Assumptions!$A$14:$A$16,0))</f>
        <v>0.12</v>
      </c>
      <c r="AF1831" s="49">
        <f t="shared" si="403"/>
        <v>0</v>
      </c>
      <c r="AG1831" s="49">
        <f t="shared" si="404"/>
        <v>0</v>
      </c>
      <c r="AH1831" s="55">
        <f t="shared" si="405"/>
        <v>0</v>
      </c>
    </row>
    <row r="1832" spans="1:34" x14ac:dyDescent="0.2">
      <c r="A1832" s="48" t="s">
        <v>1470</v>
      </c>
      <c r="B1832" s="48">
        <v>1</v>
      </c>
      <c r="C1832" s="48" t="s">
        <v>1471</v>
      </c>
      <c r="D1832" s="48" t="s">
        <v>1444</v>
      </c>
      <c r="E1832" s="48" t="s">
        <v>284</v>
      </c>
      <c r="F1832" s="48" t="s">
        <v>274</v>
      </c>
      <c r="G1832" s="48" t="s">
        <v>275</v>
      </c>
      <c r="H1832" s="48" t="s">
        <v>64</v>
      </c>
      <c r="I1832" s="48" t="s">
        <v>113</v>
      </c>
      <c r="J1832" s="49">
        <v>9</v>
      </c>
      <c r="K1832" s="50">
        <v>1425</v>
      </c>
      <c r="L1832" s="50">
        <v>1407.1</v>
      </c>
      <c r="M1832" s="48" t="s">
        <v>276</v>
      </c>
      <c r="N1832" s="51">
        <v>0.79</v>
      </c>
      <c r="O1832" s="51">
        <v>0.83179999999999998</v>
      </c>
      <c r="P1832" s="52">
        <v>1508.8</v>
      </c>
      <c r="Q1832" s="52">
        <v>1508.8</v>
      </c>
      <c r="R1832" s="53" t="str">
        <f>INDEX(SKU_Master!$D$5:$D$34,MATCH($I1832,SKU_Master!$A$5:$A$34,0))</f>
        <v>Laptop</v>
      </c>
      <c r="S1832" s="54">
        <f t="shared" si="392"/>
        <v>1.2561403508771996E-2</v>
      </c>
      <c r="T1832" s="55">
        <f t="shared" si="393"/>
        <v>16234.177215189873</v>
      </c>
      <c r="U1832" s="55">
        <f t="shared" si="394"/>
        <v>16030.253164556962</v>
      </c>
      <c r="V1832" s="55">
        <f t="shared" si="395"/>
        <v>-203.92405063291153</v>
      </c>
      <c r="W1832" s="55">
        <f t="shared" si="396"/>
        <v>15224.693435922096</v>
      </c>
      <c r="X1832" s="55">
        <f t="shared" si="397"/>
        <v>-805.55972863486568</v>
      </c>
      <c r="Y1832" s="55">
        <f t="shared" si="398"/>
        <v>13579.199999999999</v>
      </c>
      <c r="Z1832" s="55">
        <f t="shared" si="399"/>
        <v>13579.199999999999</v>
      </c>
      <c r="AA1832" s="55">
        <f t="shared" si="400"/>
        <v>0</v>
      </c>
      <c r="AB1832" s="55">
        <f t="shared" si="401"/>
        <v>1645.493435922097</v>
      </c>
      <c r="AC1832" s="54">
        <f t="shared" si="402"/>
        <v>0.10808056285978256</v>
      </c>
      <c r="AD1832" s="56">
        <f>INDEX(Assumptions!$B$14:$B$16,MATCH($R1832,Assumptions!$A$14:$A$16,0))</f>
        <v>0.12</v>
      </c>
      <c r="AE1832" s="56">
        <f>INDEX(Assumptions!$C$14:$C$16,MATCH($R1832,Assumptions!$A$14:$A$16,0))</f>
        <v>0.08</v>
      </c>
      <c r="AF1832" s="49">
        <f t="shared" si="403"/>
        <v>0</v>
      </c>
      <c r="AG1832" s="49">
        <f t="shared" si="404"/>
        <v>0</v>
      </c>
      <c r="AH1832" s="55">
        <f t="shared" si="405"/>
        <v>181.46977638855446</v>
      </c>
    </row>
    <row r="1833" spans="1:34" x14ac:dyDescent="0.2">
      <c r="A1833" s="48" t="s">
        <v>1470</v>
      </c>
      <c r="B1833" s="48">
        <v>2</v>
      </c>
      <c r="C1833" s="48" t="s">
        <v>1471</v>
      </c>
      <c r="D1833" s="48" t="s">
        <v>1444</v>
      </c>
      <c r="E1833" s="48" t="s">
        <v>284</v>
      </c>
      <c r="F1833" s="48" t="s">
        <v>274</v>
      </c>
      <c r="G1833" s="48" t="s">
        <v>275</v>
      </c>
      <c r="H1833" s="48" t="s">
        <v>64</v>
      </c>
      <c r="I1833" s="48" t="s">
        <v>146</v>
      </c>
      <c r="J1833" s="49">
        <v>9</v>
      </c>
      <c r="K1833" s="50">
        <v>220</v>
      </c>
      <c r="L1833" s="50">
        <v>218.24</v>
      </c>
      <c r="M1833" s="48" t="s">
        <v>276</v>
      </c>
      <c r="N1833" s="51">
        <v>0.79</v>
      </c>
      <c r="O1833" s="51">
        <v>0.83179999999999998</v>
      </c>
      <c r="P1833" s="52">
        <v>211.8</v>
      </c>
      <c r="Q1833" s="52">
        <v>211.8</v>
      </c>
      <c r="R1833" s="53" t="str">
        <f>INDEX(SKU_Master!$D$5:$D$34,MATCH($I1833,SKU_Master!$A$5:$A$34,0))</f>
        <v>Monitor</v>
      </c>
      <c r="S1833" s="54">
        <f t="shared" si="392"/>
        <v>8.0000000000000071E-3</v>
      </c>
      <c r="T1833" s="55">
        <f t="shared" si="393"/>
        <v>2506.3291139240505</v>
      </c>
      <c r="U1833" s="55">
        <f t="shared" si="394"/>
        <v>2486.2784810126582</v>
      </c>
      <c r="V1833" s="55">
        <f t="shared" si="395"/>
        <v>-20.050632911392313</v>
      </c>
      <c r="W1833" s="55">
        <f t="shared" si="396"/>
        <v>2361.3368598220727</v>
      </c>
      <c r="X1833" s="55">
        <f t="shared" si="397"/>
        <v>-124.94162119058547</v>
      </c>
      <c r="Y1833" s="55">
        <f t="shared" si="398"/>
        <v>1906.2</v>
      </c>
      <c r="Z1833" s="55">
        <f t="shared" si="399"/>
        <v>1906.2</v>
      </c>
      <c r="AA1833" s="55">
        <f t="shared" si="400"/>
        <v>0</v>
      </c>
      <c r="AB1833" s="55">
        <f t="shared" si="401"/>
        <v>455.13685982207267</v>
      </c>
      <c r="AC1833" s="54">
        <f t="shared" si="402"/>
        <v>0.19274541788856306</v>
      </c>
      <c r="AD1833" s="56">
        <f>INDEX(Assumptions!$B$14:$B$16,MATCH($R1833,Assumptions!$A$14:$A$16,0))</f>
        <v>0.18</v>
      </c>
      <c r="AE1833" s="56">
        <f>INDEX(Assumptions!$C$14:$C$16,MATCH($R1833,Assumptions!$A$14:$A$16,0))</f>
        <v>0.12</v>
      </c>
      <c r="AF1833" s="49">
        <f t="shared" si="403"/>
        <v>0</v>
      </c>
      <c r="AG1833" s="49">
        <f t="shared" si="404"/>
        <v>0</v>
      </c>
      <c r="AH1833" s="55">
        <f t="shared" si="405"/>
        <v>0</v>
      </c>
    </row>
    <row r="1834" spans="1:34" x14ac:dyDescent="0.2">
      <c r="A1834" s="48" t="s">
        <v>1470</v>
      </c>
      <c r="B1834" s="48">
        <v>3</v>
      </c>
      <c r="C1834" s="48" t="s">
        <v>1471</v>
      </c>
      <c r="D1834" s="48" t="s">
        <v>1444</v>
      </c>
      <c r="E1834" s="48" t="s">
        <v>284</v>
      </c>
      <c r="F1834" s="48" t="s">
        <v>274</v>
      </c>
      <c r="G1834" s="48" t="s">
        <v>275</v>
      </c>
      <c r="H1834" s="48" t="s">
        <v>64</v>
      </c>
      <c r="I1834" s="48" t="s">
        <v>177</v>
      </c>
      <c r="J1834" s="49">
        <v>7</v>
      </c>
      <c r="K1834" s="50">
        <v>65</v>
      </c>
      <c r="L1834" s="50">
        <v>64.97</v>
      </c>
      <c r="M1834" s="48" t="s">
        <v>276</v>
      </c>
      <c r="N1834" s="51">
        <v>0.79</v>
      </c>
      <c r="O1834" s="51">
        <v>0.83179999999999998</v>
      </c>
      <c r="P1834" s="52">
        <v>50</v>
      </c>
      <c r="Q1834" s="52">
        <v>50</v>
      </c>
      <c r="R1834" s="53" t="str">
        <f>INDEX(SKU_Master!$D$5:$D$34,MATCH($I1834,SKU_Master!$A$5:$A$34,0))</f>
        <v>Accessory</v>
      </c>
      <c r="S1834" s="54">
        <f t="shared" si="392"/>
        <v>4.6153846153851319E-4</v>
      </c>
      <c r="T1834" s="55">
        <f t="shared" si="393"/>
        <v>575.94936708860757</v>
      </c>
      <c r="U1834" s="55">
        <f t="shared" si="394"/>
        <v>575.68354430379736</v>
      </c>
      <c r="V1834" s="55">
        <f t="shared" si="395"/>
        <v>-0.26582278481021149</v>
      </c>
      <c r="W1834" s="55">
        <f t="shared" si="396"/>
        <v>546.75402741043513</v>
      </c>
      <c r="X1834" s="55">
        <f t="shared" si="397"/>
        <v>-28.929516893362234</v>
      </c>
      <c r="Y1834" s="55">
        <f t="shared" si="398"/>
        <v>350</v>
      </c>
      <c r="Z1834" s="55">
        <f t="shared" si="399"/>
        <v>350</v>
      </c>
      <c r="AA1834" s="55">
        <f t="shared" si="400"/>
        <v>0</v>
      </c>
      <c r="AB1834" s="55">
        <f t="shared" si="401"/>
        <v>196.75402741043513</v>
      </c>
      <c r="AC1834" s="54">
        <f t="shared" si="402"/>
        <v>0.35985839618285353</v>
      </c>
      <c r="AD1834" s="56">
        <f>INDEX(Assumptions!$B$14:$B$16,MATCH($R1834,Assumptions!$A$14:$A$16,0))</f>
        <v>0.32</v>
      </c>
      <c r="AE1834" s="56">
        <f>INDEX(Assumptions!$C$14:$C$16,MATCH($R1834,Assumptions!$A$14:$A$16,0))</f>
        <v>0.22</v>
      </c>
      <c r="AF1834" s="49">
        <f t="shared" si="403"/>
        <v>0</v>
      </c>
      <c r="AG1834" s="49">
        <f t="shared" si="404"/>
        <v>0</v>
      </c>
      <c r="AH1834" s="55">
        <f t="shared" si="405"/>
        <v>0</v>
      </c>
    </row>
    <row r="1835" spans="1:34" x14ac:dyDescent="0.2">
      <c r="A1835" s="48" t="s">
        <v>1472</v>
      </c>
      <c r="B1835" s="48">
        <v>1</v>
      </c>
      <c r="C1835" s="48" t="s">
        <v>1467</v>
      </c>
      <c r="D1835" s="48" t="s">
        <v>1444</v>
      </c>
      <c r="E1835" s="48" t="s">
        <v>343</v>
      </c>
      <c r="F1835" s="48" t="s">
        <v>280</v>
      </c>
      <c r="G1835" s="48" t="s">
        <v>281</v>
      </c>
      <c r="H1835" s="48" t="s">
        <v>62</v>
      </c>
      <c r="I1835" s="48" t="s">
        <v>103</v>
      </c>
      <c r="J1835" s="49">
        <v>16</v>
      </c>
      <c r="K1835" s="50">
        <v>1135</v>
      </c>
      <c r="L1835" s="50">
        <v>1102.42</v>
      </c>
      <c r="M1835" s="48" t="s">
        <v>276</v>
      </c>
      <c r="N1835" s="51">
        <v>1</v>
      </c>
      <c r="O1835" s="51">
        <v>1</v>
      </c>
      <c r="P1835" s="52">
        <v>968.6</v>
      </c>
      <c r="Q1835" s="52">
        <v>968.6</v>
      </c>
      <c r="R1835" s="53" t="str">
        <f>INDEX(SKU_Master!$D$5:$D$34,MATCH($I1835,SKU_Master!$A$5:$A$34,0))</f>
        <v>Laptop</v>
      </c>
      <c r="S1835" s="54">
        <f t="shared" si="392"/>
        <v>2.8704845814977897E-2</v>
      </c>
      <c r="T1835" s="55">
        <f t="shared" si="393"/>
        <v>18160</v>
      </c>
      <c r="U1835" s="55">
        <f t="shared" si="394"/>
        <v>17638.72</v>
      </c>
      <c r="V1835" s="55">
        <f t="shared" si="395"/>
        <v>-521.27999999999884</v>
      </c>
      <c r="W1835" s="55">
        <f t="shared" si="396"/>
        <v>17638.72</v>
      </c>
      <c r="X1835" s="55">
        <f t="shared" si="397"/>
        <v>0</v>
      </c>
      <c r="Y1835" s="55">
        <f t="shared" si="398"/>
        <v>15497.6</v>
      </c>
      <c r="Z1835" s="55">
        <f t="shared" si="399"/>
        <v>15497.6</v>
      </c>
      <c r="AA1835" s="55">
        <f t="shared" si="400"/>
        <v>0</v>
      </c>
      <c r="AB1835" s="55">
        <f t="shared" si="401"/>
        <v>2141.1200000000008</v>
      </c>
      <c r="AC1835" s="54">
        <f t="shared" si="402"/>
        <v>0.12138749297001147</v>
      </c>
      <c r="AD1835" s="56">
        <f>INDEX(Assumptions!$B$14:$B$16,MATCH($R1835,Assumptions!$A$14:$A$16,0))</f>
        <v>0.12</v>
      </c>
      <c r="AE1835" s="56">
        <f>INDEX(Assumptions!$C$14:$C$16,MATCH($R1835,Assumptions!$A$14:$A$16,0))</f>
        <v>0.08</v>
      </c>
      <c r="AF1835" s="49">
        <f t="shared" si="403"/>
        <v>0</v>
      </c>
      <c r="AG1835" s="49">
        <f t="shared" si="404"/>
        <v>0</v>
      </c>
      <c r="AH1835" s="55">
        <f t="shared" si="405"/>
        <v>0</v>
      </c>
    </row>
    <row r="1836" spans="1:34" x14ac:dyDescent="0.2">
      <c r="A1836" s="48" t="s">
        <v>1472</v>
      </c>
      <c r="B1836" s="48">
        <v>2</v>
      </c>
      <c r="C1836" s="48" t="s">
        <v>1467</v>
      </c>
      <c r="D1836" s="48" t="s">
        <v>1444</v>
      </c>
      <c r="E1836" s="48" t="s">
        <v>343</v>
      </c>
      <c r="F1836" s="48" t="s">
        <v>280</v>
      </c>
      <c r="G1836" s="48" t="s">
        <v>281</v>
      </c>
      <c r="H1836" s="48" t="s">
        <v>62</v>
      </c>
      <c r="I1836" s="48" t="s">
        <v>151</v>
      </c>
      <c r="J1836" s="49">
        <v>17</v>
      </c>
      <c r="K1836" s="50">
        <v>335</v>
      </c>
      <c r="L1836" s="50">
        <v>327.41000000000003</v>
      </c>
      <c r="M1836" s="48" t="s">
        <v>276</v>
      </c>
      <c r="N1836" s="51">
        <v>1</v>
      </c>
      <c r="O1836" s="51">
        <v>1</v>
      </c>
      <c r="P1836" s="52">
        <v>216.7</v>
      </c>
      <c r="Q1836" s="52">
        <v>216.7</v>
      </c>
      <c r="R1836" s="53" t="str">
        <f>INDEX(SKU_Master!$D$5:$D$34,MATCH($I1836,SKU_Master!$A$5:$A$34,0))</f>
        <v>Accessory</v>
      </c>
      <c r="S1836" s="54">
        <f t="shared" si="392"/>
        <v>2.2656716417910339E-2</v>
      </c>
      <c r="T1836" s="55">
        <f t="shared" si="393"/>
        <v>5695</v>
      </c>
      <c r="U1836" s="55">
        <f t="shared" si="394"/>
        <v>5565.97</v>
      </c>
      <c r="V1836" s="55">
        <f t="shared" si="395"/>
        <v>-129.02999999999975</v>
      </c>
      <c r="W1836" s="55">
        <f t="shared" si="396"/>
        <v>5565.97</v>
      </c>
      <c r="X1836" s="55">
        <f t="shared" si="397"/>
        <v>0</v>
      </c>
      <c r="Y1836" s="55">
        <f t="shared" si="398"/>
        <v>3683.8999999999996</v>
      </c>
      <c r="Z1836" s="55">
        <f t="shared" si="399"/>
        <v>3683.8999999999996</v>
      </c>
      <c r="AA1836" s="55">
        <f t="shared" si="400"/>
        <v>0</v>
      </c>
      <c r="AB1836" s="55">
        <f t="shared" si="401"/>
        <v>1882.0700000000006</v>
      </c>
      <c r="AC1836" s="54">
        <f t="shared" si="402"/>
        <v>0.3381387251458417</v>
      </c>
      <c r="AD1836" s="56">
        <f>INDEX(Assumptions!$B$14:$B$16,MATCH($R1836,Assumptions!$A$14:$A$16,0))</f>
        <v>0.32</v>
      </c>
      <c r="AE1836" s="56">
        <f>INDEX(Assumptions!$C$14:$C$16,MATCH($R1836,Assumptions!$A$14:$A$16,0))</f>
        <v>0.22</v>
      </c>
      <c r="AF1836" s="49">
        <f t="shared" si="403"/>
        <v>0</v>
      </c>
      <c r="AG1836" s="49">
        <f t="shared" si="404"/>
        <v>0</v>
      </c>
      <c r="AH1836" s="55">
        <f t="shared" si="405"/>
        <v>0</v>
      </c>
    </row>
    <row r="1837" spans="1:34" x14ac:dyDescent="0.2">
      <c r="A1837" s="48" t="s">
        <v>1473</v>
      </c>
      <c r="B1837" s="48">
        <v>1</v>
      </c>
      <c r="C1837" s="48" t="s">
        <v>1474</v>
      </c>
      <c r="D1837" s="48" t="s">
        <v>1444</v>
      </c>
      <c r="E1837" s="48" t="s">
        <v>314</v>
      </c>
      <c r="F1837" s="48" t="s">
        <v>274</v>
      </c>
      <c r="G1837" s="48" t="s">
        <v>298</v>
      </c>
      <c r="H1837" s="48" t="s">
        <v>68</v>
      </c>
      <c r="I1837" s="48" t="s">
        <v>110</v>
      </c>
      <c r="J1837" s="49">
        <v>3</v>
      </c>
      <c r="K1837" s="50">
        <v>1645</v>
      </c>
      <c r="L1837" s="50">
        <v>1627.74</v>
      </c>
      <c r="M1837" s="48" t="s">
        <v>276</v>
      </c>
      <c r="N1837" s="51">
        <v>1.37</v>
      </c>
      <c r="O1837" s="51">
        <v>1.3702000000000001</v>
      </c>
      <c r="P1837" s="52">
        <v>1004.65</v>
      </c>
      <c r="Q1837" s="52">
        <v>1004.65</v>
      </c>
      <c r="R1837" s="53" t="str">
        <f>INDEX(SKU_Master!$D$5:$D$34,MATCH($I1837,SKU_Master!$A$5:$A$34,0))</f>
        <v>Laptop</v>
      </c>
      <c r="S1837" s="54">
        <f t="shared" si="392"/>
        <v>1.0492401215805414E-2</v>
      </c>
      <c r="T1837" s="55">
        <f t="shared" si="393"/>
        <v>3602.1897810218975</v>
      </c>
      <c r="U1837" s="55">
        <f t="shared" si="394"/>
        <v>3564.3941605839414</v>
      </c>
      <c r="V1837" s="55">
        <f t="shared" si="395"/>
        <v>-37.795620437956131</v>
      </c>
      <c r="W1837" s="55">
        <f t="shared" si="396"/>
        <v>3563.8738870237921</v>
      </c>
      <c r="X1837" s="55">
        <f t="shared" si="397"/>
        <v>-0.52027356014923498</v>
      </c>
      <c r="Y1837" s="55">
        <f t="shared" si="398"/>
        <v>3013.95</v>
      </c>
      <c r="Z1837" s="55">
        <f t="shared" si="399"/>
        <v>3013.95</v>
      </c>
      <c r="AA1837" s="55">
        <f t="shared" si="400"/>
        <v>0</v>
      </c>
      <c r="AB1837" s="55">
        <f t="shared" si="401"/>
        <v>549.9238870237923</v>
      </c>
      <c r="AC1837" s="54">
        <f t="shared" si="402"/>
        <v>0.15430509172226528</v>
      </c>
      <c r="AD1837" s="56">
        <f>INDEX(Assumptions!$B$14:$B$16,MATCH($R1837,Assumptions!$A$14:$A$16,0))</f>
        <v>0.12</v>
      </c>
      <c r="AE1837" s="56">
        <f>INDEX(Assumptions!$C$14:$C$16,MATCH($R1837,Assumptions!$A$14:$A$16,0))</f>
        <v>0.08</v>
      </c>
      <c r="AF1837" s="49">
        <f t="shared" si="403"/>
        <v>0</v>
      </c>
      <c r="AG1837" s="49">
        <f t="shared" si="404"/>
        <v>0</v>
      </c>
      <c r="AH1837" s="55">
        <f t="shared" si="405"/>
        <v>0</v>
      </c>
    </row>
    <row r="1838" spans="1:34" x14ac:dyDescent="0.2">
      <c r="A1838" s="48" t="s">
        <v>1473</v>
      </c>
      <c r="B1838" s="48">
        <v>2</v>
      </c>
      <c r="C1838" s="48" t="s">
        <v>1474</v>
      </c>
      <c r="D1838" s="48" t="s">
        <v>1444</v>
      </c>
      <c r="E1838" s="48" t="s">
        <v>314</v>
      </c>
      <c r="F1838" s="48" t="s">
        <v>274</v>
      </c>
      <c r="G1838" s="48" t="s">
        <v>298</v>
      </c>
      <c r="H1838" s="48" t="s">
        <v>68</v>
      </c>
      <c r="I1838" s="48" t="s">
        <v>135</v>
      </c>
      <c r="J1838" s="49">
        <v>3</v>
      </c>
      <c r="K1838" s="50">
        <v>360</v>
      </c>
      <c r="L1838" s="50">
        <v>356.71</v>
      </c>
      <c r="M1838" s="48" t="s">
        <v>276</v>
      </c>
      <c r="N1838" s="51">
        <v>1.37</v>
      </c>
      <c r="O1838" s="51">
        <v>1.3702000000000001</v>
      </c>
      <c r="P1838" s="52">
        <v>201.7</v>
      </c>
      <c r="Q1838" s="52">
        <v>201.7</v>
      </c>
      <c r="R1838" s="53" t="str">
        <f>INDEX(SKU_Master!$D$5:$D$34,MATCH($I1838,SKU_Master!$A$5:$A$34,0))</f>
        <v>Monitor</v>
      </c>
      <c r="S1838" s="54">
        <f t="shared" si="392"/>
        <v>9.1388888888889186E-3</v>
      </c>
      <c r="T1838" s="55">
        <f t="shared" si="393"/>
        <v>788.32116788321161</v>
      </c>
      <c r="U1838" s="55">
        <f t="shared" si="394"/>
        <v>781.11678832116775</v>
      </c>
      <c r="V1838" s="55">
        <f t="shared" si="395"/>
        <v>-7.2043795620438686</v>
      </c>
      <c r="W1838" s="55">
        <f t="shared" si="396"/>
        <v>781.00277331776374</v>
      </c>
      <c r="X1838" s="55">
        <f t="shared" si="397"/>
        <v>-0.11401500340400617</v>
      </c>
      <c r="Y1838" s="55">
        <f t="shared" si="398"/>
        <v>605.09999999999991</v>
      </c>
      <c r="Z1838" s="55">
        <f t="shared" si="399"/>
        <v>605.09999999999991</v>
      </c>
      <c r="AA1838" s="55">
        <f t="shared" si="400"/>
        <v>0</v>
      </c>
      <c r="AB1838" s="55">
        <f t="shared" si="401"/>
        <v>175.90277331776383</v>
      </c>
      <c r="AC1838" s="54">
        <f t="shared" si="402"/>
        <v>0.22522682290936619</v>
      </c>
      <c r="AD1838" s="56">
        <f>INDEX(Assumptions!$B$14:$B$16,MATCH($R1838,Assumptions!$A$14:$A$16,0))</f>
        <v>0.18</v>
      </c>
      <c r="AE1838" s="56">
        <f>INDEX(Assumptions!$C$14:$C$16,MATCH($R1838,Assumptions!$A$14:$A$16,0))</f>
        <v>0.12</v>
      </c>
      <c r="AF1838" s="49">
        <f t="shared" si="403"/>
        <v>0</v>
      </c>
      <c r="AG1838" s="49">
        <f t="shared" si="404"/>
        <v>0</v>
      </c>
      <c r="AH1838" s="55">
        <f t="shared" si="405"/>
        <v>0</v>
      </c>
    </row>
    <row r="1839" spans="1:34" x14ac:dyDescent="0.2">
      <c r="A1839" s="48" t="s">
        <v>1473</v>
      </c>
      <c r="B1839" s="48">
        <v>3</v>
      </c>
      <c r="C1839" s="48" t="s">
        <v>1474</v>
      </c>
      <c r="D1839" s="48" t="s">
        <v>1444</v>
      </c>
      <c r="E1839" s="48" t="s">
        <v>314</v>
      </c>
      <c r="F1839" s="48" t="s">
        <v>274</v>
      </c>
      <c r="G1839" s="48" t="s">
        <v>298</v>
      </c>
      <c r="H1839" s="48" t="s">
        <v>68</v>
      </c>
      <c r="I1839" s="48" t="s">
        <v>151</v>
      </c>
      <c r="J1839" s="49">
        <v>3</v>
      </c>
      <c r="K1839" s="50">
        <v>475</v>
      </c>
      <c r="L1839" s="50">
        <v>468.73</v>
      </c>
      <c r="M1839" s="48" t="s">
        <v>276</v>
      </c>
      <c r="N1839" s="51">
        <v>1.37</v>
      </c>
      <c r="O1839" s="51">
        <v>1.3702000000000001</v>
      </c>
      <c r="P1839" s="52">
        <v>219.7</v>
      </c>
      <c r="Q1839" s="52">
        <v>219.7</v>
      </c>
      <c r="R1839" s="53" t="str">
        <f>INDEX(SKU_Master!$D$5:$D$34,MATCH($I1839,SKU_Master!$A$5:$A$34,0))</f>
        <v>Accessory</v>
      </c>
      <c r="S1839" s="54">
        <f t="shared" si="392"/>
        <v>1.319999999999999E-2</v>
      </c>
      <c r="T1839" s="55">
        <f t="shared" si="393"/>
        <v>1040.1459854014597</v>
      </c>
      <c r="U1839" s="55">
        <f t="shared" si="394"/>
        <v>1026.4160583941605</v>
      </c>
      <c r="V1839" s="55">
        <f t="shared" si="395"/>
        <v>-13.729927007299239</v>
      </c>
      <c r="W1839" s="55">
        <f t="shared" si="396"/>
        <v>1026.2662385053277</v>
      </c>
      <c r="X1839" s="55">
        <f t="shared" si="397"/>
        <v>-0.14981988883278063</v>
      </c>
      <c r="Y1839" s="55">
        <f t="shared" si="398"/>
        <v>659.09999999999991</v>
      </c>
      <c r="Z1839" s="55">
        <f t="shared" si="399"/>
        <v>659.09999999999991</v>
      </c>
      <c r="AA1839" s="55">
        <f t="shared" si="400"/>
        <v>0</v>
      </c>
      <c r="AB1839" s="55">
        <f t="shared" si="401"/>
        <v>367.16623850532778</v>
      </c>
      <c r="AC1839" s="54">
        <f t="shared" si="402"/>
        <v>0.35776899281036001</v>
      </c>
      <c r="AD1839" s="56">
        <f>INDEX(Assumptions!$B$14:$B$16,MATCH($R1839,Assumptions!$A$14:$A$16,0))</f>
        <v>0.32</v>
      </c>
      <c r="AE1839" s="56">
        <f>INDEX(Assumptions!$C$14:$C$16,MATCH($R1839,Assumptions!$A$14:$A$16,0))</f>
        <v>0.22</v>
      </c>
      <c r="AF1839" s="49">
        <f t="shared" si="403"/>
        <v>0</v>
      </c>
      <c r="AG1839" s="49">
        <f t="shared" si="404"/>
        <v>0</v>
      </c>
      <c r="AH1839" s="55">
        <f t="shared" si="405"/>
        <v>0</v>
      </c>
    </row>
    <row r="1840" spans="1:34" x14ac:dyDescent="0.2">
      <c r="A1840" s="48" t="s">
        <v>1475</v>
      </c>
      <c r="B1840" s="48">
        <v>1</v>
      </c>
      <c r="C1840" s="48" t="s">
        <v>1476</v>
      </c>
      <c r="D1840" s="48" t="s">
        <v>1444</v>
      </c>
      <c r="E1840" s="48" t="s">
        <v>437</v>
      </c>
      <c r="F1840" s="48" t="s">
        <v>274</v>
      </c>
      <c r="G1840" s="48" t="s">
        <v>302</v>
      </c>
      <c r="H1840" s="48" t="s">
        <v>62</v>
      </c>
      <c r="I1840" s="48" t="s">
        <v>93</v>
      </c>
      <c r="J1840" s="49">
        <v>8</v>
      </c>
      <c r="K1840" s="50">
        <v>1390</v>
      </c>
      <c r="L1840" s="50">
        <v>1381.69</v>
      </c>
      <c r="M1840" s="48" t="s">
        <v>276</v>
      </c>
      <c r="N1840" s="51">
        <v>1</v>
      </c>
      <c r="O1840" s="51">
        <v>1</v>
      </c>
      <c r="P1840" s="52">
        <v>1186.2</v>
      </c>
      <c r="Q1840" s="52">
        <v>1186.2</v>
      </c>
      <c r="R1840" s="53" t="str">
        <f>INDEX(SKU_Master!$D$5:$D$34,MATCH($I1840,SKU_Master!$A$5:$A$34,0))</f>
        <v>Laptop</v>
      </c>
      <c r="S1840" s="54">
        <f t="shared" si="392"/>
        <v>5.978417266186975E-3</v>
      </c>
      <c r="T1840" s="55">
        <f t="shared" si="393"/>
        <v>11120</v>
      </c>
      <c r="U1840" s="55">
        <f t="shared" si="394"/>
        <v>11053.52</v>
      </c>
      <c r="V1840" s="55">
        <f t="shared" si="395"/>
        <v>-66.479999999999563</v>
      </c>
      <c r="W1840" s="55">
        <f t="shared" si="396"/>
        <v>11053.52</v>
      </c>
      <c r="X1840" s="55">
        <f t="shared" si="397"/>
        <v>0</v>
      </c>
      <c r="Y1840" s="55">
        <f t="shared" si="398"/>
        <v>9489.6</v>
      </c>
      <c r="Z1840" s="55">
        <f t="shared" si="399"/>
        <v>9489.6</v>
      </c>
      <c r="AA1840" s="55">
        <f t="shared" si="400"/>
        <v>0</v>
      </c>
      <c r="AB1840" s="55">
        <f t="shared" si="401"/>
        <v>1563.92</v>
      </c>
      <c r="AC1840" s="54">
        <f t="shared" si="402"/>
        <v>0.14148615101795628</v>
      </c>
      <c r="AD1840" s="56">
        <f>INDEX(Assumptions!$B$14:$B$16,MATCH($R1840,Assumptions!$A$14:$A$16,0))</f>
        <v>0.12</v>
      </c>
      <c r="AE1840" s="56">
        <f>INDEX(Assumptions!$C$14:$C$16,MATCH($R1840,Assumptions!$A$14:$A$16,0))</f>
        <v>0.08</v>
      </c>
      <c r="AF1840" s="49">
        <f t="shared" si="403"/>
        <v>0</v>
      </c>
      <c r="AG1840" s="49">
        <f t="shared" si="404"/>
        <v>0</v>
      </c>
      <c r="AH1840" s="55">
        <f t="shared" si="405"/>
        <v>0</v>
      </c>
    </row>
    <row r="1841" spans="1:34" x14ac:dyDescent="0.2">
      <c r="A1841" s="48" t="s">
        <v>1475</v>
      </c>
      <c r="B1841" s="48">
        <v>2</v>
      </c>
      <c r="C1841" s="48" t="s">
        <v>1476</v>
      </c>
      <c r="D1841" s="48" t="s">
        <v>1444</v>
      </c>
      <c r="E1841" s="48" t="s">
        <v>437</v>
      </c>
      <c r="F1841" s="48" t="s">
        <v>274</v>
      </c>
      <c r="G1841" s="48" t="s">
        <v>302</v>
      </c>
      <c r="H1841" s="48" t="s">
        <v>62</v>
      </c>
      <c r="I1841" s="48" t="s">
        <v>141</v>
      </c>
      <c r="J1841" s="49">
        <v>5</v>
      </c>
      <c r="K1841" s="50">
        <v>450</v>
      </c>
      <c r="L1841" s="50">
        <v>448</v>
      </c>
      <c r="M1841" s="48" t="s">
        <v>276</v>
      </c>
      <c r="N1841" s="51">
        <v>1</v>
      </c>
      <c r="O1841" s="51">
        <v>1</v>
      </c>
      <c r="P1841" s="52">
        <v>351.7</v>
      </c>
      <c r="Q1841" s="52">
        <v>351.7</v>
      </c>
      <c r="R1841" s="53" t="str">
        <f>INDEX(SKU_Master!$D$5:$D$34,MATCH($I1841,SKU_Master!$A$5:$A$34,0))</f>
        <v>Monitor</v>
      </c>
      <c r="S1841" s="54">
        <f t="shared" si="392"/>
        <v>4.4444444444444731E-3</v>
      </c>
      <c r="T1841" s="55">
        <f t="shared" si="393"/>
        <v>2250</v>
      </c>
      <c r="U1841" s="55">
        <f t="shared" si="394"/>
        <v>2240</v>
      </c>
      <c r="V1841" s="55">
        <f t="shared" si="395"/>
        <v>-10</v>
      </c>
      <c r="W1841" s="55">
        <f t="shared" si="396"/>
        <v>2240</v>
      </c>
      <c r="X1841" s="55">
        <f t="shared" si="397"/>
        <v>0</v>
      </c>
      <c r="Y1841" s="55">
        <f t="shared" si="398"/>
        <v>1758.5</v>
      </c>
      <c r="Z1841" s="55">
        <f t="shared" si="399"/>
        <v>1758.5</v>
      </c>
      <c r="AA1841" s="55">
        <f t="shared" si="400"/>
        <v>0</v>
      </c>
      <c r="AB1841" s="55">
        <f t="shared" si="401"/>
        <v>481.5</v>
      </c>
      <c r="AC1841" s="54">
        <f t="shared" si="402"/>
        <v>0.21495535714285716</v>
      </c>
      <c r="AD1841" s="56">
        <f>INDEX(Assumptions!$B$14:$B$16,MATCH($R1841,Assumptions!$A$14:$A$16,0))</f>
        <v>0.18</v>
      </c>
      <c r="AE1841" s="56">
        <f>INDEX(Assumptions!$C$14:$C$16,MATCH($R1841,Assumptions!$A$14:$A$16,0))</f>
        <v>0.12</v>
      </c>
      <c r="AF1841" s="49">
        <f t="shared" si="403"/>
        <v>0</v>
      </c>
      <c r="AG1841" s="49">
        <f t="shared" si="404"/>
        <v>0</v>
      </c>
      <c r="AH1841" s="55">
        <f t="shared" si="405"/>
        <v>0</v>
      </c>
    </row>
    <row r="1842" spans="1:34" x14ac:dyDescent="0.2">
      <c r="A1842" s="48" t="s">
        <v>1475</v>
      </c>
      <c r="B1842" s="48">
        <v>3</v>
      </c>
      <c r="C1842" s="48" t="s">
        <v>1476</v>
      </c>
      <c r="D1842" s="48" t="s">
        <v>1444</v>
      </c>
      <c r="E1842" s="48" t="s">
        <v>437</v>
      </c>
      <c r="F1842" s="48" t="s">
        <v>274</v>
      </c>
      <c r="G1842" s="48" t="s">
        <v>302</v>
      </c>
      <c r="H1842" s="48" t="s">
        <v>62</v>
      </c>
      <c r="I1842" s="48" t="s">
        <v>157</v>
      </c>
      <c r="J1842" s="49">
        <v>4</v>
      </c>
      <c r="K1842" s="50">
        <v>135</v>
      </c>
      <c r="L1842" s="50">
        <v>134.58000000000001</v>
      </c>
      <c r="M1842" s="48" t="s">
        <v>276</v>
      </c>
      <c r="N1842" s="51">
        <v>1</v>
      </c>
      <c r="O1842" s="51">
        <v>1</v>
      </c>
      <c r="P1842" s="52">
        <v>86</v>
      </c>
      <c r="Q1842" s="52">
        <v>86</v>
      </c>
      <c r="R1842" s="53" t="str">
        <f>INDEX(SKU_Master!$D$5:$D$34,MATCH($I1842,SKU_Master!$A$5:$A$34,0))</f>
        <v>Accessory</v>
      </c>
      <c r="S1842" s="54">
        <f t="shared" si="392"/>
        <v>3.1111111111110645E-3</v>
      </c>
      <c r="T1842" s="55">
        <f t="shared" si="393"/>
        <v>540</v>
      </c>
      <c r="U1842" s="55">
        <f t="shared" si="394"/>
        <v>538.32000000000005</v>
      </c>
      <c r="V1842" s="55">
        <f t="shared" si="395"/>
        <v>-1.67999999999995</v>
      </c>
      <c r="W1842" s="55">
        <f t="shared" si="396"/>
        <v>538.32000000000005</v>
      </c>
      <c r="X1842" s="55">
        <f t="shared" si="397"/>
        <v>0</v>
      </c>
      <c r="Y1842" s="55">
        <f t="shared" si="398"/>
        <v>344</v>
      </c>
      <c r="Z1842" s="55">
        <f t="shared" si="399"/>
        <v>344</v>
      </c>
      <c r="AA1842" s="55">
        <f t="shared" si="400"/>
        <v>0</v>
      </c>
      <c r="AB1842" s="55">
        <f t="shared" si="401"/>
        <v>194.32000000000005</v>
      </c>
      <c r="AC1842" s="54">
        <f t="shared" si="402"/>
        <v>0.36097488482686885</v>
      </c>
      <c r="AD1842" s="56">
        <f>INDEX(Assumptions!$B$14:$B$16,MATCH($R1842,Assumptions!$A$14:$A$16,0))</f>
        <v>0.32</v>
      </c>
      <c r="AE1842" s="56">
        <f>INDEX(Assumptions!$C$14:$C$16,MATCH($R1842,Assumptions!$A$14:$A$16,0))</f>
        <v>0.22</v>
      </c>
      <c r="AF1842" s="49">
        <f t="shared" si="403"/>
        <v>0</v>
      </c>
      <c r="AG1842" s="49">
        <f t="shared" si="404"/>
        <v>0</v>
      </c>
      <c r="AH1842" s="55">
        <f t="shared" si="405"/>
        <v>0</v>
      </c>
    </row>
    <row r="1843" spans="1:34" x14ac:dyDescent="0.2">
      <c r="A1843" s="48" t="s">
        <v>1477</v>
      </c>
      <c r="B1843" s="48">
        <v>1</v>
      </c>
      <c r="C1843" s="48" t="s">
        <v>1464</v>
      </c>
      <c r="D1843" s="48" t="s">
        <v>1444</v>
      </c>
      <c r="E1843" s="48" t="s">
        <v>355</v>
      </c>
      <c r="F1843" s="48" t="s">
        <v>280</v>
      </c>
      <c r="G1843" s="48" t="s">
        <v>302</v>
      </c>
      <c r="H1843" s="48" t="s">
        <v>62</v>
      </c>
      <c r="I1843" s="48" t="s">
        <v>110</v>
      </c>
      <c r="J1843" s="49">
        <v>21</v>
      </c>
      <c r="K1843" s="50">
        <v>1165</v>
      </c>
      <c r="L1843" s="50">
        <v>1130.06</v>
      </c>
      <c r="M1843" s="48" t="s">
        <v>276</v>
      </c>
      <c r="N1843" s="51">
        <v>1</v>
      </c>
      <c r="O1843" s="51">
        <v>1</v>
      </c>
      <c r="P1843" s="52">
        <v>992.65</v>
      </c>
      <c r="Q1843" s="52">
        <v>992.65</v>
      </c>
      <c r="R1843" s="53" t="str">
        <f>INDEX(SKU_Master!$D$5:$D$34,MATCH($I1843,SKU_Master!$A$5:$A$34,0))</f>
        <v>Laptop</v>
      </c>
      <c r="S1843" s="54">
        <f t="shared" si="392"/>
        <v>2.9991416309012919E-2</v>
      </c>
      <c r="T1843" s="55">
        <f t="shared" si="393"/>
        <v>24465</v>
      </c>
      <c r="U1843" s="55">
        <f t="shared" si="394"/>
        <v>23731.26</v>
      </c>
      <c r="V1843" s="55">
        <f t="shared" si="395"/>
        <v>-733.7400000000016</v>
      </c>
      <c r="W1843" s="55">
        <f t="shared" si="396"/>
        <v>23731.26</v>
      </c>
      <c r="X1843" s="55">
        <f t="shared" si="397"/>
        <v>0</v>
      </c>
      <c r="Y1843" s="55">
        <f t="shared" si="398"/>
        <v>20845.649999999998</v>
      </c>
      <c r="Z1843" s="55">
        <f t="shared" si="399"/>
        <v>20845.649999999998</v>
      </c>
      <c r="AA1843" s="55">
        <f t="shared" si="400"/>
        <v>0</v>
      </c>
      <c r="AB1843" s="55">
        <f t="shared" si="401"/>
        <v>2885.6100000000006</v>
      </c>
      <c r="AC1843" s="54">
        <f t="shared" si="402"/>
        <v>0.12159531352317579</v>
      </c>
      <c r="AD1843" s="56">
        <f>INDEX(Assumptions!$B$14:$B$16,MATCH($R1843,Assumptions!$A$14:$A$16,0))</f>
        <v>0.12</v>
      </c>
      <c r="AE1843" s="56">
        <f>INDEX(Assumptions!$C$14:$C$16,MATCH($R1843,Assumptions!$A$14:$A$16,0))</f>
        <v>0.08</v>
      </c>
      <c r="AF1843" s="49">
        <f t="shared" si="403"/>
        <v>0</v>
      </c>
      <c r="AG1843" s="49">
        <f t="shared" si="404"/>
        <v>0</v>
      </c>
      <c r="AH1843" s="55">
        <f t="shared" si="405"/>
        <v>0</v>
      </c>
    </row>
    <row r="1844" spans="1:34" x14ac:dyDescent="0.2">
      <c r="A1844" s="48" t="s">
        <v>1477</v>
      </c>
      <c r="B1844" s="48">
        <v>2</v>
      </c>
      <c r="C1844" s="48" t="s">
        <v>1464</v>
      </c>
      <c r="D1844" s="48" t="s">
        <v>1444</v>
      </c>
      <c r="E1844" s="48" t="s">
        <v>355</v>
      </c>
      <c r="F1844" s="48" t="s">
        <v>280</v>
      </c>
      <c r="G1844" s="48" t="s">
        <v>302</v>
      </c>
      <c r="H1844" s="48" t="s">
        <v>62</v>
      </c>
      <c r="I1844" s="48" t="s">
        <v>135</v>
      </c>
      <c r="J1844" s="49">
        <v>20</v>
      </c>
      <c r="K1844" s="50">
        <v>240</v>
      </c>
      <c r="L1844" s="50">
        <v>229.74</v>
      </c>
      <c r="M1844" s="48" t="s">
        <v>276</v>
      </c>
      <c r="N1844" s="51">
        <v>1</v>
      </c>
      <c r="O1844" s="51">
        <v>1</v>
      </c>
      <c r="P1844" s="52">
        <v>186.7</v>
      </c>
      <c r="Q1844" s="52">
        <v>186.7</v>
      </c>
      <c r="R1844" s="53" t="str">
        <f>INDEX(SKU_Master!$D$5:$D$34,MATCH($I1844,SKU_Master!$A$5:$A$34,0))</f>
        <v>Monitor</v>
      </c>
      <c r="S1844" s="54">
        <f t="shared" si="392"/>
        <v>4.2749999999999955E-2</v>
      </c>
      <c r="T1844" s="55">
        <f t="shared" si="393"/>
        <v>4800</v>
      </c>
      <c r="U1844" s="55">
        <f t="shared" si="394"/>
        <v>4594.8</v>
      </c>
      <c r="V1844" s="55">
        <f t="shared" si="395"/>
        <v>-205.19999999999982</v>
      </c>
      <c r="W1844" s="55">
        <f t="shared" si="396"/>
        <v>4594.8</v>
      </c>
      <c r="X1844" s="55">
        <f t="shared" si="397"/>
        <v>0</v>
      </c>
      <c r="Y1844" s="55">
        <f t="shared" si="398"/>
        <v>3734</v>
      </c>
      <c r="Z1844" s="55">
        <f t="shared" si="399"/>
        <v>3734</v>
      </c>
      <c r="AA1844" s="55">
        <f t="shared" si="400"/>
        <v>0</v>
      </c>
      <c r="AB1844" s="55">
        <f t="shared" si="401"/>
        <v>860.80000000000018</v>
      </c>
      <c r="AC1844" s="54">
        <f t="shared" si="402"/>
        <v>0.18734221293636288</v>
      </c>
      <c r="AD1844" s="56">
        <f>INDEX(Assumptions!$B$14:$B$16,MATCH($R1844,Assumptions!$A$14:$A$16,0))</f>
        <v>0.18</v>
      </c>
      <c r="AE1844" s="56">
        <f>INDEX(Assumptions!$C$14:$C$16,MATCH($R1844,Assumptions!$A$14:$A$16,0))</f>
        <v>0.12</v>
      </c>
      <c r="AF1844" s="49">
        <f t="shared" si="403"/>
        <v>0</v>
      </c>
      <c r="AG1844" s="49">
        <f t="shared" si="404"/>
        <v>0</v>
      </c>
      <c r="AH1844" s="55">
        <f t="shared" si="405"/>
        <v>0</v>
      </c>
    </row>
    <row r="1845" spans="1:34" x14ac:dyDescent="0.2">
      <c r="A1845" s="48" t="s">
        <v>1477</v>
      </c>
      <c r="B1845" s="48">
        <v>3</v>
      </c>
      <c r="C1845" s="48" t="s">
        <v>1464</v>
      </c>
      <c r="D1845" s="48" t="s">
        <v>1444</v>
      </c>
      <c r="E1845" s="48" t="s">
        <v>355</v>
      </c>
      <c r="F1845" s="48" t="s">
        <v>280</v>
      </c>
      <c r="G1845" s="48" t="s">
        <v>302</v>
      </c>
      <c r="H1845" s="48" t="s">
        <v>62</v>
      </c>
      <c r="I1845" s="48" t="s">
        <v>151</v>
      </c>
      <c r="J1845" s="49">
        <v>19</v>
      </c>
      <c r="K1845" s="50">
        <v>335</v>
      </c>
      <c r="L1845" s="50">
        <v>317.89</v>
      </c>
      <c r="M1845" s="48" t="s">
        <v>276</v>
      </c>
      <c r="N1845" s="51">
        <v>1</v>
      </c>
      <c r="O1845" s="51">
        <v>1</v>
      </c>
      <c r="P1845" s="52">
        <v>216.7</v>
      </c>
      <c r="Q1845" s="52">
        <v>216.7</v>
      </c>
      <c r="R1845" s="53" t="str">
        <f>INDEX(SKU_Master!$D$5:$D$34,MATCH($I1845,SKU_Master!$A$5:$A$34,0))</f>
        <v>Accessory</v>
      </c>
      <c r="S1845" s="54">
        <f t="shared" si="392"/>
        <v>5.1074626865671657E-2</v>
      </c>
      <c r="T1845" s="55">
        <f t="shared" si="393"/>
        <v>6365</v>
      </c>
      <c r="U1845" s="55">
        <f t="shared" si="394"/>
        <v>6039.91</v>
      </c>
      <c r="V1845" s="55">
        <f t="shared" si="395"/>
        <v>-325.09000000000015</v>
      </c>
      <c r="W1845" s="55">
        <f t="shared" si="396"/>
        <v>6039.91</v>
      </c>
      <c r="X1845" s="55">
        <f t="shared" si="397"/>
        <v>0</v>
      </c>
      <c r="Y1845" s="55">
        <f t="shared" si="398"/>
        <v>4117.3</v>
      </c>
      <c r="Z1845" s="55">
        <f t="shared" si="399"/>
        <v>4117.3</v>
      </c>
      <c r="AA1845" s="55">
        <f t="shared" si="400"/>
        <v>0</v>
      </c>
      <c r="AB1845" s="55">
        <f t="shared" si="401"/>
        <v>1922.6099999999997</v>
      </c>
      <c r="AC1845" s="54">
        <f t="shared" si="402"/>
        <v>0.3183176570511812</v>
      </c>
      <c r="AD1845" s="56">
        <f>INDEX(Assumptions!$B$14:$B$16,MATCH($R1845,Assumptions!$A$14:$A$16,0))</f>
        <v>0.32</v>
      </c>
      <c r="AE1845" s="56">
        <f>INDEX(Assumptions!$C$14:$C$16,MATCH($R1845,Assumptions!$A$14:$A$16,0))</f>
        <v>0.22</v>
      </c>
      <c r="AF1845" s="49">
        <f t="shared" si="403"/>
        <v>0</v>
      </c>
      <c r="AG1845" s="49">
        <f t="shared" si="404"/>
        <v>0</v>
      </c>
      <c r="AH1845" s="55">
        <f t="shared" si="405"/>
        <v>10.161200000000235</v>
      </c>
    </row>
    <row r="1846" spans="1:34" x14ac:dyDescent="0.2">
      <c r="A1846" s="48" t="s">
        <v>1478</v>
      </c>
      <c r="B1846" s="48">
        <v>1</v>
      </c>
      <c r="C1846" s="48" t="s">
        <v>1479</v>
      </c>
      <c r="D1846" s="48" t="s">
        <v>1444</v>
      </c>
      <c r="E1846" s="48" t="s">
        <v>273</v>
      </c>
      <c r="F1846" s="48" t="s">
        <v>274</v>
      </c>
      <c r="G1846" s="48" t="s">
        <v>275</v>
      </c>
      <c r="H1846" s="48" t="s">
        <v>66</v>
      </c>
      <c r="I1846" s="48" t="s">
        <v>108</v>
      </c>
      <c r="J1846" s="49">
        <v>3</v>
      </c>
      <c r="K1846" s="50">
        <v>1280</v>
      </c>
      <c r="L1846" s="50">
        <v>1279.8699999999999</v>
      </c>
      <c r="M1846" s="48" t="s">
        <v>276</v>
      </c>
      <c r="N1846" s="51">
        <v>0.92</v>
      </c>
      <c r="O1846" s="51">
        <v>0.93759999999999999</v>
      </c>
      <c r="P1846" s="52">
        <v>1165</v>
      </c>
      <c r="Q1846" s="52">
        <v>1232.6199999999999</v>
      </c>
      <c r="R1846" s="53" t="str">
        <f>INDEX(SKU_Master!$D$5:$D$34,MATCH($I1846,SKU_Master!$A$5:$A$34,0))</f>
        <v>Laptop</v>
      </c>
      <c r="S1846" s="54">
        <f t="shared" si="392"/>
        <v>1.0156250000004086E-4</v>
      </c>
      <c r="T1846" s="55">
        <f t="shared" si="393"/>
        <v>4173.913043478261</v>
      </c>
      <c r="U1846" s="55">
        <f t="shared" si="394"/>
        <v>4173.4891304347821</v>
      </c>
      <c r="V1846" s="55">
        <f t="shared" si="395"/>
        <v>-0.4239130434789331</v>
      </c>
      <c r="W1846" s="55">
        <f t="shared" si="396"/>
        <v>4095.147184300341</v>
      </c>
      <c r="X1846" s="55">
        <f t="shared" si="397"/>
        <v>-78.341946134441059</v>
      </c>
      <c r="Y1846" s="55">
        <f t="shared" si="398"/>
        <v>3495</v>
      </c>
      <c r="Z1846" s="55">
        <f t="shared" si="399"/>
        <v>3697.8599999999997</v>
      </c>
      <c r="AA1846" s="55">
        <f t="shared" si="400"/>
        <v>-202.85999999999967</v>
      </c>
      <c r="AB1846" s="55">
        <f t="shared" si="401"/>
        <v>397.28718430034132</v>
      </c>
      <c r="AC1846" s="54">
        <f t="shared" si="402"/>
        <v>9.7014140498644402E-2</v>
      </c>
      <c r="AD1846" s="56">
        <f>INDEX(Assumptions!$B$14:$B$16,MATCH($R1846,Assumptions!$A$14:$A$16,0))</f>
        <v>0.12</v>
      </c>
      <c r="AE1846" s="56">
        <f>INDEX(Assumptions!$C$14:$C$16,MATCH($R1846,Assumptions!$A$14:$A$16,0))</f>
        <v>0.08</v>
      </c>
      <c r="AF1846" s="49">
        <f t="shared" si="403"/>
        <v>0</v>
      </c>
      <c r="AG1846" s="49">
        <f t="shared" si="404"/>
        <v>0</v>
      </c>
      <c r="AH1846" s="55">
        <f t="shared" si="405"/>
        <v>94.130477815699578</v>
      </c>
    </row>
    <row r="1847" spans="1:34" x14ac:dyDescent="0.2">
      <c r="A1847" s="48" t="s">
        <v>1478</v>
      </c>
      <c r="B1847" s="48">
        <v>2</v>
      </c>
      <c r="C1847" s="48" t="s">
        <v>1479</v>
      </c>
      <c r="D1847" s="48" t="s">
        <v>1444</v>
      </c>
      <c r="E1847" s="48" t="s">
        <v>273</v>
      </c>
      <c r="F1847" s="48" t="s">
        <v>274</v>
      </c>
      <c r="G1847" s="48" t="s">
        <v>275</v>
      </c>
      <c r="H1847" s="48" t="s">
        <v>66</v>
      </c>
      <c r="I1847" s="48" t="s">
        <v>141</v>
      </c>
      <c r="J1847" s="49">
        <v>1</v>
      </c>
      <c r="K1847" s="50">
        <v>450</v>
      </c>
      <c r="L1847" s="50">
        <v>445.69</v>
      </c>
      <c r="M1847" s="48" t="s">
        <v>276</v>
      </c>
      <c r="N1847" s="51">
        <v>0.92</v>
      </c>
      <c r="O1847" s="51">
        <v>0.93759999999999999</v>
      </c>
      <c r="P1847" s="52">
        <v>376.7</v>
      </c>
      <c r="Q1847" s="52">
        <v>376.7</v>
      </c>
      <c r="R1847" s="53" t="str">
        <f>INDEX(SKU_Master!$D$5:$D$34,MATCH($I1847,SKU_Master!$A$5:$A$34,0))</f>
        <v>Monitor</v>
      </c>
      <c r="S1847" s="54">
        <f t="shared" si="392"/>
        <v>9.5777777777777962E-3</v>
      </c>
      <c r="T1847" s="55">
        <f t="shared" si="393"/>
        <v>489.13043478260869</v>
      </c>
      <c r="U1847" s="55">
        <f t="shared" si="394"/>
        <v>484.445652173913</v>
      </c>
      <c r="V1847" s="55">
        <f t="shared" si="395"/>
        <v>-4.6847826086956843</v>
      </c>
      <c r="W1847" s="55">
        <f t="shared" si="396"/>
        <v>475.35196245733789</v>
      </c>
      <c r="X1847" s="55">
        <f t="shared" si="397"/>
        <v>-9.0936897165751134</v>
      </c>
      <c r="Y1847" s="55">
        <f t="shared" si="398"/>
        <v>376.7</v>
      </c>
      <c r="Z1847" s="55">
        <f t="shared" si="399"/>
        <v>376.7</v>
      </c>
      <c r="AA1847" s="55">
        <f t="shared" si="400"/>
        <v>0</v>
      </c>
      <c r="AB1847" s="55">
        <f t="shared" si="401"/>
        <v>98.651962457337902</v>
      </c>
      <c r="AC1847" s="54">
        <f t="shared" si="402"/>
        <v>0.2075345643833158</v>
      </c>
      <c r="AD1847" s="56">
        <f>INDEX(Assumptions!$B$14:$B$16,MATCH($R1847,Assumptions!$A$14:$A$16,0))</f>
        <v>0.18</v>
      </c>
      <c r="AE1847" s="56">
        <f>INDEX(Assumptions!$C$14:$C$16,MATCH($R1847,Assumptions!$A$14:$A$16,0))</f>
        <v>0.12</v>
      </c>
      <c r="AF1847" s="49">
        <f t="shared" si="403"/>
        <v>0</v>
      </c>
      <c r="AG1847" s="49">
        <f t="shared" si="404"/>
        <v>0</v>
      </c>
      <c r="AH1847" s="55">
        <f t="shared" si="405"/>
        <v>0</v>
      </c>
    </row>
    <row r="1848" spans="1:34" x14ac:dyDescent="0.2">
      <c r="A1848" s="48" t="s">
        <v>1480</v>
      </c>
      <c r="B1848" s="48">
        <v>1</v>
      </c>
      <c r="C1848" s="48" t="s">
        <v>1476</v>
      </c>
      <c r="D1848" s="48" t="s">
        <v>1444</v>
      </c>
      <c r="E1848" s="48" t="s">
        <v>366</v>
      </c>
      <c r="F1848" s="48" t="s">
        <v>297</v>
      </c>
      <c r="G1848" s="48" t="s">
        <v>302</v>
      </c>
      <c r="H1848" s="48" t="s">
        <v>66</v>
      </c>
      <c r="I1848" s="48" t="s">
        <v>93</v>
      </c>
      <c r="J1848" s="49">
        <v>31</v>
      </c>
      <c r="K1848" s="50">
        <v>1325</v>
      </c>
      <c r="L1848" s="50">
        <v>1289.07</v>
      </c>
      <c r="M1848" s="48" t="s">
        <v>276</v>
      </c>
      <c r="N1848" s="51">
        <v>0.92</v>
      </c>
      <c r="O1848" s="51">
        <v>0.93759999999999999</v>
      </c>
      <c r="P1848" s="52">
        <v>1206.2</v>
      </c>
      <c r="Q1848" s="52">
        <v>1206.2</v>
      </c>
      <c r="R1848" s="53" t="str">
        <f>INDEX(SKU_Master!$D$5:$D$34,MATCH($I1848,SKU_Master!$A$5:$A$34,0))</f>
        <v>Laptop</v>
      </c>
      <c r="S1848" s="54">
        <f t="shared" si="392"/>
        <v>2.7116981132075502E-2</v>
      </c>
      <c r="T1848" s="55">
        <f t="shared" si="393"/>
        <v>44646.739130434784</v>
      </c>
      <c r="U1848" s="55">
        <f t="shared" si="394"/>
        <v>43436.054347826081</v>
      </c>
      <c r="V1848" s="55">
        <f t="shared" si="395"/>
        <v>-1210.6847826087032</v>
      </c>
      <c r="W1848" s="55">
        <f t="shared" si="396"/>
        <v>42620.701791808875</v>
      </c>
      <c r="X1848" s="55">
        <f t="shared" si="397"/>
        <v>-815.35255601720564</v>
      </c>
      <c r="Y1848" s="55">
        <f t="shared" si="398"/>
        <v>37392.200000000004</v>
      </c>
      <c r="Z1848" s="55">
        <f t="shared" si="399"/>
        <v>37392.200000000004</v>
      </c>
      <c r="AA1848" s="55">
        <f t="shared" si="400"/>
        <v>0</v>
      </c>
      <c r="AB1848" s="55">
        <f t="shared" si="401"/>
        <v>5228.5017918088706</v>
      </c>
      <c r="AC1848" s="54">
        <f t="shared" si="402"/>
        <v>0.12267516892022924</v>
      </c>
      <c r="AD1848" s="56">
        <f>INDEX(Assumptions!$B$14:$B$16,MATCH($R1848,Assumptions!$A$14:$A$16,0))</f>
        <v>0.12</v>
      </c>
      <c r="AE1848" s="56">
        <f>INDEX(Assumptions!$C$14:$C$16,MATCH($R1848,Assumptions!$A$14:$A$16,0))</f>
        <v>0.08</v>
      </c>
      <c r="AF1848" s="49">
        <f t="shared" si="403"/>
        <v>0</v>
      </c>
      <c r="AG1848" s="49">
        <f t="shared" si="404"/>
        <v>0</v>
      </c>
      <c r="AH1848" s="55">
        <f t="shared" si="405"/>
        <v>0</v>
      </c>
    </row>
    <row r="1849" spans="1:34" x14ac:dyDescent="0.2">
      <c r="A1849" s="48" t="s">
        <v>1480</v>
      </c>
      <c r="B1849" s="48">
        <v>2</v>
      </c>
      <c r="C1849" s="48" t="s">
        <v>1476</v>
      </c>
      <c r="D1849" s="48" t="s">
        <v>1444</v>
      </c>
      <c r="E1849" s="48" t="s">
        <v>366</v>
      </c>
      <c r="F1849" s="48" t="s">
        <v>297</v>
      </c>
      <c r="G1849" s="48" t="s">
        <v>302</v>
      </c>
      <c r="H1849" s="48" t="s">
        <v>66</v>
      </c>
      <c r="I1849" s="48" t="s">
        <v>135</v>
      </c>
      <c r="J1849" s="49">
        <v>20</v>
      </c>
      <c r="K1849" s="50">
        <v>255</v>
      </c>
      <c r="L1849" s="50">
        <v>237.51</v>
      </c>
      <c r="M1849" s="48" t="s">
        <v>276</v>
      </c>
      <c r="N1849" s="51">
        <v>0.92</v>
      </c>
      <c r="O1849" s="51">
        <v>0.93759999999999999</v>
      </c>
      <c r="P1849" s="52">
        <v>211.7</v>
      </c>
      <c r="Q1849" s="52">
        <v>211.7</v>
      </c>
      <c r="R1849" s="53" t="str">
        <f>INDEX(SKU_Master!$D$5:$D$34,MATCH($I1849,SKU_Master!$A$5:$A$34,0))</f>
        <v>Monitor</v>
      </c>
      <c r="S1849" s="54">
        <f t="shared" si="392"/>
        <v>6.8588235294117728E-2</v>
      </c>
      <c r="T1849" s="55">
        <f t="shared" si="393"/>
        <v>5543.478260869565</v>
      </c>
      <c r="U1849" s="55">
        <f t="shared" si="394"/>
        <v>5163.260869565217</v>
      </c>
      <c r="V1849" s="55">
        <f t="shared" si="395"/>
        <v>-380.21739130434798</v>
      </c>
      <c r="W1849" s="55">
        <f t="shared" si="396"/>
        <v>5066.3395904436857</v>
      </c>
      <c r="X1849" s="55">
        <f t="shared" si="397"/>
        <v>-96.92127912153137</v>
      </c>
      <c r="Y1849" s="55">
        <f t="shared" si="398"/>
        <v>4234</v>
      </c>
      <c r="Z1849" s="55">
        <f t="shared" si="399"/>
        <v>4234</v>
      </c>
      <c r="AA1849" s="55">
        <f t="shared" si="400"/>
        <v>0</v>
      </c>
      <c r="AB1849" s="55">
        <f t="shared" si="401"/>
        <v>832.33959044368567</v>
      </c>
      <c r="AC1849" s="54">
        <f t="shared" si="402"/>
        <v>0.16428815628815624</v>
      </c>
      <c r="AD1849" s="56">
        <f>INDEX(Assumptions!$B$14:$B$16,MATCH($R1849,Assumptions!$A$14:$A$16,0))</f>
        <v>0.18</v>
      </c>
      <c r="AE1849" s="56">
        <f>INDEX(Assumptions!$C$14:$C$16,MATCH($R1849,Assumptions!$A$14:$A$16,0))</f>
        <v>0.12</v>
      </c>
      <c r="AF1849" s="49">
        <f t="shared" si="403"/>
        <v>0</v>
      </c>
      <c r="AG1849" s="49">
        <f t="shared" si="404"/>
        <v>0</v>
      </c>
      <c r="AH1849" s="55">
        <f t="shared" si="405"/>
        <v>79.601535836177732</v>
      </c>
    </row>
    <row r="1850" spans="1:34" x14ac:dyDescent="0.2">
      <c r="A1850" s="48" t="s">
        <v>1480</v>
      </c>
      <c r="B1850" s="48">
        <v>3</v>
      </c>
      <c r="C1850" s="48" t="s">
        <v>1476</v>
      </c>
      <c r="D1850" s="48" t="s">
        <v>1444</v>
      </c>
      <c r="E1850" s="48" t="s">
        <v>366</v>
      </c>
      <c r="F1850" s="48" t="s">
        <v>297</v>
      </c>
      <c r="G1850" s="48" t="s">
        <v>302</v>
      </c>
      <c r="H1850" s="48" t="s">
        <v>66</v>
      </c>
      <c r="I1850" s="48" t="s">
        <v>157</v>
      </c>
      <c r="J1850" s="49">
        <v>23</v>
      </c>
      <c r="K1850" s="50">
        <v>135</v>
      </c>
      <c r="L1850" s="50">
        <v>123.58</v>
      </c>
      <c r="M1850" s="48" t="s">
        <v>276</v>
      </c>
      <c r="N1850" s="51">
        <v>0.92</v>
      </c>
      <c r="O1850" s="51">
        <v>0.93759999999999999</v>
      </c>
      <c r="P1850" s="52">
        <v>91</v>
      </c>
      <c r="Q1850" s="52">
        <v>91</v>
      </c>
      <c r="R1850" s="53" t="str">
        <f>INDEX(SKU_Master!$D$5:$D$34,MATCH($I1850,SKU_Master!$A$5:$A$34,0))</f>
        <v>Accessory</v>
      </c>
      <c r="S1850" s="54">
        <f t="shared" si="392"/>
        <v>8.4592592592592553E-2</v>
      </c>
      <c r="T1850" s="55">
        <f t="shared" si="393"/>
        <v>3375</v>
      </c>
      <c r="U1850" s="55">
        <f t="shared" si="394"/>
        <v>3089.5</v>
      </c>
      <c r="V1850" s="55">
        <f t="shared" si="395"/>
        <v>-285.5</v>
      </c>
      <c r="W1850" s="55">
        <f t="shared" si="396"/>
        <v>3031.5059726962459</v>
      </c>
      <c r="X1850" s="55">
        <f t="shared" si="397"/>
        <v>-57.994027303754137</v>
      </c>
      <c r="Y1850" s="55">
        <f t="shared" si="398"/>
        <v>2093</v>
      </c>
      <c r="Z1850" s="55">
        <f t="shared" si="399"/>
        <v>2093</v>
      </c>
      <c r="AA1850" s="55">
        <f t="shared" si="400"/>
        <v>0</v>
      </c>
      <c r="AB1850" s="55">
        <f t="shared" si="401"/>
        <v>938.50597269624586</v>
      </c>
      <c r="AC1850" s="54">
        <f t="shared" si="402"/>
        <v>0.30958407509305713</v>
      </c>
      <c r="AD1850" s="56">
        <f>INDEX(Assumptions!$B$14:$B$16,MATCH($R1850,Assumptions!$A$14:$A$16,0))</f>
        <v>0.32</v>
      </c>
      <c r="AE1850" s="56">
        <f>INDEX(Assumptions!$C$14:$C$16,MATCH($R1850,Assumptions!$A$14:$A$16,0))</f>
        <v>0.22</v>
      </c>
      <c r="AF1850" s="49">
        <f t="shared" si="403"/>
        <v>0</v>
      </c>
      <c r="AG1850" s="49">
        <f t="shared" si="404"/>
        <v>0</v>
      </c>
      <c r="AH1850" s="55">
        <f t="shared" si="405"/>
        <v>31.57593856655285</v>
      </c>
    </row>
    <row r="1851" spans="1:34" x14ac:dyDescent="0.2">
      <c r="A1851" s="48" t="s">
        <v>1481</v>
      </c>
      <c r="B1851" s="48">
        <v>1</v>
      </c>
      <c r="C1851" s="48" t="s">
        <v>1450</v>
      </c>
      <c r="D1851" s="48" t="s">
        <v>1444</v>
      </c>
      <c r="E1851" s="48" t="s">
        <v>305</v>
      </c>
      <c r="F1851" s="48" t="s">
        <v>274</v>
      </c>
      <c r="G1851" s="48" t="s">
        <v>306</v>
      </c>
      <c r="H1851" s="48" t="s">
        <v>62</v>
      </c>
      <c r="I1851" s="48" t="s">
        <v>98</v>
      </c>
      <c r="J1851" s="49">
        <v>4</v>
      </c>
      <c r="K1851" s="50">
        <v>2085</v>
      </c>
      <c r="L1851" s="50">
        <v>2064.5300000000002</v>
      </c>
      <c r="M1851" s="48" t="s">
        <v>276</v>
      </c>
      <c r="N1851" s="51">
        <v>1</v>
      </c>
      <c r="O1851" s="51">
        <v>1</v>
      </c>
      <c r="P1851" s="52">
        <v>1780.2</v>
      </c>
      <c r="Q1851" s="52">
        <v>1780.2</v>
      </c>
      <c r="R1851" s="53" t="str">
        <f>INDEX(SKU_Master!$D$5:$D$34,MATCH($I1851,SKU_Master!$A$5:$A$34,0))</f>
        <v>Laptop</v>
      </c>
      <c r="S1851" s="54">
        <f t="shared" si="392"/>
        <v>9.8177458033572584E-3</v>
      </c>
      <c r="T1851" s="55">
        <f t="shared" si="393"/>
        <v>8340</v>
      </c>
      <c r="U1851" s="55">
        <f t="shared" si="394"/>
        <v>8258.1200000000008</v>
      </c>
      <c r="V1851" s="55">
        <f t="shared" si="395"/>
        <v>-81.8799999999992</v>
      </c>
      <c r="W1851" s="55">
        <f t="shared" si="396"/>
        <v>8258.1200000000008</v>
      </c>
      <c r="X1851" s="55">
        <f t="shared" si="397"/>
        <v>0</v>
      </c>
      <c r="Y1851" s="55">
        <f t="shared" si="398"/>
        <v>7120.8</v>
      </c>
      <c r="Z1851" s="55">
        <f t="shared" si="399"/>
        <v>7120.8</v>
      </c>
      <c r="AA1851" s="55">
        <f t="shared" si="400"/>
        <v>0</v>
      </c>
      <c r="AB1851" s="55">
        <f t="shared" si="401"/>
        <v>1137.3200000000006</v>
      </c>
      <c r="AC1851" s="54">
        <f t="shared" si="402"/>
        <v>0.13772141843421995</v>
      </c>
      <c r="AD1851" s="56">
        <f>INDEX(Assumptions!$B$14:$B$16,MATCH($R1851,Assumptions!$A$14:$A$16,0))</f>
        <v>0.12</v>
      </c>
      <c r="AE1851" s="56">
        <f>INDEX(Assumptions!$C$14:$C$16,MATCH($R1851,Assumptions!$A$14:$A$16,0))</f>
        <v>0.08</v>
      </c>
      <c r="AF1851" s="49">
        <f t="shared" si="403"/>
        <v>0</v>
      </c>
      <c r="AG1851" s="49">
        <f t="shared" si="404"/>
        <v>0</v>
      </c>
      <c r="AH1851" s="55">
        <f t="shared" si="405"/>
        <v>0</v>
      </c>
    </row>
    <row r="1852" spans="1:34" x14ac:dyDescent="0.2">
      <c r="A1852" s="48" t="s">
        <v>1481</v>
      </c>
      <c r="B1852" s="48">
        <v>2</v>
      </c>
      <c r="C1852" s="48" t="s">
        <v>1450</v>
      </c>
      <c r="D1852" s="48" t="s">
        <v>1444</v>
      </c>
      <c r="E1852" s="48" t="s">
        <v>305</v>
      </c>
      <c r="F1852" s="48" t="s">
        <v>274</v>
      </c>
      <c r="G1852" s="48" t="s">
        <v>306</v>
      </c>
      <c r="H1852" s="48" t="s">
        <v>62</v>
      </c>
      <c r="I1852" s="48" t="s">
        <v>138</v>
      </c>
      <c r="J1852" s="49">
        <v>2</v>
      </c>
      <c r="K1852" s="50">
        <v>455</v>
      </c>
      <c r="L1852" s="50">
        <v>452.52</v>
      </c>
      <c r="M1852" s="48" t="s">
        <v>276</v>
      </c>
      <c r="N1852" s="51">
        <v>1</v>
      </c>
      <c r="O1852" s="51">
        <v>1</v>
      </c>
      <c r="P1852" s="52">
        <v>358.2</v>
      </c>
      <c r="Q1852" s="52">
        <v>358.2</v>
      </c>
      <c r="R1852" s="53" t="str">
        <f>INDEX(SKU_Master!$D$5:$D$34,MATCH($I1852,SKU_Master!$A$5:$A$34,0))</f>
        <v>Monitor</v>
      </c>
      <c r="S1852" s="54">
        <f t="shared" si="392"/>
        <v>5.4505494505494578E-3</v>
      </c>
      <c r="T1852" s="55">
        <f t="shared" si="393"/>
        <v>910</v>
      </c>
      <c r="U1852" s="55">
        <f t="shared" si="394"/>
        <v>905.04</v>
      </c>
      <c r="V1852" s="55">
        <f t="shared" si="395"/>
        <v>-4.9600000000000364</v>
      </c>
      <c r="W1852" s="55">
        <f t="shared" si="396"/>
        <v>905.04</v>
      </c>
      <c r="X1852" s="55">
        <f t="shared" si="397"/>
        <v>0</v>
      </c>
      <c r="Y1852" s="55">
        <f t="shared" si="398"/>
        <v>716.4</v>
      </c>
      <c r="Z1852" s="55">
        <f t="shared" si="399"/>
        <v>716.4</v>
      </c>
      <c r="AA1852" s="55">
        <f t="shared" si="400"/>
        <v>0</v>
      </c>
      <c r="AB1852" s="55">
        <f t="shared" si="401"/>
        <v>188.64</v>
      </c>
      <c r="AC1852" s="54">
        <f t="shared" si="402"/>
        <v>0.20843277645186953</v>
      </c>
      <c r="AD1852" s="56">
        <f>INDEX(Assumptions!$B$14:$B$16,MATCH($R1852,Assumptions!$A$14:$A$16,0))</f>
        <v>0.18</v>
      </c>
      <c r="AE1852" s="56">
        <f>INDEX(Assumptions!$C$14:$C$16,MATCH($R1852,Assumptions!$A$14:$A$16,0))</f>
        <v>0.12</v>
      </c>
      <c r="AF1852" s="49">
        <f t="shared" si="403"/>
        <v>0</v>
      </c>
      <c r="AG1852" s="49">
        <f t="shared" si="404"/>
        <v>0</v>
      </c>
      <c r="AH1852" s="55">
        <f t="shared" si="405"/>
        <v>0</v>
      </c>
    </row>
    <row r="1853" spans="1:34" x14ac:dyDescent="0.2">
      <c r="A1853" s="48" t="s">
        <v>1481</v>
      </c>
      <c r="B1853" s="48">
        <v>3</v>
      </c>
      <c r="C1853" s="48" t="s">
        <v>1450</v>
      </c>
      <c r="D1853" s="48" t="s">
        <v>1444</v>
      </c>
      <c r="E1853" s="48" t="s">
        <v>305</v>
      </c>
      <c r="F1853" s="48" t="s">
        <v>274</v>
      </c>
      <c r="G1853" s="48" t="s">
        <v>306</v>
      </c>
      <c r="H1853" s="48" t="s">
        <v>62</v>
      </c>
      <c r="I1853" s="48" t="s">
        <v>157</v>
      </c>
      <c r="J1853" s="49">
        <v>4</v>
      </c>
      <c r="K1853" s="50">
        <v>135</v>
      </c>
      <c r="L1853" s="50">
        <v>132.51</v>
      </c>
      <c r="M1853" s="48" t="s">
        <v>276</v>
      </c>
      <c r="N1853" s="51">
        <v>1</v>
      </c>
      <c r="O1853" s="51">
        <v>1</v>
      </c>
      <c r="P1853" s="52">
        <v>86</v>
      </c>
      <c r="Q1853" s="52">
        <v>86</v>
      </c>
      <c r="R1853" s="53" t="str">
        <f>INDEX(SKU_Master!$D$5:$D$34,MATCH($I1853,SKU_Master!$A$5:$A$34,0))</f>
        <v>Accessory</v>
      </c>
      <c r="S1853" s="54">
        <f t="shared" si="392"/>
        <v>1.8444444444444485E-2</v>
      </c>
      <c r="T1853" s="55">
        <f t="shared" si="393"/>
        <v>540</v>
      </c>
      <c r="U1853" s="55">
        <f t="shared" si="394"/>
        <v>530.04</v>
      </c>
      <c r="V1853" s="55">
        <f t="shared" si="395"/>
        <v>-9.9600000000000364</v>
      </c>
      <c r="W1853" s="55">
        <f t="shared" si="396"/>
        <v>530.04</v>
      </c>
      <c r="X1853" s="55">
        <f t="shared" si="397"/>
        <v>0</v>
      </c>
      <c r="Y1853" s="55">
        <f t="shared" si="398"/>
        <v>344</v>
      </c>
      <c r="Z1853" s="55">
        <f t="shared" si="399"/>
        <v>344</v>
      </c>
      <c r="AA1853" s="55">
        <f t="shared" si="400"/>
        <v>0</v>
      </c>
      <c r="AB1853" s="55">
        <f t="shared" si="401"/>
        <v>186.03999999999996</v>
      </c>
      <c r="AC1853" s="54">
        <f t="shared" si="402"/>
        <v>0.35099237793374083</v>
      </c>
      <c r="AD1853" s="56">
        <f>INDEX(Assumptions!$B$14:$B$16,MATCH($R1853,Assumptions!$A$14:$A$16,0))</f>
        <v>0.32</v>
      </c>
      <c r="AE1853" s="56">
        <f>INDEX(Assumptions!$C$14:$C$16,MATCH($R1853,Assumptions!$A$14:$A$16,0))</f>
        <v>0.22</v>
      </c>
      <c r="AF1853" s="49">
        <f t="shared" si="403"/>
        <v>0</v>
      </c>
      <c r="AG1853" s="49">
        <f t="shared" si="404"/>
        <v>0</v>
      </c>
      <c r="AH1853" s="55">
        <f t="shared" si="405"/>
        <v>0</v>
      </c>
    </row>
    <row r="1854" spans="1:34" x14ac:dyDescent="0.2">
      <c r="A1854" s="48" t="s">
        <v>1482</v>
      </c>
      <c r="B1854" s="48">
        <v>1</v>
      </c>
      <c r="C1854" s="48" t="s">
        <v>1483</v>
      </c>
      <c r="D1854" s="48" t="s">
        <v>1444</v>
      </c>
      <c r="E1854" s="48" t="s">
        <v>558</v>
      </c>
      <c r="F1854" s="48" t="s">
        <v>280</v>
      </c>
      <c r="G1854" s="48" t="s">
        <v>288</v>
      </c>
      <c r="H1854" s="48" t="s">
        <v>62</v>
      </c>
      <c r="I1854" s="48" t="s">
        <v>110</v>
      </c>
      <c r="J1854" s="49">
        <v>6</v>
      </c>
      <c r="K1854" s="50">
        <v>1165</v>
      </c>
      <c r="L1854" s="50">
        <v>1129.01</v>
      </c>
      <c r="M1854" s="48" t="s">
        <v>276</v>
      </c>
      <c r="N1854" s="51">
        <v>1</v>
      </c>
      <c r="O1854" s="51">
        <v>1</v>
      </c>
      <c r="P1854" s="52">
        <v>992.65</v>
      </c>
      <c r="Q1854" s="52">
        <v>992.65</v>
      </c>
      <c r="R1854" s="53" t="str">
        <f>INDEX(SKU_Master!$D$5:$D$34,MATCH($I1854,SKU_Master!$A$5:$A$34,0))</f>
        <v>Laptop</v>
      </c>
      <c r="S1854" s="54">
        <f t="shared" si="392"/>
        <v>3.0892703862660964E-2</v>
      </c>
      <c r="T1854" s="55">
        <f t="shared" si="393"/>
        <v>6990</v>
      </c>
      <c r="U1854" s="55">
        <f t="shared" si="394"/>
        <v>6774.0599999999995</v>
      </c>
      <c r="V1854" s="55">
        <f t="shared" si="395"/>
        <v>-215.94000000000051</v>
      </c>
      <c r="W1854" s="55">
        <f t="shared" si="396"/>
        <v>6774.0599999999995</v>
      </c>
      <c r="X1854" s="55">
        <f t="shared" si="397"/>
        <v>0</v>
      </c>
      <c r="Y1854" s="55">
        <f t="shared" si="398"/>
        <v>5955.9</v>
      </c>
      <c r="Z1854" s="55">
        <f t="shared" si="399"/>
        <v>5955.9</v>
      </c>
      <c r="AA1854" s="55">
        <f t="shared" si="400"/>
        <v>0</v>
      </c>
      <c r="AB1854" s="55">
        <f t="shared" si="401"/>
        <v>818.15999999999985</v>
      </c>
      <c r="AC1854" s="54">
        <f t="shared" si="402"/>
        <v>0.1207783810595123</v>
      </c>
      <c r="AD1854" s="56">
        <f>INDEX(Assumptions!$B$14:$B$16,MATCH($R1854,Assumptions!$A$14:$A$16,0))</f>
        <v>0.12</v>
      </c>
      <c r="AE1854" s="56">
        <f>INDEX(Assumptions!$C$14:$C$16,MATCH($R1854,Assumptions!$A$14:$A$16,0))</f>
        <v>0.08</v>
      </c>
      <c r="AF1854" s="49">
        <f t="shared" si="403"/>
        <v>0</v>
      </c>
      <c r="AG1854" s="49">
        <f t="shared" si="404"/>
        <v>0</v>
      </c>
      <c r="AH1854" s="55">
        <f t="shared" si="405"/>
        <v>0</v>
      </c>
    </row>
    <row r="1855" spans="1:34" x14ac:dyDescent="0.2">
      <c r="A1855" s="48" t="s">
        <v>1482</v>
      </c>
      <c r="B1855" s="48">
        <v>2</v>
      </c>
      <c r="C1855" s="48" t="s">
        <v>1483</v>
      </c>
      <c r="D1855" s="48" t="s">
        <v>1444</v>
      </c>
      <c r="E1855" s="48" t="s">
        <v>558</v>
      </c>
      <c r="F1855" s="48" t="s">
        <v>280</v>
      </c>
      <c r="G1855" s="48" t="s">
        <v>288</v>
      </c>
      <c r="H1855" s="48" t="s">
        <v>62</v>
      </c>
      <c r="I1855" s="48" t="s">
        <v>173</v>
      </c>
      <c r="J1855" s="49">
        <v>2</v>
      </c>
      <c r="K1855" s="50">
        <v>55</v>
      </c>
      <c r="L1855" s="50">
        <v>53.78</v>
      </c>
      <c r="M1855" s="48" t="s">
        <v>276</v>
      </c>
      <c r="N1855" s="51">
        <v>1</v>
      </c>
      <c r="O1855" s="51">
        <v>1</v>
      </c>
      <c r="P1855" s="52">
        <v>34</v>
      </c>
      <c r="Q1855" s="52">
        <v>34</v>
      </c>
      <c r="R1855" s="53" t="str">
        <f>INDEX(SKU_Master!$D$5:$D$34,MATCH($I1855,SKU_Master!$A$5:$A$34,0))</f>
        <v>Accessory</v>
      </c>
      <c r="S1855" s="54">
        <f t="shared" si="392"/>
        <v>2.2181818181818191E-2</v>
      </c>
      <c r="T1855" s="55">
        <f t="shared" si="393"/>
        <v>110</v>
      </c>
      <c r="U1855" s="55">
        <f t="shared" si="394"/>
        <v>107.56</v>
      </c>
      <c r="V1855" s="55">
        <f t="shared" si="395"/>
        <v>-2.4399999999999977</v>
      </c>
      <c r="W1855" s="55">
        <f t="shared" si="396"/>
        <v>107.56</v>
      </c>
      <c r="X1855" s="55">
        <f t="shared" si="397"/>
        <v>0</v>
      </c>
      <c r="Y1855" s="55">
        <f t="shared" si="398"/>
        <v>68</v>
      </c>
      <c r="Z1855" s="55">
        <f t="shared" si="399"/>
        <v>68</v>
      </c>
      <c r="AA1855" s="55">
        <f t="shared" si="400"/>
        <v>0</v>
      </c>
      <c r="AB1855" s="55">
        <f t="shared" si="401"/>
        <v>39.56</v>
      </c>
      <c r="AC1855" s="54">
        <f t="shared" si="402"/>
        <v>0.36779471922647827</v>
      </c>
      <c r="AD1855" s="56">
        <f>INDEX(Assumptions!$B$14:$B$16,MATCH($R1855,Assumptions!$A$14:$A$16,0))</f>
        <v>0.32</v>
      </c>
      <c r="AE1855" s="56">
        <f>INDEX(Assumptions!$C$14:$C$16,MATCH($R1855,Assumptions!$A$14:$A$16,0))</f>
        <v>0.22</v>
      </c>
      <c r="AF1855" s="49">
        <f t="shared" si="403"/>
        <v>0</v>
      </c>
      <c r="AG1855" s="49">
        <f t="shared" si="404"/>
        <v>0</v>
      </c>
      <c r="AH1855" s="55">
        <f t="shared" si="405"/>
        <v>0</v>
      </c>
    </row>
    <row r="1856" spans="1:34" x14ac:dyDescent="0.2">
      <c r="A1856" s="48" t="s">
        <v>1484</v>
      </c>
      <c r="B1856" s="48">
        <v>1</v>
      </c>
      <c r="C1856" s="48" t="s">
        <v>1450</v>
      </c>
      <c r="D1856" s="48" t="s">
        <v>1444</v>
      </c>
      <c r="E1856" s="48" t="s">
        <v>273</v>
      </c>
      <c r="F1856" s="48" t="s">
        <v>274</v>
      </c>
      <c r="G1856" s="48" t="s">
        <v>275</v>
      </c>
      <c r="H1856" s="48" t="s">
        <v>66</v>
      </c>
      <c r="I1856" s="48" t="s">
        <v>113</v>
      </c>
      <c r="J1856" s="49">
        <v>5</v>
      </c>
      <c r="K1856" s="50">
        <v>1655</v>
      </c>
      <c r="L1856" s="50">
        <v>1632.75</v>
      </c>
      <c r="M1856" s="48" t="s">
        <v>276</v>
      </c>
      <c r="N1856" s="51">
        <v>0.92</v>
      </c>
      <c r="O1856" s="51">
        <v>0.93759999999999999</v>
      </c>
      <c r="P1856" s="52">
        <v>1504.8</v>
      </c>
      <c r="Q1856" s="52">
        <v>1504.8</v>
      </c>
      <c r="R1856" s="53" t="str">
        <f>INDEX(SKU_Master!$D$5:$D$34,MATCH($I1856,SKU_Master!$A$5:$A$34,0))</f>
        <v>Laptop</v>
      </c>
      <c r="S1856" s="54">
        <f t="shared" si="392"/>
        <v>1.3444108761329288E-2</v>
      </c>
      <c r="T1856" s="55">
        <f t="shared" si="393"/>
        <v>8994.565217391304</v>
      </c>
      <c r="U1856" s="55">
        <f t="shared" si="394"/>
        <v>8873.641304347826</v>
      </c>
      <c r="V1856" s="55">
        <f t="shared" si="395"/>
        <v>-120.92391304347802</v>
      </c>
      <c r="W1856" s="55">
        <f t="shared" si="396"/>
        <v>8707.0712457337886</v>
      </c>
      <c r="X1856" s="55">
        <f t="shared" si="397"/>
        <v>-166.57005861403741</v>
      </c>
      <c r="Y1856" s="55">
        <f t="shared" si="398"/>
        <v>7524</v>
      </c>
      <c r="Z1856" s="55">
        <f t="shared" si="399"/>
        <v>7524</v>
      </c>
      <c r="AA1856" s="55">
        <f t="shared" si="400"/>
        <v>0</v>
      </c>
      <c r="AB1856" s="55">
        <f t="shared" si="401"/>
        <v>1183.0712457337886</v>
      </c>
      <c r="AC1856" s="54">
        <f t="shared" si="402"/>
        <v>0.135874763435921</v>
      </c>
      <c r="AD1856" s="56">
        <f>INDEX(Assumptions!$B$14:$B$16,MATCH($R1856,Assumptions!$A$14:$A$16,0))</f>
        <v>0.12</v>
      </c>
      <c r="AE1856" s="56">
        <f>INDEX(Assumptions!$C$14:$C$16,MATCH($R1856,Assumptions!$A$14:$A$16,0))</f>
        <v>0.08</v>
      </c>
      <c r="AF1856" s="49">
        <f t="shared" si="403"/>
        <v>0</v>
      </c>
      <c r="AG1856" s="49">
        <f t="shared" si="404"/>
        <v>0</v>
      </c>
      <c r="AH1856" s="55">
        <f t="shared" si="405"/>
        <v>0</v>
      </c>
    </row>
    <row r="1857" spans="1:34" x14ac:dyDescent="0.2">
      <c r="A1857" s="48" t="s">
        <v>1484</v>
      </c>
      <c r="B1857" s="48">
        <v>2</v>
      </c>
      <c r="C1857" s="48" t="s">
        <v>1450</v>
      </c>
      <c r="D1857" s="48" t="s">
        <v>1444</v>
      </c>
      <c r="E1857" s="48" t="s">
        <v>273</v>
      </c>
      <c r="F1857" s="48" t="s">
        <v>274</v>
      </c>
      <c r="G1857" s="48" t="s">
        <v>275</v>
      </c>
      <c r="H1857" s="48" t="s">
        <v>66</v>
      </c>
      <c r="I1857" s="48" t="s">
        <v>144</v>
      </c>
      <c r="J1857" s="49">
        <v>4</v>
      </c>
      <c r="K1857" s="50">
        <v>375</v>
      </c>
      <c r="L1857" s="50">
        <v>373.98</v>
      </c>
      <c r="M1857" s="48" t="s">
        <v>276</v>
      </c>
      <c r="N1857" s="51">
        <v>0.92</v>
      </c>
      <c r="O1857" s="51">
        <v>0.93759999999999999</v>
      </c>
      <c r="P1857" s="52">
        <v>314.60000000000002</v>
      </c>
      <c r="Q1857" s="52">
        <v>314.60000000000002</v>
      </c>
      <c r="R1857" s="53" t="str">
        <f>INDEX(SKU_Master!$D$5:$D$34,MATCH($I1857,SKU_Master!$A$5:$A$34,0))</f>
        <v>Monitor</v>
      </c>
      <c r="S1857" s="54">
        <f t="shared" si="392"/>
        <v>2.7199999999999447E-3</v>
      </c>
      <c r="T1857" s="55">
        <f t="shared" si="393"/>
        <v>1630.4347826086955</v>
      </c>
      <c r="U1857" s="55">
        <f t="shared" si="394"/>
        <v>1626</v>
      </c>
      <c r="V1857" s="55">
        <f t="shared" si="395"/>
        <v>-4.4347826086955138</v>
      </c>
      <c r="W1857" s="55">
        <f t="shared" si="396"/>
        <v>1595.4778156996588</v>
      </c>
      <c r="X1857" s="55">
        <f t="shared" si="397"/>
        <v>-30.522184300341223</v>
      </c>
      <c r="Y1857" s="55">
        <f t="shared" si="398"/>
        <v>1258.4000000000001</v>
      </c>
      <c r="Z1857" s="55">
        <f t="shared" si="399"/>
        <v>1258.4000000000001</v>
      </c>
      <c r="AA1857" s="55">
        <f t="shared" si="400"/>
        <v>0</v>
      </c>
      <c r="AB1857" s="55">
        <f t="shared" si="401"/>
        <v>337.07781569965869</v>
      </c>
      <c r="AC1857" s="54">
        <f t="shared" si="402"/>
        <v>0.21127076314241403</v>
      </c>
      <c r="AD1857" s="56">
        <f>INDEX(Assumptions!$B$14:$B$16,MATCH($R1857,Assumptions!$A$14:$A$16,0))</f>
        <v>0.18</v>
      </c>
      <c r="AE1857" s="56">
        <f>INDEX(Assumptions!$C$14:$C$16,MATCH($R1857,Assumptions!$A$14:$A$16,0))</f>
        <v>0.12</v>
      </c>
      <c r="AF1857" s="49">
        <f t="shared" si="403"/>
        <v>0</v>
      </c>
      <c r="AG1857" s="49">
        <f t="shared" si="404"/>
        <v>0</v>
      </c>
      <c r="AH1857" s="55">
        <f t="shared" si="405"/>
        <v>0</v>
      </c>
    </row>
    <row r="1858" spans="1:34" x14ac:dyDescent="0.2">
      <c r="A1858" s="48" t="s">
        <v>1484</v>
      </c>
      <c r="B1858" s="48">
        <v>3</v>
      </c>
      <c r="C1858" s="48" t="s">
        <v>1450</v>
      </c>
      <c r="D1858" s="48" t="s">
        <v>1444</v>
      </c>
      <c r="E1858" s="48" t="s">
        <v>273</v>
      </c>
      <c r="F1858" s="48" t="s">
        <v>274</v>
      </c>
      <c r="G1858" s="48" t="s">
        <v>275</v>
      </c>
      <c r="H1858" s="48" t="s">
        <v>66</v>
      </c>
      <c r="I1858" s="48" t="s">
        <v>164</v>
      </c>
      <c r="J1858" s="49">
        <v>5</v>
      </c>
      <c r="K1858" s="50">
        <v>185</v>
      </c>
      <c r="L1858" s="50">
        <v>181.8</v>
      </c>
      <c r="M1858" s="48" t="s">
        <v>276</v>
      </c>
      <c r="N1858" s="51">
        <v>0.92</v>
      </c>
      <c r="O1858" s="51">
        <v>0.93759999999999999</v>
      </c>
      <c r="P1858" s="52">
        <v>126</v>
      </c>
      <c r="Q1858" s="52">
        <v>126</v>
      </c>
      <c r="R1858" s="53" t="str">
        <f>INDEX(SKU_Master!$D$5:$D$34,MATCH($I1858,SKU_Master!$A$5:$A$34,0))</f>
        <v>Accessory</v>
      </c>
      <c r="S1858" s="54">
        <f t="shared" si="392"/>
        <v>1.7297297297297232E-2</v>
      </c>
      <c r="T1858" s="55">
        <f t="shared" si="393"/>
        <v>1005.4347826086956</v>
      </c>
      <c r="U1858" s="55">
        <f t="shared" si="394"/>
        <v>988.04347826086951</v>
      </c>
      <c r="V1858" s="55">
        <f t="shared" si="395"/>
        <v>-17.391304347826122</v>
      </c>
      <c r="W1858" s="55">
        <f t="shared" si="396"/>
        <v>969.49658703071668</v>
      </c>
      <c r="X1858" s="55">
        <f t="shared" si="397"/>
        <v>-18.546891230152823</v>
      </c>
      <c r="Y1858" s="55">
        <f t="shared" si="398"/>
        <v>630</v>
      </c>
      <c r="Z1858" s="55">
        <f t="shared" si="399"/>
        <v>630</v>
      </c>
      <c r="AA1858" s="55">
        <f t="shared" si="400"/>
        <v>0</v>
      </c>
      <c r="AB1858" s="55">
        <f t="shared" si="401"/>
        <v>339.49658703071668</v>
      </c>
      <c r="AC1858" s="54">
        <f t="shared" si="402"/>
        <v>0.35017821782178216</v>
      </c>
      <c r="AD1858" s="56">
        <f>INDEX(Assumptions!$B$14:$B$16,MATCH($R1858,Assumptions!$A$14:$A$16,0))</f>
        <v>0.32</v>
      </c>
      <c r="AE1858" s="56">
        <f>INDEX(Assumptions!$C$14:$C$16,MATCH($R1858,Assumptions!$A$14:$A$16,0))</f>
        <v>0.22</v>
      </c>
      <c r="AF1858" s="49">
        <f t="shared" si="403"/>
        <v>0</v>
      </c>
      <c r="AG1858" s="49">
        <f t="shared" si="404"/>
        <v>0</v>
      </c>
      <c r="AH1858" s="55">
        <f t="shared" si="405"/>
        <v>0</v>
      </c>
    </row>
    <row r="1859" spans="1:34" x14ac:dyDescent="0.2">
      <c r="A1859" s="48" t="s">
        <v>1485</v>
      </c>
      <c r="B1859" s="48">
        <v>1</v>
      </c>
      <c r="C1859" s="48" t="s">
        <v>1486</v>
      </c>
      <c r="D1859" s="48" t="s">
        <v>1444</v>
      </c>
      <c r="E1859" s="48" t="s">
        <v>296</v>
      </c>
      <c r="F1859" s="48" t="s">
        <v>297</v>
      </c>
      <c r="G1859" s="48" t="s">
        <v>298</v>
      </c>
      <c r="H1859" s="48" t="s">
        <v>66</v>
      </c>
      <c r="I1859" s="48" t="s">
        <v>98</v>
      </c>
      <c r="J1859" s="49">
        <v>31</v>
      </c>
      <c r="K1859" s="50">
        <v>1980</v>
      </c>
      <c r="L1859" s="50">
        <v>1938.82</v>
      </c>
      <c r="M1859" s="48" t="s">
        <v>276</v>
      </c>
      <c r="N1859" s="51">
        <v>0.92</v>
      </c>
      <c r="O1859" s="51">
        <v>0.93759999999999999</v>
      </c>
      <c r="P1859" s="52">
        <v>1800.2</v>
      </c>
      <c r="Q1859" s="52">
        <v>1800.2</v>
      </c>
      <c r="R1859" s="53" t="str">
        <f>INDEX(SKU_Master!$D$5:$D$34,MATCH($I1859,SKU_Master!$A$5:$A$34,0))</f>
        <v>Laptop</v>
      </c>
      <c r="S1859" s="54">
        <f t="shared" si="392"/>
        <v>2.0797979797979815E-2</v>
      </c>
      <c r="T1859" s="55">
        <f t="shared" si="393"/>
        <v>66717.391304347824</v>
      </c>
      <c r="U1859" s="55">
        <f t="shared" si="394"/>
        <v>65329.804347826081</v>
      </c>
      <c r="V1859" s="55">
        <f t="shared" si="395"/>
        <v>-1387.5869565217436</v>
      </c>
      <c r="W1859" s="55">
        <f t="shared" si="396"/>
        <v>64103.476962457338</v>
      </c>
      <c r="X1859" s="55">
        <f t="shared" si="397"/>
        <v>-1226.3273853687424</v>
      </c>
      <c r="Y1859" s="55">
        <f t="shared" si="398"/>
        <v>55806.200000000004</v>
      </c>
      <c r="Z1859" s="55">
        <f t="shared" si="399"/>
        <v>55806.200000000004</v>
      </c>
      <c r="AA1859" s="55">
        <f t="shared" si="400"/>
        <v>0</v>
      </c>
      <c r="AB1859" s="55">
        <f t="shared" si="401"/>
        <v>8297.2769624573339</v>
      </c>
      <c r="AC1859" s="54">
        <f t="shared" si="402"/>
        <v>0.12943567737077186</v>
      </c>
      <c r="AD1859" s="56">
        <f>INDEX(Assumptions!$B$14:$B$16,MATCH($R1859,Assumptions!$A$14:$A$16,0))</f>
        <v>0.12</v>
      </c>
      <c r="AE1859" s="56">
        <f>INDEX(Assumptions!$C$14:$C$16,MATCH($R1859,Assumptions!$A$14:$A$16,0))</f>
        <v>0.08</v>
      </c>
      <c r="AF1859" s="49">
        <f t="shared" si="403"/>
        <v>0</v>
      </c>
      <c r="AG1859" s="49">
        <f t="shared" si="404"/>
        <v>0</v>
      </c>
      <c r="AH1859" s="55">
        <f t="shared" si="405"/>
        <v>0</v>
      </c>
    </row>
    <row r="1860" spans="1:34" x14ac:dyDescent="0.2">
      <c r="A1860" s="48" t="s">
        <v>1485</v>
      </c>
      <c r="B1860" s="48">
        <v>2</v>
      </c>
      <c r="C1860" s="48" t="s">
        <v>1486</v>
      </c>
      <c r="D1860" s="48" t="s">
        <v>1444</v>
      </c>
      <c r="E1860" s="48" t="s">
        <v>296</v>
      </c>
      <c r="F1860" s="48" t="s">
        <v>297</v>
      </c>
      <c r="G1860" s="48" t="s">
        <v>298</v>
      </c>
      <c r="H1860" s="48" t="s">
        <v>66</v>
      </c>
      <c r="I1860" s="48" t="s">
        <v>144</v>
      </c>
      <c r="J1860" s="49">
        <v>24</v>
      </c>
      <c r="K1860" s="50">
        <v>375</v>
      </c>
      <c r="L1860" s="50">
        <v>364.44</v>
      </c>
      <c r="M1860" s="48" t="s">
        <v>276</v>
      </c>
      <c r="N1860" s="51">
        <v>0.92</v>
      </c>
      <c r="O1860" s="51">
        <v>0.93759999999999999</v>
      </c>
      <c r="P1860" s="52">
        <v>314.60000000000002</v>
      </c>
      <c r="Q1860" s="52">
        <v>314.60000000000002</v>
      </c>
      <c r="R1860" s="53" t="str">
        <f>INDEX(SKU_Master!$D$5:$D$34,MATCH($I1860,SKU_Master!$A$5:$A$34,0))</f>
        <v>Monitor</v>
      </c>
      <c r="S1860" s="54">
        <f t="shared" si="392"/>
        <v>2.8159999999999963E-2</v>
      </c>
      <c r="T1860" s="55">
        <f t="shared" si="393"/>
        <v>9782.608695652174</v>
      </c>
      <c r="U1860" s="55">
        <f t="shared" si="394"/>
        <v>9507.1304347826081</v>
      </c>
      <c r="V1860" s="55">
        <f t="shared" si="395"/>
        <v>-275.47826086956593</v>
      </c>
      <c r="W1860" s="55">
        <f t="shared" si="396"/>
        <v>9328.6689419795221</v>
      </c>
      <c r="X1860" s="55">
        <f t="shared" si="397"/>
        <v>-178.461492803086</v>
      </c>
      <c r="Y1860" s="55">
        <f t="shared" si="398"/>
        <v>7550.4000000000005</v>
      </c>
      <c r="Z1860" s="55">
        <f t="shared" si="399"/>
        <v>7550.4000000000005</v>
      </c>
      <c r="AA1860" s="55">
        <f t="shared" si="400"/>
        <v>0</v>
      </c>
      <c r="AB1860" s="55">
        <f t="shared" si="401"/>
        <v>1778.2689419795215</v>
      </c>
      <c r="AC1860" s="54">
        <f t="shared" si="402"/>
        <v>0.19062408078147289</v>
      </c>
      <c r="AD1860" s="56">
        <f>INDEX(Assumptions!$B$14:$B$16,MATCH($R1860,Assumptions!$A$14:$A$16,0))</f>
        <v>0.18</v>
      </c>
      <c r="AE1860" s="56">
        <f>INDEX(Assumptions!$C$14:$C$16,MATCH($R1860,Assumptions!$A$14:$A$16,0))</f>
        <v>0.12</v>
      </c>
      <c r="AF1860" s="49">
        <f t="shared" si="403"/>
        <v>0</v>
      </c>
      <c r="AG1860" s="49">
        <f t="shared" si="404"/>
        <v>0</v>
      </c>
      <c r="AH1860" s="55">
        <f t="shared" si="405"/>
        <v>0</v>
      </c>
    </row>
    <row r="1861" spans="1:34" x14ac:dyDescent="0.2">
      <c r="A1861" s="48" t="s">
        <v>1487</v>
      </c>
      <c r="B1861" s="48">
        <v>1</v>
      </c>
      <c r="C1861" s="48" t="s">
        <v>1458</v>
      </c>
      <c r="D1861" s="48" t="s">
        <v>1444</v>
      </c>
      <c r="E1861" s="48" t="s">
        <v>395</v>
      </c>
      <c r="F1861" s="48" t="s">
        <v>280</v>
      </c>
      <c r="G1861" s="48" t="s">
        <v>281</v>
      </c>
      <c r="H1861" s="48" t="s">
        <v>66</v>
      </c>
      <c r="I1861" s="48" t="s">
        <v>93</v>
      </c>
      <c r="J1861" s="49">
        <v>19</v>
      </c>
      <c r="K1861" s="50">
        <v>1325</v>
      </c>
      <c r="L1861" s="50">
        <v>1295.1199999999999</v>
      </c>
      <c r="M1861" s="48" t="s">
        <v>276</v>
      </c>
      <c r="N1861" s="51">
        <v>0.92</v>
      </c>
      <c r="O1861" s="51">
        <v>0.93759999999999999</v>
      </c>
      <c r="P1861" s="52">
        <v>1206.2</v>
      </c>
      <c r="Q1861" s="52">
        <v>1206.2</v>
      </c>
      <c r="R1861" s="53" t="str">
        <f>INDEX(SKU_Master!$D$5:$D$34,MATCH($I1861,SKU_Master!$A$5:$A$34,0))</f>
        <v>Laptop</v>
      </c>
      <c r="S1861" s="54">
        <f t="shared" ref="S1861:S1924" si="406">IF(K1861=0,0,1-L1861/K1861)</f>
        <v>2.2550943396226542E-2</v>
      </c>
      <c r="T1861" s="55">
        <f t="shared" ref="T1861:T1924" si="407">J1861*K1861/N1861</f>
        <v>27364.130434782608</v>
      </c>
      <c r="U1861" s="55">
        <f t="shared" ref="U1861:U1924" si="408">J1861*L1861/N1861</f>
        <v>26747.043478260868</v>
      </c>
      <c r="V1861" s="55">
        <f t="shared" ref="V1861:V1924" si="409">U1861-T1861</f>
        <v>-617.08695652173992</v>
      </c>
      <c r="W1861" s="55">
        <f t="shared" ref="W1861:W1924" si="410">J1861*L1861/O1861</f>
        <v>26244.965870307165</v>
      </c>
      <c r="X1861" s="55">
        <f t="shared" ref="X1861:X1924" si="411">W1861-U1861</f>
        <v>-502.07760795370268</v>
      </c>
      <c r="Y1861" s="55">
        <f t="shared" ref="Y1861:Y1924" si="412">J1861*P1861</f>
        <v>22917.8</v>
      </c>
      <c r="Z1861" s="55">
        <f t="shared" ref="Z1861:Z1924" si="413">J1861*Q1861</f>
        <v>22917.8</v>
      </c>
      <c r="AA1861" s="55">
        <f t="shared" ref="AA1861:AA1924" si="414">Y1861-Z1861</f>
        <v>0</v>
      </c>
      <c r="AB1861" s="55">
        <f t="shared" ref="AB1861:AB1924" si="415">W1861-Z1861</f>
        <v>3327.1658703071662</v>
      </c>
      <c r="AC1861" s="54">
        <f t="shared" ref="AC1861:AC1924" si="416">IF(W1861=0,0,AB1861/W1861)</f>
        <v>0.12677348817098028</v>
      </c>
      <c r="AD1861" s="56">
        <f>INDEX(Assumptions!$B$14:$B$16,MATCH($R1861,Assumptions!$A$14:$A$16,0))</f>
        <v>0.12</v>
      </c>
      <c r="AE1861" s="56">
        <f>INDEX(Assumptions!$C$14:$C$16,MATCH($R1861,Assumptions!$A$14:$A$16,0))</f>
        <v>0.08</v>
      </c>
      <c r="AF1861" s="49">
        <f t="shared" ref="AF1861:AF1924" si="417">IF(AC1861&lt;AE1861,1,0)</f>
        <v>0</v>
      </c>
      <c r="AG1861" s="49">
        <f t="shared" ref="AG1861:AG1924" si="418">IF(AND(AF1861=1,M1861="N"),1,0)</f>
        <v>0</v>
      </c>
      <c r="AH1861" s="55">
        <f t="shared" ref="AH1861:AH1924" si="419">MAX(0,W1861*AD1861-AB1861)</f>
        <v>0</v>
      </c>
    </row>
    <row r="1862" spans="1:34" x14ac:dyDescent="0.2">
      <c r="A1862" s="48" t="s">
        <v>1487</v>
      </c>
      <c r="B1862" s="48">
        <v>2</v>
      </c>
      <c r="C1862" s="48" t="s">
        <v>1458</v>
      </c>
      <c r="D1862" s="48" t="s">
        <v>1444</v>
      </c>
      <c r="E1862" s="48" t="s">
        <v>395</v>
      </c>
      <c r="F1862" s="48" t="s">
        <v>280</v>
      </c>
      <c r="G1862" s="48" t="s">
        <v>281</v>
      </c>
      <c r="H1862" s="48" t="s">
        <v>66</v>
      </c>
      <c r="I1862" s="48" t="s">
        <v>135</v>
      </c>
      <c r="J1862" s="49">
        <v>9</v>
      </c>
      <c r="K1862" s="50">
        <v>255</v>
      </c>
      <c r="L1862" s="50">
        <v>249.98</v>
      </c>
      <c r="M1862" s="48" t="s">
        <v>276</v>
      </c>
      <c r="N1862" s="51">
        <v>0.92</v>
      </c>
      <c r="O1862" s="51">
        <v>0.93759999999999999</v>
      </c>
      <c r="P1862" s="52">
        <v>211.7</v>
      </c>
      <c r="Q1862" s="52">
        <v>211.7</v>
      </c>
      <c r="R1862" s="53" t="str">
        <f>INDEX(SKU_Master!$D$5:$D$34,MATCH($I1862,SKU_Master!$A$5:$A$34,0))</f>
        <v>Monitor</v>
      </c>
      <c r="S1862" s="54">
        <f t="shared" si="406"/>
        <v>1.968627450980398E-2</v>
      </c>
      <c r="T1862" s="55">
        <f t="shared" si="407"/>
        <v>2494.565217391304</v>
      </c>
      <c r="U1862" s="55">
        <f t="shared" si="408"/>
        <v>2445.45652173913</v>
      </c>
      <c r="V1862" s="55">
        <f t="shared" si="409"/>
        <v>-49.108695652173992</v>
      </c>
      <c r="W1862" s="55">
        <f t="shared" si="410"/>
        <v>2399.5520477815699</v>
      </c>
      <c r="X1862" s="55">
        <f t="shared" si="411"/>
        <v>-45.904473957560185</v>
      </c>
      <c r="Y1862" s="55">
        <f t="shared" si="412"/>
        <v>1905.3</v>
      </c>
      <c r="Z1862" s="55">
        <f t="shared" si="413"/>
        <v>1905.3</v>
      </c>
      <c r="AA1862" s="55">
        <f t="shared" si="414"/>
        <v>0</v>
      </c>
      <c r="AB1862" s="55">
        <f t="shared" si="415"/>
        <v>494.2520477815699</v>
      </c>
      <c r="AC1862" s="54">
        <f t="shared" si="416"/>
        <v>0.2059767981438515</v>
      </c>
      <c r="AD1862" s="56">
        <f>INDEX(Assumptions!$B$14:$B$16,MATCH($R1862,Assumptions!$A$14:$A$16,0))</f>
        <v>0.18</v>
      </c>
      <c r="AE1862" s="56">
        <f>INDEX(Assumptions!$C$14:$C$16,MATCH($R1862,Assumptions!$A$14:$A$16,0))</f>
        <v>0.12</v>
      </c>
      <c r="AF1862" s="49">
        <f t="shared" si="417"/>
        <v>0</v>
      </c>
      <c r="AG1862" s="49">
        <f t="shared" si="418"/>
        <v>0</v>
      </c>
      <c r="AH1862" s="55">
        <f t="shared" si="419"/>
        <v>0</v>
      </c>
    </row>
    <row r="1863" spans="1:34" x14ac:dyDescent="0.2">
      <c r="A1863" s="48" t="s">
        <v>1488</v>
      </c>
      <c r="B1863" s="48">
        <v>1</v>
      </c>
      <c r="C1863" s="48" t="s">
        <v>1443</v>
      </c>
      <c r="D1863" s="48" t="s">
        <v>1444</v>
      </c>
      <c r="E1863" s="48" t="s">
        <v>279</v>
      </c>
      <c r="F1863" s="48" t="s">
        <v>280</v>
      </c>
      <c r="G1863" s="48" t="s">
        <v>281</v>
      </c>
      <c r="H1863" s="48" t="s">
        <v>64</v>
      </c>
      <c r="I1863" s="48" t="s">
        <v>106</v>
      </c>
      <c r="J1863" s="49">
        <v>18</v>
      </c>
      <c r="K1863" s="50">
        <v>1250</v>
      </c>
      <c r="L1863" s="50">
        <v>1219.1199999999999</v>
      </c>
      <c r="M1863" s="48" t="s">
        <v>276</v>
      </c>
      <c r="N1863" s="51">
        <v>0.79</v>
      </c>
      <c r="O1863" s="51">
        <v>0.83179999999999998</v>
      </c>
      <c r="P1863" s="52">
        <v>1322.4</v>
      </c>
      <c r="Q1863" s="52">
        <v>1322.4</v>
      </c>
      <c r="R1863" s="53" t="str">
        <f>INDEX(SKU_Master!$D$5:$D$34,MATCH($I1863,SKU_Master!$A$5:$A$34,0))</f>
        <v>Laptop</v>
      </c>
      <c r="S1863" s="54">
        <f t="shared" si="406"/>
        <v>2.4704000000000059E-2</v>
      </c>
      <c r="T1863" s="55">
        <f t="shared" si="407"/>
        <v>28481.012658227846</v>
      </c>
      <c r="U1863" s="55">
        <f t="shared" si="408"/>
        <v>27777.417721518981</v>
      </c>
      <c r="V1863" s="55">
        <f t="shared" si="409"/>
        <v>-703.59493670886513</v>
      </c>
      <c r="W1863" s="55">
        <f t="shared" si="410"/>
        <v>26381.534022601583</v>
      </c>
      <c r="X1863" s="55">
        <f t="shared" si="411"/>
        <v>-1395.8836989173979</v>
      </c>
      <c r="Y1863" s="55">
        <f t="shared" si="412"/>
        <v>23803.200000000001</v>
      </c>
      <c r="Z1863" s="55">
        <f t="shared" si="413"/>
        <v>23803.200000000001</v>
      </c>
      <c r="AA1863" s="55">
        <f t="shared" si="414"/>
        <v>0</v>
      </c>
      <c r="AB1863" s="55">
        <f t="shared" si="415"/>
        <v>2578.3340226015825</v>
      </c>
      <c r="AC1863" s="54">
        <f t="shared" si="416"/>
        <v>9.7732528381127212E-2</v>
      </c>
      <c r="AD1863" s="56">
        <f>INDEX(Assumptions!$B$14:$B$16,MATCH($R1863,Assumptions!$A$14:$A$16,0))</f>
        <v>0.12</v>
      </c>
      <c r="AE1863" s="56">
        <f>INDEX(Assumptions!$C$14:$C$16,MATCH($R1863,Assumptions!$A$14:$A$16,0))</f>
        <v>0.08</v>
      </c>
      <c r="AF1863" s="49">
        <f t="shared" si="417"/>
        <v>0</v>
      </c>
      <c r="AG1863" s="49">
        <f t="shared" si="418"/>
        <v>0</v>
      </c>
      <c r="AH1863" s="55">
        <f t="shared" si="419"/>
        <v>587.45006011060741</v>
      </c>
    </row>
    <row r="1864" spans="1:34" x14ac:dyDescent="0.2">
      <c r="A1864" s="48" t="s">
        <v>1488</v>
      </c>
      <c r="B1864" s="48">
        <v>2</v>
      </c>
      <c r="C1864" s="48" t="s">
        <v>1443</v>
      </c>
      <c r="D1864" s="48" t="s">
        <v>1444</v>
      </c>
      <c r="E1864" s="48" t="s">
        <v>279</v>
      </c>
      <c r="F1864" s="48" t="s">
        <v>280</v>
      </c>
      <c r="G1864" s="48" t="s">
        <v>281</v>
      </c>
      <c r="H1864" s="48" t="s">
        <v>64</v>
      </c>
      <c r="I1864" s="48" t="s">
        <v>135</v>
      </c>
      <c r="J1864" s="49">
        <v>7</v>
      </c>
      <c r="K1864" s="50">
        <v>225</v>
      </c>
      <c r="L1864" s="50">
        <v>222.47</v>
      </c>
      <c r="M1864" s="48" t="s">
        <v>276</v>
      </c>
      <c r="N1864" s="51">
        <v>0.79</v>
      </c>
      <c r="O1864" s="51">
        <v>0.83179999999999998</v>
      </c>
      <c r="P1864" s="52">
        <v>216.7</v>
      </c>
      <c r="Q1864" s="52">
        <v>216.7</v>
      </c>
      <c r="R1864" s="53" t="str">
        <f>INDEX(SKU_Master!$D$5:$D$34,MATCH($I1864,SKU_Master!$A$5:$A$34,0))</f>
        <v>Monitor</v>
      </c>
      <c r="S1864" s="54">
        <f t="shared" si="406"/>
        <v>1.1244444444444501E-2</v>
      </c>
      <c r="T1864" s="55">
        <f t="shared" si="407"/>
        <v>1993.6708860759493</v>
      </c>
      <c r="U1864" s="55">
        <f t="shared" si="408"/>
        <v>1971.2531645569618</v>
      </c>
      <c r="V1864" s="55">
        <f t="shared" si="409"/>
        <v>-22.417721518987491</v>
      </c>
      <c r="W1864" s="55">
        <f t="shared" si="410"/>
        <v>1872.1928348160616</v>
      </c>
      <c r="X1864" s="55">
        <f t="shared" si="411"/>
        <v>-99.060329740900215</v>
      </c>
      <c r="Y1864" s="55">
        <f t="shared" si="412"/>
        <v>1516.8999999999999</v>
      </c>
      <c r="Z1864" s="55">
        <f t="shared" si="413"/>
        <v>1516.8999999999999</v>
      </c>
      <c r="AA1864" s="55">
        <f t="shared" si="414"/>
        <v>0</v>
      </c>
      <c r="AB1864" s="55">
        <f t="shared" si="415"/>
        <v>355.29283481606171</v>
      </c>
      <c r="AC1864" s="54">
        <f t="shared" si="416"/>
        <v>0.18977363239987421</v>
      </c>
      <c r="AD1864" s="56">
        <f>INDEX(Assumptions!$B$14:$B$16,MATCH($R1864,Assumptions!$A$14:$A$16,0))</f>
        <v>0.18</v>
      </c>
      <c r="AE1864" s="56">
        <f>INDEX(Assumptions!$C$14:$C$16,MATCH($R1864,Assumptions!$A$14:$A$16,0))</f>
        <v>0.12</v>
      </c>
      <c r="AF1864" s="49">
        <f t="shared" si="417"/>
        <v>0</v>
      </c>
      <c r="AG1864" s="49">
        <f t="shared" si="418"/>
        <v>0</v>
      </c>
      <c r="AH1864" s="55">
        <f t="shared" si="419"/>
        <v>0</v>
      </c>
    </row>
    <row r="1865" spans="1:34" x14ac:dyDescent="0.2">
      <c r="A1865" s="48" t="s">
        <v>1488</v>
      </c>
      <c r="B1865" s="48">
        <v>3</v>
      </c>
      <c r="C1865" s="48" t="s">
        <v>1443</v>
      </c>
      <c r="D1865" s="48" t="s">
        <v>1444</v>
      </c>
      <c r="E1865" s="48" t="s">
        <v>279</v>
      </c>
      <c r="F1865" s="48" t="s">
        <v>280</v>
      </c>
      <c r="G1865" s="48" t="s">
        <v>281</v>
      </c>
      <c r="H1865" s="48" t="s">
        <v>64</v>
      </c>
      <c r="I1865" s="48" t="s">
        <v>157</v>
      </c>
      <c r="J1865" s="49">
        <v>17</v>
      </c>
      <c r="K1865" s="50">
        <v>115</v>
      </c>
      <c r="L1865" s="50">
        <v>113.32</v>
      </c>
      <c r="M1865" s="48" t="s">
        <v>276</v>
      </c>
      <c r="N1865" s="51">
        <v>0.79</v>
      </c>
      <c r="O1865" s="51">
        <v>0.83179999999999998</v>
      </c>
      <c r="P1865" s="52">
        <v>92</v>
      </c>
      <c r="Q1865" s="52">
        <v>92</v>
      </c>
      <c r="R1865" s="53" t="str">
        <f>INDEX(SKU_Master!$D$5:$D$34,MATCH($I1865,SKU_Master!$A$5:$A$34,0))</f>
        <v>Accessory</v>
      </c>
      <c r="S1865" s="54">
        <f t="shared" si="406"/>
        <v>1.4608695652173931E-2</v>
      </c>
      <c r="T1865" s="55">
        <f t="shared" si="407"/>
        <v>2474.6835443037971</v>
      </c>
      <c r="U1865" s="55">
        <f t="shared" si="408"/>
        <v>2438.5316455696197</v>
      </c>
      <c r="V1865" s="55">
        <f t="shared" si="409"/>
        <v>-36.151898734177394</v>
      </c>
      <c r="W1865" s="55">
        <f t="shared" si="410"/>
        <v>2315.9894205337819</v>
      </c>
      <c r="X1865" s="55">
        <f t="shared" si="411"/>
        <v>-122.54222503583787</v>
      </c>
      <c r="Y1865" s="55">
        <f t="shared" si="412"/>
        <v>1564</v>
      </c>
      <c r="Z1865" s="55">
        <f t="shared" si="413"/>
        <v>1564</v>
      </c>
      <c r="AA1865" s="55">
        <f t="shared" si="414"/>
        <v>0</v>
      </c>
      <c r="AB1865" s="55">
        <f t="shared" si="415"/>
        <v>751.98942053378187</v>
      </c>
      <c r="AC1865" s="54">
        <f t="shared" si="416"/>
        <v>0.3246946699611718</v>
      </c>
      <c r="AD1865" s="56">
        <f>INDEX(Assumptions!$B$14:$B$16,MATCH($R1865,Assumptions!$A$14:$A$16,0))</f>
        <v>0.32</v>
      </c>
      <c r="AE1865" s="56">
        <f>INDEX(Assumptions!$C$14:$C$16,MATCH($R1865,Assumptions!$A$14:$A$16,0))</f>
        <v>0.22</v>
      </c>
      <c r="AF1865" s="49">
        <f t="shared" si="417"/>
        <v>0</v>
      </c>
      <c r="AG1865" s="49">
        <f t="shared" si="418"/>
        <v>0</v>
      </c>
      <c r="AH1865" s="55">
        <f t="shared" si="419"/>
        <v>0</v>
      </c>
    </row>
    <row r="1866" spans="1:34" x14ac:dyDescent="0.2">
      <c r="A1866" s="48" t="s">
        <v>1489</v>
      </c>
      <c r="B1866" s="48">
        <v>1</v>
      </c>
      <c r="C1866" s="48" t="s">
        <v>1454</v>
      </c>
      <c r="D1866" s="48" t="s">
        <v>1444</v>
      </c>
      <c r="E1866" s="48" t="s">
        <v>407</v>
      </c>
      <c r="F1866" s="48" t="s">
        <v>274</v>
      </c>
      <c r="G1866" s="48" t="s">
        <v>302</v>
      </c>
      <c r="H1866" s="48" t="s">
        <v>62</v>
      </c>
      <c r="I1866" s="48" t="s">
        <v>98</v>
      </c>
      <c r="J1866" s="49">
        <v>7</v>
      </c>
      <c r="K1866" s="50">
        <v>2085</v>
      </c>
      <c r="L1866" s="50">
        <v>2038.48</v>
      </c>
      <c r="M1866" s="48" t="s">
        <v>276</v>
      </c>
      <c r="N1866" s="51">
        <v>1</v>
      </c>
      <c r="O1866" s="51">
        <v>1</v>
      </c>
      <c r="P1866" s="52">
        <v>1780.2</v>
      </c>
      <c r="Q1866" s="52">
        <v>1780.2</v>
      </c>
      <c r="R1866" s="53" t="str">
        <f>INDEX(SKU_Master!$D$5:$D$34,MATCH($I1866,SKU_Master!$A$5:$A$34,0))</f>
        <v>Laptop</v>
      </c>
      <c r="S1866" s="54">
        <f t="shared" si="406"/>
        <v>2.2311750599520397E-2</v>
      </c>
      <c r="T1866" s="55">
        <f t="shared" si="407"/>
        <v>14595</v>
      </c>
      <c r="U1866" s="55">
        <f t="shared" si="408"/>
        <v>14269.36</v>
      </c>
      <c r="V1866" s="55">
        <f t="shared" si="409"/>
        <v>-325.63999999999942</v>
      </c>
      <c r="W1866" s="55">
        <f t="shared" si="410"/>
        <v>14269.36</v>
      </c>
      <c r="X1866" s="55">
        <f t="shared" si="411"/>
        <v>0</v>
      </c>
      <c r="Y1866" s="55">
        <f t="shared" si="412"/>
        <v>12461.4</v>
      </c>
      <c r="Z1866" s="55">
        <f t="shared" si="413"/>
        <v>12461.4</v>
      </c>
      <c r="AA1866" s="55">
        <f t="shared" si="414"/>
        <v>0</v>
      </c>
      <c r="AB1866" s="55">
        <f t="shared" si="415"/>
        <v>1807.9600000000009</v>
      </c>
      <c r="AC1866" s="54">
        <f t="shared" si="416"/>
        <v>0.12670224873435115</v>
      </c>
      <c r="AD1866" s="56">
        <f>INDEX(Assumptions!$B$14:$B$16,MATCH($R1866,Assumptions!$A$14:$A$16,0))</f>
        <v>0.12</v>
      </c>
      <c r="AE1866" s="56">
        <f>INDEX(Assumptions!$C$14:$C$16,MATCH($R1866,Assumptions!$A$14:$A$16,0))</f>
        <v>0.08</v>
      </c>
      <c r="AF1866" s="49">
        <f t="shared" si="417"/>
        <v>0</v>
      </c>
      <c r="AG1866" s="49">
        <f t="shared" si="418"/>
        <v>0</v>
      </c>
      <c r="AH1866" s="55">
        <f t="shared" si="419"/>
        <v>0</v>
      </c>
    </row>
    <row r="1867" spans="1:34" x14ac:dyDescent="0.2">
      <c r="A1867" s="48" t="s">
        <v>1489</v>
      </c>
      <c r="B1867" s="48">
        <v>2</v>
      </c>
      <c r="C1867" s="48" t="s">
        <v>1454</v>
      </c>
      <c r="D1867" s="48" t="s">
        <v>1444</v>
      </c>
      <c r="E1867" s="48" t="s">
        <v>407</v>
      </c>
      <c r="F1867" s="48" t="s">
        <v>274</v>
      </c>
      <c r="G1867" s="48" t="s">
        <v>302</v>
      </c>
      <c r="H1867" s="48" t="s">
        <v>62</v>
      </c>
      <c r="I1867" s="48" t="s">
        <v>170</v>
      </c>
      <c r="J1867" s="49">
        <v>5</v>
      </c>
      <c r="K1867" s="50">
        <v>195</v>
      </c>
      <c r="L1867" s="50">
        <v>192.16</v>
      </c>
      <c r="M1867" s="48" t="s">
        <v>276</v>
      </c>
      <c r="N1867" s="51">
        <v>1</v>
      </c>
      <c r="O1867" s="51">
        <v>1</v>
      </c>
      <c r="P1867" s="52">
        <v>126</v>
      </c>
      <c r="Q1867" s="52">
        <v>126</v>
      </c>
      <c r="R1867" s="53" t="str">
        <f>INDEX(SKU_Master!$D$5:$D$34,MATCH($I1867,SKU_Master!$A$5:$A$34,0))</f>
        <v>Accessory</v>
      </c>
      <c r="S1867" s="54">
        <f t="shared" si="406"/>
        <v>1.4564102564102566E-2</v>
      </c>
      <c r="T1867" s="55">
        <f t="shared" si="407"/>
        <v>975</v>
      </c>
      <c r="U1867" s="55">
        <f t="shared" si="408"/>
        <v>960.8</v>
      </c>
      <c r="V1867" s="55">
        <f t="shared" si="409"/>
        <v>-14.200000000000045</v>
      </c>
      <c r="W1867" s="55">
        <f t="shared" si="410"/>
        <v>960.8</v>
      </c>
      <c r="X1867" s="55">
        <f t="shared" si="411"/>
        <v>0</v>
      </c>
      <c r="Y1867" s="55">
        <f t="shared" si="412"/>
        <v>630</v>
      </c>
      <c r="Z1867" s="55">
        <f t="shared" si="413"/>
        <v>630</v>
      </c>
      <c r="AA1867" s="55">
        <f t="shared" si="414"/>
        <v>0</v>
      </c>
      <c r="AB1867" s="55">
        <f t="shared" si="415"/>
        <v>330.79999999999995</v>
      </c>
      <c r="AC1867" s="54">
        <f t="shared" si="416"/>
        <v>0.3442964196502914</v>
      </c>
      <c r="AD1867" s="56">
        <f>INDEX(Assumptions!$B$14:$B$16,MATCH($R1867,Assumptions!$A$14:$A$16,0))</f>
        <v>0.32</v>
      </c>
      <c r="AE1867" s="56">
        <f>INDEX(Assumptions!$C$14:$C$16,MATCH($R1867,Assumptions!$A$14:$A$16,0))</f>
        <v>0.22</v>
      </c>
      <c r="AF1867" s="49">
        <f t="shared" si="417"/>
        <v>0</v>
      </c>
      <c r="AG1867" s="49">
        <f t="shared" si="418"/>
        <v>0</v>
      </c>
      <c r="AH1867" s="55">
        <f t="shared" si="419"/>
        <v>0</v>
      </c>
    </row>
    <row r="1868" spans="1:34" x14ac:dyDescent="0.2">
      <c r="A1868" s="48" t="s">
        <v>1490</v>
      </c>
      <c r="B1868" s="48">
        <v>1</v>
      </c>
      <c r="C1868" s="48" t="s">
        <v>1471</v>
      </c>
      <c r="D1868" s="48" t="s">
        <v>1444</v>
      </c>
      <c r="E1868" s="48" t="s">
        <v>588</v>
      </c>
      <c r="F1868" s="48" t="s">
        <v>274</v>
      </c>
      <c r="G1868" s="48" t="s">
        <v>281</v>
      </c>
      <c r="H1868" s="48" t="s">
        <v>62</v>
      </c>
      <c r="I1868" s="48" t="s">
        <v>103</v>
      </c>
      <c r="J1868" s="49">
        <v>6</v>
      </c>
      <c r="K1868" s="50">
        <v>1135</v>
      </c>
      <c r="L1868" s="50">
        <v>1132.1400000000001</v>
      </c>
      <c r="M1868" s="48" t="s">
        <v>276</v>
      </c>
      <c r="N1868" s="51">
        <v>1</v>
      </c>
      <c r="O1868" s="51">
        <v>1</v>
      </c>
      <c r="P1868" s="52">
        <v>968.6</v>
      </c>
      <c r="Q1868" s="52">
        <v>968.6</v>
      </c>
      <c r="R1868" s="53" t="str">
        <f>INDEX(SKU_Master!$D$5:$D$34,MATCH($I1868,SKU_Master!$A$5:$A$34,0))</f>
        <v>Laptop</v>
      </c>
      <c r="S1868" s="54">
        <f t="shared" si="406"/>
        <v>2.5198237885462049E-3</v>
      </c>
      <c r="T1868" s="55">
        <f t="shared" si="407"/>
        <v>6810</v>
      </c>
      <c r="U1868" s="55">
        <f t="shared" si="408"/>
        <v>6792.84</v>
      </c>
      <c r="V1868" s="55">
        <f t="shared" si="409"/>
        <v>-17.159999999999854</v>
      </c>
      <c r="W1868" s="55">
        <f t="shared" si="410"/>
        <v>6792.84</v>
      </c>
      <c r="X1868" s="55">
        <f t="shared" si="411"/>
        <v>0</v>
      </c>
      <c r="Y1868" s="55">
        <f t="shared" si="412"/>
        <v>5811.6</v>
      </c>
      <c r="Z1868" s="55">
        <f t="shared" si="413"/>
        <v>5811.6</v>
      </c>
      <c r="AA1868" s="55">
        <f t="shared" si="414"/>
        <v>0</v>
      </c>
      <c r="AB1868" s="55">
        <f t="shared" si="415"/>
        <v>981.23999999999978</v>
      </c>
      <c r="AC1868" s="54">
        <f t="shared" si="416"/>
        <v>0.14445209956365818</v>
      </c>
      <c r="AD1868" s="56">
        <f>INDEX(Assumptions!$B$14:$B$16,MATCH($R1868,Assumptions!$A$14:$A$16,0))</f>
        <v>0.12</v>
      </c>
      <c r="AE1868" s="56">
        <f>INDEX(Assumptions!$C$14:$C$16,MATCH($R1868,Assumptions!$A$14:$A$16,0))</f>
        <v>0.08</v>
      </c>
      <c r="AF1868" s="49">
        <f t="shared" si="417"/>
        <v>0</v>
      </c>
      <c r="AG1868" s="49">
        <f t="shared" si="418"/>
        <v>0</v>
      </c>
      <c r="AH1868" s="55">
        <f t="shared" si="419"/>
        <v>0</v>
      </c>
    </row>
    <row r="1869" spans="1:34" x14ac:dyDescent="0.2">
      <c r="A1869" s="48" t="s">
        <v>1491</v>
      </c>
      <c r="B1869" s="48">
        <v>1</v>
      </c>
      <c r="C1869" s="48" t="s">
        <v>1492</v>
      </c>
      <c r="D1869" s="48" t="s">
        <v>1444</v>
      </c>
      <c r="E1869" s="48" t="s">
        <v>336</v>
      </c>
      <c r="F1869" s="48" t="s">
        <v>274</v>
      </c>
      <c r="G1869" s="48" t="s">
        <v>288</v>
      </c>
      <c r="H1869" s="48" t="s">
        <v>62</v>
      </c>
      <c r="I1869" s="48" t="s">
        <v>106</v>
      </c>
      <c r="J1869" s="49">
        <v>6</v>
      </c>
      <c r="K1869" s="50">
        <v>1520</v>
      </c>
      <c r="L1869" s="50">
        <v>1496.8</v>
      </c>
      <c r="M1869" s="48" t="s">
        <v>276</v>
      </c>
      <c r="N1869" s="51">
        <v>1</v>
      </c>
      <c r="O1869" s="51">
        <v>1</v>
      </c>
      <c r="P1869" s="52">
        <v>1298.4000000000001</v>
      </c>
      <c r="Q1869" s="52">
        <v>1298.4000000000001</v>
      </c>
      <c r="R1869" s="53" t="str">
        <f>INDEX(SKU_Master!$D$5:$D$34,MATCH($I1869,SKU_Master!$A$5:$A$34,0))</f>
        <v>Laptop</v>
      </c>
      <c r="S1869" s="54">
        <f t="shared" si="406"/>
        <v>1.5263157894736867E-2</v>
      </c>
      <c r="T1869" s="55">
        <f t="shared" si="407"/>
        <v>9120</v>
      </c>
      <c r="U1869" s="55">
        <f t="shared" si="408"/>
        <v>8980.7999999999993</v>
      </c>
      <c r="V1869" s="55">
        <f t="shared" si="409"/>
        <v>-139.20000000000073</v>
      </c>
      <c r="W1869" s="55">
        <f t="shared" si="410"/>
        <v>8980.7999999999993</v>
      </c>
      <c r="X1869" s="55">
        <f t="shared" si="411"/>
        <v>0</v>
      </c>
      <c r="Y1869" s="55">
        <f t="shared" si="412"/>
        <v>7790.4000000000005</v>
      </c>
      <c r="Z1869" s="55">
        <f t="shared" si="413"/>
        <v>7790.4000000000005</v>
      </c>
      <c r="AA1869" s="55">
        <f t="shared" si="414"/>
        <v>0</v>
      </c>
      <c r="AB1869" s="55">
        <f t="shared" si="415"/>
        <v>1190.3999999999987</v>
      </c>
      <c r="AC1869" s="54">
        <f t="shared" si="416"/>
        <v>0.13254943880277914</v>
      </c>
      <c r="AD1869" s="56">
        <f>INDEX(Assumptions!$B$14:$B$16,MATCH($R1869,Assumptions!$A$14:$A$16,0))</f>
        <v>0.12</v>
      </c>
      <c r="AE1869" s="56">
        <f>INDEX(Assumptions!$C$14:$C$16,MATCH($R1869,Assumptions!$A$14:$A$16,0))</f>
        <v>0.08</v>
      </c>
      <c r="AF1869" s="49">
        <f t="shared" si="417"/>
        <v>0</v>
      </c>
      <c r="AG1869" s="49">
        <f t="shared" si="418"/>
        <v>0</v>
      </c>
      <c r="AH1869" s="55">
        <f t="shared" si="419"/>
        <v>0</v>
      </c>
    </row>
    <row r="1870" spans="1:34" x14ac:dyDescent="0.2">
      <c r="A1870" s="48" t="s">
        <v>1491</v>
      </c>
      <c r="B1870" s="48">
        <v>2</v>
      </c>
      <c r="C1870" s="48" t="s">
        <v>1492</v>
      </c>
      <c r="D1870" s="48" t="s">
        <v>1444</v>
      </c>
      <c r="E1870" s="48" t="s">
        <v>336</v>
      </c>
      <c r="F1870" s="48" t="s">
        <v>274</v>
      </c>
      <c r="G1870" s="48" t="s">
        <v>288</v>
      </c>
      <c r="H1870" s="48" t="s">
        <v>62</v>
      </c>
      <c r="I1870" s="48" t="s">
        <v>135</v>
      </c>
      <c r="J1870" s="49">
        <v>4</v>
      </c>
      <c r="K1870" s="50">
        <v>240</v>
      </c>
      <c r="L1870" s="50">
        <v>238.39</v>
      </c>
      <c r="M1870" s="48" t="s">
        <v>276</v>
      </c>
      <c r="N1870" s="51">
        <v>1</v>
      </c>
      <c r="O1870" s="51">
        <v>1</v>
      </c>
      <c r="P1870" s="52">
        <v>186.7</v>
      </c>
      <c r="Q1870" s="52">
        <v>186.7</v>
      </c>
      <c r="R1870" s="53" t="str">
        <f>INDEX(SKU_Master!$D$5:$D$34,MATCH($I1870,SKU_Master!$A$5:$A$34,0))</f>
        <v>Monitor</v>
      </c>
      <c r="S1870" s="54">
        <f t="shared" si="406"/>
        <v>6.7083333333334272E-3</v>
      </c>
      <c r="T1870" s="55">
        <f t="shared" si="407"/>
        <v>960</v>
      </c>
      <c r="U1870" s="55">
        <f t="shared" si="408"/>
        <v>953.56</v>
      </c>
      <c r="V1870" s="55">
        <f t="shared" si="409"/>
        <v>-6.4400000000000546</v>
      </c>
      <c r="W1870" s="55">
        <f t="shared" si="410"/>
        <v>953.56</v>
      </c>
      <c r="X1870" s="55">
        <f t="shared" si="411"/>
        <v>0</v>
      </c>
      <c r="Y1870" s="55">
        <f t="shared" si="412"/>
        <v>746.8</v>
      </c>
      <c r="Z1870" s="55">
        <f t="shared" si="413"/>
        <v>746.8</v>
      </c>
      <c r="AA1870" s="55">
        <f t="shared" si="414"/>
        <v>0</v>
      </c>
      <c r="AB1870" s="55">
        <f t="shared" si="415"/>
        <v>206.76</v>
      </c>
      <c r="AC1870" s="54">
        <f t="shared" si="416"/>
        <v>0.21682956499853182</v>
      </c>
      <c r="AD1870" s="56">
        <f>INDEX(Assumptions!$B$14:$B$16,MATCH($R1870,Assumptions!$A$14:$A$16,0))</f>
        <v>0.18</v>
      </c>
      <c r="AE1870" s="56">
        <f>INDEX(Assumptions!$C$14:$C$16,MATCH($R1870,Assumptions!$A$14:$A$16,0))</f>
        <v>0.12</v>
      </c>
      <c r="AF1870" s="49">
        <f t="shared" si="417"/>
        <v>0</v>
      </c>
      <c r="AG1870" s="49">
        <f t="shared" si="418"/>
        <v>0</v>
      </c>
      <c r="AH1870" s="55">
        <f t="shared" si="419"/>
        <v>0</v>
      </c>
    </row>
    <row r="1871" spans="1:34" x14ac:dyDescent="0.2">
      <c r="A1871" s="48" t="s">
        <v>1491</v>
      </c>
      <c r="B1871" s="48">
        <v>3</v>
      </c>
      <c r="C1871" s="48" t="s">
        <v>1492</v>
      </c>
      <c r="D1871" s="48" t="s">
        <v>1444</v>
      </c>
      <c r="E1871" s="48" t="s">
        <v>336</v>
      </c>
      <c r="F1871" s="48" t="s">
        <v>274</v>
      </c>
      <c r="G1871" s="48" t="s">
        <v>288</v>
      </c>
      <c r="H1871" s="48" t="s">
        <v>62</v>
      </c>
      <c r="I1871" s="48" t="s">
        <v>166</v>
      </c>
      <c r="J1871" s="49">
        <v>5</v>
      </c>
      <c r="K1871" s="50">
        <v>265</v>
      </c>
      <c r="L1871" s="50">
        <v>264.95</v>
      </c>
      <c r="M1871" s="48" t="s">
        <v>276</v>
      </c>
      <c r="N1871" s="51">
        <v>1</v>
      </c>
      <c r="O1871" s="51">
        <v>1</v>
      </c>
      <c r="P1871" s="52">
        <v>169.35</v>
      </c>
      <c r="Q1871" s="52">
        <v>169.35</v>
      </c>
      <c r="R1871" s="53" t="str">
        <f>INDEX(SKU_Master!$D$5:$D$34,MATCH($I1871,SKU_Master!$A$5:$A$34,0))</f>
        <v>Accessory</v>
      </c>
      <c r="S1871" s="54">
        <f t="shared" si="406"/>
        <v>1.8867924528309654E-4</v>
      </c>
      <c r="T1871" s="55">
        <f t="shared" si="407"/>
        <v>1325</v>
      </c>
      <c r="U1871" s="55">
        <f t="shared" si="408"/>
        <v>1324.75</v>
      </c>
      <c r="V1871" s="55">
        <f t="shared" si="409"/>
        <v>-0.25</v>
      </c>
      <c r="W1871" s="55">
        <f t="shared" si="410"/>
        <v>1324.75</v>
      </c>
      <c r="X1871" s="55">
        <f t="shared" si="411"/>
        <v>0</v>
      </c>
      <c r="Y1871" s="55">
        <f t="shared" si="412"/>
        <v>846.75</v>
      </c>
      <c r="Z1871" s="55">
        <f t="shared" si="413"/>
        <v>846.75</v>
      </c>
      <c r="AA1871" s="55">
        <f t="shared" si="414"/>
        <v>0</v>
      </c>
      <c r="AB1871" s="55">
        <f t="shared" si="415"/>
        <v>478</v>
      </c>
      <c r="AC1871" s="54">
        <f t="shared" si="416"/>
        <v>0.36082279675410456</v>
      </c>
      <c r="AD1871" s="56">
        <f>INDEX(Assumptions!$B$14:$B$16,MATCH($R1871,Assumptions!$A$14:$A$16,0))</f>
        <v>0.32</v>
      </c>
      <c r="AE1871" s="56">
        <f>INDEX(Assumptions!$C$14:$C$16,MATCH($R1871,Assumptions!$A$14:$A$16,0))</f>
        <v>0.22</v>
      </c>
      <c r="AF1871" s="49">
        <f t="shared" si="417"/>
        <v>0</v>
      </c>
      <c r="AG1871" s="49">
        <f t="shared" si="418"/>
        <v>0</v>
      </c>
      <c r="AH1871" s="55">
        <f t="shared" si="419"/>
        <v>0</v>
      </c>
    </row>
    <row r="1872" spans="1:34" x14ac:dyDescent="0.2">
      <c r="A1872" s="48" t="s">
        <v>1493</v>
      </c>
      <c r="B1872" s="48">
        <v>1</v>
      </c>
      <c r="C1872" s="48" t="s">
        <v>1464</v>
      </c>
      <c r="D1872" s="48" t="s">
        <v>1444</v>
      </c>
      <c r="E1872" s="48" t="s">
        <v>407</v>
      </c>
      <c r="F1872" s="48" t="s">
        <v>274</v>
      </c>
      <c r="G1872" s="48" t="s">
        <v>302</v>
      </c>
      <c r="H1872" s="48" t="s">
        <v>62</v>
      </c>
      <c r="I1872" s="48" t="s">
        <v>108</v>
      </c>
      <c r="J1872" s="49">
        <v>7</v>
      </c>
      <c r="K1872" s="50">
        <v>1345</v>
      </c>
      <c r="L1872" s="50">
        <v>1334.2</v>
      </c>
      <c r="M1872" s="48" t="s">
        <v>276</v>
      </c>
      <c r="N1872" s="51">
        <v>1</v>
      </c>
      <c r="O1872" s="51">
        <v>1</v>
      </c>
      <c r="P1872" s="52">
        <v>1145</v>
      </c>
      <c r="Q1872" s="52">
        <v>1212.6199999999999</v>
      </c>
      <c r="R1872" s="53" t="str">
        <f>INDEX(SKU_Master!$D$5:$D$34,MATCH($I1872,SKU_Master!$A$5:$A$34,0))</f>
        <v>Laptop</v>
      </c>
      <c r="S1872" s="54">
        <f t="shared" si="406"/>
        <v>8.0297397769516499E-3</v>
      </c>
      <c r="T1872" s="55">
        <f t="shared" si="407"/>
        <v>9415</v>
      </c>
      <c r="U1872" s="55">
        <f t="shared" si="408"/>
        <v>9339.4</v>
      </c>
      <c r="V1872" s="55">
        <f t="shared" si="409"/>
        <v>-75.600000000000364</v>
      </c>
      <c r="W1872" s="55">
        <f t="shared" si="410"/>
        <v>9339.4</v>
      </c>
      <c r="X1872" s="55">
        <f t="shared" si="411"/>
        <v>0</v>
      </c>
      <c r="Y1872" s="55">
        <f t="shared" si="412"/>
        <v>8015</v>
      </c>
      <c r="Z1872" s="55">
        <f t="shared" si="413"/>
        <v>8488.34</v>
      </c>
      <c r="AA1872" s="55">
        <f t="shared" si="414"/>
        <v>-473.34000000000015</v>
      </c>
      <c r="AB1872" s="55">
        <f t="shared" si="415"/>
        <v>851.05999999999949</v>
      </c>
      <c r="AC1872" s="54">
        <f t="shared" si="416"/>
        <v>9.1125768250637035E-2</v>
      </c>
      <c r="AD1872" s="56">
        <f>INDEX(Assumptions!$B$14:$B$16,MATCH($R1872,Assumptions!$A$14:$A$16,0))</f>
        <v>0.12</v>
      </c>
      <c r="AE1872" s="56">
        <f>INDEX(Assumptions!$C$14:$C$16,MATCH($R1872,Assumptions!$A$14:$A$16,0))</f>
        <v>0.08</v>
      </c>
      <c r="AF1872" s="49">
        <f t="shared" si="417"/>
        <v>0</v>
      </c>
      <c r="AG1872" s="49">
        <f t="shared" si="418"/>
        <v>0</v>
      </c>
      <c r="AH1872" s="55">
        <f t="shared" si="419"/>
        <v>269.66800000000035</v>
      </c>
    </row>
    <row r="1873" spans="1:34" x14ac:dyDescent="0.2">
      <c r="A1873" s="48" t="s">
        <v>1493</v>
      </c>
      <c r="B1873" s="48">
        <v>2</v>
      </c>
      <c r="C1873" s="48" t="s">
        <v>1464</v>
      </c>
      <c r="D1873" s="48" t="s">
        <v>1444</v>
      </c>
      <c r="E1873" s="48" t="s">
        <v>407</v>
      </c>
      <c r="F1873" s="48" t="s">
        <v>274</v>
      </c>
      <c r="G1873" s="48" t="s">
        <v>302</v>
      </c>
      <c r="H1873" s="48" t="s">
        <v>62</v>
      </c>
      <c r="I1873" s="48" t="s">
        <v>146</v>
      </c>
      <c r="J1873" s="49">
        <v>7</v>
      </c>
      <c r="K1873" s="50">
        <v>235</v>
      </c>
      <c r="L1873" s="50">
        <v>232.44</v>
      </c>
      <c r="M1873" s="48" t="s">
        <v>276</v>
      </c>
      <c r="N1873" s="51">
        <v>1</v>
      </c>
      <c r="O1873" s="51">
        <v>1</v>
      </c>
      <c r="P1873" s="52">
        <v>181.8</v>
      </c>
      <c r="Q1873" s="52">
        <v>181.8</v>
      </c>
      <c r="R1873" s="53" t="str">
        <f>INDEX(SKU_Master!$D$5:$D$34,MATCH($I1873,SKU_Master!$A$5:$A$34,0))</f>
        <v>Monitor</v>
      </c>
      <c r="S1873" s="54">
        <f t="shared" si="406"/>
        <v>1.0893617021276558E-2</v>
      </c>
      <c r="T1873" s="55">
        <f t="shared" si="407"/>
        <v>1645</v>
      </c>
      <c r="U1873" s="55">
        <f t="shared" si="408"/>
        <v>1627.08</v>
      </c>
      <c r="V1873" s="55">
        <f t="shared" si="409"/>
        <v>-17.920000000000073</v>
      </c>
      <c r="W1873" s="55">
        <f t="shared" si="410"/>
        <v>1627.08</v>
      </c>
      <c r="X1873" s="55">
        <f t="shared" si="411"/>
        <v>0</v>
      </c>
      <c r="Y1873" s="55">
        <f t="shared" si="412"/>
        <v>1272.6000000000001</v>
      </c>
      <c r="Z1873" s="55">
        <f t="shared" si="413"/>
        <v>1272.6000000000001</v>
      </c>
      <c r="AA1873" s="55">
        <f t="shared" si="414"/>
        <v>0</v>
      </c>
      <c r="AB1873" s="55">
        <f t="shared" si="415"/>
        <v>354.47999999999979</v>
      </c>
      <c r="AC1873" s="54">
        <f t="shared" si="416"/>
        <v>0.21786267423851305</v>
      </c>
      <c r="AD1873" s="56">
        <f>INDEX(Assumptions!$B$14:$B$16,MATCH($R1873,Assumptions!$A$14:$A$16,0))</f>
        <v>0.18</v>
      </c>
      <c r="AE1873" s="56">
        <f>INDEX(Assumptions!$C$14:$C$16,MATCH($R1873,Assumptions!$A$14:$A$16,0))</f>
        <v>0.12</v>
      </c>
      <c r="AF1873" s="49">
        <f t="shared" si="417"/>
        <v>0</v>
      </c>
      <c r="AG1873" s="49">
        <f t="shared" si="418"/>
        <v>0</v>
      </c>
      <c r="AH1873" s="55">
        <f t="shared" si="419"/>
        <v>0</v>
      </c>
    </row>
    <row r="1874" spans="1:34" x14ac:dyDescent="0.2">
      <c r="A1874" s="48" t="s">
        <v>1494</v>
      </c>
      <c r="B1874" s="48">
        <v>1</v>
      </c>
      <c r="C1874" s="48" t="s">
        <v>1495</v>
      </c>
      <c r="D1874" s="48" t="s">
        <v>1444</v>
      </c>
      <c r="E1874" s="48" t="s">
        <v>360</v>
      </c>
      <c r="F1874" s="48" t="s">
        <v>280</v>
      </c>
      <c r="G1874" s="48" t="s">
        <v>275</v>
      </c>
      <c r="H1874" s="48" t="s">
        <v>68</v>
      </c>
      <c r="I1874" s="48" t="s">
        <v>98</v>
      </c>
      <c r="J1874" s="49">
        <v>13</v>
      </c>
      <c r="K1874" s="50">
        <v>2935</v>
      </c>
      <c r="L1874" s="50">
        <v>2877.92</v>
      </c>
      <c r="M1874" s="48" t="s">
        <v>276</v>
      </c>
      <c r="N1874" s="51">
        <v>1.37</v>
      </c>
      <c r="O1874" s="51">
        <v>1.3702000000000001</v>
      </c>
      <c r="P1874" s="52">
        <v>1792.2</v>
      </c>
      <c r="Q1874" s="52">
        <v>1792.2</v>
      </c>
      <c r="R1874" s="53" t="str">
        <f>INDEX(SKU_Master!$D$5:$D$34,MATCH($I1874,SKU_Master!$A$5:$A$34,0))</f>
        <v>Laptop</v>
      </c>
      <c r="S1874" s="54">
        <f t="shared" si="406"/>
        <v>1.9448040885860274E-2</v>
      </c>
      <c r="T1874" s="55">
        <f t="shared" si="407"/>
        <v>27850.364963503649</v>
      </c>
      <c r="U1874" s="55">
        <f t="shared" si="408"/>
        <v>27308.729927007298</v>
      </c>
      <c r="V1874" s="55">
        <f t="shared" si="409"/>
        <v>-541.63503649635095</v>
      </c>
      <c r="W1874" s="55">
        <f t="shared" si="410"/>
        <v>27304.743833017077</v>
      </c>
      <c r="X1874" s="55">
        <f t="shared" si="411"/>
        <v>-3.9860939902209793</v>
      </c>
      <c r="Y1874" s="55">
        <f t="shared" si="412"/>
        <v>23298.600000000002</v>
      </c>
      <c r="Z1874" s="55">
        <f t="shared" si="413"/>
        <v>23298.600000000002</v>
      </c>
      <c r="AA1874" s="55">
        <f t="shared" si="414"/>
        <v>0</v>
      </c>
      <c r="AB1874" s="55">
        <f t="shared" si="415"/>
        <v>4006.1438330170749</v>
      </c>
      <c r="AC1874" s="54">
        <f t="shared" si="416"/>
        <v>0.14671970033913373</v>
      </c>
      <c r="AD1874" s="56">
        <f>INDEX(Assumptions!$B$14:$B$16,MATCH($R1874,Assumptions!$A$14:$A$16,0))</f>
        <v>0.12</v>
      </c>
      <c r="AE1874" s="56">
        <f>INDEX(Assumptions!$C$14:$C$16,MATCH($R1874,Assumptions!$A$14:$A$16,0))</f>
        <v>0.08</v>
      </c>
      <c r="AF1874" s="49">
        <f t="shared" si="417"/>
        <v>0</v>
      </c>
      <c r="AG1874" s="49">
        <f t="shared" si="418"/>
        <v>0</v>
      </c>
      <c r="AH1874" s="55">
        <f t="shared" si="419"/>
        <v>0</v>
      </c>
    </row>
    <row r="1875" spans="1:34" x14ac:dyDescent="0.2">
      <c r="A1875" s="48" t="s">
        <v>1496</v>
      </c>
      <c r="B1875" s="48">
        <v>1</v>
      </c>
      <c r="C1875" s="48" t="s">
        <v>1474</v>
      </c>
      <c r="D1875" s="48" t="s">
        <v>1444</v>
      </c>
      <c r="E1875" s="48" t="s">
        <v>309</v>
      </c>
      <c r="F1875" s="48" t="s">
        <v>280</v>
      </c>
      <c r="G1875" s="48" t="s">
        <v>298</v>
      </c>
      <c r="H1875" s="48" t="s">
        <v>70</v>
      </c>
      <c r="I1875" s="48" t="s">
        <v>110</v>
      </c>
      <c r="J1875" s="49">
        <v>9</v>
      </c>
      <c r="K1875" s="50">
        <v>113335</v>
      </c>
      <c r="L1875" s="50">
        <v>111798.57</v>
      </c>
      <c r="M1875" s="48" t="s">
        <v>276</v>
      </c>
      <c r="N1875" s="51">
        <v>83.5</v>
      </c>
      <c r="O1875" s="51">
        <v>84.964699999999993</v>
      </c>
      <c r="P1875" s="52">
        <v>1136.8599999999999</v>
      </c>
      <c r="Q1875" s="52">
        <v>1156.8599999999999</v>
      </c>
      <c r="R1875" s="53" t="str">
        <f>INDEX(SKU_Master!$D$5:$D$34,MATCH($I1875,SKU_Master!$A$5:$A$34,0))</f>
        <v>Laptop</v>
      </c>
      <c r="S1875" s="54">
        <f t="shared" si="406"/>
        <v>1.3556535933295089E-2</v>
      </c>
      <c r="T1875" s="55">
        <f t="shared" si="407"/>
        <v>12215.748502994013</v>
      </c>
      <c r="U1875" s="55">
        <f t="shared" si="408"/>
        <v>12050.14526946108</v>
      </c>
      <c r="V1875" s="55">
        <f t="shared" si="409"/>
        <v>-165.60323353293279</v>
      </c>
      <c r="W1875" s="55">
        <f t="shared" si="410"/>
        <v>11842.413731820394</v>
      </c>
      <c r="X1875" s="55">
        <f t="shared" si="411"/>
        <v>-207.73153764068593</v>
      </c>
      <c r="Y1875" s="55">
        <f t="shared" si="412"/>
        <v>10231.74</v>
      </c>
      <c r="Z1875" s="55">
        <f t="shared" si="413"/>
        <v>10411.74</v>
      </c>
      <c r="AA1875" s="55">
        <f t="shared" si="414"/>
        <v>-180</v>
      </c>
      <c r="AB1875" s="55">
        <f t="shared" si="415"/>
        <v>1430.6737318203941</v>
      </c>
      <c r="AC1875" s="54">
        <f t="shared" si="416"/>
        <v>0.12080930156798986</v>
      </c>
      <c r="AD1875" s="56">
        <f>INDEX(Assumptions!$B$14:$B$16,MATCH($R1875,Assumptions!$A$14:$A$16,0))</f>
        <v>0.12</v>
      </c>
      <c r="AE1875" s="56">
        <f>INDEX(Assumptions!$C$14:$C$16,MATCH($R1875,Assumptions!$A$14:$A$16,0))</f>
        <v>0.08</v>
      </c>
      <c r="AF1875" s="49">
        <f t="shared" si="417"/>
        <v>0</v>
      </c>
      <c r="AG1875" s="49">
        <f t="shared" si="418"/>
        <v>0</v>
      </c>
      <c r="AH1875" s="55">
        <f t="shared" si="419"/>
        <v>0</v>
      </c>
    </row>
    <row r="1876" spans="1:34" x14ac:dyDescent="0.2">
      <c r="A1876" s="48" t="s">
        <v>1496</v>
      </c>
      <c r="B1876" s="48">
        <v>2</v>
      </c>
      <c r="C1876" s="48" t="s">
        <v>1474</v>
      </c>
      <c r="D1876" s="48" t="s">
        <v>1444</v>
      </c>
      <c r="E1876" s="48" t="s">
        <v>309</v>
      </c>
      <c r="F1876" s="48" t="s">
        <v>280</v>
      </c>
      <c r="G1876" s="48" t="s">
        <v>298</v>
      </c>
      <c r="H1876" s="48" t="s">
        <v>70</v>
      </c>
      <c r="I1876" s="48" t="s">
        <v>135</v>
      </c>
      <c r="J1876" s="49">
        <v>8</v>
      </c>
      <c r="K1876" s="50">
        <v>26950</v>
      </c>
      <c r="L1876" s="50">
        <v>26304.57</v>
      </c>
      <c r="M1876" s="48" t="s">
        <v>276</v>
      </c>
      <c r="N1876" s="51">
        <v>83.5</v>
      </c>
      <c r="O1876" s="51">
        <v>84.964699999999993</v>
      </c>
      <c r="P1876" s="52">
        <v>249.49</v>
      </c>
      <c r="Q1876" s="52">
        <v>269.49</v>
      </c>
      <c r="R1876" s="53" t="str">
        <f>INDEX(SKU_Master!$D$5:$D$34,MATCH($I1876,SKU_Master!$A$5:$A$34,0))</f>
        <v>Monitor</v>
      </c>
      <c r="S1876" s="54">
        <f t="shared" si="406"/>
        <v>2.3949165120593752E-2</v>
      </c>
      <c r="T1876" s="55">
        <f t="shared" si="407"/>
        <v>2582.0359281437127</v>
      </c>
      <c r="U1876" s="55">
        <f t="shared" si="408"/>
        <v>2520.1983233532933</v>
      </c>
      <c r="V1876" s="55">
        <f t="shared" si="409"/>
        <v>-61.837604790419391</v>
      </c>
      <c r="W1876" s="55">
        <f t="shared" si="410"/>
        <v>2476.7528161695386</v>
      </c>
      <c r="X1876" s="55">
        <f t="shared" si="411"/>
        <v>-43.445507183754671</v>
      </c>
      <c r="Y1876" s="55">
        <f t="shared" si="412"/>
        <v>1995.92</v>
      </c>
      <c r="Z1876" s="55">
        <f t="shared" si="413"/>
        <v>2155.92</v>
      </c>
      <c r="AA1876" s="55">
        <f t="shared" si="414"/>
        <v>-160</v>
      </c>
      <c r="AB1876" s="55">
        <f t="shared" si="415"/>
        <v>320.83281616953855</v>
      </c>
      <c r="AC1876" s="54">
        <f t="shared" si="416"/>
        <v>0.12953768098090937</v>
      </c>
      <c r="AD1876" s="56">
        <f>INDEX(Assumptions!$B$14:$B$16,MATCH($R1876,Assumptions!$A$14:$A$16,0))</f>
        <v>0.18</v>
      </c>
      <c r="AE1876" s="56">
        <f>INDEX(Assumptions!$C$14:$C$16,MATCH($R1876,Assumptions!$A$14:$A$16,0))</f>
        <v>0.12</v>
      </c>
      <c r="AF1876" s="49">
        <f t="shared" si="417"/>
        <v>0</v>
      </c>
      <c r="AG1876" s="49">
        <f t="shared" si="418"/>
        <v>0</v>
      </c>
      <c r="AH1876" s="55">
        <f t="shared" si="419"/>
        <v>124.9826907409784</v>
      </c>
    </row>
    <row r="1877" spans="1:34" x14ac:dyDescent="0.2">
      <c r="A1877" s="48" t="s">
        <v>1496</v>
      </c>
      <c r="B1877" s="48">
        <v>3</v>
      </c>
      <c r="C1877" s="48" t="s">
        <v>1474</v>
      </c>
      <c r="D1877" s="48" t="s">
        <v>1444</v>
      </c>
      <c r="E1877" s="48" t="s">
        <v>309</v>
      </c>
      <c r="F1877" s="48" t="s">
        <v>280</v>
      </c>
      <c r="G1877" s="48" t="s">
        <v>298</v>
      </c>
      <c r="H1877" s="48" t="s">
        <v>70</v>
      </c>
      <c r="I1877" s="48" t="s">
        <v>161</v>
      </c>
      <c r="J1877" s="49">
        <v>9</v>
      </c>
      <c r="K1877" s="50">
        <v>12195</v>
      </c>
      <c r="L1877" s="50">
        <v>11652.84</v>
      </c>
      <c r="M1877" s="48" t="s">
        <v>276</v>
      </c>
      <c r="N1877" s="51">
        <v>83.5</v>
      </c>
      <c r="O1877" s="51">
        <v>84.964699999999993</v>
      </c>
      <c r="P1877" s="52">
        <v>92.7</v>
      </c>
      <c r="Q1877" s="52">
        <v>97.7</v>
      </c>
      <c r="R1877" s="53" t="str">
        <f>INDEX(SKU_Master!$D$5:$D$34,MATCH($I1877,SKU_Master!$A$5:$A$34,0))</f>
        <v>Accessory</v>
      </c>
      <c r="S1877" s="54">
        <f t="shared" si="406"/>
        <v>4.4457564575645758E-2</v>
      </c>
      <c r="T1877" s="55">
        <f t="shared" si="407"/>
        <v>1314.4311377245508</v>
      </c>
      <c r="U1877" s="55">
        <f t="shared" si="408"/>
        <v>1255.9947305389221</v>
      </c>
      <c r="V1877" s="55">
        <f t="shared" si="409"/>
        <v>-58.436407185628696</v>
      </c>
      <c r="W1877" s="55">
        <f t="shared" si="410"/>
        <v>1234.3427329232022</v>
      </c>
      <c r="X1877" s="55">
        <f t="shared" si="411"/>
        <v>-21.651997615719893</v>
      </c>
      <c r="Y1877" s="55">
        <f t="shared" si="412"/>
        <v>834.30000000000007</v>
      </c>
      <c r="Z1877" s="55">
        <f t="shared" si="413"/>
        <v>879.30000000000007</v>
      </c>
      <c r="AA1877" s="55">
        <f t="shared" si="414"/>
        <v>-45</v>
      </c>
      <c r="AB1877" s="55">
        <f t="shared" si="415"/>
        <v>355.04273292320215</v>
      </c>
      <c r="AC1877" s="54">
        <f t="shared" si="416"/>
        <v>0.28763707473886191</v>
      </c>
      <c r="AD1877" s="56">
        <f>INDEX(Assumptions!$B$14:$B$16,MATCH($R1877,Assumptions!$A$14:$A$16,0))</f>
        <v>0.32</v>
      </c>
      <c r="AE1877" s="56">
        <f>INDEX(Assumptions!$C$14:$C$16,MATCH($R1877,Assumptions!$A$14:$A$16,0))</f>
        <v>0.22</v>
      </c>
      <c r="AF1877" s="49">
        <f t="shared" si="417"/>
        <v>0</v>
      </c>
      <c r="AG1877" s="49">
        <f t="shared" si="418"/>
        <v>0</v>
      </c>
      <c r="AH1877" s="55">
        <f t="shared" si="419"/>
        <v>39.946941612222588</v>
      </c>
    </row>
    <row r="1878" spans="1:34" x14ac:dyDescent="0.2">
      <c r="A1878" s="48" t="s">
        <v>1497</v>
      </c>
      <c r="B1878" s="48">
        <v>1</v>
      </c>
      <c r="C1878" s="48" t="s">
        <v>1498</v>
      </c>
      <c r="D1878" s="48" t="s">
        <v>1444</v>
      </c>
      <c r="E1878" s="48" t="s">
        <v>346</v>
      </c>
      <c r="F1878" s="48" t="s">
        <v>297</v>
      </c>
      <c r="G1878" s="48" t="s">
        <v>302</v>
      </c>
      <c r="H1878" s="48" t="s">
        <v>62</v>
      </c>
      <c r="I1878" s="48" t="s">
        <v>110</v>
      </c>
      <c r="J1878" s="49">
        <v>32</v>
      </c>
      <c r="K1878" s="50">
        <v>1165</v>
      </c>
      <c r="L1878" s="50">
        <v>1119.78</v>
      </c>
      <c r="M1878" s="48" t="s">
        <v>276</v>
      </c>
      <c r="N1878" s="51">
        <v>1</v>
      </c>
      <c r="O1878" s="51">
        <v>1</v>
      </c>
      <c r="P1878" s="52">
        <v>992.65</v>
      </c>
      <c r="Q1878" s="52">
        <v>992.65</v>
      </c>
      <c r="R1878" s="53" t="str">
        <f>INDEX(SKU_Master!$D$5:$D$34,MATCH($I1878,SKU_Master!$A$5:$A$34,0))</f>
        <v>Laptop</v>
      </c>
      <c r="S1878" s="54">
        <f t="shared" si="406"/>
        <v>3.8815450643776894E-2</v>
      </c>
      <c r="T1878" s="55">
        <f t="shared" si="407"/>
        <v>37280</v>
      </c>
      <c r="U1878" s="55">
        <f t="shared" si="408"/>
        <v>35832.959999999999</v>
      </c>
      <c r="V1878" s="55">
        <f t="shared" si="409"/>
        <v>-1447.0400000000009</v>
      </c>
      <c r="W1878" s="55">
        <f t="shared" si="410"/>
        <v>35832.959999999999</v>
      </c>
      <c r="X1878" s="55">
        <f t="shared" si="411"/>
        <v>0</v>
      </c>
      <c r="Y1878" s="55">
        <f t="shared" si="412"/>
        <v>31764.799999999999</v>
      </c>
      <c r="Z1878" s="55">
        <f t="shared" si="413"/>
        <v>31764.799999999999</v>
      </c>
      <c r="AA1878" s="55">
        <f t="shared" si="414"/>
        <v>0</v>
      </c>
      <c r="AB1878" s="55">
        <f t="shared" si="415"/>
        <v>4068.16</v>
      </c>
      <c r="AC1878" s="54">
        <f t="shared" si="416"/>
        <v>0.11353122934862205</v>
      </c>
      <c r="AD1878" s="56">
        <f>INDEX(Assumptions!$B$14:$B$16,MATCH($R1878,Assumptions!$A$14:$A$16,0))</f>
        <v>0.12</v>
      </c>
      <c r="AE1878" s="56">
        <f>INDEX(Assumptions!$C$14:$C$16,MATCH($R1878,Assumptions!$A$14:$A$16,0))</f>
        <v>0.08</v>
      </c>
      <c r="AF1878" s="49">
        <f t="shared" si="417"/>
        <v>0</v>
      </c>
      <c r="AG1878" s="49">
        <f t="shared" si="418"/>
        <v>0</v>
      </c>
      <c r="AH1878" s="55">
        <f t="shared" si="419"/>
        <v>231.79519999999957</v>
      </c>
    </row>
    <row r="1879" spans="1:34" x14ac:dyDescent="0.2">
      <c r="A1879" s="48" t="s">
        <v>1497</v>
      </c>
      <c r="B1879" s="48">
        <v>2</v>
      </c>
      <c r="C1879" s="48" t="s">
        <v>1498</v>
      </c>
      <c r="D1879" s="48" t="s">
        <v>1444</v>
      </c>
      <c r="E1879" s="48" t="s">
        <v>346</v>
      </c>
      <c r="F1879" s="48" t="s">
        <v>297</v>
      </c>
      <c r="G1879" s="48" t="s">
        <v>302</v>
      </c>
      <c r="H1879" s="48" t="s">
        <v>62</v>
      </c>
      <c r="I1879" s="48" t="s">
        <v>135</v>
      </c>
      <c r="J1879" s="49">
        <v>24</v>
      </c>
      <c r="K1879" s="50">
        <v>240</v>
      </c>
      <c r="L1879" s="50">
        <v>230.41</v>
      </c>
      <c r="M1879" s="48" t="s">
        <v>276</v>
      </c>
      <c r="N1879" s="51">
        <v>1</v>
      </c>
      <c r="O1879" s="51">
        <v>1</v>
      </c>
      <c r="P1879" s="52">
        <v>186.7</v>
      </c>
      <c r="Q1879" s="52">
        <v>186.7</v>
      </c>
      <c r="R1879" s="53" t="str">
        <f>INDEX(SKU_Master!$D$5:$D$34,MATCH($I1879,SKU_Master!$A$5:$A$34,0))</f>
        <v>Monitor</v>
      </c>
      <c r="S1879" s="54">
        <f t="shared" si="406"/>
        <v>3.9958333333333318E-2</v>
      </c>
      <c r="T1879" s="55">
        <f t="shared" si="407"/>
        <v>5760</v>
      </c>
      <c r="U1879" s="55">
        <f t="shared" si="408"/>
        <v>5529.84</v>
      </c>
      <c r="V1879" s="55">
        <f t="shared" si="409"/>
        <v>-230.15999999999985</v>
      </c>
      <c r="W1879" s="55">
        <f t="shared" si="410"/>
        <v>5529.84</v>
      </c>
      <c r="X1879" s="55">
        <f t="shared" si="411"/>
        <v>0</v>
      </c>
      <c r="Y1879" s="55">
        <f t="shared" si="412"/>
        <v>4480.7999999999993</v>
      </c>
      <c r="Z1879" s="55">
        <f t="shared" si="413"/>
        <v>4480.7999999999993</v>
      </c>
      <c r="AA1879" s="55">
        <f t="shared" si="414"/>
        <v>0</v>
      </c>
      <c r="AB1879" s="55">
        <f t="shared" si="415"/>
        <v>1049.0400000000009</v>
      </c>
      <c r="AC1879" s="54">
        <f t="shared" si="416"/>
        <v>0.18970530792934351</v>
      </c>
      <c r="AD1879" s="56">
        <f>INDEX(Assumptions!$B$14:$B$16,MATCH($R1879,Assumptions!$A$14:$A$16,0))</f>
        <v>0.18</v>
      </c>
      <c r="AE1879" s="56">
        <f>INDEX(Assumptions!$C$14:$C$16,MATCH($R1879,Assumptions!$A$14:$A$16,0))</f>
        <v>0.12</v>
      </c>
      <c r="AF1879" s="49">
        <f t="shared" si="417"/>
        <v>0</v>
      </c>
      <c r="AG1879" s="49">
        <f t="shared" si="418"/>
        <v>0</v>
      </c>
      <c r="AH1879" s="55">
        <f t="shared" si="419"/>
        <v>0</v>
      </c>
    </row>
    <row r="1880" spans="1:34" x14ac:dyDescent="0.2">
      <c r="A1880" s="48" t="s">
        <v>1497</v>
      </c>
      <c r="B1880" s="48">
        <v>3</v>
      </c>
      <c r="C1880" s="48" t="s">
        <v>1498</v>
      </c>
      <c r="D1880" s="48" t="s">
        <v>1444</v>
      </c>
      <c r="E1880" s="48" t="s">
        <v>346</v>
      </c>
      <c r="F1880" s="48" t="s">
        <v>297</v>
      </c>
      <c r="G1880" s="48" t="s">
        <v>302</v>
      </c>
      <c r="H1880" s="48" t="s">
        <v>62</v>
      </c>
      <c r="I1880" s="48" t="s">
        <v>157</v>
      </c>
      <c r="J1880" s="49">
        <v>28</v>
      </c>
      <c r="K1880" s="50">
        <v>135</v>
      </c>
      <c r="L1880" s="50">
        <v>131.77000000000001</v>
      </c>
      <c r="M1880" s="48" t="s">
        <v>276</v>
      </c>
      <c r="N1880" s="51">
        <v>1</v>
      </c>
      <c r="O1880" s="51">
        <v>1</v>
      </c>
      <c r="P1880" s="52">
        <v>86</v>
      </c>
      <c r="Q1880" s="52">
        <v>86</v>
      </c>
      <c r="R1880" s="53" t="str">
        <f>INDEX(SKU_Master!$D$5:$D$34,MATCH($I1880,SKU_Master!$A$5:$A$34,0))</f>
        <v>Accessory</v>
      </c>
      <c r="S1880" s="54">
        <f t="shared" si="406"/>
        <v>2.3925925925925795E-2</v>
      </c>
      <c r="T1880" s="55">
        <f t="shared" si="407"/>
        <v>3780</v>
      </c>
      <c r="U1880" s="55">
        <f t="shared" si="408"/>
        <v>3689.5600000000004</v>
      </c>
      <c r="V1880" s="55">
        <f t="shared" si="409"/>
        <v>-90.4399999999996</v>
      </c>
      <c r="W1880" s="55">
        <f t="shared" si="410"/>
        <v>3689.5600000000004</v>
      </c>
      <c r="X1880" s="55">
        <f t="shared" si="411"/>
        <v>0</v>
      </c>
      <c r="Y1880" s="55">
        <f t="shared" si="412"/>
        <v>2408</v>
      </c>
      <c r="Z1880" s="55">
        <f t="shared" si="413"/>
        <v>2408</v>
      </c>
      <c r="AA1880" s="55">
        <f t="shared" si="414"/>
        <v>0</v>
      </c>
      <c r="AB1880" s="55">
        <f t="shared" si="415"/>
        <v>1281.5600000000004</v>
      </c>
      <c r="AC1880" s="54">
        <f t="shared" si="416"/>
        <v>0.34734765121044253</v>
      </c>
      <c r="AD1880" s="56">
        <f>INDEX(Assumptions!$B$14:$B$16,MATCH($R1880,Assumptions!$A$14:$A$16,0))</f>
        <v>0.32</v>
      </c>
      <c r="AE1880" s="56">
        <f>INDEX(Assumptions!$C$14:$C$16,MATCH($R1880,Assumptions!$A$14:$A$16,0))</f>
        <v>0.22</v>
      </c>
      <c r="AF1880" s="49">
        <f t="shared" si="417"/>
        <v>0</v>
      </c>
      <c r="AG1880" s="49">
        <f t="shared" si="418"/>
        <v>0</v>
      </c>
      <c r="AH1880" s="55">
        <f t="shared" si="419"/>
        <v>0</v>
      </c>
    </row>
    <row r="1881" spans="1:34" x14ac:dyDescent="0.2">
      <c r="A1881" s="48" t="s">
        <v>1499</v>
      </c>
      <c r="B1881" s="48">
        <v>1</v>
      </c>
      <c r="C1881" s="48" t="s">
        <v>1500</v>
      </c>
      <c r="D1881" s="48" t="s">
        <v>1444</v>
      </c>
      <c r="E1881" s="48" t="s">
        <v>336</v>
      </c>
      <c r="F1881" s="48" t="s">
        <v>274</v>
      </c>
      <c r="G1881" s="48" t="s">
        <v>288</v>
      </c>
      <c r="H1881" s="48" t="s">
        <v>62</v>
      </c>
      <c r="I1881" s="48" t="s">
        <v>110</v>
      </c>
      <c r="J1881" s="49">
        <v>4</v>
      </c>
      <c r="K1881" s="50">
        <v>1165</v>
      </c>
      <c r="L1881" s="50">
        <v>1149.6400000000001</v>
      </c>
      <c r="M1881" s="48" t="s">
        <v>276</v>
      </c>
      <c r="N1881" s="51">
        <v>1</v>
      </c>
      <c r="O1881" s="51">
        <v>1</v>
      </c>
      <c r="P1881" s="52">
        <v>992.65</v>
      </c>
      <c r="Q1881" s="52">
        <v>992.65</v>
      </c>
      <c r="R1881" s="53" t="str">
        <f>INDEX(SKU_Master!$D$5:$D$34,MATCH($I1881,SKU_Master!$A$5:$A$34,0))</f>
        <v>Laptop</v>
      </c>
      <c r="S1881" s="54">
        <f t="shared" si="406"/>
        <v>1.3184549356223041E-2</v>
      </c>
      <c r="T1881" s="55">
        <f t="shared" si="407"/>
        <v>4660</v>
      </c>
      <c r="U1881" s="55">
        <f t="shared" si="408"/>
        <v>4598.5600000000004</v>
      </c>
      <c r="V1881" s="55">
        <f t="shared" si="409"/>
        <v>-61.4399999999996</v>
      </c>
      <c r="W1881" s="55">
        <f t="shared" si="410"/>
        <v>4598.5600000000004</v>
      </c>
      <c r="X1881" s="55">
        <f t="shared" si="411"/>
        <v>0</v>
      </c>
      <c r="Y1881" s="55">
        <f t="shared" si="412"/>
        <v>3970.6</v>
      </c>
      <c r="Z1881" s="55">
        <f t="shared" si="413"/>
        <v>3970.6</v>
      </c>
      <c r="AA1881" s="55">
        <f t="shared" si="414"/>
        <v>0</v>
      </c>
      <c r="AB1881" s="55">
        <f t="shared" si="415"/>
        <v>627.96000000000049</v>
      </c>
      <c r="AC1881" s="54">
        <f t="shared" si="416"/>
        <v>0.13655579137817064</v>
      </c>
      <c r="AD1881" s="56">
        <f>INDEX(Assumptions!$B$14:$B$16,MATCH($R1881,Assumptions!$A$14:$A$16,0))</f>
        <v>0.12</v>
      </c>
      <c r="AE1881" s="56">
        <f>INDEX(Assumptions!$C$14:$C$16,MATCH($R1881,Assumptions!$A$14:$A$16,0))</f>
        <v>0.08</v>
      </c>
      <c r="AF1881" s="49">
        <f t="shared" si="417"/>
        <v>0</v>
      </c>
      <c r="AG1881" s="49">
        <f t="shared" si="418"/>
        <v>0</v>
      </c>
      <c r="AH1881" s="55">
        <f t="shared" si="419"/>
        <v>0</v>
      </c>
    </row>
    <row r="1882" spans="1:34" x14ac:dyDescent="0.2">
      <c r="A1882" s="48" t="s">
        <v>1499</v>
      </c>
      <c r="B1882" s="48">
        <v>2</v>
      </c>
      <c r="C1882" s="48" t="s">
        <v>1500</v>
      </c>
      <c r="D1882" s="48" t="s">
        <v>1444</v>
      </c>
      <c r="E1882" s="48" t="s">
        <v>336</v>
      </c>
      <c r="F1882" s="48" t="s">
        <v>274</v>
      </c>
      <c r="G1882" s="48" t="s">
        <v>288</v>
      </c>
      <c r="H1882" s="48" t="s">
        <v>62</v>
      </c>
      <c r="I1882" s="48" t="s">
        <v>157</v>
      </c>
      <c r="J1882" s="49">
        <v>4</v>
      </c>
      <c r="K1882" s="50">
        <v>135</v>
      </c>
      <c r="L1882" s="50">
        <v>132.61000000000001</v>
      </c>
      <c r="M1882" s="48" t="s">
        <v>276</v>
      </c>
      <c r="N1882" s="51">
        <v>1</v>
      </c>
      <c r="O1882" s="51">
        <v>1</v>
      </c>
      <c r="P1882" s="52">
        <v>86</v>
      </c>
      <c r="Q1882" s="52">
        <v>86</v>
      </c>
      <c r="R1882" s="53" t="str">
        <f>INDEX(SKU_Master!$D$5:$D$34,MATCH($I1882,SKU_Master!$A$5:$A$34,0))</f>
        <v>Accessory</v>
      </c>
      <c r="S1882" s="54">
        <f t="shared" si="406"/>
        <v>1.7703703703703555E-2</v>
      </c>
      <c r="T1882" s="55">
        <f t="shared" si="407"/>
        <v>540</v>
      </c>
      <c r="U1882" s="55">
        <f t="shared" si="408"/>
        <v>530.44000000000005</v>
      </c>
      <c r="V1882" s="55">
        <f t="shared" si="409"/>
        <v>-9.5599999999999454</v>
      </c>
      <c r="W1882" s="55">
        <f t="shared" si="410"/>
        <v>530.44000000000005</v>
      </c>
      <c r="X1882" s="55">
        <f t="shared" si="411"/>
        <v>0</v>
      </c>
      <c r="Y1882" s="55">
        <f t="shared" si="412"/>
        <v>344</v>
      </c>
      <c r="Z1882" s="55">
        <f t="shared" si="413"/>
        <v>344</v>
      </c>
      <c r="AA1882" s="55">
        <f t="shared" si="414"/>
        <v>0</v>
      </c>
      <c r="AB1882" s="55">
        <f t="shared" si="415"/>
        <v>186.44000000000005</v>
      </c>
      <c r="AC1882" s="54">
        <f t="shared" si="416"/>
        <v>0.35148178870371771</v>
      </c>
      <c r="AD1882" s="56">
        <f>INDEX(Assumptions!$B$14:$B$16,MATCH($R1882,Assumptions!$A$14:$A$16,0))</f>
        <v>0.32</v>
      </c>
      <c r="AE1882" s="56">
        <f>INDEX(Assumptions!$C$14:$C$16,MATCH($R1882,Assumptions!$A$14:$A$16,0))</f>
        <v>0.22</v>
      </c>
      <c r="AF1882" s="49">
        <f t="shared" si="417"/>
        <v>0</v>
      </c>
      <c r="AG1882" s="49">
        <f t="shared" si="418"/>
        <v>0</v>
      </c>
      <c r="AH1882" s="55">
        <f t="shared" si="419"/>
        <v>0</v>
      </c>
    </row>
    <row r="1883" spans="1:34" x14ac:dyDescent="0.2">
      <c r="A1883" s="48" t="s">
        <v>1501</v>
      </c>
      <c r="B1883" s="48">
        <v>1</v>
      </c>
      <c r="C1883" s="48" t="s">
        <v>1483</v>
      </c>
      <c r="D1883" s="48" t="s">
        <v>1444</v>
      </c>
      <c r="E1883" s="48" t="s">
        <v>301</v>
      </c>
      <c r="F1883" s="48" t="s">
        <v>274</v>
      </c>
      <c r="G1883" s="48" t="s">
        <v>302</v>
      </c>
      <c r="H1883" s="48" t="s">
        <v>62</v>
      </c>
      <c r="I1883" s="48" t="s">
        <v>108</v>
      </c>
      <c r="J1883" s="49">
        <v>6</v>
      </c>
      <c r="K1883" s="50">
        <v>1345</v>
      </c>
      <c r="L1883" s="50">
        <v>1332.16</v>
      </c>
      <c r="M1883" s="48" t="s">
        <v>276</v>
      </c>
      <c r="N1883" s="51">
        <v>1</v>
      </c>
      <c r="O1883" s="51">
        <v>1</v>
      </c>
      <c r="P1883" s="52">
        <v>1145</v>
      </c>
      <c r="Q1883" s="52">
        <v>1212.6199999999999</v>
      </c>
      <c r="R1883" s="53" t="str">
        <f>INDEX(SKU_Master!$D$5:$D$34,MATCH($I1883,SKU_Master!$A$5:$A$34,0))</f>
        <v>Laptop</v>
      </c>
      <c r="S1883" s="54">
        <f t="shared" si="406"/>
        <v>9.5464684014868739E-3</v>
      </c>
      <c r="T1883" s="55">
        <f t="shared" si="407"/>
        <v>8070</v>
      </c>
      <c r="U1883" s="55">
        <f t="shared" si="408"/>
        <v>7992.9600000000009</v>
      </c>
      <c r="V1883" s="55">
        <f t="shared" si="409"/>
        <v>-77.039999999999054</v>
      </c>
      <c r="W1883" s="55">
        <f t="shared" si="410"/>
        <v>7992.9600000000009</v>
      </c>
      <c r="X1883" s="55">
        <f t="shared" si="411"/>
        <v>0</v>
      </c>
      <c r="Y1883" s="55">
        <f t="shared" si="412"/>
        <v>6870</v>
      </c>
      <c r="Z1883" s="55">
        <f t="shared" si="413"/>
        <v>7275.7199999999993</v>
      </c>
      <c r="AA1883" s="55">
        <f t="shared" si="414"/>
        <v>-405.71999999999935</v>
      </c>
      <c r="AB1883" s="55">
        <f t="shared" si="415"/>
        <v>717.2400000000016</v>
      </c>
      <c r="AC1883" s="54">
        <f t="shared" si="416"/>
        <v>8.9733965889983378E-2</v>
      </c>
      <c r="AD1883" s="56">
        <f>INDEX(Assumptions!$B$14:$B$16,MATCH($R1883,Assumptions!$A$14:$A$16,0))</f>
        <v>0.12</v>
      </c>
      <c r="AE1883" s="56">
        <f>INDEX(Assumptions!$C$14:$C$16,MATCH($R1883,Assumptions!$A$14:$A$16,0))</f>
        <v>0.08</v>
      </c>
      <c r="AF1883" s="49">
        <f t="shared" si="417"/>
        <v>0</v>
      </c>
      <c r="AG1883" s="49">
        <f t="shared" si="418"/>
        <v>0</v>
      </c>
      <c r="AH1883" s="55">
        <f t="shared" si="419"/>
        <v>241.91519999999844</v>
      </c>
    </row>
    <row r="1884" spans="1:34" x14ac:dyDescent="0.2">
      <c r="A1884" s="48" t="s">
        <v>1501</v>
      </c>
      <c r="B1884" s="48">
        <v>2</v>
      </c>
      <c r="C1884" s="48" t="s">
        <v>1483</v>
      </c>
      <c r="D1884" s="48" t="s">
        <v>1444</v>
      </c>
      <c r="E1884" s="48" t="s">
        <v>301</v>
      </c>
      <c r="F1884" s="48" t="s">
        <v>274</v>
      </c>
      <c r="G1884" s="48" t="s">
        <v>302</v>
      </c>
      <c r="H1884" s="48" t="s">
        <v>62</v>
      </c>
      <c r="I1884" s="48" t="s">
        <v>135</v>
      </c>
      <c r="J1884" s="49">
        <v>4</v>
      </c>
      <c r="K1884" s="50">
        <v>240</v>
      </c>
      <c r="L1884" s="50">
        <v>233.43</v>
      </c>
      <c r="M1884" s="48" t="s">
        <v>276</v>
      </c>
      <c r="N1884" s="51">
        <v>1</v>
      </c>
      <c r="O1884" s="51">
        <v>1</v>
      </c>
      <c r="P1884" s="52">
        <v>186.7</v>
      </c>
      <c r="Q1884" s="52">
        <v>186.7</v>
      </c>
      <c r="R1884" s="53" t="str">
        <f>INDEX(SKU_Master!$D$5:$D$34,MATCH($I1884,SKU_Master!$A$5:$A$34,0))</f>
        <v>Monitor</v>
      </c>
      <c r="S1884" s="54">
        <f t="shared" si="406"/>
        <v>2.7374999999999927E-2</v>
      </c>
      <c r="T1884" s="55">
        <f t="shared" si="407"/>
        <v>960</v>
      </c>
      <c r="U1884" s="55">
        <f t="shared" si="408"/>
        <v>933.72</v>
      </c>
      <c r="V1884" s="55">
        <f t="shared" si="409"/>
        <v>-26.279999999999973</v>
      </c>
      <c r="W1884" s="55">
        <f t="shared" si="410"/>
        <v>933.72</v>
      </c>
      <c r="X1884" s="55">
        <f t="shared" si="411"/>
        <v>0</v>
      </c>
      <c r="Y1884" s="55">
        <f t="shared" si="412"/>
        <v>746.8</v>
      </c>
      <c r="Z1884" s="55">
        <f t="shared" si="413"/>
        <v>746.8</v>
      </c>
      <c r="AA1884" s="55">
        <f t="shared" si="414"/>
        <v>0</v>
      </c>
      <c r="AB1884" s="55">
        <f t="shared" si="415"/>
        <v>186.92000000000007</v>
      </c>
      <c r="AC1884" s="54">
        <f t="shared" si="416"/>
        <v>0.20018849333847413</v>
      </c>
      <c r="AD1884" s="56">
        <f>INDEX(Assumptions!$B$14:$B$16,MATCH($R1884,Assumptions!$A$14:$A$16,0))</f>
        <v>0.18</v>
      </c>
      <c r="AE1884" s="56">
        <f>INDEX(Assumptions!$C$14:$C$16,MATCH($R1884,Assumptions!$A$14:$A$16,0))</f>
        <v>0.12</v>
      </c>
      <c r="AF1884" s="49">
        <f t="shared" si="417"/>
        <v>0</v>
      </c>
      <c r="AG1884" s="49">
        <f t="shared" si="418"/>
        <v>0</v>
      </c>
      <c r="AH1884" s="55">
        <f t="shared" si="419"/>
        <v>0</v>
      </c>
    </row>
    <row r="1885" spans="1:34" x14ac:dyDescent="0.2">
      <c r="A1885" s="48" t="s">
        <v>1502</v>
      </c>
      <c r="B1885" s="48">
        <v>1</v>
      </c>
      <c r="C1885" s="48" t="s">
        <v>1450</v>
      </c>
      <c r="D1885" s="48" t="s">
        <v>1444</v>
      </c>
      <c r="E1885" s="48" t="s">
        <v>397</v>
      </c>
      <c r="F1885" s="48" t="s">
        <v>280</v>
      </c>
      <c r="G1885" s="48" t="s">
        <v>306</v>
      </c>
      <c r="H1885" s="48" t="s">
        <v>70</v>
      </c>
      <c r="I1885" s="48" t="s">
        <v>93</v>
      </c>
      <c r="J1885" s="49">
        <v>10</v>
      </c>
      <c r="K1885" s="50">
        <v>134750</v>
      </c>
      <c r="L1885" s="50">
        <v>129683.62</v>
      </c>
      <c r="M1885" s="48" t="s">
        <v>276</v>
      </c>
      <c r="N1885" s="51">
        <v>83.5</v>
      </c>
      <c r="O1885" s="51">
        <v>84.964699999999993</v>
      </c>
      <c r="P1885" s="52">
        <v>1351.7</v>
      </c>
      <c r="Q1885" s="52">
        <v>1371.7</v>
      </c>
      <c r="R1885" s="53" t="str">
        <f>INDEX(SKU_Master!$D$5:$D$34,MATCH($I1885,SKU_Master!$A$5:$A$34,0))</f>
        <v>Laptop</v>
      </c>
      <c r="S1885" s="54">
        <f t="shared" si="406"/>
        <v>3.7598367346938777E-2</v>
      </c>
      <c r="T1885" s="55">
        <f t="shared" si="407"/>
        <v>16137.724550898203</v>
      </c>
      <c r="U1885" s="55">
        <f t="shared" si="408"/>
        <v>15530.972455089819</v>
      </c>
      <c r="V1885" s="55">
        <f t="shared" si="409"/>
        <v>-606.75209580838418</v>
      </c>
      <c r="W1885" s="55">
        <f t="shared" si="410"/>
        <v>15263.23520238405</v>
      </c>
      <c r="X1885" s="55">
        <f t="shared" si="411"/>
        <v>-267.7372527057687</v>
      </c>
      <c r="Y1885" s="55">
        <f t="shared" si="412"/>
        <v>13517</v>
      </c>
      <c r="Z1885" s="55">
        <f t="shared" si="413"/>
        <v>13717</v>
      </c>
      <c r="AA1885" s="55">
        <f t="shared" si="414"/>
        <v>-200</v>
      </c>
      <c r="AB1885" s="55">
        <f t="shared" si="415"/>
        <v>1546.2352023840504</v>
      </c>
      <c r="AC1885" s="54">
        <f t="shared" si="416"/>
        <v>0.10130455187787024</v>
      </c>
      <c r="AD1885" s="56">
        <f>INDEX(Assumptions!$B$14:$B$16,MATCH($R1885,Assumptions!$A$14:$A$16,0))</f>
        <v>0.12</v>
      </c>
      <c r="AE1885" s="56">
        <f>INDEX(Assumptions!$C$14:$C$16,MATCH($R1885,Assumptions!$A$14:$A$16,0))</f>
        <v>0.08</v>
      </c>
      <c r="AF1885" s="49">
        <f t="shared" si="417"/>
        <v>0</v>
      </c>
      <c r="AG1885" s="49">
        <f t="shared" si="418"/>
        <v>0</v>
      </c>
      <c r="AH1885" s="55">
        <f t="shared" si="419"/>
        <v>285.35302190203561</v>
      </c>
    </row>
    <row r="1886" spans="1:34" x14ac:dyDescent="0.2">
      <c r="A1886" s="48" t="s">
        <v>1502</v>
      </c>
      <c r="B1886" s="48">
        <v>2</v>
      </c>
      <c r="C1886" s="48" t="s">
        <v>1450</v>
      </c>
      <c r="D1886" s="48" t="s">
        <v>1444</v>
      </c>
      <c r="E1886" s="48" t="s">
        <v>397</v>
      </c>
      <c r="F1886" s="48" t="s">
        <v>280</v>
      </c>
      <c r="G1886" s="48" t="s">
        <v>306</v>
      </c>
      <c r="H1886" s="48" t="s">
        <v>70</v>
      </c>
      <c r="I1886" s="48" t="s">
        <v>173</v>
      </c>
      <c r="J1886" s="49">
        <v>11</v>
      </c>
      <c r="K1886" s="50">
        <v>6065</v>
      </c>
      <c r="L1886" s="50">
        <v>5829.64</v>
      </c>
      <c r="M1886" s="48" t="s">
        <v>276</v>
      </c>
      <c r="N1886" s="51">
        <v>83.5</v>
      </c>
      <c r="O1886" s="51">
        <v>84.964699999999993</v>
      </c>
      <c r="P1886" s="52">
        <v>46.08</v>
      </c>
      <c r="Q1886" s="52">
        <v>51.08</v>
      </c>
      <c r="R1886" s="53" t="str">
        <f>INDEX(SKU_Master!$D$5:$D$34,MATCH($I1886,SKU_Master!$A$5:$A$34,0))</f>
        <v>Accessory</v>
      </c>
      <c r="S1886" s="54">
        <f t="shared" si="406"/>
        <v>3.8806265457543176E-2</v>
      </c>
      <c r="T1886" s="55">
        <f t="shared" si="407"/>
        <v>798.98203592814366</v>
      </c>
      <c r="U1886" s="55">
        <f t="shared" si="408"/>
        <v>767.97652694610781</v>
      </c>
      <c r="V1886" s="55">
        <f t="shared" si="409"/>
        <v>-31.005508982035849</v>
      </c>
      <c r="W1886" s="55">
        <f t="shared" si="410"/>
        <v>754.73743801837713</v>
      </c>
      <c r="X1886" s="55">
        <f t="shared" si="411"/>
        <v>-13.239088927730677</v>
      </c>
      <c r="Y1886" s="55">
        <f t="shared" si="412"/>
        <v>506.88</v>
      </c>
      <c r="Z1886" s="55">
        <f t="shared" si="413"/>
        <v>561.88</v>
      </c>
      <c r="AA1886" s="55">
        <f t="shared" si="414"/>
        <v>-55</v>
      </c>
      <c r="AB1886" s="55">
        <f t="shared" si="415"/>
        <v>192.85743801837714</v>
      </c>
      <c r="AC1886" s="54">
        <f t="shared" si="416"/>
        <v>0.25552917916029128</v>
      </c>
      <c r="AD1886" s="56">
        <f>INDEX(Assumptions!$B$14:$B$16,MATCH($R1886,Assumptions!$A$14:$A$16,0))</f>
        <v>0.32</v>
      </c>
      <c r="AE1886" s="56">
        <f>INDEX(Assumptions!$C$14:$C$16,MATCH($R1886,Assumptions!$A$14:$A$16,0))</f>
        <v>0.22</v>
      </c>
      <c r="AF1886" s="49">
        <f t="shared" si="417"/>
        <v>0</v>
      </c>
      <c r="AG1886" s="49">
        <f t="shared" si="418"/>
        <v>0</v>
      </c>
      <c r="AH1886" s="55">
        <f t="shared" si="419"/>
        <v>48.658542147503539</v>
      </c>
    </row>
    <row r="1887" spans="1:34" x14ac:dyDescent="0.2">
      <c r="A1887" s="48" t="s">
        <v>1503</v>
      </c>
      <c r="B1887" s="48">
        <v>1</v>
      </c>
      <c r="C1887" s="48" t="s">
        <v>1450</v>
      </c>
      <c r="D1887" s="48" t="s">
        <v>1444</v>
      </c>
      <c r="E1887" s="48" t="s">
        <v>407</v>
      </c>
      <c r="F1887" s="48" t="s">
        <v>274</v>
      </c>
      <c r="G1887" s="48" t="s">
        <v>302</v>
      </c>
      <c r="H1887" s="48" t="s">
        <v>62</v>
      </c>
      <c r="I1887" s="48" t="s">
        <v>101</v>
      </c>
      <c r="J1887" s="49">
        <v>6</v>
      </c>
      <c r="K1887" s="50">
        <v>3440</v>
      </c>
      <c r="L1887" s="50">
        <v>3380.6</v>
      </c>
      <c r="M1887" s="48" t="s">
        <v>276</v>
      </c>
      <c r="N1887" s="51">
        <v>1</v>
      </c>
      <c r="O1887" s="51">
        <v>1</v>
      </c>
      <c r="P1887" s="52">
        <v>2938.5</v>
      </c>
      <c r="Q1887" s="52">
        <v>2938.5</v>
      </c>
      <c r="R1887" s="53" t="str">
        <f>INDEX(SKU_Master!$D$5:$D$34,MATCH($I1887,SKU_Master!$A$5:$A$34,0))</f>
        <v>Laptop</v>
      </c>
      <c r="S1887" s="54">
        <f t="shared" si="406"/>
        <v>1.7267441860465138E-2</v>
      </c>
      <c r="T1887" s="55">
        <f t="shared" si="407"/>
        <v>20640</v>
      </c>
      <c r="U1887" s="55">
        <f t="shared" si="408"/>
        <v>20283.599999999999</v>
      </c>
      <c r="V1887" s="55">
        <f t="shared" si="409"/>
        <v>-356.40000000000146</v>
      </c>
      <c r="W1887" s="55">
        <f t="shared" si="410"/>
        <v>20283.599999999999</v>
      </c>
      <c r="X1887" s="55">
        <f t="shared" si="411"/>
        <v>0</v>
      </c>
      <c r="Y1887" s="55">
        <f t="shared" si="412"/>
        <v>17631</v>
      </c>
      <c r="Z1887" s="55">
        <f t="shared" si="413"/>
        <v>17631</v>
      </c>
      <c r="AA1887" s="55">
        <f t="shared" si="414"/>
        <v>0</v>
      </c>
      <c r="AB1887" s="55">
        <f t="shared" si="415"/>
        <v>2652.5999999999985</v>
      </c>
      <c r="AC1887" s="54">
        <f t="shared" si="416"/>
        <v>0.13077560196414831</v>
      </c>
      <c r="AD1887" s="56">
        <f>INDEX(Assumptions!$B$14:$B$16,MATCH($R1887,Assumptions!$A$14:$A$16,0))</f>
        <v>0.12</v>
      </c>
      <c r="AE1887" s="56">
        <f>INDEX(Assumptions!$C$14:$C$16,MATCH($R1887,Assumptions!$A$14:$A$16,0))</f>
        <v>0.08</v>
      </c>
      <c r="AF1887" s="49">
        <f t="shared" si="417"/>
        <v>0</v>
      </c>
      <c r="AG1887" s="49">
        <f t="shared" si="418"/>
        <v>0</v>
      </c>
      <c r="AH1887" s="55">
        <f t="shared" si="419"/>
        <v>0</v>
      </c>
    </row>
    <row r="1888" spans="1:34" x14ac:dyDescent="0.2">
      <c r="A1888" s="48" t="s">
        <v>1504</v>
      </c>
      <c r="B1888" s="48">
        <v>1</v>
      </c>
      <c r="C1888" s="48" t="s">
        <v>1443</v>
      </c>
      <c r="D1888" s="48" t="s">
        <v>1444</v>
      </c>
      <c r="E1888" s="48" t="s">
        <v>374</v>
      </c>
      <c r="F1888" s="48" t="s">
        <v>274</v>
      </c>
      <c r="G1888" s="48" t="s">
        <v>281</v>
      </c>
      <c r="H1888" s="48" t="s">
        <v>62</v>
      </c>
      <c r="I1888" s="48" t="s">
        <v>103</v>
      </c>
      <c r="J1888" s="49">
        <v>8</v>
      </c>
      <c r="K1888" s="50">
        <v>1135</v>
      </c>
      <c r="L1888" s="50">
        <v>1120.47</v>
      </c>
      <c r="M1888" s="48" t="s">
        <v>276</v>
      </c>
      <c r="N1888" s="51">
        <v>1</v>
      </c>
      <c r="O1888" s="51">
        <v>1</v>
      </c>
      <c r="P1888" s="52">
        <v>968.6</v>
      </c>
      <c r="Q1888" s="52">
        <v>968.6</v>
      </c>
      <c r="R1888" s="53" t="str">
        <f>INDEX(SKU_Master!$D$5:$D$34,MATCH($I1888,SKU_Master!$A$5:$A$34,0))</f>
        <v>Laptop</v>
      </c>
      <c r="S1888" s="54">
        <f t="shared" si="406"/>
        <v>1.2801762114537429E-2</v>
      </c>
      <c r="T1888" s="55">
        <f t="shared" si="407"/>
        <v>9080</v>
      </c>
      <c r="U1888" s="55">
        <f t="shared" si="408"/>
        <v>8963.76</v>
      </c>
      <c r="V1888" s="55">
        <f t="shared" si="409"/>
        <v>-116.23999999999978</v>
      </c>
      <c r="W1888" s="55">
        <f t="shared" si="410"/>
        <v>8963.76</v>
      </c>
      <c r="X1888" s="55">
        <f t="shared" si="411"/>
        <v>0</v>
      </c>
      <c r="Y1888" s="55">
        <f t="shared" si="412"/>
        <v>7748.8</v>
      </c>
      <c r="Z1888" s="55">
        <f t="shared" si="413"/>
        <v>7748.8</v>
      </c>
      <c r="AA1888" s="55">
        <f t="shared" si="414"/>
        <v>0</v>
      </c>
      <c r="AB1888" s="55">
        <f t="shared" si="415"/>
        <v>1214.96</v>
      </c>
      <c r="AC1888" s="54">
        <f t="shared" si="416"/>
        <v>0.13554133533249441</v>
      </c>
      <c r="AD1888" s="56">
        <f>INDEX(Assumptions!$B$14:$B$16,MATCH($R1888,Assumptions!$A$14:$A$16,0))</f>
        <v>0.12</v>
      </c>
      <c r="AE1888" s="56">
        <f>INDEX(Assumptions!$C$14:$C$16,MATCH($R1888,Assumptions!$A$14:$A$16,0))</f>
        <v>0.08</v>
      </c>
      <c r="AF1888" s="49">
        <f t="shared" si="417"/>
        <v>0</v>
      </c>
      <c r="AG1888" s="49">
        <f t="shared" si="418"/>
        <v>0</v>
      </c>
      <c r="AH1888" s="55">
        <f t="shared" si="419"/>
        <v>0</v>
      </c>
    </row>
    <row r="1889" spans="1:34" x14ac:dyDescent="0.2">
      <c r="A1889" s="48" t="s">
        <v>1504</v>
      </c>
      <c r="B1889" s="48">
        <v>2</v>
      </c>
      <c r="C1889" s="48" t="s">
        <v>1443</v>
      </c>
      <c r="D1889" s="48" t="s">
        <v>1444</v>
      </c>
      <c r="E1889" s="48" t="s">
        <v>374</v>
      </c>
      <c r="F1889" s="48" t="s">
        <v>274</v>
      </c>
      <c r="G1889" s="48" t="s">
        <v>281</v>
      </c>
      <c r="H1889" s="48" t="s">
        <v>62</v>
      </c>
      <c r="I1889" s="48" t="s">
        <v>166</v>
      </c>
      <c r="J1889" s="49">
        <v>8</v>
      </c>
      <c r="K1889" s="50">
        <v>265</v>
      </c>
      <c r="L1889" s="50">
        <v>260.36</v>
      </c>
      <c r="M1889" s="48" t="s">
        <v>276</v>
      </c>
      <c r="N1889" s="51">
        <v>1</v>
      </c>
      <c r="O1889" s="51">
        <v>1</v>
      </c>
      <c r="P1889" s="52">
        <v>169.35</v>
      </c>
      <c r="Q1889" s="52">
        <v>169.35</v>
      </c>
      <c r="R1889" s="53" t="str">
        <f>INDEX(SKU_Master!$D$5:$D$34,MATCH($I1889,SKU_Master!$A$5:$A$34,0))</f>
        <v>Accessory</v>
      </c>
      <c r="S1889" s="54">
        <f t="shared" si="406"/>
        <v>1.750943396226412E-2</v>
      </c>
      <c r="T1889" s="55">
        <f t="shared" si="407"/>
        <v>2120</v>
      </c>
      <c r="U1889" s="55">
        <f t="shared" si="408"/>
        <v>2082.88</v>
      </c>
      <c r="V1889" s="55">
        <f t="shared" si="409"/>
        <v>-37.119999999999891</v>
      </c>
      <c r="W1889" s="55">
        <f t="shared" si="410"/>
        <v>2082.88</v>
      </c>
      <c r="X1889" s="55">
        <f t="shared" si="411"/>
        <v>0</v>
      </c>
      <c r="Y1889" s="55">
        <f t="shared" si="412"/>
        <v>1354.8</v>
      </c>
      <c r="Z1889" s="55">
        <f t="shared" si="413"/>
        <v>1354.8</v>
      </c>
      <c r="AA1889" s="55">
        <f t="shared" si="414"/>
        <v>0</v>
      </c>
      <c r="AB1889" s="55">
        <f t="shared" si="415"/>
        <v>728.08000000000015</v>
      </c>
      <c r="AC1889" s="54">
        <f t="shared" si="416"/>
        <v>0.34955446305116</v>
      </c>
      <c r="AD1889" s="56">
        <f>INDEX(Assumptions!$B$14:$B$16,MATCH($R1889,Assumptions!$A$14:$A$16,0))</f>
        <v>0.32</v>
      </c>
      <c r="AE1889" s="56">
        <f>INDEX(Assumptions!$C$14:$C$16,MATCH($R1889,Assumptions!$A$14:$A$16,0))</f>
        <v>0.22</v>
      </c>
      <c r="AF1889" s="49">
        <f t="shared" si="417"/>
        <v>0</v>
      </c>
      <c r="AG1889" s="49">
        <f t="shared" si="418"/>
        <v>0</v>
      </c>
      <c r="AH1889" s="55">
        <f t="shared" si="419"/>
        <v>0</v>
      </c>
    </row>
    <row r="1890" spans="1:34" x14ac:dyDescent="0.2">
      <c r="A1890" s="48" t="s">
        <v>1505</v>
      </c>
      <c r="B1890" s="48">
        <v>1</v>
      </c>
      <c r="C1890" s="48" t="s">
        <v>1464</v>
      </c>
      <c r="D1890" s="48" t="s">
        <v>1444</v>
      </c>
      <c r="E1890" s="48" t="s">
        <v>588</v>
      </c>
      <c r="F1890" s="48" t="s">
        <v>274</v>
      </c>
      <c r="G1890" s="48" t="s">
        <v>281</v>
      </c>
      <c r="H1890" s="48" t="s">
        <v>62</v>
      </c>
      <c r="I1890" s="48" t="s">
        <v>93</v>
      </c>
      <c r="J1890" s="49">
        <v>7</v>
      </c>
      <c r="K1890" s="50">
        <v>1390</v>
      </c>
      <c r="L1890" s="50">
        <v>1374.55</v>
      </c>
      <c r="M1890" s="48" t="s">
        <v>276</v>
      </c>
      <c r="N1890" s="51">
        <v>1</v>
      </c>
      <c r="O1890" s="51">
        <v>1</v>
      </c>
      <c r="P1890" s="52">
        <v>1186.2</v>
      </c>
      <c r="Q1890" s="52">
        <v>1186.2</v>
      </c>
      <c r="R1890" s="53" t="str">
        <f>INDEX(SKU_Master!$D$5:$D$34,MATCH($I1890,SKU_Master!$A$5:$A$34,0))</f>
        <v>Laptop</v>
      </c>
      <c r="S1890" s="54">
        <f t="shared" si="406"/>
        <v>1.1115107913669098E-2</v>
      </c>
      <c r="T1890" s="55">
        <f t="shared" si="407"/>
        <v>9730</v>
      </c>
      <c r="U1890" s="55">
        <f t="shared" si="408"/>
        <v>9621.85</v>
      </c>
      <c r="V1890" s="55">
        <f t="shared" si="409"/>
        <v>-108.14999999999964</v>
      </c>
      <c r="W1890" s="55">
        <f t="shared" si="410"/>
        <v>9621.85</v>
      </c>
      <c r="X1890" s="55">
        <f t="shared" si="411"/>
        <v>0</v>
      </c>
      <c r="Y1890" s="55">
        <f t="shared" si="412"/>
        <v>8303.4</v>
      </c>
      <c r="Z1890" s="55">
        <f t="shared" si="413"/>
        <v>8303.4</v>
      </c>
      <c r="AA1890" s="55">
        <f t="shared" si="414"/>
        <v>0</v>
      </c>
      <c r="AB1890" s="55">
        <f t="shared" si="415"/>
        <v>1318.4500000000007</v>
      </c>
      <c r="AC1890" s="54">
        <f t="shared" si="416"/>
        <v>0.13702666327161622</v>
      </c>
      <c r="AD1890" s="56">
        <f>INDEX(Assumptions!$B$14:$B$16,MATCH($R1890,Assumptions!$A$14:$A$16,0))</f>
        <v>0.12</v>
      </c>
      <c r="AE1890" s="56">
        <f>INDEX(Assumptions!$C$14:$C$16,MATCH($R1890,Assumptions!$A$14:$A$16,0))</f>
        <v>0.08</v>
      </c>
      <c r="AF1890" s="49">
        <f t="shared" si="417"/>
        <v>0</v>
      </c>
      <c r="AG1890" s="49">
        <f t="shared" si="418"/>
        <v>0</v>
      </c>
      <c r="AH1890" s="55">
        <f t="shared" si="419"/>
        <v>0</v>
      </c>
    </row>
    <row r="1891" spans="1:34" x14ac:dyDescent="0.2">
      <c r="A1891" s="48" t="s">
        <v>1505</v>
      </c>
      <c r="B1891" s="48">
        <v>2</v>
      </c>
      <c r="C1891" s="48" t="s">
        <v>1464</v>
      </c>
      <c r="D1891" s="48" t="s">
        <v>1444</v>
      </c>
      <c r="E1891" s="48" t="s">
        <v>588</v>
      </c>
      <c r="F1891" s="48" t="s">
        <v>274</v>
      </c>
      <c r="G1891" s="48" t="s">
        <v>281</v>
      </c>
      <c r="H1891" s="48" t="s">
        <v>62</v>
      </c>
      <c r="I1891" s="48" t="s">
        <v>151</v>
      </c>
      <c r="J1891" s="49">
        <v>5</v>
      </c>
      <c r="K1891" s="50">
        <v>335</v>
      </c>
      <c r="L1891" s="50">
        <v>332.39</v>
      </c>
      <c r="M1891" s="48" t="s">
        <v>276</v>
      </c>
      <c r="N1891" s="51">
        <v>1</v>
      </c>
      <c r="O1891" s="51">
        <v>1</v>
      </c>
      <c r="P1891" s="52">
        <v>216.7</v>
      </c>
      <c r="Q1891" s="52">
        <v>216.7</v>
      </c>
      <c r="R1891" s="53" t="str">
        <f>INDEX(SKU_Master!$D$5:$D$34,MATCH($I1891,SKU_Master!$A$5:$A$34,0))</f>
        <v>Accessory</v>
      </c>
      <c r="S1891" s="54">
        <f t="shared" si="406"/>
        <v>7.7910447761194712E-3</v>
      </c>
      <c r="T1891" s="55">
        <f t="shared" si="407"/>
        <v>1675</v>
      </c>
      <c r="U1891" s="55">
        <f t="shared" si="408"/>
        <v>1661.9499999999998</v>
      </c>
      <c r="V1891" s="55">
        <f t="shared" si="409"/>
        <v>-13.050000000000182</v>
      </c>
      <c r="W1891" s="55">
        <f t="shared" si="410"/>
        <v>1661.9499999999998</v>
      </c>
      <c r="X1891" s="55">
        <f t="shared" si="411"/>
        <v>0</v>
      </c>
      <c r="Y1891" s="55">
        <f t="shared" si="412"/>
        <v>1083.5</v>
      </c>
      <c r="Z1891" s="55">
        <f t="shared" si="413"/>
        <v>1083.5</v>
      </c>
      <c r="AA1891" s="55">
        <f t="shared" si="414"/>
        <v>0</v>
      </c>
      <c r="AB1891" s="55">
        <f t="shared" si="415"/>
        <v>578.44999999999982</v>
      </c>
      <c r="AC1891" s="54">
        <f t="shared" si="416"/>
        <v>0.34805499563765452</v>
      </c>
      <c r="AD1891" s="56">
        <f>INDEX(Assumptions!$B$14:$B$16,MATCH($R1891,Assumptions!$A$14:$A$16,0))</f>
        <v>0.32</v>
      </c>
      <c r="AE1891" s="56">
        <f>INDEX(Assumptions!$C$14:$C$16,MATCH($R1891,Assumptions!$A$14:$A$16,0))</f>
        <v>0.22</v>
      </c>
      <c r="AF1891" s="49">
        <f t="shared" si="417"/>
        <v>0</v>
      </c>
      <c r="AG1891" s="49">
        <f t="shared" si="418"/>
        <v>0</v>
      </c>
      <c r="AH1891" s="55">
        <f t="shared" si="419"/>
        <v>0</v>
      </c>
    </row>
    <row r="1892" spans="1:34" x14ac:dyDescent="0.2">
      <c r="A1892" s="48" t="s">
        <v>1506</v>
      </c>
      <c r="B1892" s="48">
        <v>1</v>
      </c>
      <c r="C1892" s="48" t="s">
        <v>1492</v>
      </c>
      <c r="D1892" s="48" t="s">
        <v>1444</v>
      </c>
      <c r="E1892" s="48" t="s">
        <v>336</v>
      </c>
      <c r="F1892" s="48" t="s">
        <v>274</v>
      </c>
      <c r="G1892" s="48" t="s">
        <v>288</v>
      </c>
      <c r="H1892" s="48" t="s">
        <v>62</v>
      </c>
      <c r="I1892" s="48" t="s">
        <v>93</v>
      </c>
      <c r="J1892" s="49">
        <v>2</v>
      </c>
      <c r="K1892" s="50">
        <v>1390</v>
      </c>
      <c r="L1892" s="50">
        <v>1370.69</v>
      </c>
      <c r="M1892" s="48" t="s">
        <v>276</v>
      </c>
      <c r="N1892" s="51">
        <v>1</v>
      </c>
      <c r="O1892" s="51">
        <v>1</v>
      </c>
      <c r="P1892" s="52">
        <v>1186.2</v>
      </c>
      <c r="Q1892" s="52">
        <v>1186.2</v>
      </c>
      <c r="R1892" s="53" t="str">
        <f>INDEX(SKU_Master!$D$5:$D$34,MATCH($I1892,SKU_Master!$A$5:$A$34,0))</f>
        <v>Laptop</v>
      </c>
      <c r="S1892" s="54">
        <f t="shared" si="406"/>
        <v>1.3892086330935194E-2</v>
      </c>
      <c r="T1892" s="55">
        <f t="shared" si="407"/>
        <v>2780</v>
      </c>
      <c r="U1892" s="55">
        <f t="shared" si="408"/>
        <v>2741.38</v>
      </c>
      <c r="V1892" s="55">
        <f t="shared" si="409"/>
        <v>-38.619999999999891</v>
      </c>
      <c r="W1892" s="55">
        <f t="shared" si="410"/>
        <v>2741.38</v>
      </c>
      <c r="X1892" s="55">
        <f t="shared" si="411"/>
        <v>0</v>
      </c>
      <c r="Y1892" s="55">
        <f t="shared" si="412"/>
        <v>2372.4</v>
      </c>
      <c r="Z1892" s="55">
        <f t="shared" si="413"/>
        <v>2372.4</v>
      </c>
      <c r="AA1892" s="55">
        <f t="shared" si="414"/>
        <v>0</v>
      </c>
      <c r="AB1892" s="55">
        <f t="shared" si="415"/>
        <v>368.98</v>
      </c>
      <c r="AC1892" s="54">
        <f t="shared" si="416"/>
        <v>0.13459644412668073</v>
      </c>
      <c r="AD1892" s="56">
        <f>INDEX(Assumptions!$B$14:$B$16,MATCH($R1892,Assumptions!$A$14:$A$16,0))</f>
        <v>0.12</v>
      </c>
      <c r="AE1892" s="56">
        <f>INDEX(Assumptions!$C$14:$C$16,MATCH($R1892,Assumptions!$A$14:$A$16,0))</f>
        <v>0.08</v>
      </c>
      <c r="AF1892" s="49">
        <f t="shared" si="417"/>
        <v>0</v>
      </c>
      <c r="AG1892" s="49">
        <f t="shared" si="418"/>
        <v>0</v>
      </c>
      <c r="AH1892" s="55">
        <f t="shared" si="419"/>
        <v>0</v>
      </c>
    </row>
    <row r="1893" spans="1:34" x14ac:dyDescent="0.2">
      <c r="A1893" s="48" t="s">
        <v>1507</v>
      </c>
      <c r="B1893" s="48">
        <v>1</v>
      </c>
      <c r="C1893" s="48" t="s">
        <v>1446</v>
      </c>
      <c r="D1893" s="48" t="s">
        <v>1444</v>
      </c>
      <c r="E1893" s="48" t="s">
        <v>349</v>
      </c>
      <c r="F1893" s="48" t="s">
        <v>274</v>
      </c>
      <c r="G1893" s="48" t="s">
        <v>275</v>
      </c>
      <c r="H1893" s="48" t="s">
        <v>66</v>
      </c>
      <c r="I1893" s="48" t="s">
        <v>113</v>
      </c>
      <c r="J1893" s="49">
        <v>9</v>
      </c>
      <c r="K1893" s="50">
        <v>1655</v>
      </c>
      <c r="L1893" s="50">
        <v>1635.24</v>
      </c>
      <c r="M1893" s="48" t="s">
        <v>276</v>
      </c>
      <c r="N1893" s="51">
        <v>0.92</v>
      </c>
      <c r="O1893" s="51">
        <v>0.93759999999999999</v>
      </c>
      <c r="P1893" s="52">
        <v>1504.8</v>
      </c>
      <c r="Q1893" s="52">
        <v>1504.8</v>
      </c>
      <c r="R1893" s="53" t="str">
        <f>INDEX(SKU_Master!$D$5:$D$34,MATCH($I1893,SKU_Master!$A$5:$A$34,0))</f>
        <v>Laptop</v>
      </c>
      <c r="S1893" s="54">
        <f t="shared" si="406"/>
        <v>1.1939577039274951E-2</v>
      </c>
      <c r="T1893" s="55">
        <f t="shared" si="407"/>
        <v>16190.217391304348</v>
      </c>
      <c r="U1893" s="55">
        <f t="shared" si="408"/>
        <v>15996.91304347826</v>
      </c>
      <c r="V1893" s="55">
        <f t="shared" si="409"/>
        <v>-193.30434782608791</v>
      </c>
      <c r="W1893" s="55">
        <f t="shared" si="410"/>
        <v>15696.629692832765</v>
      </c>
      <c r="X1893" s="55">
        <f t="shared" si="411"/>
        <v>-300.28335064549537</v>
      </c>
      <c r="Y1893" s="55">
        <f t="shared" si="412"/>
        <v>13543.199999999999</v>
      </c>
      <c r="Z1893" s="55">
        <f t="shared" si="413"/>
        <v>13543.199999999999</v>
      </c>
      <c r="AA1893" s="55">
        <f t="shared" si="414"/>
        <v>0</v>
      </c>
      <c r="AB1893" s="55">
        <f t="shared" si="415"/>
        <v>2153.4296928327658</v>
      </c>
      <c r="AC1893" s="54">
        <f t="shared" si="416"/>
        <v>0.13719057752990393</v>
      </c>
      <c r="AD1893" s="56">
        <f>INDEX(Assumptions!$B$14:$B$16,MATCH($R1893,Assumptions!$A$14:$A$16,0))</f>
        <v>0.12</v>
      </c>
      <c r="AE1893" s="56">
        <f>INDEX(Assumptions!$C$14:$C$16,MATCH($R1893,Assumptions!$A$14:$A$16,0))</f>
        <v>0.08</v>
      </c>
      <c r="AF1893" s="49">
        <f t="shared" si="417"/>
        <v>0</v>
      </c>
      <c r="AG1893" s="49">
        <f t="shared" si="418"/>
        <v>0</v>
      </c>
      <c r="AH1893" s="55">
        <f t="shared" si="419"/>
        <v>0</v>
      </c>
    </row>
    <row r="1894" spans="1:34" x14ac:dyDescent="0.2">
      <c r="A1894" s="48" t="s">
        <v>1507</v>
      </c>
      <c r="B1894" s="48">
        <v>2</v>
      </c>
      <c r="C1894" s="48" t="s">
        <v>1446</v>
      </c>
      <c r="D1894" s="48" t="s">
        <v>1444</v>
      </c>
      <c r="E1894" s="48" t="s">
        <v>349</v>
      </c>
      <c r="F1894" s="48" t="s">
        <v>274</v>
      </c>
      <c r="G1894" s="48" t="s">
        <v>275</v>
      </c>
      <c r="H1894" s="48" t="s">
        <v>66</v>
      </c>
      <c r="I1894" s="48" t="s">
        <v>144</v>
      </c>
      <c r="J1894" s="49">
        <v>7</v>
      </c>
      <c r="K1894" s="50">
        <v>375</v>
      </c>
      <c r="L1894" s="50">
        <v>369.02</v>
      </c>
      <c r="M1894" s="48" t="s">
        <v>276</v>
      </c>
      <c r="N1894" s="51">
        <v>0.92</v>
      </c>
      <c r="O1894" s="51">
        <v>0.93759999999999999</v>
      </c>
      <c r="P1894" s="52">
        <v>314.60000000000002</v>
      </c>
      <c r="Q1894" s="52">
        <v>314.60000000000002</v>
      </c>
      <c r="R1894" s="53" t="str">
        <f>INDEX(SKU_Master!$D$5:$D$34,MATCH($I1894,SKU_Master!$A$5:$A$34,0))</f>
        <v>Monitor</v>
      </c>
      <c r="S1894" s="54">
        <f t="shared" si="406"/>
        <v>1.5946666666666665E-2</v>
      </c>
      <c r="T1894" s="55">
        <f t="shared" si="407"/>
        <v>2853.2608695652175</v>
      </c>
      <c r="U1894" s="55">
        <f t="shared" si="408"/>
        <v>2807.760869565217</v>
      </c>
      <c r="V1894" s="55">
        <f t="shared" si="409"/>
        <v>-45.500000000000455</v>
      </c>
      <c r="W1894" s="55">
        <f t="shared" si="410"/>
        <v>2755.0554607508529</v>
      </c>
      <c r="X1894" s="55">
        <f t="shared" si="411"/>
        <v>-52.705408814364091</v>
      </c>
      <c r="Y1894" s="55">
        <f t="shared" si="412"/>
        <v>2202.2000000000003</v>
      </c>
      <c r="Z1894" s="55">
        <f t="shared" si="413"/>
        <v>2202.2000000000003</v>
      </c>
      <c r="AA1894" s="55">
        <f t="shared" si="414"/>
        <v>0</v>
      </c>
      <c r="AB1894" s="55">
        <f t="shared" si="415"/>
        <v>552.85546075085267</v>
      </c>
      <c r="AC1894" s="54">
        <f t="shared" si="416"/>
        <v>0.20066944881036239</v>
      </c>
      <c r="AD1894" s="56">
        <f>INDEX(Assumptions!$B$14:$B$16,MATCH($R1894,Assumptions!$A$14:$A$16,0))</f>
        <v>0.18</v>
      </c>
      <c r="AE1894" s="56">
        <f>INDEX(Assumptions!$C$14:$C$16,MATCH($R1894,Assumptions!$A$14:$A$16,0))</f>
        <v>0.12</v>
      </c>
      <c r="AF1894" s="49">
        <f t="shared" si="417"/>
        <v>0</v>
      </c>
      <c r="AG1894" s="49">
        <f t="shared" si="418"/>
        <v>0</v>
      </c>
      <c r="AH1894" s="55">
        <f t="shared" si="419"/>
        <v>0</v>
      </c>
    </row>
    <row r="1895" spans="1:34" x14ac:dyDescent="0.2">
      <c r="A1895" s="48" t="s">
        <v>1507</v>
      </c>
      <c r="B1895" s="48">
        <v>3</v>
      </c>
      <c r="C1895" s="48" t="s">
        <v>1446</v>
      </c>
      <c r="D1895" s="48" t="s">
        <v>1444</v>
      </c>
      <c r="E1895" s="48" t="s">
        <v>349</v>
      </c>
      <c r="F1895" s="48" t="s">
        <v>274</v>
      </c>
      <c r="G1895" s="48" t="s">
        <v>275</v>
      </c>
      <c r="H1895" s="48" t="s">
        <v>66</v>
      </c>
      <c r="I1895" s="48" t="s">
        <v>177</v>
      </c>
      <c r="J1895" s="49">
        <v>6</v>
      </c>
      <c r="K1895" s="50">
        <v>75</v>
      </c>
      <c r="L1895" s="50">
        <v>74.78</v>
      </c>
      <c r="M1895" s="48" t="s">
        <v>276</v>
      </c>
      <c r="N1895" s="51">
        <v>0.92</v>
      </c>
      <c r="O1895" s="51">
        <v>0.93759999999999999</v>
      </c>
      <c r="P1895" s="52">
        <v>49</v>
      </c>
      <c r="Q1895" s="52">
        <v>49</v>
      </c>
      <c r="R1895" s="53" t="str">
        <f>INDEX(SKU_Master!$D$5:$D$34,MATCH($I1895,SKU_Master!$A$5:$A$34,0))</f>
        <v>Accessory</v>
      </c>
      <c r="S1895" s="54">
        <f t="shared" si="406"/>
        <v>2.9333333333333433E-3</v>
      </c>
      <c r="T1895" s="55">
        <f t="shared" si="407"/>
        <v>489.13043478260869</v>
      </c>
      <c r="U1895" s="55">
        <f t="shared" si="408"/>
        <v>487.695652173913</v>
      </c>
      <c r="V1895" s="55">
        <f t="shared" si="409"/>
        <v>-1.4347826086956843</v>
      </c>
      <c r="W1895" s="55">
        <f t="shared" si="410"/>
        <v>478.54095563139936</v>
      </c>
      <c r="X1895" s="55">
        <f t="shared" si="411"/>
        <v>-9.1546965425136477</v>
      </c>
      <c r="Y1895" s="55">
        <f t="shared" si="412"/>
        <v>294</v>
      </c>
      <c r="Z1895" s="55">
        <f t="shared" si="413"/>
        <v>294</v>
      </c>
      <c r="AA1895" s="55">
        <f t="shared" si="414"/>
        <v>0</v>
      </c>
      <c r="AB1895" s="55">
        <f t="shared" si="415"/>
        <v>184.54095563139936</v>
      </c>
      <c r="AC1895" s="54">
        <f t="shared" si="416"/>
        <v>0.38563252206472326</v>
      </c>
      <c r="AD1895" s="56">
        <f>INDEX(Assumptions!$B$14:$B$16,MATCH($R1895,Assumptions!$A$14:$A$16,0))</f>
        <v>0.32</v>
      </c>
      <c r="AE1895" s="56">
        <f>INDEX(Assumptions!$C$14:$C$16,MATCH($R1895,Assumptions!$A$14:$A$16,0))</f>
        <v>0.22</v>
      </c>
      <c r="AF1895" s="49">
        <f t="shared" si="417"/>
        <v>0</v>
      </c>
      <c r="AG1895" s="49">
        <f t="shared" si="418"/>
        <v>0</v>
      </c>
      <c r="AH1895" s="55">
        <f t="shared" si="419"/>
        <v>0</v>
      </c>
    </row>
    <row r="1896" spans="1:34" x14ac:dyDescent="0.2">
      <c r="A1896" s="48" t="s">
        <v>1508</v>
      </c>
      <c r="B1896" s="48">
        <v>1</v>
      </c>
      <c r="C1896" s="48" t="s">
        <v>1467</v>
      </c>
      <c r="D1896" s="48" t="s">
        <v>1444</v>
      </c>
      <c r="E1896" s="48" t="s">
        <v>314</v>
      </c>
      <c r="F1896" s="48" t="s">
        <v>274</v>
      </c>
      <c r="G1896" s="48" t="s">
        <v>298</v>
      </c>
      <c r="H1896" s="48" t="s">
        <v>68</v>
      </c>
      <c r="I1896" s="48" t="s">
        <v>93</v>
      </c>
      <c r="J1896" s="49">
        <v>3</v>
      </c>
      <c r="K1896" s="50">
        <v>1960</v>
      </c>
      <c r="L1896" s="50">
        <v>1925.42</v>
      </c>
      <c r="M1896" s="48" t="s">
        <v>276</v>
      </c>
      <c r="N1896" s="51">
        <v>1.37</v>
      </c>
      <c r="O1896" s="51">
        <v>1.3702000000000001</v>
      </c>
      <c r="P1896" s="52">
        <v>1198.2</v>
      </c>
      <c r="Q1896" s="52">
        <v>1198.2</v>
      </c>
      <c r="R1896" s="53" t="str">
        <f>INDEX(SKU_Master!$D$5:$D$34,MATCH($I1896,SKU_Master!$A$5:$A$34,0))</f>
        <v>Laptop</v>
      </c>
      <c r="S1896" s="54">
        <f t="shared" si="406"/>
        <v>1.7642857142857071E-2</v>
      </c>
      <c r="T1896" s="55">
        <f t="shared" si="407"/>
        <v>4291.9708029197081</v>
      </c>
      <c r="U1896" s="55">
        <f t="shared" si="408"/>
        <v>4216.2481751824816</v>
      </c>
      <c r="V1896" s="55">
        <f t="shared" si="409"/>
        <v>-75.722627737226503</v>
      </c>
      <c r="W1896" s="55">
        <f t="shared" si="410"/>
        <v>4215.6327543424313</v>
      </c>
      <c r="X1896" s="55">
        <f t="shared" si="411"/>
        <v>-0.61542084005031938</v>
      </c>
      <c r="Y1896" s="55">
        <f t="shared" si="412"/>
        <v>3594.6000000000004</v>
      </c>
      <c r="Z1896" s="55">
        <f t="shared" si="413"/>
        <v>3594.6000000000004</v>
      </c>
      <c r="AA1896" s="55">
        <f t="shared" si="414"/>
        <v>0</v>
      </c>
      <c r="AB1896" s="55">
        <f t="shared" si="415"/>
        <v>621.03275434243096</v>
      </c>
      <c r="AC1896" s="54">
        <f t="shared" si="416"/>
        <v>0.1473166166342926</v>
      </c>
      <c r="AD1896" s="56">
        <f>INDEX(Assumptions!$B$14:$B$16,MATCH($R1896,Assumptions!$A$14:$A$16,0))</f>
        <v>0.12</v>
      </c>
      <c r="AE1896" s="56">
        <f>INDEX(Assumptions!$C$14:$C$16,MATCH($R1896,Assumptions!$A$14:$A$16,0))</f>
        <v>0.08</v>
      </c>
      <c r="AF1896" s="49">
        <f t="shared" si="417"/>
        <v>0</v>
      </c>
      <c r="AG1896" s="49">
        <f t="shared" si="418"/>
        <v>0</v>
      </c>
      <c r="AH1896" s="55">
        <f t="shared" si="419"/>
        <v>0</v>
      </c>
    </row>
    <row r="1897" spans="1:34" x14ac:dyDescent="0.2">
      <c r="A1897" s="48" t="s">
        <v>1508</v>
      </c>
      <c r="B1897" s="48">
        <v>2</v>
      </c>
      <c r="C1897" s="48" t="s">
        <v>1467</v>
      </c>
      <c r="D1897" s="48" t="s">
        <v>1444</v>
      </c>
      <c r="E1897" s="48" t="s">
        <v>314</v>
      </c>
      <c r="F1897" s="48" t="s">
        <v>274</v>
      </c>
      <c r="G1897" s="48" t="s">
        <v>298</v>
      </c>
      <c r="H1897" s="48" t="s">
        <v>68</v>
      </c>
      <c r="I1897" s="48" t="s">
        <v>177</v>
      </c>
      <c r="J1897" s="49">
        <v>1</v>
      </c>
      <c r="K1897" s="50">
        <v>105</v>
      </c>
      <c r="L1897" s="50">
        <v>104.57</v>
      </c>
      <c r="M1897" s="48" t="s">
        <v>276</v>
      </c>
      <c r="N1897" s="51">
        <v>1.37</v>
      </c>
      <c r="O1897" s="51">
        <v>1.3702000000000001</v>
      </c>
      <c r="P1897" s="52">
        <v>47</v>
      </c>
      <c r="Q1897" s="52">
        <v>47</v>
      </c>
      <c r="R1897" s="53" t="str">
        <f>INDEX(SKU_Master!$D$5:$D$34,MATCH($I1897,SKU_Master!$A$5:$A$34,0))</f>
        <v>Accessory</v>
      </c>
      <c r="S1897" s="54">
        <f t="shared" si="406"/>
        <v>4.0952380952381517E-3</v>
      </c>
      <c r="T1897" s="55">
        <f t="shared" si="407"/>
        <v>76.642335766423358</v>
      </c>
      <c r="U1897" s="55">
        <f t="shared" si="408"/>
        <v>76.328467153284663</v>
      </c>
      <c r="V1897" s="55">
        <f t="shared" si="409"/>
        <v>-0.31386861313869474</v>
      </c>
      <c r="W1897" s="55">
        <f t="shared" si="410"/>
        <v>76.317325937819291</v>
      </c>
      <c r="X1897" s="55">
        <f t="shared" si="411"/>
        <v>-1.1141215465372056E-2</v>
      </c>
      <c r="Y1897" s="55">
        <f t="shared" si="412"/>
        <v>47</v>
      </c>
      <c r="Z1897" s="55">
        <f t="shared" si="413"/>
        <v>47</v>
      </c>
      <c r="AA1897" s="55">
        <f t="shared" si="414"/>
        <v>0</v>
      </c>
      <c r="AB1897" s="55">
        <f t="shared" si="415"/>
        <v>29.317325937819291</v>
      </c>
      <c r="AC1897" s="54">
        <f t="shared" si="416"/>
        <v>0.38415032992253989</v>
      </c>
      <c r="AD1897" s="56">
        <f>INDEX(Assumptions!$B$14:$B$16,MATCH($R1897,Assumptions!$A$14:$A$16,0))</f>
        <v>0.32</v>
      </c>
      <c r="AE1897" s="56">
        <f>INDEX(Assumptions!$C$14:$C$16,MATCH($R1897,Assumptions!$A$14:$A$16,0))</f>
        <v>0.22</v>
      </c>
      <c r="AF1897" s="49">
        <f t="shared" si="417"/>
        <v>0</v>
      </c>
      <c r="AG1897" s="49">
        <f t="shared" si="418"/>
        <v>0</v>
      </c>
      <c r="AH1897" s="55">
        <f t="shared" si="419"/>
        <v>0</v>
      </c>
    </row>
    <row r="1898" spans="1:34" x14ac:dyDescent="0.2">
      <c r="A1898" s="48" t="s">
        <v>1509</v>
      </c>
      <c r="B1898" s="48">
        <v>1</v>
      </c>
      <c r="C1898" s="48" t="s">
        <v>1443</v>
      </c>
      <c r="D1898" s="48" t="s">
        <v>1444</v>
      </c>
      <c r="E1898" s="48" t="s">
        <v>397</v>
      </c>
      <c r="F1898" s="48" t="s">
        <v>280</v>
      </c>
      <c r="G1898" s="48" t="s">
        <v>306</v>
      </c>
      <c r="H1898" s="48" t="s">
        <v>70</v>
      </c>
      <c r="I1898" s="48" t="s">
        <v>93</v>
      </c>
      <c r="J1898" s="49">
        <v>15</v>
      </c>
      <c r="K1898" s="50">
        <v>134750</v>
      </c>
      <c r="L1898" s="50">
        <v>131171.81</v>
      </c>
      <c r="M1898" s="48" t="s">
        <v>276</v>
      </c>
      <c r="N1898" s="51">
        <v>83.5</v>
      </c>
      <c r="O1898" s="51">
        <v>84.964699999999993</v>
      </c>
      <c r="P1898" s="52">
        <v>1351.7</v>
      </c>
      <c r="Q1898" s="52">
        <v>1371.7</v>
      </c>
      <c r="R1898" s="53" t="str">
        <f>INDEX(SKU_Master!$D$5:$D$34,MATCH($I1898,SKU_Master!$A$5:$A$34,0))</f>
        <v>Laptop</v>
      </c>
      <c r="S1898" s="54">
        <f t="shared" si="406"/>
        <v>2.6554285714285752E-2</v>
      </c>
      <c r="T1898" s="55">
        <f t="shared" si="407"/>
        <v>24206.586826347306</v>
      </c>
      <c r="U1898" s="55">
        <f t="shared" si="408"/>
        <v>23563.798203592814</v>
      </c>
      <c r="V1898" s="55">
        <f t="shared" si="409"/>
        <v>-642.78862275449137</v>
      </c>
      <c r="W1898" s="55">
        <f t="shared" si="410"/>
        <v>23157.583678868988</v>
      </c>
      <c r="X1898" s="55">
        <f t="shared" si="411"/>
        <v>-406.21452472382589</v>
      </c>
      <c r="Y1898" s="55">
        <f t="shared" si="412"/>
        <v>20275.5</v>
      </c>
      <c r="Z1898" s="55">
        <f t="shared" si="413"/>
        <v>20575.5</v>
      </c>
      <c r="AA1898" s="55">
        <f t="shared" si="414"/>
        <v>-300</v>
      </c>
      <c r="AB1898" s="55">
        <f t="shared" si="415"/>
        <v>2582.0836788689885</v>
      </c>
      <c r="AC1898" s="54">
        <f t="shared" si="416"/>
        <v>0.11150056563220404</v>
      </c>
      <c r="AD1898" s="56">
        <f>INDEX(Assumptions!$B$14:$B$16,MATCH($R1898,Assumptions!$A$14:$A$16,0))</f>
        <v>0.12</v>
      </c>
      <c r="AE1898" s="56">
        <f>INDEX(Assumptions!$C$14:$C$16,MATCH($R1898,Assumptions!$A$14:$A$16,0))</f>
        <v>0.08</v>
      </c>
      <c r="AF1898" s="49">
        <f t="shared" si="417"/>
        <v>0</v>
      </c>
      <c r="AG1898" s="49">
        <f t="shared" si="418"/>
        <v>0</v>
      </c>
      <c r="AH1898" s="55">
        <f t="shared" si="419"/>
        <v>196.82636259528999</v>
      </c>
    </row>
    <row r="1899" spans="1:34" x14ac:dyDescent="0.2">
      <c r="A1899" s="48" t="s">
        <v>1509</v>
      </c>
      <c r="B1899" s="48">
        <v>2</v>
      </c>
      <c r="C1899" s="48" t="s">
        <v>1443</v>
      </c>
      <c r="D1899" s="48" t="s">
        <v>1444</v>
      </c>
      <c r="E1899" s="48" t="s">
        <v>397</v>
      </c>
      <c r="F1899" s="48" t="s">
        <v>280</v>
      </c>
      <c r="G1899" s="48" t="s">
        <v>306</v>
      </c>
      <c r="H1899" s="48" t="s">
        <v>70</v>
      </c>
      <c r="I1899" s="48" t="s">
        <v>135</v>
      </c>
      <c r="J1899" s="49">
        <v>10</v>
      </c>
      <c r="K1899" s="50">
        <v>26950</v>
      </c>
      <c r="L1899" s="50">
        <v>26299.88</v>
      </c>
      <c r="M1899" s="48" t="s">
        <v>276</v>
      </c>
      <c r="N1899" s="51">
        <v>83.5</v>
      </c>
      <c r="O1899" s="51">
        <v>84.964699999999993</v>
      </c>
      <c r="P1899" s="52">
        <v>249.49</v>
      </c>
      <c r="Q1899" s="52">
        <v>269.49</v>
      </c>
      <c r="R1899" s="53" t="str">
        <f>INDEX(SKU_Master!$D$5:$D$34,MATCH($I1899,SKU_Master!$A$5:$A$34,0))</f>
        <v>Monitor</v>
      </c>
      <c r="S1899" s="54">
        <f t="shared" si="406"/>
        <v>2.4123191094619578E-2</v>
      </c>
      <c r="T1899" s="55">
        <f t="shared" si="407"/>
        <v>3227.5449101796407</v>
      </c>
      <c r="U1899" s="55">
        <f t="shared" si="408"/>
        <v>3149.6862275449103</v>
      </c>
      <c r="V1899" s="55">
        <f t="shared" si="409"/>
        <v>-77.858682634730485</v>
      </c>
      <c r="W1899" s="55">
        <f t="shared" si="410"/>
        <v>3095.3890262662026</v>
      </c>
      <c r="X1899" s="55">
        <f t="shared" si="411"/>
        <v>-54.297201278707689</v>
      </c>
      <c r="Y1899" s="55">
        <f t="shared" si="412"/>
        <v>2494.9</v>
      </c>
      <c r="Z1899" s="55">
        <f t="shared" si="413"/>
        <v>2694.9</v>
      </c>
      <c r="AA1899" s="55">
        <f t="shared" si="414"/>
        <v>-200</v>
      </c>
      <c r="AB1899" s="55">
        <f t="shared" si="415"/>
        <v>400.48902626620247</v>
      </c>
      <c r="AC1899" s="54">
        <f t="shared" si="416"/>
        <v>0.12938245334199247</v>
      </c>
      <c r="AD1899" s="56">
        <f>INDEX(Assumptions!$B$14:$B$16,MATCH($R1899,Assumptions!$A$14:$A$16,0))</f>
        <v>0.18</v>
      </c>
      <c r="AE1899" s="56">
        <f>INDEX(Assumptions!$C$14:$C$16,MATCH($R1899,Assumptions!$A$14:$A$16,0))</f>
        <v>0.12</v>
      </c>
      <c r="AF1899" s="49">
        <f t="shared" si="417"/>
        <v>0</v>
      </c>
      <c r="AG1899" s="49">
        <f t="shared" si="418"/>
        <v>0</v>
      </c>
      <c r="AH1899" s="55">
        <f t="shared" si="419"/>
        <v>156.68099846171401</v>
      </c>
    </row>
    <row r="1900" spans="1:34" x14ac:dyDescent="0.2">
      <c r="A1900" s="48" t="s">
        <v>1510</v>
      </c>
      <c r="B1900" s="48">
        <v>1</v>
      </c>
      <c r="C1900" s="48" t="s">
        <v>1474</v>
      </c>
      <c r="D1900" s="48" t="s">
        <v>1444</v>
      </c>
      <c r="E1900" s="48" t="s">
        <v>314</v>
      </c>
      <c r="F1900" s="48" t="s">
        <v>274</v>
      </c>
      <c r="G1900" s="48" t="s">
        <v>298</v>
      </c>
      <c r="H1900" s="48" t="s">
        <v>68</v>
      </c>
      <c r="I1900" s="48" t="s">
        <v>93</v>
      </c>
      <c r="J1900" s="49">
        <v>7</v>
      </c>
      <c r="K1900" s="50">
        <v>1960</v>
      </c>
      <c r="L1900" s="50">
        <v>1929.66</v>
      </c>
      <c r="M1900" s="48" t="s">
        <v>276</v>
      </c>
      <c r="N1900" s="51">
        <v>1.37</v>
      </c>
      <c r="O1900" s="51">
        <v>1.3702000000000001</v>
      </c>
      <c r="P1900" s="52">
        <v>1198.2</v>
      </c>
      <c r="Q1900" s="52">
        <v>1198.2</v>
      </c>
      <c r="R1900" s="53" t="str">
        <f>INDEX(SKU_Master!$D$5:$D$34,MATCH($I1900,SKU_Master!$A$5:$A$34,0))</f>
        <v>Laptop</v>
      </c>
      <c r="S1900" s="54">
        <f t="shared" si="406"/>
        <v>1.5479591836734641E-2</v>
      </c>
      <c r="T1900" s="55">
        <f t="shared" si="407"/>
        <v>10014.598540145984</v>
      </c>
      <c r="U1900" s="55">
        <f t="shared" si="408"/>
        <v>9859.5766423357654</v>
      </c>
      <c r="V1900" s="55">
        <f t="shared" si="409"/>
        <v>-155.02189781021843</v>
      </c>
      <c r="W1900" s="55">
        <f t="shared" si="410"/>
        <v>9858.1374981754489</v>
      </c>
      <c r="X1900" s="55">
        <f t="shared" si="411"/>
        <v>-1.4391441603165731</v>
      </c>
      <c r="Y1900" s="55">
        <f t="shared" si="412"/>
        <v>8387.4</v>
      </c>
      <c r="Z1900" s="55">
        <f t="shared" si="413"/>
        <v>8387.4</v>
      </c>
      <c r="AA1900" s="55">
        <f t="shared" si="414"/>
        <v>0</v>
      </c>
      <c r="AB1900" s="55">
        <f t="shared" si="415"/>
        <v>1470.7374981754492</v>
      </c>
      <c r="AC1900" s="54">
        <f t="shared" si="416"/>
        <v>0.14919019930972299</v>
      </c>
      <c r="AD1900" s="56">
        <f>INDEX(Assumptions!$B$14:$B$16,MATCH($R1900,Assumptions!$A$14:$A$16,0))</f>
        <v>0.12</v>
      </c>
      <c r="AE1900" s="56">
        <f>INDEX(Assumptions!$C$14:$C$16,MATCH($R1900,Assumptions!$A$14:$A$16,0))</f>
        <v>0.08</v>
      </c>
      <c r="AF1900" s="49">
        <f t="shared" si="417"/>
        <v>0</v>
      </c>
      <c r="AG1900" s="49">
        <f t="shared" si="418"/>
        <v>0</v>
      </c>
      <c r="AH1900" s="55">
        <f t="shared" si="419"/>
        <v>0</v>
      </c>
    </row>
    <row r="1901" spans="1:34" x14ac:dyDescent="0.2">
      <c r="A1901" s="48" t="s">
        <v>1510</v>
      </c>
      <c r="B1901" s="48">
        <v>2</v>
      </c>
      <c r="C1901" s="48" t="s">
        <v>1474</v>
      </c>
      <c r="D1901" s="48" t="s">
        <v>1444</v>
      </c>
      <c r="E1901" s="48" t="s">
        <v>314</v>
      </c>
      <c r="F1901" s="48" t="s">
        <v>274</v>
      </c>
      <c r="G1901" s="48" t="s">
        <v>298</v>
      </c>
      <c r="H1901" s="48" t="s">
        <v>68</v>
      </c>
      <c r="I1901" s="48" t="s">
        <v>135</v>
      </c>
      <c r="J1901" s="49">
        <v>4</v>
      </c>
      <c r="K1901" s="50">
        <v>360</v>
      </c>
      <c r="L1901" s="50">
        <v>353.67</v>
      </c>
      <c r="M1901" s="48" t="s">
        <v>276</v>
      </c>
      <c r="N1901" s="51">
        <v>1.37</v>
      </c>
      <c r="O1901" s="51">
        <v>1.3702000000000001</v>
      </c>
      <c r="P1901" s="52">
        <v>201.7</v>
      </c>
      <c r="Q1901" s="52">
        <v>201.7</v>
      </c>
      <c r="R1901" s="53" t="str">
        <f>INDEX(SKU_Master!$D$5:$D$34,MATCH($I1901,SKU_Master!$A$5:$A$34,0))</f>
        <v>Monitor</v>
      </c>
      <c r="S1901" s="54">
        <f t="shared" si="406"/>
        <v>1.7583333333333284E-2</v>
      </c>
      <c r="T1901" s="55">
        <f t="shared" si="407"/>
        <v>1051.0948905109487</v>
      </c>
      <c r="U1901" s="55">
        <f t="shared" si="408"/>
        <v>1032.6131386861314</v>
      </c>
      <c r="V1901" s="55">
        <f t="shared" si="409"/>
        <v>-18.481751824817366</v>
      </c>
      <c r="W1901" s="55">
        <f t="shared" si="410"/>
        <v>1032.4624142460955</v>
      </c>
      <c r="X1901" s="55">
        <f t="shared" si="411"/>
        <v>-0.15072444003590135</v>
      </c>
      <c r="Y1901" s="55">
        <f t="shared" si="412"/>
        <v>806.8</v>
      </c>
      <c r="Z1901" s="55">
        <f t="shared" si="413"/>
        <v>806.8</v>
      </c>
      <c r="AA1901" s="55">
        <f t="shared" si="414"/>
        <v>0</v>
      </c>
      <c r="AB1901" s="55">
        <f t="shared" si="415"/>
        <v>225.66241424609552</v>
      </c>
      <c r="AC1901" s="54">
        <f t="shared" si="416"/>
        <v>0.2185671954081489</v>
      </c>
      <c r="AD1901" s="56">
        <f>INDEX(Assumptions!$B$14:$B$16,MATCH($R1901,Assumptions!$A$14:$A$16,0))</f>
        <v>0.18</v>
      </c>
      <c r="AE1901" s="56">
        <f>INDEX(Assumptions!$C$14:$C$16,MATCH($R1901,Assumptions!$A$14:$A$16,0))</f>
        <v>0.12</v>
      </c>
      <c r="AF1901" s="49">
        <f t="shared" si="417"/>
        <v>0</v>
      </c>
      <c r="AG1901" s="49">
        <f t="shared" si="418"/>
        <v>0</v>
      </c>
      <c r="AH1901" s="55">
        <f t="shared" si="419"/>
        <v>0</v>
      </c>
    </row>
    <row r="1902" spans="1:34" x14ac:dyDescent="0.2">
      <c r="A1902" s="48" t="s">
        <v>1511</v>
      </c>
      <c r="B1902" s="48">
        <v>1</v>
      </c>
      <c r="C1902" s="48" t="s">
        <v>1471</v>
      </c>
      <c r="D1902" s="48" t="s">
        <v>1444</v>
      </c>
      <c r="E1902" s="48" t="s">
        <v>588</v>
      </c>
      <c r="F1902" s="48" t="s">
        <v>274</v>
      </c>
      <c r="G1902" s="48" t="s">
        <v>281</v>
      </c>
      <c r="H1902" s="48" t="s">
        <v>62</v>
      </c>
      <c r="I1902" s="48" t="s">
        <v>121</v>
      </c>
      <c r="J1902" s="49">
        <v>3</v>
      </c>
      <c r="K1902" s="50">
        <v>920</v>
      </c>
      <c r="L1902" s="50">
        <v>908.33</v>
      </c>
      <c r="M1902" s="48" t="s">
        <v>276</v>
      </c>
      <c r="N1902" s="51">
        <v>1</v>
      </c>
      <c r="O1902" s="51">
        <v>1</v>
      </c>
      <c r="P1902" s="52">
        <v>782.4</v>
      </c>
      <c r="Q1902" s="52">
        <v>782.4</v>
      </c>
      <c r="R1902" s="53" t="str">
        <f>INDEX(SKU_Master!$D$5:$D$34,MATCH($I1902,SKU_Master!$A$5:$A$34,0))</f>
        <v>Laptop</v>
      </c>
      <c r="S1902" s="54">
        <f t="shared" si="406"/>
        <v>1.2684782608695655E-2</v>
      </c>
      <c r="T1902" s="55">
        <f t="shared" si="407"/>
        <v>2760</v>
      </c>
      <c r="U1902" s="55">
        <f t="shared" si="408"/>
        <v>2724.9900000000002</v>
      </c>
      <c r="V1902" s="55">
        <f t="shared" si="409"/>
        <v>-35.009999999999764</v>
      </c>
      <c r="W1902" s="55">
        <f t="shared" si="410"/>
        <v>2724.9900000000002</v>
      </c>
      <c r="X1902" s="55">
        <f t="shared" si="411"/>
        <v>0</v>
      </c>
      <c r="Y1902" s="55">
        <f t="shared" si="412"/>
        <v>2347.1999999999998</v>
      </c>
      <c r="Z1902" s="55">
        <f t="shared" si="413"/>
        <v>2347.1999999999998</v>
      </c>
      <c r="AA1902" s="55">
        <f t="shared" si="414"/>
        <v>0</v>
      </c>
      <c r="AB1902" s="55">
        <f t="shared" si="415"/>
        <v>377.79000000000042</v>
      </c>
      <c r="AC1902" s="54">
        <f t="shared" si="416"/>
        <v>0.13863904087721438</v>
      </c>
      <c r="AD1902" s="56">
        <f>INDEX(Assumptions!$B$14:$B$16,MATCH($R1902,Assumptions!$A$14:$A$16,0))</f>
        <v>0.12</v>
      </c>
      <c r="AE1902" s="56">
        <f>INDEX(Assumptions!$C$14:$C$16,MATCH($R1902,Assumptions!$A$14:$A$16,0))</f>
        <v>0.08</v>
      </c>
      <c r="AF1902" s="49">
        <f t="shared" si="417"/>
        <v>0</v>
      </c>
      <c r="AG1902" s="49">
        <f t="shared" si="418"/>
        <v>0</v>
      </c>
      <c r="AH1902" s="55">
        <f t="shared" si="419"/>
        <v>0</v>
      </c>
    </row>
    <row r="1903" spans="1:34" x14ac:dyDescent="0.2">
      <c r="A1903" s="48" t="s">
        <v>1511</v>
      </c>
      <c r="B1903" s="48">
        <v>2</v>
      </c>
      <c r="C1903" s="48" t="s">
        <v>1471</v>
      </c>
      <c r="D1903" s="48" t="s">
        <v>1444</v>
      </c>
      <c r="E1903" s="48" t="s">
        <v>588</v>
      </c>
      <c r="F1903" s="48" t="s">
        <v>274</v>
      </c>
      <c r="G1903" s="48" t="s">
        <v>281</v>
      </c>
      <c r="H1903" s="48" t="s">
        <v>62</v>
      </c>
      <c r="I1903" s="48" t="s">
        <v>135</v>
      </c>
      <c r="J1903" s="49">
        <v>2</v>
      </c>
      <c r="K1903" s="50">
        <v>240</v>
      </c>
      <c r="L1903" s="50">
        <v>239.27</v>
      </c>
      <c r="M1903" s="48" t="s">
        <v>276</v>
      </c>
      <c r="N1903" s="51">
        <v>1</v>
      </c>
      <c r="O1903" s="51">
        <v>1</v>
      </c>
      <c r="P1903" s="52">
        <v>186.7</v>
      </c>
      <c r="Q1903" s="52">
        <v>186.7</v>
      </c>
      <c r="R1903" s="53" t="str">
        <f>INDEX(SKU_Master!$D$5:$D$34,MATCH($I1903,SKU_Master!$A$5:$A$34,0))</f>
        <v>Monitor</v>
      </c>
      <c r="S1903" s="54">
        <f t="shared" si="406"/>
        <v>3.0416666666666092E-3</v>
      </c>
      <c r="T1903" s="55">
        <f t="shared" si="407"/>
        <v>480</v>
      </c>
      <c r="U1903" s="55">
        <f t="shared" si="408"/>
        <v>478.54</v>
      </c>
      <c r="V1903" s="55">
        <f t="shared" si="409"/>
        <v>-1.4599999999999795</v>
      </c>
      <c r="W1903" s="55">
        <f t="shared" si="410"/>
        <v>478.54</v>
      </c>
      <c r="X1903" s="55">
        <f t="shared" si="411"/>
        <v>0</v>
      </c>
      <c r="Y1903" s="55">
        <f t="shared" si="412"/>
        <v>373.4</v>
      </c>
      <c r="Z1903" s="55">
        <f t="shared" si="413"/>
        <v>373.4</v>
      </c>
      <c r="AA1903" s="55">
        <f t="shared" si="414"/>
        <v>0</v>
      </c>
      <c r="AB1903" s="55">
        <f t="shared" si="415"/>
        <v>105.14000000000004</v>
      </c>
      <c r="AC1903" s="54">
        <f t="shared" si="416"/>
        <v>0.21970995110126643</v>
      </c>
      <c r="AD1903" s="56">
        <f>INDEX(Assumptions!$B$14:$B$16,MATCH($R1903,Assumptions!$A$14:$A$16,0))</f>
        <v>0.18</v>
      </c>
      <c r="AE1903" s="56">
        <f>INDEX(Assumptions!$C$14:$C$16,MATCH($R1903,Assumptions!$A$14:$A$16,0))</f>
        <v>0.12</v>
      </c>
      <c r="AF1903" s="49">
        <f t="shared" si="417"/>
        <v>0</v>
      </c>
      <c r="AG1903" s="49">
        <f t="shared" si="418"/>
        <v>0</v>
      </c>
      <c r="AH1903" s="55">
        <f t="shared" si="419"/>
        <v>0</v>
      </c>
    </row>
    <row r="1904" spans="1:34" x14ac:dyDescent="0.2">
      <c r="A1904" s="48" t="s">
        <v>1511</v>
      </c>
      <c r="B1904" s="48">
        <v>3</v>
      </c>
      <c r="C1904" s="48" t="s">
        <v>1471</v>
      </c>
      <c r="D1904" s="48" t="s">
        <v>1444</v>
      </c>
      <c r="E1904" s="48" t="s">
        <v>588</v>
      </c>
      <c r="F1904" s="48" t="s">
        <v>274</v>
      </c>
      <c r="G1904" s="48" t="s">
        <v>281</v>
      </c>
      <c r="H1904" s="48" t="s">
        <v>62</v>
      </c>
      <c r="I1904" s="48" t="s">
        <v>151</v>
      </c>
      <c r="J1904" s="49">
        <v>2</v>
      </c>
      <c r="K1904" s="50">
        <v>335</v>
      </c>
      <c r="L1904" s="50">
        <v>329.79</v>
      </c>
      <c r="M1904" s="48" t="s">
        <v>276</v>
      </c>
      <c r="N1904" s="51">
        <v>1</v>
      </c>
      <c r="O1904" s="51">
        <v>1</v>
      </c>
      <c r="P1904" s="52">
        <v>216.7</v>
      </c>
      <c r="Q1904" s="52">
        <v>216.7</v>
      </c>
      <c r="R1904" s="53" t="str">
        <f>INDEX(SKU_Master!$D$5:$D$34,MATCH($I1904,SKU_Master!$A$5:$A$34,0))</f>
        <v>Accessory</v>
      </c>
      <c r="S1904" s="54">
        <f t="shared" si="406"/>
        <v>1.555223880597012E-2</v>
      </c>
      <c r="T1904" s="55">
        <f t="shared" si="407"/>
        <v>670</v>
      </c>
      <c r="U1904" s="55">
        <f t="shared" si="408"/>
        <v>659.58</v>
      </c>
      <c r="V1904" s="55">
        <f t="shared" si="409"/>
        <v>-10.419999999999959</v>
      </c>
      <c r="W1904" s="55">
        <f t="shared" si="410"/>
        <v>659.58</v>
      </c>
      <c r="X1904" s="55">
        <f t="shared" si="411"/>
        <v>0</v>
      </c>
      <c r="Y1904" s="55">
        <f t="shared" si="412"/>
        <v>433.4</v>
      </c>
      <c r="Z1904" s="55">
        <f t="shared" si="413"/>
        <v>433.4</v>
      </c>
      <c r="AA1904" s="55">
        <f t="shared" si="414"/>
        <v>0</v>
      </c>
      <c r="AB1904" s="55">
        <f t="shared" si="415"/>
        <v>226.18000000000006</v>
      </c>
      <c r="AC1904" s="54">
        <f t="shared" si="416"/>
        <v>0.34291518845325819</v>
      </c>
      <c r="AD1904" s="56">
        <f>INDEX(Assumptions!$B$14:$B$16,MATCH($R1904,Assumptions!$A$14:$A$16,0))</f>
        <v>0.32</v>
      </c>
      <c r="AE1904" s="56">
        <f>INDEX(Assumptions!$C$14:$C$16,MATCH($R1904,Assumptions!$A$14:$A$16,0))</f>
        <v>0.22</v>
      </c>
      <c r="AF1904" s="49">
        <f t="shared" si="417"/>
        <v>0</v>
      </c>
      <c r="AG1904" s="49">
        <f t="shared" si="418"/>
        <v>0</v>
      </c>
      <c r="AH1904" s="55">
        <f t="shared" si="419"/>
        <v>0</v>
      </c>
    </row>
    <row r="1905" spans="1:34" x14ac:dyDescent="0.2">
      <c r="A1905" s="48" t="s">
        <v>1512</v>
      </c>
      <c r="B1905" s="48">
        <v>1</v>
      </c>
      <c r="C1905" s="48" t="s">
        <v>1460</v>
      </c>
      <c r="D1905" s="48" t="s">
        <v>1444</v>
      </c>
      <c r="E1905" s="48" t="s">
        <v>311</v>
      </c>
      <c r="F1905" s="48" t="s">
        <v>297</v>
      </c>
      <c r="G1905" s="48" t="s">
        <v>302</v>
      </c>
      <c r="H1905" s="48" t="s">
        <v>62</v>
      </c>
      <c r="I1905" s="48" t="s">
        <v>113</v>
      </c>
      <c r="J1905" s="49">
        <v>17</v>
      </c>
      <c r="K1905" s="50">
        <v>1740</v>
      </c>
      <c r="L1905" s="50">
        <v>1653.5</v>
      </c>
      <c r="M1905" s="48" t="s">
        <v>276</v>
      </c>
      <c r="N1905" s="51">
        <v>1</v>
      </c>
      <c r="O1905" s="51">
        <v>1</v>
      </c>
      <c r="P1905" s="52">
        <v>1484.8</v>
      </c>
      <c r="Q1905" s="52">
        <v>1484.8</v>
      </c>
      <c r="R1905" s="53" t="str">
        <f>INDEX(SKU_Master!$D$5:$D$34,MATCH($I1905,SKU_Master!$A$5:$A$34,0))</f>
        <v>Laptop</v>
      </c>
      <c r="S1905" s="54">
        <f t="shared" si="406"/>
        <v>4.9712643678160973E-2</v>
      </c>
      <c r="T1905" s="55">
        <f t="shared" si="407"/>
        <v>29580</v>
      </c>
      <c r="U1905" s="55">
        <f t="shared" si="408"/>
        <v>28109.5</v>
      </c>
      <c r="V1905" s="55">
        <f t="shared" si="409"/>
        <v>-1470.5</v>
      </c>
      <c r="W1905" s="55">
        <f t="shared" si="410"/>
        <v>28109.5</v>
      </c>
      <c r="X1905" s="55">
        <f t="shared" si="411"/>
        <v>0</v>
      </c>
      <c r="Y1905" s="55">
        <f t="shared" si="412"/>
        <v>25241.599999999999</v>
      </c>
      <c r="Z1905" s="55">
        <f t="shared" si="413"/>
        <v>25241.599999999999</v>
      </c>
      <c r="AA1905" s="55">
        <f t="shared" si="414"/>
        <v>0</v>
      </c>
      <c r="AB1905" s="55">
        <f t="shared" si="415"/>
        <v>2867.9000000000015</v>
      </c>
      <c r="AC1905" s="54">
        <f t="shared" si="416"/>
        <v>0.10202600544299975</v>
      </c>
      <c r="AD1905" s="56">
        <f>INDEX(Assumptions!$B$14:$B$16,MATCH($R1905,Assumptions!$A$14:$A$16,0))</f>
        <v>0.12</v>
      </c>
      <c r="AE1905" s="56">
        <f>INDEX(Assumptions!$C$14:$C$16,MATCH($R1905,Assumptions!$A$14:$A$16,0))</f>
        <v>0.08</v>
      </c>
      <c r="AF1905" s="49">
        <f t="shared" si="417"/>
        <v>0</v>
      </c>
      <c r="AG1905" s="49">
        <f t="shared" si="418"/>
        <v>0</v>
      </c>
      <c r="AH1905" s="55">
        <f t="shared" si="419"/>
        <v>505.23999999999842</v>
      </c>
    </row>
    <row r="1906" spans="1:34" x14ac:dyDescent="0.2">
      <c r="A1906" s="48" t="s">
        <v>1513</v>
      </c>
      <c r="B1906" s="48">
        <v>1</v>
      </c>
      <c r="C1906" s="48" t="s">
        <v>1467</v>
      </c>
      <c r="D1906" s="48" t="s">
        <v>1444</v>
      </c>
      <c r="E1906" s="48" t="s">
        <v>397</v>
      </c>
      <c r="F1906" s="48" t="s">
        <v>280</v>
      </c>
      <c r="G1906" s="48" t="s">
        <v>306</v>
      </c>
      <c r="H1906" s="48" t="s">
        <v>70</v>
      </c>
      <c r="I1906" s="48" t="s">
        <v>98</v>
      </c>
      <c r="J1906" s="49">
        <v>26</v>
      </c>
      <c r="K1906" s="50">
        <v>200480</v>
      </c>
      <c r="L1906" s="50">
        <v>192149.76000000001</v>
      </c>
      <c r="M1906" s="48" t="s">
        <v>276</v>
      </c>
      <c r="N1906" s="51">
        <v>83.5</v>
      </c>
      <c r="O1906" s="51">
        <v>84.964699999999993</v>
      </c>
      <c r="P1906" s="52">
        <v>2011.04</v>
      </c>
      <c r="Q1906" s="52">
        <v>2031.04</v>
      </c>
      <c r="R1906" s="53" t="str">
        <f>INDEX(SKU_Master!$D$5:$D$34,MATCH($I1906,SKU_Master!$A$5:$A$34,0))</f>
        <v>Laptop</v>
      </c>
      <c r="S1906" s="54">
        <f t="shared" si="406"/>
        <v>4.1551476456504366E-2</v>
      </c>
      <c r="T1906" s="55">
        <f t="shared" si="407"/>
        <v>62424.910179640719</v>
      </c>
      <c r="U1906" s="55">
        <f t="shared" si="408"/>
        <v>59831.062994011976</v>
      </c>
      <c r="V1906" s="55">
        <f t="shared" si="409"/>
        <v>-2593.8471856287433</v>
      </c>
      <c r="W1906" s="55">
        <f t="shared" si="410"/>
        <v>58799.639850432002</v>
      </c>
      <c r="X1906" s="55">
        <f t="shared" si="411"/>
        <v>-1031.4231435799738</v>
      </c>
      <c r="Y1906" s="55">
        <f t="shared" si="412"/>
        <v>52287.040000000001</v>
      </c>
      <c r="Z1906" s="55">
        <f t="shared" si="413"/>
        <v>52807.040000000001</v>
      </c>
      <c r="AA1906" s="55">
        <f t="shared" si="414"/>
        <v>-520</v>
      </c>
      <c r="AB1906" s="55">
        <f t="shared" si="415"/>
        <v>5992.5998504320014</v>
      </c>
      <c r="AC1906" s="54">
        <f t="shared" si="416"/>
        <v>0.10191558767494685</v>
      </c>
      <c r="AD1906" s="56">
        <f>INDEX(Assumptions!$B$14:$B$16,MATCH($R1906,Assumptions!$A$14:$A$16,0))</f>
        <v>0.12</v>
      </c>
      <c r="AE1906" s="56">
        <f>INDEX(Assumptions!$C$14:$C$16,MATCH($R1906,Assumptions!$A$14:$A$16,0))</f>
        <v>0.08</v>
      </c>
      <c r="AF1906" s="49">
        <f t="shared" si="417"/>
        <v>0</v>
      </c>
      <c r="AG1906" s="49">
        <f t="shared" si="418"/>
        <v>0</v>
      </c>
      <c r="AH1906" s="55">
        <f t="shared" si="419"/>
        <v>1063.3569316198382</v>
      </c>
    </row>
    <row r="1907" spans="1:34" x14ac:dyDescent="0.2">
      <c r="A1907" s="48" t="s">
        <v>1513</v>
      </c>
      <c r="B1907" s="48">
        <v>2</v>
      </c>
      <c r="C1907" s="48" t="s">
        <v>1467</v>
      </c>
      <c r="D1907" s="48" t="s">
        <v>1444</v>
      </c>
      <c r="E1907" s="48" t="s">
        <v>397</v>
      </c>
      <c r="F1907" s="48" t="s">
        <v>280</v>
      </c>
      <c r="G1907" s="48" t="s">
        <v>306</v>
      </c>
      <c r="H1907" s="48" t="s">
        <v>70</v>
      </c>
      <c r="I1907" s="48" t="s">
        <v>144</v>
      </c>
      <c r="J1907" s="49">
        <v>17</v>
      </c>
      <c r="K1907" s="50">
        <v>39290</v>
      </c>
      <c r="L1907" s="50">
        <v>37593.949999999997</v>
      </c>
      <c r="M1907" s="48" t="s">
        <v>276</v>
      </c>
      <c r="N1907" s="51">
        <v>83.5</v>
      </c>
      <c r="O1907" s="51">
        <v>84.964699999999993</v>
      </c>
      <c r="P1907" s="52">
        <v>363.71</v>
      </c>
      <c r="Q1907" s="52">
        <v>383.71</v>
      </c>
      <c r="R1907" s="53" t="str">
        <f>INDEX(SKU_Master!$D$5:$D$34,MATCH($I1907,SKU_Master!$A$5:$A$34,0))</f>
        <v>Monitor</v>
      </c>
      <c r="S1907" s="54">
        <f t="shared" si="406"/>
        <v>4.3167472639348503E-2</v>
      </c>
      <c r="T1907" s="55">
        <f t="shared" si="407"/>
        <v>7999.1616766467068</v>
      </c>
      <c r="U1907" s="55">
        <f t="shared" si="408"/>
        <v>7653.8580838323342</v>
      </c>
      <c r="V1907" s="55">
        <f t="shared" si="409"/>
        <v>-345.30359281437268</v>
      </c>
      <c r="W1907" s="55">
        <f t="shared" si="410"/>
        <v>7521.9138065573106</v>
      </c>
      <c r="X1907" s="55">
        <f t="shared" si="411"/>
        <v>-131.94427727502352</v>
      </c>
      <c r="Y1907" s="55">
        <f t="shared" si="412"/>
        <v>6183.07</v>
      </c>
      <c r="Z1907" s="55">
        <f t="shared" si="413"/>
        <v>6523.07</v>
      </c>
      <c r="AA1907" s="55">
        <f t="shared" si="414"/>
        <v>-340</v>
      </c>
      <c r="AB1907" s="55">
        <f t="shared" si="415"/>
        <v>998.84380655731093</v>
      </c>
      <c r="AC1907" s="54">
        <f t="shared" si="416"/>
        <v>0.13279117951159689</v>
      </c>
      <c r="AD1907" s="56">
        <f>INDEX(Assumptions!$B$14:$B$16,MATCH($R1907,Assumptions!$A$14:$A$16,0))</f>
        <v>0.18</v>
      </c>
      <c r="AE1907" s="56">
        <f>INDEX(Assumptions!$C$14:$C$16,MATCH($R1907,Assumptions!$A$14:$A$16,0))</f>
        <v>0.12</v>
      </c>
      <c r="AF1907" s="49">
        <f t="shared" si="417"/>
        <v>0</v>
      </c>
      <c r="AG1907" s="49">
        <f t="shared" si="418"/>
        <v>0</v>
      </c>
      <c r="AH1907" s="55">
        <f t="shared" si="419"/>
        <v>355.10067862300502</v>
      </c>
    </row>
    <row r="1908" spans="1:34" x14ac:dyDescent="0.2">
      <c r="A1908" s="48" t="s">
        <v>1513</v>
      </c>
      <c r="B1908" s="48">
        <v>3</v>
      </c>
      <c r="C1908" s="48" t="s">
        <v>1467</v>
      </c>
      <c r="D1908" s="48" t="s">
        <v>1444</v>
      </c>
      <c r="E1908" s="48" t="s">
        <v>397</v>
      </c>
      <c r="F1908" s="48" t="s">
        <v>280</v>
      </c>
      <c r="G1908" s="48" t="s">
        <v>306</v>
      </c>
      <c r="H1908" s="48" t="s">
        <v>70</v>
      </c>
      <c r="I1908" s="48" t="s">
        <v>157</v>
      </c>
      <c r="J1908" s="49">
        <v>18</v>
      </c>
      <c r="K1908" s="50">
        <v>13655</v>
      </c>
      <c r="L1908" s="50">
        <v>13129.65</v>
      </c>
      <c r="M1908" s="48" t="s">
        <v>276</v>
      </c>
      <c r="N1908" s="51">
        <v>83.5</v>
      </c>
      <c r="O1908" s="51">
        <v>84.964699999999993</v>
      </c>
      <c r="P1908" s="52">
        <v>103.8</v>
      </c>
      <c r="Q1908" s="52">
        <v>108.8</v>
      </c>
      <c r="R1908" s="53" t="str">
        <f>INDEX(SKU_Master!$D$5:$D$34,MATCH($I1908,SKU_Master!$A$5:$A$34,0))</f>
        <v>Accessory</v>
      </c>
      <c r="S1908" s="54">
        <f t="shared" si="406"/>
        <v>3.8473086781398824E-2</v>
      </c>
      <c r="T1908" s="55">
        <f t="shared" si="407"/>
        <v>2943.5928143712576</v>
      </c>
      <c r="U1908" s="55">
        <f t="shared" si="408"/>
        <v>2830.3437125748501</v>
      </c>
      <c r="V1908" s="55">
        <f t="shared" si="409"/>
        <v>-113.24910179640756</v>
      </c>
      <c r="W1908" s="55">
        <f t="shared" si="410"/>
        <v>2781.5516326191937</v>
      </c>
      <c r="X1908" s="55">
        <f t="shared" si="411"/>
        <v>-48.792079955656391</v>
      </c>
      <c r="Y1908" s="55">
        <f t="shared" si="412"/>
        <v>1868.3999999999999</v>
      </c>
      <c r="Z1908" s="55">
        <f t="shared" si="413"/>
        <v>1958.3999999999999</v>
      </c>
      <c r="AA1908" s="55">
        <f t="shared" si="414"/>
        <v>-90</v>
      </c>
      <c r="AB1908" s="55">
        <f t="shared" si="415"/>
        <v>823.15163261919383</v>
      </c>
      <c r="AC1908" s="54">
        <f t="shared" si="416"/>
        <v>0.29593253742483622</v>
      </c>
      <c r="AD1908" s="56">
        <f>INDEX(Assumptions!$B$14:$B$16,MATCH($R1908,Assumptions!$A$14:$A$16,0))</f>
        <v>0.32</v>
      </c>
      <c r="AE1908" s="56">
        <f>INDEX(Assumptions!$C$14:$C$16,MATCH($R1908,Assumptions!$A$14:$A$16,0))</f>
        <v>0.22</v>
      </c>
      <c r="AF1908" s="49">
        <f t="shared" si="417"/>
        <v>0</v>
      </c>
      <c r="AG1908" s="49">
        <f t="shared" si="418"/>
        <v>0</v>
      </c>
      <c r="AH1908" s="55">
        <f t="shared" si="419"/>
        <v>66.944889818948127</v>
      </c>
    </row>
    <row r="1909" spans="1:34" x14ac:dyDescent="0.2">
      <c r="A1909" s="48" t="s">
        <v>1514</v>
      </c>
      <c r="B1909" s="48">
        <v>1</v>
      </c>
      <c r="C1909" s="48" t="s">
        <v>1456</v>
      </c>
      <c r="D1909" s="48" t="s">
        <v>1444</v>
      </c>
      <c r="E1909" s="48" t="s">
        <v>395</v>
      </c>
      <c r="F1909" s="48" t="s">
        <v>280</v>
      </c>
      <c r="G1909" s="48" t="s">
        <v>281</v>
      </c>
      <c r="H1909" s="48" t="s">
        <v>66</v>
      </c>
      <c r="I1909" s="48" t="s">
        <v>106</v>
      </c>
      <c r="J1909" s="49">
        <v>16</v>
      </c>
      <c r="K1909" s="50">
        <v>1450</v>
      </c>
      <c r="L1909" s="50">
        <v>1404</v>
      </c>
      <c r="M1909" s="48" t="s">
        <v>276</v>
      </c>
      <c r="N1909" s="51">
        <v>0.92</v>
      </c>
      <c r="O1909" s="51">
        <v>0.93759999999999999</v>
      </c>
      <c r="P1909" s="52">
        <v>1318.4</v>
      </c>
      <c r="Q1909" s="52">
        <v>1318.4</v>
      </c>
      <c r="R1909" s="53" t="str">
        <f>INDEX(SKU_Master!$D$5:$D$34,MATCH($I1909,SKU_Master!$A$5:$A$34,0))</f>
        <v>Laptop</v>
      </c>
      <c r="S1909" s="54">
        <f t="shared" si="406"/>
        <v>3.1724137931034457E-2</v>
      </c>
      <c r="T1909" s="55">
        <f t="shared" si="407"/>
        <v>25217.391304347824</v>
      </c>
      <c r="U1909" s="55">
        <f t="shared" si="408"/>
        <v>24417.391304347824</v>
      </c>
      <c r="V1909" s="55">
        <f t="shared" si="409"/>
        <v>-800</v>
      </c>
      <c r="W1909" s="55">
        <f t="shared" si="410"/>
        <v>23959.044368600684</v>
      </c>
      <c r="X1909" s="55">
        <f t="shared" si="411"/>
        <v>-458.34693574714038</v>
      </c>
      <c r="Y1909" s="55">
        <f t="shared" si="412"/>
        <v>21094.400000000001</v>
      </c>
      <c r="Z1909" s="55">
        <f t="shared" si="413"/>
        <v>21094.400000000001</v>
      </c>
      <c r="AA1909" s="55">
        <f t="shared" si="414"/>
        <v>0</v>
      </c>
      <c r="AB1909" s="55">
        <f t="shared" si="415"/>
        <v>2864.6443686006824</v>
      </c>
      <c r="AC1909" s="54">
        <f t="shared" si="416"/>
        <v>0.1195642165242165</v>
      </c>
      <c r="AD1909" s="56">
        <f>INDEX(Assumptions!$B$14:$B$16,MATCH($R1909,Assumptions!$A$14:$A$16,0))</f>
        <v>0.12</v>
      </c>
      <c r="AE1909" s="56">
        <f>INDEX(Assumptions!$C$14:$C$16,MATCH($R1909,Assumptions!$A$14:$A$16,0))</f>
        <v>0.08</v>
      </c>
      <c r="AF1909" s="49">
        <f t="shared" si="417"/>
        <v>0</v>
      </c>
      <c r="AG1909" s="49">
        <f t="shared" si="418"/>
        <v>0</v>
      </c>
      <c r="AH1909" s="55">
        <f t="shared" si="419"/>
        <v>10.440955631399447</v>
      </c>
    </row>
    <row r="1910" spans="1:34" x14ac:dyDescent="0.2">
      <c r="A1910" s="48" t="s">
        <v>1514</v>
      </c>
      <c r="B1910" s="48">
        <v>2</v>
      </c>
      <c r="C1910" s="48" t="s">
        <v>1456</v>
      </c>
      <c r="D1910" s="48" t="s">
        <v>1444</v>
      </c>
      <c r="E1910" s="48" t="s">
        <v>395</v>
      </c>
      <c r="F1910" s="48" t="s">
        <v>280</v>
      </c>
      <c r="G1910" s="48" t="s">
        <v>281</v>
      </c>
      <c r="H1910" s="48" t="s">
        <v>66</v>
      </c>
      <c r="I1910" s="48" t="s">
        <v>138</v>
      </c>
      <c r="J1910" s="49">
        <v>11</v>
      </c>
      <c r="K1910" s="50">
        <v>460</v>
      </c>
      <c r="L1910" s="50">
        <v>451.15</v>
      </c>
      <c r="M1910" s="48" t="s">
        <v>276</v>
      </c>
      <c r="N1910" s="51">
        <v>0.92</v>
      </c>
      <c r="O1910" s="51">
        <v>0.93759999999999999</v>
      </c>
      <c r="P1910" s="52">
        <v>383.2</v>
      </c>
      <c r="Q1910" s="52">
        <v>383.2</v>
      </c>
      <c r="R1910" s="53" t="str">
        <f>INDEX(SKU_Master!$D$5:$D$34,MATCH($I1910,SKU_Master!$A$5:$A$34,0))</f>
        <v>Monitor</v>
      </c>
      <c r="S1910" s="54">
        <f t="shared" si="406"/>
        <v>1.9239130434782648E-2</v>
      </c>
      <c r="T1910" s="55">
        <f t="shared" si="407"/>
        <v>5500</v>
      </c>
      <c r="U1910" s="55">
        <f t="shared" si="408"/>
        <v>5394.1847826086951</v>
      </c>
      <c r="V1910" s="55">
        <f t="shared" si="409"/>
        <v>-105.81521739130494</v>
      </c>
      <c r="W1910" s="55">
        <f t="shared" si="410"/>
        <v>5292.9287542662114</v>
      </c>
      <c r="X1910" s="55">
        <f t="shared" si="411"/>
        <v>-101.25602834248366</v>
      </c>
      <c r="Y1910" s="55">
        <f t="shared" si="412"/>
        <v>4215.2</v>
      </c>
      <c r="Z1910" s="55">
        <f t="shared" si="413"/>
        <v>4215.2</v>
      </c>
      <c r="AA1910" s="55">
        <f t="shared" si="414"/>
        <v>0</v>
      </c>
      <c r="AB1910" s="55">
        <f t="shared" si="415"/>
        <v>1077.7287542662116</v>
      </c>
      <c r="AC1910" s="54">
        <f t="shared" si="416"/>
        <v>0.20361671284495178</v>
      </c>
      <c r="AD1910" s="56">
        <f>INDEX(Assumptions!$B$14:$B$16,MATCH($R1910,Assumptions!$A$14:$A$16,0))</f>
        <v>0.18</v>
      </c>
      <c r="AE1910" s="56">
        <f>INDEX(Assumptions!$C$14:$C$16,MATCH($R1910,Assumptions!$A$14:$A$16,0))</f>
        <v>0.12</v>
      </c>
      <c r="AF1910" s="49">
        <f t="shared" si="417"/>
        <v>0</v>
      </c>
      <c r="AG1910" s="49">
        <f t="shared" si="418"/>
        <v>0</v>
      </c>
      <c r="AH1910" s="55">
        <f t="shared" si="419"/>
        <v>0</v>
      </c>
    </row>
    <row r="1911" spans="1:34" x14ac:dyDescent="0.2">
      <c r="A1911" s="48" t="s">
        <v>1514</v>
      </c>
      <c r="B1911" s="48">
        <v>3</v>
      </c>
      <c r="C1911" s="48" t="s">
        <v>1456</v>
      </c>
      <c r="D1911" s="48" t="s">
        <v>1444</v>
      </c>
      <c r="E1911" s="48" t="s">
        <v>395</v>
      </c>
      <c r="F1911" s="48" t="s">
        <v>280</v>
      </c>
      <c r="G1911" s="48" t="s">
        <v>281</v>
      </c>
      <c r="H1911" s="48" t="s">
        <v>66</v>
      </c>
      <c r="I1911" s="48" t="s">
        <v>161</v>
      </c>
      <c r="J1911" s="49">
        <v>9</v>
      </c>
      <c r="K1911" s="50">
        <v>120</v>
      </c>
      <c r="L1911" s="50">
        <v>115.16</v>
      </c>
      <c r="M1911" s="48" t="s">
        <v>276</v>
      </c>
      <c r="N1911" s="51">
        <v>0.92</v>
      </c>
      <c r="O1911" s="51">
        <v>0.93759999999999999</v>
      </c>
      <c r="P1911" s="52">
        <v>81</v>
      </c>
      <c r="Q1911" s="52">
        <v>81</v>
      </c>
      <c r="R1911" s="53" t="str">
        <f>INDEX(SKU_Master!$D$5:$D$34,MATCH($I1911,SKU_Master!$A$5:$A$34,0))</f>
        <v>Accessory</v>
      </c>
      <c r="S1911" s="54">
        <f t="shared" si="406"/>
        <v>4.0333333333333332E-2</v>
      </c>
      <c r="T1911" s="55">
        <f t="shared" si="407"/>
        <v>1173.9130434782608</v>
      </c>
      <c r="U1911" s="55">
        <f t="shared" si="408"/>
        <v>1126.5652173913043</v>
      </c>
      <c r="V1911" s="55">
        <f t="shared" si="409"/>
        <v>-47.347826086956502</v>
      </c>
      <c r="W1911" s="55">
        <f t="shared" si="410"/>
        <v>1105.4180887372015</v>
      </c>
      <c r="X1911" s="55">
        <f t="shared" si="411"/>
        <v>-21.147128654102744</v>
      </c>
      <c r="Y1911" s="55">
        <f t="shared" si="412"/>
        <v>729</v>
      </c>
      <c r="Z1911" s="55">
        <f t="shared" si="413"/>
        <v>729</v>
      </c>
      <c r="AA1911" s="55">
        <f t="shared" si="414"/>
        <v>0</v>
      </c>
      <c r="AB1911" s="55">
        <f t="shared" si="415"/>
        <v>376.41808873720151</v>
      </c>
      <c r="AC1911" s="54">
        <f t="shared" si="416"/>
        <v>0.34052101424105602</v>
      </c>
      <c r="AD1911" s="56">
        <f>INDEX(Assumptions!$B$14:$B$16,MATCH($R1911,Assumptions!$A$14:$A$16,0))</f>
        <v>0.32</v>
      </c>
      <c r="AE1911" s="56">
        <f>INDEX(Assumptions!$C$14:$C$16,MATCH($R1911,Assumptions!$A$14:$A$16,0))</f>
        <v>0.22</v>
      </c>
      <c r="AF1911" s="49">
        <f t="shared" si="417"/>
        <v>0</v>
      </c>
      <c r="AG1911" s="49">
        <f t="shared" si="418"/>
        <v>0</v>
      </c>
      <c r="AH1911" s="55">
        <f t="shared" si="419"/>
        <v>0</v>
      </c>
    </row>
    <row r="1912" spans="1:34" x14ac:dyDescent="0.2">
      <c r="A1912" s="48" t="s">
        <v>1515</v>
      </c>
      <c r="B1912" s="48">
        <v>1</v>
      </c>
      <c r="C1912" s="48" t="s">
        <v>1469</v>
      </c>
      <c r="D1912" s="48" t="s">
        <v>1444</v>
      </c>
      <c r="E1912" s="48" t="s">
        <v>362</v>
      </c>
      <c r="F1912" s="48" t="s">
        <v>280</v>
      </c>
      <c r="G1912" s="48" t="s">
        <v>275</v>
      </c>
      <c r="H1912" s="48" t="s">
        <v>62</v>
      </c>
      <c r="I1912" s="48" t="s">
        <v>103</v>
      </c>
      <c r="J1912" s="49">
        <v>11</v>
      </c>
      <c r="K1912" s="50">
        <v>1135</v>
      </c>
      <c r="L1912" s="50">
        <v>1106.1600000000001</v>
      </c>
      <c r="M1912" s="48" t="s">
        <v>276</v>
      </c>
      <c r="N1912" s="51">
        <v>1</v>
      </c>
      <c r="O1912" s="51">
        <v>1</v>
      </c>
      <c r="P1912" s="52">
        <v>968.6</v>
      </c>
      <c r="Q1912" s="52">
        <v>968.6</v>
      </c>
      <c r="R1912" s="53" t="str">
        <f>INDEX(SKU_Master!$D$5:$D$34,MATCH($I1912,SKU_Master!$A$5:$A$34,0))</f>
        <v>Laptop</v>
      </c>
      <c r="S1912" s="54">
        <f t="shared" si="406"/>
        <v>2.5409691629955877E-2</v>
      </c>
      <c r="T1912" s="55">
        <f t="shared" si="407"/>
        <v>12485</v>
      </c>
      <c r="U1912" s="55">
        <f t="shared" si="408"/>
        <v>12167.76</v>
      </c>
      <c r="V1912" s="55">
        <f t="shared" si="409"/>
        <v>-317.23999999999978</v>
      </c>
      <c r="W1912" s="55">
        <f t="shared" si="410"/>
        <v>12167.76</v>
      </c>
      <c r="X1912" s="55">
        <f t="shared" si="411"/>
        <v>0</v>
      </c>
      <c r="Y1912" s="55">
        <f t="shared" si="412"/>
        <v>10654.6</v>
      </c>
      <c r="Z1912" s="55">
        <f t="shared" si="413"/>
        <v>10654.6</v>
      </c>
      <c r="AA1912" s="55">
        <f t="shared" si="414"/>
        <v>0</v>
      </c>
      <c r="AB1912" s="55">
        <f t="shared" si="415"/>
        <v>1513.1599999999999</v>
      </c>
      <c r="AC1912" s="54">
        <f t="shared" si="416"/>
        <v>0.12435813987126634</v>
      </c>
      <c r="AD1912" s="56">
        <f>INDEX(Assumptions!$B$14:$B$16,MATCH($R1912,Assumptions!$A$14:$A$16,0))</f>
        <v>0.12</v>
      </c>
      <c r="AE1912" s="56">
        <f>INDEX(Assumptions!$C$14:$C$16,MATCH($R1912,Assumptions!$A$14:$A$16,0))</f>
        <v>0.08</v>
      </c>
      <c r="AF1912" s="49">
        <f t="shared" si="417"/>
        <v>0</v>
      </c>
      <c r="AG1912" s="49">
        <f t="shared" si="418"/>
        <v>0</v>
      </c>
      <c r="AH1912" s="55">
        <f t="shared" si="419"/>
        <v>0</v>
      </c>
    </row>
    <row r="1913" spans="1:34" x14ac:dyDescent="0.2">
      <c r="A1913" s="48" t="s">
        <v>1515</v>
      </c>
      <c r="B1913" s="48">
        <v>2</v>
      </c>
      <c r="C1913" s="48" t="s">
        <v>1469</v>
      </c>
      <c r="D1913" s="48" t="s">
        <v>1444</v>
      </c>
      <c r="E1913" s="48" t="s">
        <v>362</v>
      </c>
      <c r="F1913" s="48" t="s">
        <v>280</v>
      </c>
      <c r="G1913" s="48" t="s">
        <v>275</v>
      </c>
      <c r="H1913" s="48" t="s">
        <v>62</v>
      </c>
      <c r="I1913" s="48" t="s">
        <v>138</v>
      </c>
      <c r="J1913" s="49">
        <v>10</v>
      </c>
      <c r="K1913" s="50">
        <v>455</v>
      </c>
      <c r="L1913" s="50">
        <v>435.12</v>
      </c>
      <c r="M1913" s="48" t="s">
        <v>276</v>
      </c>
      <c r="N1913" s="51">
        <v>1</v>
      </c>
      <c r="O1913" s="51">
        <v>1</v>
      </c>
      <c r="P1913" s="52">
        <v>358.2</v>
      </c>
      <c r="Q1913" s="52">
        <v>358.2</v>
      </c>
      <c r="R1913" s="53" t="str">
        <f>INDEX(SKU_Master!$D$5:$D$34,MATCH($I1913,SKU_Master!$A$5:$A$34,0))</f>
        <v>Monitor</v>
      </c>
      <c r="S1913" s="54">
        <f t="shared" si="406"/>
        <v>4.3692307692307697E-2</v>
      </c>
      <c r="T1913" s="55">
        <f t="shared" si="407"/>
        <v>4550</v>
      </c>
      <c r="U1913" s="55">
        <f t="shared" si="408"/>
        <v>4351.2</v>
      </c>
      <c r="V1913" s="55">
        <f t="shared" si="409"/>
        <v>-198.80000000000018</v>
      </c>
      <c r="W1913" s="55">
        <f t="shared" si="410"/>
        <v>4351.2</v>
      </c>
      <c r="X1913" s="55">
        <f t="shared" si="411"/>
        <v>0</v>
      </c>
      <c r="Y1913" s="55">
        <f t="shared" si="412"/>
        <v>3582</v>
      </c>
      <c r="Z1913" s="55">
        <f t="shared" si="413"/>
        <v>3582</v>
      </c>
      <c r="AA1913" s="55">
        <f t="shared" si="414"/>
        <v>0</v>
      </c>
      <c r="AB1913" s="55">
        <f t="shared" si="415"/>
        <v>769.19999999999982</v>
      </c>
      <c r="AC1913" s="54">
        <f t="shared" si="416"/>
        <v>0.17677881963596245</v>
      </c>
      <c r="AD1913" s="56">
        <f>INDEX(Assumptions!$B$14:$B$16,MATCH($R1913,Assumptions!$A$14:$A$16,0))</f>
        <v>0.18</v>
      </c>
      <c r="AE1913" s="56">
        <f>INDEX(Assumptions!$C$14:$C$16,MATCH($R1913,Assumptions!$A$14:$A$16,0))</f>
        <v>0.12</v>
      </c>
      <c r="AF1913" s="49">
        <f t="shared" si="417"/>
        <v>0</v>
      </c>
      <c r="AG1913" s="49">
        <f t="shared" si="418"/>
        <v>0</v>
      </c>
      <c r="AH1913" s="55">
        <f t="shared" si="419"/>
        <v>14.016000000000076</v>
      </c>
    </row>
    <row r="1914" spans="1:34" x14ac:dyDescent="0.2">
      <c r="A1914" s="48" t="s">
        <v>1516</v>
      </c>
      <c r="B1914" s="48">
        <v>1</v>
      </c>
      <c r="C1914" s="48" t="s">
        <v>1517</v>
      </c>
      <c r="D1914" s="48" t="s">
        <v>1444</v>
      </c>
      <c r="E1914" s="48" t="s">
        <v>349</v>
      </c>
      <c r="F1914" s="48" t="s">
        <v>274</v>
      </c>
      <c r="G1914" s="48" t="s">
        <v>275</v>
      </c>
      <c r="H1914" s="48" t="s">
        <v>66</v>
      </c>
      <c r="I1914" s="48" t="s">
        <v>98</v>
      </c>
      <c r="J1914" s="49">
        <v>5</v>
      </c>
      <c r="K1914" s="50">
        <v>1980</v>
      </c>
      <c r="L1914" s="50">
        <v>1974.4</v>
      </c>
      <c r="M1914" s="48" t="s">
        <v>276</v>
      </c>
      <c r="N1914" s="51">
        <v>0.92</v>
      </c>
      <c r="O1914" s="51">
        <v>0.93759999999999999</v>
      </c>
      <c r="P1914" s="52">
        <v>1800.2</v>
      </c>
      <c r="Q1914" s="52">
        <v>1800.2</v>
      </c>
      <c r="R1914" s="53" t="str">
        <f>INDEX(SKU_Master!$D$5:$D$34,MATCH($I1914,SKU_Master!$A$5:$A$34,0))</f>
        <v>Laptop</v>
      </c>
      <c r="S1914" s="54">
        <f t="shared" si="406"/>
        <v>2.8282828282827355E-3</v>
      </c>
      <c r="T1914" s="55">
        <f t="shared" si="407"/>
        <v>10760.86956521739</v>
      </c>
      <c r="U1914" s="55">
        <f t="shared" si="408"/>
        <v>10730.434782608696</v>
      </c>
      <c r="V1914" s="55">
        <f t="shared" si="409"/>
        <v>-30.43478260869415</v>
      </c>
      <c r="W1914" s="55">
        <f t="shared" si="410"/>
        <v>10529.010238907849</v>
      </c>
      <c r="X1914" s="55">
        <f t="shared" si="411"/>
        <v>-201.4245437008467</v>
      </c>
      <c r="Y1914" s="55">
        <f t="shared" si="412"/>
        <v>9001</v>
      </c>
      <c r="Z1914" s="55">
        <f t="shared" si="413"/>
        <v>9001</v>
      </c>
      <c r="AA1914" s="55">
        <f t="shared" si="414"/>
        <v>0</v>
      </c>
      <c r="AB1914" s="55">
        <f t="shared" si="415"/>
        <v>1528.0102389078493</v>
      </c>
      <c r="AC1914" s="54">
        <f t="shared" si="416"/>
        <v>0.14512382495948131</v>
      </c>
      <c r="AD1914" s="56">
        <f>INDEX(Assumptions!$B$14:$B$16,MATCH($R1914,Assumptions!$A$14:$A$16,0))</f>
        <v>0.12</v>
      </c>
      <c r="AE1914" s="56">
        <f>INDEX(Assumptions!$C$14:$C$16,MATCH($R1914,Assumptions!$A$14:$A$16,0))</f>
        <v>0.08</v>
      </c>
      <c r="AF1914" s="49">
        <f t="shared" si="417"/>
        <v>0</v>
      </c>
      <c r="AG1914" s="49">
        <f t="shared" si="418"/>
        <v>0</v>
      </c>
      <c r="AH1914" s="55">
        <f t="shared" si="419"/>
        <v>0</v>
      </c>
    </row>
    <row r="1915" spans="1:34" x14ac:dyDescent="0.2">
      <c r="A1915" s="48" t="s">
        <v>1516</v>
      </c>
      <c r="B1915" s="48">
        <v>2</v>
      </c>
      <c r="C1915" s="48" t="s">
        <v>1517</v>
      </c>
      <c r="D1915" s="48" t="s">
        <v>1444</v>
      </c>
      <c r="E1915" s="48" t="s">
        <v>349</v>
      </c>
      <c r="F1915" s="48" t="s">
        <v>274</v>
      </c>
      <c r="G1915" s="48" t="s">
        <v>275</v>
      </c>
      <c r="H1915" s="48" t="s">
        <v>66</v>
      </c>
      <c r="I1915" s="48" t="s">
        <v>146</v>
      </c>
      <c r="J1915" s="49">
        <v>5</v>
      </c>
      <c r="K1915" s="50">
        <v>250</v>
      </c>
      <c r="L1915" s="50">
        <v>245.21</v>
      </c>
      <c r="M1915" s="48" t="s">
        <v>276</v>
      </c>
      <c r="N1915" s="51">
        <v>0.92</v>
      </c>
      <c r="O1915" s="51">
        <v>0.93759999999999999</v>
      </c>
      <c r="P1915" s="52">
        <v>206.8</v>
      </c>
      <c r="Q1915" s="52">
        <v>206.8</v>
      </c>
      <c r="R1915" s="53" t="str">
        <f>INDEX(SKU_Master!$D$5:$D$34,MATCH($I1915,SKU_Master!$A$5:$A$34,0))</f>
        <v>Monitor</v>
      </c>
      <c r="S1915" s="54">
        <f t="shared" si="406"/>
        <v>1.9159999999999955E-2</v>
      </c>
      <c r="T1915" s="55">
        <f t="shared" si="407"/>
        <v>1358.695652173913</v>
      </c>
      <c r="U1915" s="55">
        <f t="shared" si="408"/>
        <v>1332.6630434782608</v>
      </c>
      <c r="V1915" s="55">
        <f t="shared" si="409"/>
        <v>-26.032608695652243</v>
      </c>
      <c r="W1915" s="55">
        <f t="shared" si="410"/>
        <v>1307.6471843003412</v>
      </c>
      <c r="X1915" s="55">
        <f t="shared" si="411"/>
        <v>-25.015859177919538</v>
      </c>
      <c r="Y1915" s="55">
        <f t="shared" si="412"/>
        <v>1034</v>
      </c>
      <c r="Z1915" s="55">
        <f t="shared" si="413"/>
        <v>1034</v>
      </c>
      <c r="AA1915" s="55">
        <f t="shared" si="414"/>
        <v>0</v>
      </c>
      <c r="AB1915" s="55">
        <f t="shared" si="415"/>
        <v>273.64718430034122</v>
      </c>
      <c r="AC1915" s="54">
        <f t="shared" si="416"/>
        <v>0.20926683251090897</v>
      </c>
      <c r="AD1915" s="56">
        <f>INDEX(Assumptions!$B$14:$B$16,MATCH($R1915,Assumptions!$A$14:$A$16,0))</f>
        <v>0.18</v>
      </c>
      <c r="AE1915" s="56">
        <f>INDEX(Assumptions!$C$14:$C$16,MATCH($R1915,Assumptions!$A$14:$A$16,0))</f>
        <v>0.12</v>
      </c>
      <c r="AF1915" s="49">
        <f t="shared" si="417"/>
        <v>0</v>
      </c>
      <c r="AG1915" s="49">
        <f t="shared" si="418"/>
        <v>0</v>
      </c>
      <c r="AH1915" s="55">
        <f t="shared" si="419"/>
        <v>0</v>
      </c>
    </row>
    <row r="1916" spans="1:34" x14ac:dyDescent="0.2">
      <c r="A1916" s="48" t="s">
        <v>1516</v>
      </c>
      <c r="B1916" s="48">
        <v>3</v>
      </c>
      <c r="C1916" s="48" t="s">
        <v>1517</v>
      </c>
      <c r="D1916" s="48" t="s">
        <v>1444</v>
      </c>
      <c r="E1916" s="48" t="s">
        <v>349</v>
      </c>
      <c r="F1916" s="48" t="s">
        <v>274</v>
      </c>
      <c r="G1916" s="48" t="s">
        <v>275</v>
      </c>
      <c r="H1916" s="48" t="s">
        <v>66</v>
      </c>
      <c r="I1916" s="48" t="s">
        <v>154</v>
      </c>
      <c r="J1916" s="49">
        <v>2</v>
      </c>
      <c r="K1916" s="50">
        <v>455</v>
      </c>
      <c r="L1916" s="50">
        <v>451.02</v>
      </c>
      <c r="M1916" s="48" t="s">
        <v>276</v>
      </c>
      <c r="N1916" s="51">
        <v>0.92</v>
      </c>
      <c r="O1916" s="51">
        <v>0.93759999999999999</v>
      </c>
      <c r="P1916" s="52">
        <v>311</v>
      </c>
      <c r="Q1916" s="52">
        <v>311</v>
      </c>
      <c r="R1916" s="53" t="str">
        <f>INDEX(SKU_Master!$D$5:$D$34,MATCH($I1916,SKU_Master!$A$5:$A$34,0))</f>
        <v>Accessory</v>
      </c>
      <c r="S1916" s="54">
        <f t="shared" si="406"/>
        <v>8.7472527472527428E-3</v>
      </c>
      <c r="T1916" s="55">
        <f t="shared" si="407"/>
        <v>989.13043478260863</v>
      </c>
      <c r="U1916" s="55">
        <f t="shared" si="408"/>
        <v>980.47826086956513</v>
      </c>
      <c r="V1916" s="55">
        <f t="shared" si="409"/>
        <v>-8.652173913043498</v>
      </c>
      <c r="W1916" s="55">
        <f t="shared" si="410"/>
        <v>962.07337883959042</v>
      </c>
      <c r="X1916" s="55">
        <f t="shared" si="411"/>
        <v>-18.404882029974715</v>
      </c>
      <c r="Y1916" s="55">
        <f t="shared" si="412"/>
        <v>622</v>
      </c>
      <c r="Z1916" s="55">
        <f t="shared" si="413"/>
        <v>622</v>
      </c>
      <c r="AA1916" s="55">
        <f t="shared" si="414"/>
        <v>0</v>
      </c>
      <c r="AB1916" s="55">
        <f t="shared" si="415"/>
        <v>340.07337883959042</v>
      </c>
      <c r="AC1916" s="54">
        <f t="shared" si="416"/>
        <v>0.35347966830739214</v>
      </c>
      <c r="AD1916" s="56">
        <f>INDEX(Assumptions!$B$14:$B$16,MATCH($R1916,Assumptions!$A$14:$A$16,0))</f>
        <v>0.32</v>
      </c>
      <c r="AE1916" s="56">
        <f>INDEX(Assumptions!$C$14:$C$16,MATCH($R1916,Assumptions!$A$14:$A$16,0))</f>
        <v>0.22</v>
      </c>
      <c r="AF1916" s="49">
        <f t="shared" si="417"/>
        <v>0</v>
      </c>
      <c r="AG1916" s="49">
        <f t="shared" si="418"/>
        <v>0</v>
      </c>
      <c r="AH1916" s="55">
        <f t="shared" si="419"/>
        <v>0</v>
      </c>
    </row>
    <row r="1917" spans="1:34" x14ac:dyDescent="0.2">
      <c r="A1917" s="48" t="s">
        <v>1518</v>
      </c>
      <c r="B1917" s="48">
        <v>1</v>
      </c>
      <c r="C1917" s="48" t="s">
        <v>1519</v>
      </c>
      <c r="D1917" s="48" t="s">
        <v>1444</v>
      </c>
      <c r="E1917" s="48" t="s">
        <v>284</v>
      </c>
      <c r="F1917" s="48" t="s">
        <v>274</v>
      </c>
      <c r="G1917" s="48" t="s">
        <v>275</v>
      </c>
      <c r="H1917" s="48" t="s">
        <v>64</v>
      </c>
      <c r="I1917" s="48" t="s">
        <v>113</v>
      </c>
      <c r="J1917" s="49">
        <v>4</v>
      </c>
      <c r="K1917" s="50">
        <v>1425</v>
      </c>
      <c r="L1917" s="50">
        <v>1402.6</v>
      </c>
      <c r="M1917" s="48" t="s">
        <v>276</v>
      </c>
      <c r="N1917" s="51">
        <v>0.79</v>
      </c>
      <c r="O1917" s="51">
        <v>0.83179999999999998</v>
      </c>
      <c r="P1917" s="52">
        <v>1508.8</v>
      </c>
      <c r="Q1917" s="52">
        <v>1508.8</v>
      </c>
      <c r="R1917" s="53" t="str">
        <f>INDEX(SKU_Master!$D$5:$D$34,MATCH($I1917,SKU_Master!$A$5:$A$34,0))</f>
        <v>Laptop</v>
      </c>
      <c r="S1917" s="54">
        <f t="shared" si="406"/>
        <v>1.5719298245614133E-2</v>
      </c>
      <c r="T1917" s="55">
        <f t="shared" si="407"/>
        <v>7215.1898734177212</v>
      </c>
      <c r="U1917" s="55">
        <f t="shared" si="408"/>
        <v>7101.7721518987337</v>
      </c>
      <c r="V1917" s="55">
        <f t="shared" si="409"/>
        <v>-113.41772151898749</v>
      </c>
      <c r="W1917" s="55">
        <f t="shared" si="410"/>
        <v>6744.8905987016105</v>
      </c>
      <c r="X1917" s="55">
        <f t="shared" si="411"/>
        <v>-356.88155319712314</v>
      </c>
      <c r="Y1917" s="55">
        <f t="shared" si="412"/>
        <v>6035.2</v>
      </c>
      <c r="Z1917" s="55">
        <f t="shared" si="413"/>
        <v>6035.2</v>
      </c>
      <c r="AA1917" s="55">
        <f t="shared" si="414"/>
        <v>0</v>
      </c>
      <c r="AB1917" s="55">
        <f t="shared" si="415"/>
        <v>709.69059870161072</v>
      </c>
      <c r="AC1917" s="54">
        <f t="shared" si="416"/>
        <v>0.10521899329816053</v>
      </c>
      <c r="AD1917" s="56">
        <f>INDEX(Assumptions!$B$14:$B$16,MATCH($R1917,Assumptions!$A$14:$A$16,0))</f>
        <v>0.12</v>
      </c>
      <c r="AE1917" s="56">
        <f>INDEX(Assumptions!$C$14:$C$16,MATCH($R1917,Assumptions!$A$14:$A$16,0))</f>
        <v>0.08</v>
      </c>
      <c r="AF1917" s="49">
        <f t="shared" si="417"/>
        <v>0</v>
      </c>
      <c r="AG1917" s="49">
        <f t="shared" si="418"/>
        <v>0</v>
      </c>
      <c r="AH1917" s="55">
        <f t="shared" si="419"/>
        <v>99.696273142582527</v>
      </c>
    </row>
    <row r="1918" spans="1:34" x14ac:dyDescent="0.2">
      <c r="A1918" s="48" t="s">
        <v>1518</v>
      </c>
      <c r="B1918" s="48">
        <v>2</v>
      </c>
      <c r="C1918" s="48" t="s">
        <v>1519</v>
      </c>
      <c r="D1918" s="48" t="s">
        <v>1444</v>
      </c>
      <c r="E1918" s="48" t="s">
        <v>284</v>
      </c>
      <c r="F1918" s="48" t="s">
        <v>274</v>
      </c>
      <c r="G1918" s="48" t="s">
        <v>275</v>
      </c>
      <c r="H1918" s="48" t="s">
        <v>64</v>
      </c>
      <c r="I1918" s="48" t="s">
        <v>144</v>
      </c>
      <c r="J1918" s="49">
        <v>1</v>
      </c>
      <c r="K1918" s="50">
        <v>330</v>
      </c>
      <c r="L1918" s="50">
        <v>325.23</v>
      </c>
      <c r="M1918" s="48" t="s">
        <v>276</v>
      </c>
      <c r="N1918" s="51">
        <v>0.79</v>
      </c>
      <c r="O1918" s="51">
        <v>0.83179999999999998</v>
      </c>
      <c r="P1918" s="52">
        <v>319.60000000000002</v>
      </c>
      <c r="Q1918" s="52">
        <v>319.60000000000002</v>
      </c>
      <c r="R1918" s="53" t="str">
        <f>INDEX(SKU_Master!$D$5:$D$34,MATCH($I1918,SKU_Master!$A$5:$A$34,0))</f>
        <v>Monitor</v>
      </c>
      <c r="S1918" s="54">
        <f t="shared" si="406"/>
        <v>1.4454545454545387E-2</v>
      </c>
      <c r="T1918" s="55">
        <f t="shared" si="407"/>
        <v>417.72151898734177</v>
      </c>
      <c r="U1918" s="55">
        <f t="shared" si="408"/>
        <v>411.68354430379748</v>
      </c>
      <c r="V1918" s="55">
        <f t="shared" si="409"/>
        <v>-6.0379746835442916</v>
      </c>
      <c r="W1918" s="55">
        <f t="shared" si="410"/>
        <v>390.99543159413321</v>
      </c>
      <c r="X1918" s="55">
        <f t="shared" si="411"/>
        <v>-20.688112709664267</v>
      </c>
      <c r="Y1918" s="55">
        <f t="shared" si="412"/>
        <v>319.60000000000002</v>
      </c>
      <c r="Z1918" s="55">
        <f t="shared" si="413"/>
        <v>319.60000000000002</v>
      </c>
      <c r="AA1918" s="55">
        <f t="shared" si="414"/>
        <v>0</v>
      </c>
      <c r="AB1918" s="55">
        <f t="shared" si="415"/>
        <v>71.395431594133186</v>
      </c>
      <c r="AC1918" s="54">
        <f t="shared" si="416"/>
        <v>0.18259914522030557</v>
      </c>
      <c r="AD1918" s="56">
        <f>INDEX(Assumptions!$B$14:$B$16,MATCH($R1918,Assumptions!$A$14:$A$16,0))</f>
        <v>0.18</v>
      </c>
      <c r="AE1918" s="56">
        <f>INDEX(Assumptions!$C$14:$C$16,MATCH($R1918,Assumptions!$A$14:$A$16,0))</f>
        <v>0.12</v>
      </c>
      <c r="AF1918" s="49">
        <f t="shared" si="417"/>
        <v>0</v>
      </c>
      <c r="AG1918" s="49">
        <f t="shared" si="418"/>
        <v>0</v>
      </c>
      <c r="AH1918" s="55">
        <f t="shared" si="419"/>
        <v>0</v>
      </c>
    </row>
    <row r="1919" spans="1:34" x14ac:dyDescent="0.2">
      <c r="A1919" s="48" t="s">
        <v>1518</v>
      </c>
      <c r="B1919" s="48">
        <v>3</v>
      </c>
      <c r="C1919" s="48" t="s">
        <v>1519</v>
      </c>
      <c r="D1919" s="48" t="s">
        <v>1444</v>
      </c>
      <c r="E1919" s="48" t="s">
        <v>284</v>
      </c>
      <c r="F1919" s="48" t="s">
        <v>274</v>
      </c>
      <c r="G1919" s="48" t="s">
        <v>275</v>
      </c>
      <c r="H1919" s="48" t="s">
        <v>64</v>
      </c>
      <c r="I1919" s="48" t="s">
        <v>161</v>
      </c>
      <c r="J1919" s="49">
        <v>2</v>
      </c>
      <c r="K1919" s="50">
        <v>105</v>
      </c>
      <c r="L1919" s="50">
        <v>104.38</v>
      </c>
      <c r="M1919" s="48" t="s">
        <v>276</v>
      </c>
      <c r="N1919" s="51">
        <v>0.79</v>
      </c>
      <c r="O1919" s="51">
        <v>0.83179999999999998</v>
      </c>
      <c r="P1919" s="52">
        <v>82</v>
      </c>
      <c r="Q1919" s="52">
        <v>82</v>
      </c>
      <c r="R1919" s="53" t="str">
        <f>INDEX(SKU_Master!$D$5:$D$34,MATCH($I1919,SKU_Master!$A$5:$A$34,0))</f>
        <v>Accessory</v>
      </c>
      <c r="S1919" s="54">
        <f t="shared" si="406"/>
        <v>5.9047619047619682E-3</v>
      </c>
      <c r="T1919" s="55">
        <f t="shared" si="407"/>
        <v>265.82278481012656</v>
      </c>
      <c r="U1919" s="55">
        <f t="shared" si="408"/>
        <v>264.25316455696202</v>
      </c>
      <c r="V1919" s="55">
        <f t="shared" si="409"/>
        <v>-1.569620253164544</v>
      </c>
      <c r="W1919" s="55">
        <f t="shared" si="410"/>
        <v>250.97379177686943</v>
      </c>
      <c r="X1919" s="55">
        <f t="shared" si="411"/>
        <v>-13.279372780092586</v>
      </c>
      <c r="Y1919" s="55">
        <f t="shared" si="412"/>
        <v>164</v>
      </c>
      <c r="Z1919" s="55">
        <f t="shared" si="413"/>
        <v>164</v>
      </c>
      <c r="AA1919" s="55">
        <f t="shared" si="414"/>
        <v>0</v>
      </c>
      <c r="AB1919" s="55">
        <f t="shared" si="415"/>
        <v>86.973791776869433</v>
      </c>
      <c r="AC1919" s="54">
        <f t="shared" si="416"/>
        <v>0.34654531519448167</v>
      </c>
      <c r="AD1919" s="56">
        <f>INDEX(Assumptions!$B$14:$B$16,MATCH($R1919,Assumptions!$A$14:$A$16,0))</f>
        <v>0.32</v>
      </c>
      <c r="AE1919" s="56">
        <f>INDEX(Assumptions!$C$14:$C$16,MATCH($R1919,Assumptions!$A$14:$A$16,0))</f>
        <v>0.22</v>
      </c>
      <c r="AF1919" s="49">
        <f t="shared" si="417"/>
        <v>0</v>
      </c>
      <c r="AG1919" s="49">
        <f t="shared" si="418"/>
        <v>0</v>
      </c>
      <c r="AH1919" s="55">
        <f t="shared" si="419"/>
        <v>0</v>
      </c>
    </row>
    <row r="1920" spans="1:34" x14ac:dyDescent="0.2">
      <c r="A1920" s="48" t="s">
        <v>1520</v>
      </c>
      <c r="B1920" s="48">
        <v>1</v>
      </c>
      <c r="C1920" s="48" t="s">
        <v>1458</v>
      </c>
      <c r="D1920" s="48" t="s">
        <v>1444</v>
      </c>
      <c r="E1920" s="48" t="s">
        <v>368</v>
      </c>
      <c r="F1920" s="48" t="s">
        <v>274</v>
      </c>
      <c r="G1920" s="48" t="s">
        <v>288</v>
      </c>
      <c r="H1920" s="48" t="s">
        <v>68</v>
      </c>
      <c r="I1920" s="48" t="s">
        <v>106</v>
      </c>
      <c r="J1920" s="49">
        <v>6</v>
      </c>
      <c r="K1920" s="50">
        <v>2145</v>
      </c>
      <c r="L1920" s="50">
        <v>2129.0300000000002</v>
      </c>
      <c r="M1920" s="48" t="s">
        <v>276</v>
      </c>
      <c r="N1920" s="51">
        <v>1.37</v>
      </c>
      <c r="O1920" s="51">
        <v>1.3702000000000001</v>
      </c>
      <c r="P1920" s="52">
        <v>1310.4000000000001</v>
      </c>
      <c r="Q1920" s="52">
        <v>1310.4000000000001</v>
      </c>
      <c r="R1920" s="53" t="str">
        <f>INDEX(SKU_Master!$D$5:$D$34,MATCH($I1920,SKU_Master!$A$5:$A$34,0))</f>
        <v>Laptop</v>
      </c>
      <c r="S1920" s="54">
        <f t="shared" si="406"/>
        <v>7.4452214452213061E-3</v>
      </c>
      <c r="T1920" s="55">
        <f t="shared" si="407"/>
        <v>9394.1605839416043</v>
      </c>
      <c r="U1920" s="55">
        <f t="shared" si="408"/>
        <v>9324.2189781021898</v>
      </c>
      <c r="V1920" s="55">
        <f t="shared" si="409"/>
        <v>-69.941605839414478</v>
      </c>
      <c r="W1920" s="55">
        <f t="shared" si="410"/>
        <v>9322.8579769376738</v>
      </c>
      <c r="X1920" s="55">
        <f t="shared" si="411"/>
        <v>-1.361001164515983</v>
      </c>
      <c r="Y1920" s="55">
        <f t="shared" si="412"/>
        <v>7862.4000000000005</v>
      </c>
      <c r="Z1920" s="55">
        <f t="shared" si="413"/>
        <v>7862.4000000000005</v>
      </c>
      <c r="AA1920" s="55">
        <f t="shared" si="414"/>
        <v>0</v>
      </c>
      <c r="AB1920" s="55">
        <f t="shared" si="415"/>
        <v>1460.4579769376733</v>
      </c>
      <c r="AC1920" s="54">
        <f t="shared" si="416"/>
        <v>0.15665346190518686</v>
      </c>
      <c r="AD1920" s="56">
        <f>INDEX(Assumptions!$B$14:$B$16,MATCH($R1920,Assumptions!$A$14:$A$16,0))</f>
        <v>0.12</v>
      </c>
      <c r="AE1920" s="56">
        <f>INDEX(Assumptions!$C$14:$C$16,MATCH($R1920,Assumptions!$A$14:$A$16,0))</f>
        <v>0.08</v>
      </c>
      <c r="AF1920" s="49">
        <f t="shared" si="417"/>
        <v>0</v>
      </c>
      <c r="AG1920" s="49">
        <f t="shared" si="418"/>
        <v>0</v>
      </c>
      <c r="AH1920" s="55">
        <f t="shared" si="419"/>
        <v>0</v>
      </c>
    </row>
    <row r="1921" spans="1:34" x14ac:dyDescent="0.2">
      <c r="A1921" s="48" t="s">
        <v>1520</v>
      </c>
      <c r="B1921" s="48">
        <v>2</v>
      </c>
      <c r="C1921" s="48" t="s">
        <v>1458</v>
      </c>
      <c r="D1921" s="48" t="s">
        <v>1444</v>
      </c>
      <c r="E1921" s="48" t="s">
        <v>368</v>
      </c>
      <c r="F1921" s="48" t="s">
        <v>274</v>
      </c>
      <c r="G1921" s="48" t="s">
        <v>288</v>
      </c>
      <c r="H1921" s="48" t="s">
        <v>68</v>
      </c>
      <c r="I1921" s="48" t="s">
        <v>141</v>
      </c>
      <c r="J1921" s="49">
        <v>5</v>
      </c>
      <c r="K1921" s="50">
        <v>650</v>
      </c>
      <c r="L1921" s="50">
        <v>649.97</v>
      </c>
      <c r="M1921" s="48" t="s">
        <v>276</v>
      </c>
      <c r="N1921" s="51">
        <v>1.37</v>
      </c>
      <c r="O1921" s="51">
        <v>1.3702000000000001</v>
      </c>
      <c r="P1921" s="52">
        <v>366.7</v>
      </c>
      <c r="Q1921" s="52">
        <v>366.7</v>
      </c>
      <c r="R1921" s="53" t="str">
        <f>INDEX(SKU_Master!$D$5:$D$34,MATCH($I1921,SKU_Master!$A$5:$A$34,0))</f>
        <v>Monitor</v>
      </c>
      <c r="S1921" s="54">
        <f t="shared" si="406"/>
        <v>4.615384615380691E-5</v>
      </c>
      <c r="T1921" s="55">
        <f t="shared" si="407"/>
        <v>2372.2627737226276</v>
      </c>
      <c r="U1921" s="55">
        <f t="shared" si="408"/>
        <v>2372.1532846715331</v>
      </c>
      <c r="V1921" s="55">
        <f t="shared" si="409"/>
        <v>-0.1094890510944424</v>
      </c>
      <c r="W1921" s="55">
        <f t="shared" si="410"/>
        <v>2371.8070354692745</v>
      </c>
      <c r="X1921" s="55">
        <f t="shared" si="411"/>
        <v>-0.34624920225860478</v>
      </c>
      <c r="Y1921" s="55">
        <f t="shared" si="412"/>
        <v>1833.5</v>
      </c>
      <c r="Z1921" s="55">
        <f t="shared" si="413"/>
        <v>1833.5</v>
      </c>
      <c r="AA1921" s="55">
        <f t="shared" si="414"/>
        <v>0</v>
      </c>
      <c r="AB1921" s="55">
        <f t="shared" si="415"/>
        <v>538.30703546927452</v>
      </c>
      <c r="AC1921" s="54">
        <f t="shared" si="416"/>
        <v>0.22696072126405833</v>
      </c>
      <c r="AD1921" s="56">
        <f>INDEX(Assumptions!$B$14:$B$16,MATCH($R1921,Assumptions!$A$14:$A$16,0))</f>
        <v>0.18</v>
      </c>
      <c r="AE1921" s="56">
        <f>INDEX(Assumptions!$C$14:$C$16,MATCH($R1921,Assumptions!$A$14:$A$16,0))</f>
        <v>0.12</v>
      </c>
      <c r="AF1921" s="49">
        <f t="shared" si="417"/>
        <v>0</v>
      </c>
      <c r="AG1921" s="49">
        <f t="shared" si="418"/>
        <v>0</v>
      </c>
      <c r="AH1921" s="55">
        <f t="shared" si="419"/>
        <v>0</v>
      </c>
    </row>
    <row r="1922" spans="1:34" x14ac:dyDescent="0.2">
      <c r="A1922" s="48" t="s">
        <v>1521</v>
      </c>
      <c r="B1922" s="48">
        <v>1</v>
      </c>
      <c r="C1922" s="48" t="s">
        <v>1462</v>
      </c>
      <c r="D1922" s="48" t="s">
        <v>1444</v>
      </c>
      <c r="E1922" s="48" t="s">
        <v>343</v>
      </c>
      <c r="F1922" s="48" t="s">
        <v>280</v>
      </c>
      <c r="G1922" s="48" t="s">
        <v>281</v>
      </c>
      <c r="H1922" s="48" t="s">
        <v>62</v>
      </c>
      <c r="I1922" s="48" t="s">
        <v>108</v>
      </c>
      <c r="J1922" s="49">
        <v>11</v>
      </c>
      <c r="K1922" s="50">
        <v>1345</v>
      </c>
      <c r="L1922" s="50">
        <v>1314.2</v>
      </c>
      <c r="M1922" s="48" t="s">
        <v>276</v>
      </c>
      <c r="N1922" s="51">
        <v>1</v>
      </c>
      <c r="O1922" s="51">
        <v>1</v>
      </c>
      <c r="P1922" s="52">
        <v>1145</v>
      </c>
      <c r="Q1922" s="52">
        <v>1212.6199999999999</v>
      </c>
      <c r="R1922" s="53" t="str">
        <f>INDEX(SKU_Master!$D$5:$D$34,MATCH($I1922,SKU_Master!$A$5:$A$34,0))</f>
        <v>Laptop</v>
      </c>
      <c r="S1922" s="54">
        <f t="shared" si="406"/>
        <v>2.2899628252788018E-2</v>
      </c>
      <c r="T1922" s="55">
        <f t="shared" si="407"/>
        <v>14795</v>
      </c>
      <c r="U1922" s="55">
        <f t="shared" si="408"/>
        <v>14456.2</v>
      </c>
      <c r="V1922" s="55">
        <f t="shared" si="409"/>
        <v>-338.79999999999927</v>
      </c>
      <c r="W1922" s="55">
        <f t="shared" si="410"/>
        <v>14456.2</v>
      </c>
      <c r="X1922" s="55">
        <f t="shared" si="411"/>
        <v>0</v>
      </c>
      <c r="Y1922" s="55">
        <f t="shared" si="412"/>
        <v>12595</v>
      </c>
      <c r="Z1922" s="55">
        <f t="shared" si="413"/>
        <v>13338.82</v>
      </c>
      <c r="AA1922" s="55">
        <f t="shared" si="414"/>
        <v>-743.81999999999971</v>
      </c>
      <c r="AB1922" s="55">
        <f t="shared" si="415"/>
        <v>1117.380000000001</v>
      </c>
      <c r="AC1922" s="54">
        <f t="shared" si="416"/>
        <v>7.729417135900174E-2</v>
      </c>
      <c r="AD1922" s="56">
        <f>INDEX(Assumptions!$B$14:$B$16,MATCH($R1922,Assumptions!$A$14:$A$16,0))</f>
        <v>0.12</v>
      </c>
      <c r="AE1922" s="56">
        <f>INDEX(Assumptions!$C$14:$C$16,MATCH($R1922,Assumptions!$A$14:$A$16,0))</f>
        <v>0.08</v>
      </c>
      <c r="AF1922" s="49">
        <f t="shared" si="417"/>
        <v>1</v>
      </c>
      <c r="AG1922" s="49">
        <f t="shared" si="418"/>
        <v>1</v>
      </c>
      <c r="AH1922" s="55">
        <f t="shared" si="419"/>
        <v>617.3639999999989</v>
      </c>
    </row>
    <row r="1923" spans="1:34" x14ac:dyDescent="0.2">
      <c r="A1923" s="48" t="s">
        <v>1521</v>
      </c>
      <c r="B1923" s="48">
        <v>2</v>
      </c>
      <c r="C1923" s="48" t="s">
        <v>1462</v>
      </c>
      <c r="D1923" s="48" t="s">
        <v>1444</v>
      </c>
      <c r="E1923" s="48" t="s">
        <v>343</v>
      </c>
      <c r="F1923" s="48" t="s">
        <v>280</v>
      </c>
      <c r="G1923" s="48" t="s">
        <v>281</v>
      </c>
      <c r="H1923" s="48" t="s">
        <v>62</v>
      </c>
      <c r="I1923" s="48" t="s">
        <v>135</v>
      </c>
      <c r="J1923" s="49">
        <v>8</v>
      </c>
      <c r="K1923" s="50">
        <v>240</v>
      </c>
      <c r="L1923" s="50">
        <v>234.92</v>
      </c>
      <c r="M1923" s="48" t="s">
        <v>276</v>
      </c>
      <c r="N1923" s="51">
        <v>1</v>
      </c>
      <c r="O1923" s="51">
        <v>1</v>
      </c>
      <c r="P1923" s="52">
        <v>186.7</v>
      </c>
      <c r="Q1923" s="52">
        <v>186.7</v>
      </c>
      <c r="R1923" s="53" t="str">
        <f>INDEX(SKU_Master!$D$5:$D$34,MATCH($I1923,SKU_Master!$A$5:$A$34,0))</f>
        <v>Monitor</v>
      </c>
      <c r="S1923" s="54">
        <f t="shared" si="406"/>
        <v>2.1166666666666667E-2</v>
      </c>
      <c r="T1923" s="55">
        <f t="shared" si="407"/>
        <v>1920</v>
      </c>
      <c r="U1923" s="55">
        <f t="shared" si="408"/>
        <v>1879.36</v>
      </c>
      <c r="V1923" s="55">
        <f t="shared" si="409"/>
        <v>-40.6400000000001</v>
      </c>
      <c r="W1923" s="55">
        <f t="shared" si="410"/>
        <v>1879.36</v>
      </c>
      <c r="X1923" s="55">
        <f t="shared" si="411"/>
        <v>0</v>
      </c>
      <c r="Y1923" s="55">
        <f t="shared" si="412"/>
        <v>1493.6</v>
      </c>
      <c r="Z1923" s="55">
        <f t="shared" si="413"/>
        <v>1493.6</v>
      </c>
      <c r="AA1923" s="55">
        <f t="shared" si="414"/>
        <v>0</v>
      </c>
      <c r="AB1923" s="55">
        <f t="shared" si="415"/>
        <v>385.76</v>
      </c>
      <c r="AC1923" s="54">
        <f t="shared" si="416"/>
        <v>0.20526136557125832</v>
      </c>
      <c r="AD1923" s="56">
        <f>INDEX(Assumptions!$B$14:$B$16,MATCH($R1923,Assumptions!$A$14:$A$16,0))</f>
        <v>0.18</v>
      </c>
      <c r="AE1923" s="56">
        <f>INDEX(Assumptions!$C$14:$C$16,MATCH($R1923,Assumptions!$A$14:$A$16,0))</f>
        <v>0.12</v>
      </c>
      <c r="AF1923" s="49">
        <f t="shared" si="417"/>
        <v>0</v>
      </c>
      <c r="AG1923" s="49">
        <f t="shared" si="418"/>
        <v>0</v>
      </c>
      <c r="AH1923" s="55">
        <f t="shared" si="419"/>
        <v>0</v>
      </c>
    </row>
    <row r="1924" spans="1:34" x14ac:dyDescent="0.2">
      <c r="A1924" s="48" t="s">
        <v>1521</v>
      </c>
      <c r="B1924" s="48">
        <v>3</v>
      </c>
      <c r="C1924" s="48" t="s">
        <v>1462</v>
      </c>
      <c r="D1924" s="48" t="s">
        <v>1444</v>
      </c>
      <c r="E1924" s="48" t="s">
        <v>343</v>
      </c>
      <c r="F1924" s="48" t="s">
        <v>280</v>
      </c>
      <c r="G1924" s="48" t="s">
        <v>281</v>
      </c>
      <c r="H1924" s="48" t="s">
        <v>62</v>
      </c>
      <c r="I1924" s="48" t="s">
        <v>173</v>
      </c>
      <c r="J1924" s="49">
        <v>9</v>
      </c>
      <c r="K1924" s="50">
        <v>55</v>
      </c>
      <c r="L1924" s="50">
        <v>52.78</v>
      </c>
      <c r="M1924" s="48" t="s">
        <v>276</v>
      </c>
      <c r="N1924" s="51">
        <v>1</v>
      </c>
      <c r="O1924" s="51">
        <v>1</v>
      </c>
      <c r="P1924" s="52">
        <v>34</v>
      </c>
      <c r="Q1924" s="52">
        <v>34</v>
      </c>
      <c r="R1924" s="53" t="str">
        <f>INDEX(SKU_Master!$D$5:$D$34,MATCH($I1924,SKU_Master!$A$5:$A$34,0))</f>
        <v>Accessory</v>
      </c>
      <c r="S1924" s="54">
        <f t="shared" si="406"/>
        <v>4.0363636363636379E-2</v>
      </c>
      <c r="T1924" s="55">
        <f t="shared" si="407"/>
        <v>495</v>
      </c>
      <c r="U1924" s="55">
        <f t="shared" si="408"/>
        <v>475.02</v>
      </c>
      <c r="V1924" s="55">
        <f t="shared" si="409"/>
        <v>-19.980000000000018</v>
      </c>
      <c r="W1924" s="55">
        <f t="shared" si="410"/>
        <v>475.02</v>
      </c>
      <c r="X1924" s="55">
        <f t="shared" si="411"/>
        <v>0</v>
      </c>
      <c r="Y1924" s="55">
        <f t="shared" si="412"/>
        <v>306</v>
      </c>
      <c r="Z1924" s="55">
        <f t="shared" si="413"/>
        <v>306</v>
      </c>
      <c r="AA1924" s="55">
        <f t="shared" si="414"/>
        <v>0</v>
      </c>
      <c r="AB1924" s="55">
        <f t="shared" si="415"/>
        <v>169.01999999999998</v>
      </c>
      <c r="AC1924" s="54">
        <f t="shared" si="416"/>
        <v>0.35581659719590752</v>
      </c>
      <c r="AD1924" s="56">
        <f>INDEX(Assumptions!$B$14:$B$16,MATCH($R1924,Assumptions!$A$14:$A$16,0))</f>
        <v>0.32</v>
      </c>
      <c r="AE1924" s="56">
        <f>INDEX(Assumptions!$C$14:$C$16,MATCH($R1924,Assumptions!$A$14:$A$16,0))</f>
        <v>0.22</v>
      </c>
      <c r="AF1924" s="49">
        <f t="shared" si="417"/>
        <v>0</v>
      </c>
      <c r="AG1924" s="49">
        <f t="shared" si="418"/>
        <v>0</v>
      </c>
      <c r="AH1924" s="55">
        <f t="shared" si="419"/>
        <v>0</v>
      </c>
    </row>
    <row r="1925" spans="1:34" x14ac:dyDescent="0.2">
      <c r="A1925" s="48" t="s">
        <v>1522</v>
      </c>
      <c r="B1925" s="48">
        <v>1</v>
      </c>
      <c r="C1925" s="48" t="s">
        <v>1483</v>
      </c>
      <c r="D1925" s="48" t="s">
        <v>1444</v>
      </c>
      <c r="E1925" s="48" t="s">
        <v>311</v>
      </c>
      <c r="F1925" s="48" t="s">
        <v>297</v>
      </c>
      <c r="G1925" s="48" t="s">
        <v>302</v>
      </c>
      <c r="H1925" s="48" t="s">
        <v>62</v>
      </c>
      <c r="I1925" s="48" t="s">
        <v>98</v>
      </c>
      <c r="J1925" s="49">
        <v>40</v>
      </c>
      <c r="K1925" s="50">
        <v>2085</v>
      </c>
      <c r="L1925" s="50">
        <v>1940.05</v>
      </c>
      <c r="M1925" s="48" t="s">
        <v>276</v>
      </c>
      <c r="N1925" s="51">
        <v>1</v>
      </c>
      <c r="O1925" s="51">
        <v>1</v>
      </c>
      <c r="P1925" s="52">
        <v>1780.2</v>
      </c>
      <c r="Q1925" s="52">
        <v>1780.2</v>
      </c>
      <c r="R1925" s="53" t="str">
        <f>INDEX(SKU_Master!$D$5:$D$34,MATCH($I1925,SKU_Master!$A$5:$A$34,0))</f>
        <v>Laptop</v>
      </c>
      <c r="S1925" s="54">
        <f t="shared" ref="S1925:S1965" si="420">IF(K1925=0,0,1-L1925/K1925)</f>
        <v>6.9520383693045584E-2</v>
      </c>
      <c r="T1925" s="55">
        <f t="shared" ref="T1925:T1965" si="421">J1925*K1925/N1925</f>
        <v>83400</v>
      </c>
      <c r="U1925" s="55">
        <f t="shared" ref="U1925:U1965" si="422">J1925*L1925/N1925</f>
        <v>77602</v>
      </c>
      <c r="V1925" s="55">
        <f t="shared" ref="V1925:V1988" si="423">U1925-T1925</f>
        <v>-5798</v>
      </c>
      <c r="W1925" s="55">
        <f t="shared" ref="W1925:W1965" si="424">J1925*L1925/O1925</f>
        <v>77602</v>
      </c>
      <c r="X1925" s="55">
        <f t="shared" ref="X1925:X1988" si="425">W1925-U1925</f>
        <v>0</v>
      </c>
      <c r="Y1925" s="55">
        <f t="shared" ref="Y1925:Y1965" si="426">J1925*P1925</f>
        <v>71208</v>
      </c>
      <c r="Z1925" s="55">
        <f t="shared" ref="Z1925:Z1965" si="427">J1925*Q1925</f>
        <v>71208</v>
      </c>
      <c r="AA1925" s="55">
        <f t="shared" ref="AA1925:AA1988" si="428">Y1925-Z1925</f>
        <v>0</v>
      </c>
      <c r="AB1925" s="55">
        <f t="shared" ref="AB1925:AB1965" si="429">W1925-Z1925</f>
        <v>6394</v>
      </c>
      <c r="AC1925" s="54">
        <f t="shared" ref="AC1925:AC1988" si="430">IF(W1925=0,0,AB1925/W1925)</f>
        <v>8.2394783639596916E-2</v>
      </c>
      <c r="AD1925" s="56">
        <f>INDEX(Assumptions!$B$14:$B$16,MATCH($R1925,Assumptions!$A$14:$A$16,0))</f>
        <v>0.12</v>
      </c>
      <c r="AE1925" s="56">
        <f>INDEX(Assumptions!$C$14:$C$16,MATCH($R1925,Assumptions!$A$14:$A$16,0))</f>
        <v>0.08</v>
      </c>
      <c r="AF1925" s="49">
        <f t="shared" ref="AF1925:AF1988" si="431">IF(AC1925&lt;AE1925,1,0)</f>
        <v>0</v>
      </c>
      <c r="AG1925" s="49">
        <f t="shared" ref="AG1925:AG1988" si="432">IF(AND(AF1925=1,M1925="N"),1,0)</f>
        <v>0</v>
      </c>
      <c r="AH1925" s="55">
        <f t="shared" ref="AH1925:AH1965" si="433">MAX(0,W1925*AD1925-AB1925)</f>
        <v>2918.24</v>
      </c>
    </row>
    <row r="1926" spans="1:34" x14ac:dyDescent="0.2">
      <c r="A1926" s="48" t="s">
        <v>1522</v>
      </c>
      <c r="B1926" s="48">
        <v>2</v>
      </c>
      <c r="C1926" s="48" t="s">
        <v>1483</v>
      </c>
      <c r="D1926" s="48" t="s">
        <v>1444</v>
      </c>
      <c r="E1926" s="48" t="s">
        <v>311</v>
      </c>
      <c r="F1926" s="48" t="s">
        <v>297</v>
      </c>
      <c r="G1926" s="48" t="s">
        <v>302</v>
      </c>
      <c r="H1926" s="48" t="s">
        <v>62</v>
      </c>
      <c r="I1926" s="48" t="s">
        <v>166</v>
      </c>
      <c r="J1926" s="49">
        <v>36</v>
      </c>
      <c r="K1926" s="50">
        <v>265</v>
      </c>
      <c r="L1926" s="50">
        <v>245.79</v>
      </c>
      <c r="M1926" s="48" t="s">
        <v>276</v>
      </c>
      <c r="N1926" s="51">
        <v>1</v>
      </c>
      <c r="O1926" s="51">
        <v>1</v>
      </c>
      <c r="P1926" s="52">
        <v>169.35</v>
      </c>
      <c r="Q1926" s="52">
        <v>169.35</v>
      </c>
      <c r="R1926" s="53" t="str">
        <f>INDEX(SKU_Master!$D$5:$D$34,MATCH($I1926,SKU_Master!$A$5:$A$34,0))</f>
        <v>Accessory</v>
      </c>
      <c r="S1926" s="54">
        <f t="shared" si="420"/>
        <v>7.2490566037735849E-2</v>
      </c>
      <c r="T1926" s="55">
        <f t="shared" si="421"/>
        <v>9540</v>
      </c>
      <c r="U1926" s="55">
        <f t="shared" si="422"/>
        <v>8848.44</v>
      </c>
      <c r="V1926" s="55">
        <f t="shared" si="423"/>
        <v>-691.55999999999949</v>
      </c>
      <c r="W1926" s="55">
        <f t="shared" si="424"/>
        <v>8848.44</v>
      </c>
      <c r="X1926" s="55">
        <f t="shared" si="425"/>
        <v>0</v>
      </c>
      <c r="Y1926" s="55">
        <f t="shared" si="426"/>
        <v>6096.5999999999995</v>
      </c>
      <c r="Z1926" s="55">
        <f t="shared" si="427"/>
        <v>6096.5999999999995</v>
      </c>
      <c r="AA1926" s="55">
        <f t="shared" si="428"/>
        <v>0</v>
      </c>
      <c r="AB1926" s="55">
        <f t="shared" si="429"/>
        <v>2751.8400000000011</v>
      </c>
      <c r="AC1926" s="54">
        <f t="shared" si="430"/>
        <v>0.31099719272549747</v>
      </c>
      <c r="AD1926" s="56">
        <f>INDEX(Assumptions!$B$14:$B$16,MATCH($R1926,Assumptions!$A$14:$A$16,0))</f>
        <v>0.32</v>
      </c>
      <c r="AE1926" s="56">
        <f>INDEX(Assumptions!$C$14:$C$16,MATCH($R1926,Assumptions!$A$14:$A$16,0))</f>
        <v>0.22</v>
      </c>
      <c r="AF1926" s="49">
        <f t="shared" si="431"/>
        <v>0</v>
      </c>
      <c r="AG1926" s="49">
        <f t="shared" si="432"/>
        <v>0</v>
      </c>
      <c r="AH1926" s="55">
        <f t="shared" si="433"/>
        <v>79.660799999999199</v>
      </c>
    </row>
    <row r="1927" spans="1:34" x14ac:dyDescent="0.2">
      <c r="A1927" s="48" t="s">
        <v>1523</v>
      </c>
      <c r="B1927" s="48">
        <v>1</v>
      </c>
      <c r="C1927" s="48" t="s">
        <v>1517</v>
      </c>
      <c r="D1927" s="48" t="s">
        <v>1444</v>
      </c>
      <c r="E1927" s="48" t="s">
        <v>374</v>
      </c>
      <c r="F1927" s="48" t="s">
        <v>274</v>
      </c>
      <c r="G1927" s="48" t="s">
        <v>281</v>
      </c>
      <c r="H1927" s="48" t="s">
        <v>62</v>
      </c>
      <c r="I1927" s="48" t="s">
        <v>123</v>
      </c>
      <c r="J1927" s="49">
        <v>6</v>
      </c>
      <c r="K1927" s="50">
        <v>1465</v>
      </c>
      <c r="L1927" s="50">
        <v>1464.07</v>
      </c>
      <c r="M1927" s="48" t="s">
        <v>276</v>
      </c>
      <c r="N1927" s="51">
        <v>1</v>
      </c>
      <c r="O1927" s="51">
        <v>1</v>
      </c>
      <c r="P1927" s="52">
        <v>1249.25</v>
      </c>
      <c r="Q1927" s="52">
        <v>1249.25</v>
      </c>
      <c r="R1927" s="53" t="str">
        <f>INDEX(SKU_Master!$D$5:$D$34,MATCH($I1927,SKU_Master!$A$5:$A$34,0))</f>
        <v>Laptop</v>
      </c>
      <c r="S1927" s="54">
        <f t="shared" si="420"/>
        <v>6.3481228668949008E-4</v>
      </c>
      <c r="T1927" s="55">
        <f t="shared" si="421"/>
        <v>8790</v>
      </c>
      <c r="U1927" s="55">
        <f t="shared" si="422"/>
        <v>8784.42</v>
      </c>
      <c r="V1927" s="55">
        <f t="shared" si="423"/>
        <v>-5.5799999999999272</v>
      </c>
      <c r="W1927" s="55">
        <f t="shared" si="424"/>
        <v>8784.42</v>
      </c>
      <c r="X1927" s="55">
        <f t="shared" si="425"/>
        <v>0</v>
      </c>
      <c r="Y1927" s="55">
        <f t="shared" si="426"/>
        <v>7495.5</v>
      </c>
      <c r="Z1927" s="55">
        <f t="shared" si="427"/>
        <v>7495.5</v>
      </c>
      <c r="AA1927" s="55">
        <f t="shared" si="428"/>
        <v>0</v>
      </c>
      <c r="AB1927" s="55">
        <f t="shared" si="429"/>
        <v>1288.92</v>
      </c>
      <c r="AC1927" s="54">
        <f t="shared" si="430"/>
        <v>0.14672795699659169</v>
      </c>
      <c r="AD1927" s="56">
        <f>INDEX(Assumptions!$B$14:$B$16,MATCH($R1927,Assumptions!$A$14:$A$16,0))</f>
        <v>0.12</v>
      </c>
      <c r="AE1927" s="56">
        <f>INDEX(Assumptions!$C$14:$C$16,MATCH($R1927,Assumptions!$A$14:$A$16,0))</f>
        <v>0.08</v>
      </c>
      <c r="AF1927" s="49">
        <f t="shared" si="431"/>
        <v>0</v>
      </c>
      <c r="AG1927" s="49">
        <f t="shared" si="432"/>
        <v>0</v>
      </c>
      <c r="AH1927" s="55">
        <f t="shared" si="433"/>
        <v>0</v>
      </c>
    </row>
    <row r="1928" spans="1:34" x14ac:dyDescent="0.2">
      <c r="A1928" s="48" t="s">
        <v>1524</v>
      </c>
      <c r="B1928" s="48">
        <v>1</v>
      </c>
      <c r="C1928" s="48" t="s">
        <v>1525</v>
      </c>
      <c r="D1928" s="48" t="s">
        <v>1444</v>
      </c>
      <c r="E1928" s="48" t="s">
        <v>333</v>
      </c>
      <c r="F1928" s="48" t="s">
        <v>297</v>
      </c>
      <c r="G1928" s="48" t="s">
        <v>302</v>
      </c>
      <c r="H1928" s="48" t="s">
        <v>70</v>
      </c>
      <c r="I1928" s="48" t="s">
        <v>93</v>
      </c>
      <c r="J1928" s="49">
        <v>40</v>
      </c>
      <c r="K1928" s="50">
        <v>134750</v>
      </c>
      <c r="L1928" s="50">
        <v>124355.71</v>
      </c>
      <c r="M1928" s="48" t="s">
        <v>276</v>
      </c>
      <c r="N1928" s="51">
        <v>83.5</v>
      </c>
      <c r="O1928" s="51">
        <v>84.964699999999993</v>
      </c>
      <c r="P1928" s="52">
        <v>1351.7</v>
      </c>
      <c r="Q1928" s="52">
        <v>1371.7</v>
      </c>
      <c r="R1928" s="53" t="str">
        <f>INDEX(SKU_Master!$D$5:$D$34,MATCH($I1928,SKU_Master!$A$5:$A$34,0))</f>
        <v>Laptop</v>
      </c>
      <c r="S1928" s="54">
        <f t="shared" si="420"/>
        <v>7.7137588126159562E-2</v>
      </c>
      <c r="T1928" s="55">
        <f t="shared" si="421"/>
        <v>64550.898203592813</v>
      </c>
      <c r="U1928" s="55">
        <f t="shared" si="422"/>
        <v>59571.597604790426</v>
      </c>
      <c r="V1928" s="55">
        <f t="shared" si="423"/>
        <v>-4979.300598802387</v>
      </c>
      <c r="W1928" s="55">
        <f t="shared" si="424"/>
        <v>58544.647365317607</v>
      </c>
      <c r="X1928" s="55">
        <f t="shared" si="425"/>
        <v>-1026.9502394728188</v>
      </c>
      <c r="Y1928" s="55">
        <f t="shared" si="426"/>
        <v>54068</v>
      </c>
      <c r="Z1928" s="55">
        <f t="shared" si="427"/>
        <v>54868</v>
      </c>
      <c r="AA1928" s="55">
        <f t="shared" si="428"/>
        <v>-800</v>
      </c>
      <c r="AB1928" s="55">
        <f t="shared" si="429"/>
        <v>3676.6473653176072</v>
      </c>
      <c r="AC1928" s="54">
        <f t="shared" si="430"/>
        <v>6.2800743206725462E-2</v>
      </c>
      <c r="AD1928" s="56">
        <f>INDEX(Assumptions!$B$14:$B$16,MATCH($R1928,Assumptions!$A$14:$A$16,0))</f>
        <v>0.12</v>
      </c>
      <c r="AE1928" s="56">
        <f>INDEX(Assumptions!$C$14:$C$16,MATCH($R1928,Assumptions!$A$14:$A$16,0))</f>
        <v>0.08</v>
      </c>
      <c r="AF1928" s="49">
        <f t="shared" si="431"/>
        <v>1</v>
      </c>
      <c r="AG1928" s="49">
        <f t="shared" si="432"/>
        <v>1</v>
      </c>
      <c r="AH1928" s="55">
        <f t="shared" si="433"/>
        <v>3348.7103185205051</v>
      </c>
    </row>
    <row r="1929" spans="1:34" x14ac:dyDescent="0.2">
      <c r="A1929" s="48" t="s">
        <v>1524</v>
      </c>
      <c r="B1929" s="48">
        <v>2</v>
      </c>
      <c r="C1929" s="48" t="s">
        <v>1525</v>
      </c>
      <c r="D1929" s="48" t="s">
        <v>1444</v>
      </c>
      <c r="E1929" s="48" t="s">
        <v>333</v>
      </c>
      <c r="F1929" s="48" t="s">
        <v>297</v>
      </c>
      <c r="G1929" s="48" t="s">
        <v>302</v>
      </c>
      <c r="H1929" s="48" t="s">
        <v>70</v>
      </c>
      <c r="I1929" s="48" t="s">
        <v>161</v>
      </c>
      <c r="J1929" s="49">
        <v>47</v>
      </c>
      <c r="K1929" s="50">
        <v>12195</v>
      </c>
      <c r="L1929" s="50">
        <v>11755.29</v>
      </c>
      <c r="M1929" s="48" t="s">
        <v>276</v>
      </c>
      <c r="N1929" s="51">
        <v>83.5</v>
      </c>
      <c r="O1929" s="51">
        <v>84.964699999999993</v>
      </c>
      <c r="P1929" s="52">
        <v>92.7</v>
      </c>
      <c r="Q1929" s="52">
        <v>97.7</v>
      </c>
      <c r="R1929" s="53" t="str">
        <f>INDEX(SKU_Master!$D$5:$D$34,MATCH($I1929,SKU_Master!$A$5:$A$34,0))</f>
        <v>Accessory</v>
      </c>
      <c r="S1929" s="54">
        <f t="shared" si="420"/>
        <v>3.6056580565805629E-2</v>
      </c>
      <c r="T1929" s="55">
        <f t="shared" si="421"/>
        <v>6864.2514970059883</v>
      </c>
      <c r="U1929" s="55">
        <f t="shared" si="422"/>
        <v>6616.7500598802399</v>
      </c>
      <c r="V1929" s="55">
        <f t="shared" si="423"/>
        <v>-247.50143712574845</v>
      </c>
      <c r="W1929" s="55">
        <f t="shared" si="424"/>
        <v>6502.6844089368888</v>
      </c>
      <c r="X1929" s="55">
        <f t="shared" si="425"/>
        <v>-114.0656509433511</v>
      </c>
      <c r="Y1929" s="55">
        <f t="shared" si="426"/>
        <v>4356.9000000000005</v>
      </c>
      <c r="Z1929" s="55">
        <f t="shared" si="427"/>
        <v>4591.9000000000005</v>
      </c>
      <c r="AA1929" s="55">
        <f t="shared" si="428"/>
        <v>-235</v>
      </c>
      <c r="AB1929" s="55">
        <f t="shared" si="429"/>
        <v>1910.7844089368882</v>
      </c>
      <c r="AC1929" s="54">
        <f t="shared" si="430"/>
        <v>0.29384547807838002</v>
      </c>
      <c r="AD1929" s="56">
        <f>INDEX(Assumptions!$B$14:$B$16,MATCH($R1929,Assumptions!$A$14:$A$16,0))</f>
        <v>0.32</v>
      </c>
      <c r="AE1929" s="56">
        <f>INDEX(Assumptions!$C$14:$C$16,MATCH($R1929,Assumptions!$A$14:$A$16,0))</f>
        <v>0.22</v>
      </c>
      <c r="AF1929" s="49">
        <f t="shared" si="431"/>
        <v>0</v>
      </c>
      <c r="AG1929" s="49">
        <f t="shared" si="432"/>
        <v>0</v>
      </c>
      <c r="AH1929" s="55">
        <f t="shared" si="433"/>
        <v>170.07460192291637</v>
      </c>
    </row>
    <row r="1930" spans="1:34" x14ac:dyDescent="0.2">
      <c r="A1930" s="48" t="s">
        <v>1526</v>
      </c>
      <c r="B1930" s="48">
        <v>1</v>
      </c>
      <c r="C1930" s="48" t="s">
        <v>1467</v>
      </c>
      <c r="D1930" s="48" t="s">
        <v>1444</v>
      </c>
      <c r="E1930" s="48" t="s">
        <v>309</v>
      </c>
      <c r="F1930" s="48" t="s">
        <v>280</v>
      </c>
      <c r="G1930" s="48" t="s">
        <v>298</v>
      </c>
      <c r="H1930" s="48" t="s">
        <v>70</v>
      </c>
      <c r="I1930" s="48" t="s">
        <v>110</v>
      </c>
      <c r="J1930" s="49">
        <v>21</v>
      </c>
      <c r="K1930" s="50">
        <v>113335</v>
      </c>
      <c r="L1930" s="50">
        <v>111732.41</v>
      </c>
      <c r="M1930" s="48" t="s">
        <v>276</v>
      </c>
      <c r="N1930" s="51">
        <v>83.5</v>
      </c>
      <c r="O1930" s="51">
        <v>84.964699999999993</v>
      </c>
      <c r="P1930" s="52">
        <v>1136.8599999999999</v>
      </c>
      <c r="Q1930" s="52">
        <v>1156.8599999999999</v>
      </c>
      <c r="R1930" s="53" t="str">
        <f>INDEX(SKU_Master!$D$5:$D$34,MATCH($I1930,SKU_Master!$A$5:$A$34,0))</f>
        <v>Laptop</v>
      </c>
      <c r="S1930" s="54">
        <f t="shared" si="420"/>
        <v>1.4140292054528603E-2</v>
      </c>
      <c r="T1930" s="55">
        <f t="shared" si="421"/>
        <v>28503.413173652694</v>
      </c>
      <c r="U1930" s="55">
        <f t="shared" si="422"/>
        <v>28100.366586826345</v>
      </c>
      <c r="V1930" s="55">
        <f t="shared" si="423"/>
        <v>-403.04658682634908</v>
      </c>
      <c r="W1930" s="55">
        <f t="shared" si="424"/>
        <v>27615.946504842599</v>
      </c>
      <c r="X1930" s="55">
        <f t="shared" si="425"/>
        <v>-484.42008198374606</v>
      </c>
      <c r="Y1930" s="55">
        <f t="shared" si="426"/>
        <v>23874.059999999998</v>
      </c>
      <c r="Z1930" s="55">
        <f t="shared" si="427"/>
        <v>24294.059999999998</v>
      </c>
      <c r="AA1930" s="55">
        <f t="shared" si="428"/>
        <v>-420</v>
      </c>
      <c r="AB1930" s="55">
        <f t="shared" si="429"/>
        <v>3321.8865048426014</v>
      </c>
      <c r="AC1930" s="54">
        <f t="shared" si="430"/>
        <v>0.12028870726049862</v>
      </c>
      <c r="AD1930" s="56">
        <f>INDEX(Assumptions!$B$14:$B$16,MATCH($R1930,Assumptions!$A$14:$A$16,0))</f>
        <v>0.12</v>
      </c>
      <c r="AE1930" s="56">
        <f>INDEX(Assumptions!$C$14:$C$16,MATCH($R1930,Assumptions!$A$14:$A$16,0))</f>
        <v>0.08</v>
      </c>
      <c r="AF1930" s="49">
        <f t="shared" si="431"/>
        <v>0</v>
      </c>
      <c r="AG1930" s="49">
        <f t="shared" si="432"/>
        <v>0</v>
      </c>
      <c r="AH1930" s="55">
        <f t="shared" si="433"/>
        <v>0</v>
      </c>
    </row>
    <row r="1931" spans="1:34" x14ac:dyDescent="0.2">
      <c r="A1931" s="48" t="s">
        <v>1526</v>
      </c>
      <c r="B1931" s="48">
        <v>2</v>
      </c>
      <c r="C1931" s="48" t="s">
        <v>1467</v>
      </c>
      <c r="D1931" s="48" t="s">
        <v>1444</v>
      </c>
      <c r="E1931" s="48" t="s">
        <v>309</v>
      </c>
      <c r="F1931" s="48" t="s">
        <v>280</v>
      </c>
      <c r="G1931" s="48" t="s">
        <v>298</v>
      </c>
      <c r="H1931" s="48" t="s">
        <v>70</v>
      </c>
      <c r="I1931" s="48" t="s">
        <v>138</v>
      </c>
      <c r="J1931" s="49">
        <v>20</v>
      </c>
      <c r="K1931" s="50">
        <v>47515</v>
      </c>
      <c r="L1931" s="50">
        <v>46986.239999999998</v>
      </c>
      <c r="M1931" s="48" t="s">
        <v>276</v>
      </c>
      <c r="N1931" s="51">
        <v>83.5</v>
      </c>
      <c r="O1931" s="51">
        <v>84.964699999999993</v>
      </c>
      <c r="P1931" s="52">
        <v>439.85</v>
      </c>
      <c r="Q1931" s="52">
        <v>459.85</v>
      </c>
      <c r="R1931" s="53" t="str">
        <f>INDEX(SKU_Master!$D$5:$D$34,MATCH($I1931,SKU_Master!$A$5:$A$34,0))</f>
        <v>Monitor</v>
      </c>
      <c r="S1931" s="54">
        <f t="shared" si="420"/>
        <v>1.1128275281490074E-2</v>
      </c>
      <c r="T1931" s="55">
        <f t="shared" si="421"/>
        <v>11380.838323353293</v>
      </c>
      <c r="U1931" s="55">
        <f t="shared" si="422"/>
        <v>11254.189221556886</v>
      </c>
      <c r="V1931" s="55">
        <f t="shared" si="423"/>
        <v>-126.64910179640719</v>
      </c>
      <c r="W1931" s="55">
        <f t="shared" si="424"/>
        <v>11060.179109677312</v>
      </c>
      <c r="X1931" s="55">
        <f t="shared" si="425"/>
        <v>-194.01011187957374</v>
      </c>
      <c r="Y1931" s="55">
        <f t="shared" si="426"/>
        <v>8797</v>
      </c>
      <c r="Z1931" s="55">
        <f t="shared" si="427"/>
        <v>9197</v>
      </c>
      <c r="AA1931" s="55">
        <f t="shared" si="428"/>
        <v>-400</v>
      </c>
      <c r="AB1931" s="55">
        <f t="shared" si="429"/>
        <v>1863.1791096773122</v>
      </c>
      <c r="AC1931" s="54">
        <f t="shared" si="430"/>
        <v>0.16845831258257732</v>
      </c>
      <c r="AD1931" s="56">
        <f>INDEX(Assumptions!$B$14:$B$16,MATCH($R1931,Assumptions!$A$14:$A$16,0))</f>
        <v>0.18</v>
      </c>
      <c r="AE1931" s="56">
        <f>INDEX(Assumptions!$C$14:$C$16,MATCH($R1931,Assumptions!$A$14:$A$16,0))</f>
        <v>0.12</v>
      </c>
      <c r="AF1931" s="49">
        <f t="shared" si="431"/>
        <v>0</v>
      </c>
      <c r="AG1931" s="49">
        <f t="shared" si="432"/>
        <v>0</v>
      </c>
      <c r="AH1931" s="55">
        <f t="shared" si="433"/>
        <v>127.65313006460383</v>
      </c>
    </row>
    <row r="1932" spans="1:34" x14ac:dyDescent="0.2">
      <c r="A1932" s="48" t="s">
        <v>1526</v>
      </c>
      <c r="B1932" s="48">
        <v>3</v>
      </c>
      <c r="C1932" s="48" t="s">
        <v>1467</v>
      </c>
      <c r="D1932" s="48" t="s">
        <v>1444</v>
      </c>
      <c r="E1932" s="48" t="s">
        <v>309</v>
      </c>
      <c r="F1932" s="48" t="s">
        <v>280</v>
      </c>
      <c r="G1932" s="48" t="s">
        <v>298</v>
      </c>
      <c r="H1932" s="48" t="s">
        <v>70</v>
      </c>
      <c r="I1932" s="48" t="s">
        <v>161</v>
      </c>
      <c r="J1932" s="49">
        <v>19</v>
      </c>
      <c r="K1932" s="50">
        <v>12195</v>
      </c>
      <c r="L1932" s="50">
        <v>11693.29</v>
      </c>
      <c r="M1932" s="48" t="s">
        <v>276</v>
      </c>
      <c r="N1932" s="51">
        <v>83.5</v>
      </c>
      <c r="O1932" s="51">
        <v>84.964699999999993</v>
      </c>
      <c r="P1932" s="52">
        <v>92.7</v>
      </c>
      <c r="Q1932" s="52">
        <v>97.7</v>
      </c>
      <c r="R1932" s="53" t="str">
        <f>INDEX(SKU_Master!$D$5:$D$34,MATCH($I1932,SKU_Master!$A$5:$A$34,0))</f>
        <v>Accessory</v>
      </c>
      <c r="S1932" s="54">
        <f t="shared" si="420"/>
        <v>4.1140631406313966E-2</v>
      </c>
      <c r="T1932" s="55">
        <f t="shared" si="421"/>
        <v>2774.9101796407185</v>
      </c>
      <c r="U1932" s="55">
        <f t="shared" si="422"/>
        <v>2660.748622754491</v>
      </c>
      <c r="V1932" s="55">
        <f t="shared" si="423"/>
        <v>-114.16155688622757</v>
      </c>
      <c r="W1932" s="55">
        <f t="shared" si="424"/>
        <v>2614.8801796510788</v>
      </c>
      <c r="X1932" s="55">
        <f t="shared" si="425"/>
        <v>-45.868443103412119</v>
      </c>
      <c r="Y1932" s="55">
        <f t="shared" si="426"/>
        <v>1761.3</v>
      </c>
      <c r="Z1932" s="55">
        <f t="shared" si="427"/>
        <v>1856.3</v>
      </c>
      <c r="AA1932" s="55">
        <f t="shared" si="428"/>
        <v>-95</v>
      </c>
      <c r="AB1932" s="55">
        <f t="shared" si="429"/>
        <v>758.58017965107888</v>
      </c>
      <c r="AC1932" s="54">
        <f t="shared" si="430"/>
        <v>0.29010131536975486</v>
      </c>
      <c r="AD1932" s="56">
        <f>INDEX(Assumptions!$B$14:$B$16,MATCH($R1932,Assumptions!$A$14:$A$16,0))</f>
        <v>0.32</v>
      </c>
      <c r="AE1932" s="56">
        <f>INDEX(Assumptions!$C$14:$C$16,MATCH($R1932,Assumptions!$A$14:$A$16,0))</f>
        <v>0.22</v>
      </c>
      <c r="AF1932" s="49">
        <f t="shared" si="431"/>
        <v>0</v>
      </c>
      <c r="AG1932" s="49">
        <f t="shared" si="432"/>
        <v>0</v>
      </c>
      <c r="AH1932" s="55">
        <f t="shared" si="433"/>
        <v>78.181477837266357</v>
      </c>
    </row>
    <row r="1933" spans="1:34" x14ac:dyDescent="0.2">
      <c r="A1933" s="48" t="s">
        <v>1527</v>
      </c>
      <c r="B1933" s="48">
        <v>1</v>
      </c>
      <c r="C1933" s="48" t="s">
        <v>1528</v>
      </c>
      <c r="D1933" s="48" t="s">
        <v>1444</v>
      </c>
      <c r="E1933" s="48" t="s">
        <v>349</v>
      </c>
      <c r="F1933" s="48" t="s">
        <v>274</v>
      </c>
      <c r="G1933" s="48" t="s">
        <v>275</v>
      </c>
      <c r="H1933" s="48" t="s">
        <v>66</v>
      </c>
      <c r="I1933" s="48" t="s">
        <v>110</v>
      </c>
      <c r="J1933" s="49">
        <v>4</v>
      </c>
      <c r="K1933" s="50">
        <v>1115</v>
      </c>
      <c r="L1933" s="50">
        <v>1106.26</v>
      </c>
      <c r="M1933" s="48" t="s">
        <v>276</v>
      </c>
      <c r="N1933" s="51">
        <v>0.92</v>
      </c>
      <c r="O1933" s="51">
        <v>0.93759999999999999</v>
      </c>
      <c r="P1933" s="52">
        <v>1012.65</v>
      </c>
      <c r="Q1933" s="52">
        <v>1012.65</v>
      </c>
      <c r="R1933" s="53" t="str">
        <f>INDEX(SKU_Master!$D$5:$D$34,MATCH($I1933,SKU_Master!$A$5:$A$34,0))</f>
        <v>Laptop</v>
      </c>
      <c r="S1933" s="54">
        <f t="shared" si="420"/>
        <v>7.8385650224215286E-3</v>
      </c>
      <c r="T1933" s="55">
        <f t="shared" si="421"/>
        <v>4847.826086956522</v>
      </c>
      <c r="U1933" s="55">
        <f t="shared" si="422"/>
        <v>4809.8260869565211</v>
      </c>
      <c r="V1933" s="55">
        <f t="shared" si="423"/>
        <v>-38.000000000000909</v>
      </c>
      <c r="W1933" s="55">
        <f t="shared" si="424"/>
        <v>4719.5392491467574</v>
      </c>
      <c r="X1933" s="55">
        <f t="shared" si="425"/>
        <v>-90.286837809763711</v>
      </c>
      <c r="Y1933" s="55">
        <f t="shared" si="426"/>
        <v>4050.6</v>
      </c>
      <c r="Z1933" s="55">
        <f t="shared" si="427"/>
        <v>4050.6</v>
      </c>
      <c r="AA1933" s="55">
        <f t="shared" si="428"/>
        <v>0</v>
      </c>
      <c r="AB1933" s="55">
        <f t="shared" si="429"/>
        <v>668.93924914675745</v>
      </c>
      <c r="AC1933" s="54">
        <f t="shared" si="430"/>
        <v>0.14173825321353023</v>
      </c>
      <c r="AD1933" s="56">
        <f>INDEX(Assumptions!$B$14:$B$16,MATCH($R1933,Assumptions!$A$14:$A$16,0))</f>
        <v>0.12</v>
      </c>
      <c r="AE1933" s="56">
        <f>INDEX(Assumptions!$C$14:$C$16,MATCH($R1933,Assumptions!$A$14:$A$16,0))</f>
        <v>0.08</v>
      </c>
      <c r="AF1933" s="49">
        <f t="shared" si="431"/>
        <v>0</v>
      </c>
      <c r="AG1933" s="49">
        <f t="shared" si="432"/>
        <v>0</v>
      </c>
      <c r="AH1933" s="55">
        <f t="shared" si="433"/>
        <v>0</v>
      </c>
    </row>
    <row r="1934" spans="1:34" x14ac:dyDescent="0.2">
      <c r="A1934" s="48" t="s">
        <v>1529</v>
      </c>
      <c r="B1934" s="48">
        <v>1</v>
      </c>
      <c r="C1934" s="48" t="s">
        <v>1464</v>
      </c>
      <c r="D1934" s="48" t="s">
        <v>1444</v>
      </c>
      <c r="E1934" s="48" t="s">
        <v>273</v>
      </c>
      <c r="F1934" s="48" t="s">
        <v>274</v>
      </c>
      <c r="G1934" s="48" t="s">
        <v>275</v>
      </c>
      <c r="H1934" s="48" t="s">
        <v>66</v>
      </c>
      <c r="I1934" s="48" t="s">
        <v>118</v>
      </c>
      <c r="J1934" s="49">
        <v>4</v>
      </c>
      <c r="K1934" s="50">
        <v>1300</v>
      </c>
      <c r="L1934" s="50">
        <v>1287.3800000000001</v>
      </c>
      <c r="M1934" s="48" t="s">
        <v>276</v>
      </c>
      <c r="N1934" s="51">
        <v>0.92</v>
      </c>
      <c r="O1934" s="51">
        <v>0.93759999999999999</v>
      </c>
      <c r="P1934" s="52">
        <v>1182.5999999999999</v>
      </c>
      <c r="Q1934" s="52">
        <v>1251.28</v>
      </c>
      <c r="R1934" s="53" t="str">
        <f>INDEX(SKU_Master!$D$5:$D$34,MATCH($I1934,SKU_Master!$A$5:$A$34,0))</f>
        <v>Laptop</v>
      </c>
      <c r="S1934" s="54">
        <f t="shared" si="420"/>
        <v>9.707692307692195E-3</v>
      </c>
      <c r="T1934" s="55">
        <f t="shared" si="421"/>
        <v>5652.173913043478</v>
      </c>
      <c r="U1934" s="55">
        <f t="shared" si="422"/>
        <v>5597.304347826087</v>
      </c>
      <c r="V1934" s="55">
        <f t="shared" si="423"/>
        <v>-54.869565217391028</v>
      </c>
      <c r="W1934" s="55">
        <f t="shared" si="424"/>
        <v>5492.2354948805469</v>
      </c>
      <c r="X1934" s="55">
        <f t="shared" si="425"/>
        <v>-105.06885294554013</v>
      </c>
      <c r="Y1934" s="55">
        <f t="shared" si="426"/>
        <v>4730.3999999999996</v>
      </c>
      <c r="Z1934" s="55">
        <f t="shared" si="427"/>
        <v>5005.12</v>
      </c>
      <c r="AA1934" s="55">
        <f t="shared" si="428"/>
        <v>-274.72000000000025</v>
      </c>
      <c r="AB1934" s="55">
        <f t="shared" si="429"/>
        <v>487.11549488054698</v>
      </c>
      <c r="AC1934" s="54">
        <f t="shared" si="430"/>
        <v>8.8691662135500157E-2</v>
      </c>
      <c r="AD1934" s="56">
        <f>INDEX(Assumptions!$B$14:$B$16,MATCH($R1934,Assumptions!$A$14:$A$16,0))</f>
        <v>0.12</v>
      </c>
      <c r="AE1934" s="56">
        <f>INDEX(Assumptions!$C$14:$C$16,MATCH($R1934,Assumptions!$A$14:$A$16,0))</f>
        <v>0.08</v>
      </c>
      <c r="AF1934" s="49">
        <f t="shared" si="431"/>
        <v>0</v>
      </c>
      <c r="AG1934" s="49">
        <f t="shared" si="432"/>
        <v>0</v>
      </c>
      <c r="AH1934" s="55">
        <f t="shared" si="433"/>
        <v>171.95276450511858</v>
      </c>
    </row>
    <row r="1935" spans="1:34" x14ac:dyDescent="0.2">
      <c r="A1935" s="48" t="s">
        <v>1529</v>
      </c>
      <c r="B1935" s="48">
        <v>2</v>
      </c>
      <c r="C1935" s="48" t="s">
        <v>1464</v>
      </c>
      <c r="D1935" s="48" t="s">
        <v>1444</v>
      </c>
      <c r="E1935" s="48" t="s">
        <v>273</v>
      </c>
      <c r="F1935" s="48" t="s">
        <v>274</v>
      </c>
      <c r="G1935" s="48" t="s">
        <v>275</v>
      </c>
      <c r="H1935" s="48" t="s">
        <v>66</v>
      </c>
      <c r="I1935" s="48" t="s">
        <v>166</v>
      </c>
      <c r="J1935" s="49">
        <v>3</v>
      </c>
      <c r="K1935" s="50">
        <v>255</v>
      </c>
      <c r="L1935" s="50">
        <v>251.12</v>
      </c>
      <c r="M1935" s="48" t="s">
        <v>276</v>
      </c>
      <c r="N1935" s="51">
        <v>0.92</v>
      </c>
      <c r="O1935" s="51">
        <v>0.93759999999999999</v>
      </c>
      <c r="P1935" s="52">
        <v>174.35</v>
      </c>
      <c r="Q1935" s="52">
        <v>174.35</v>
      </c>
      <c r="R1935" s="53" t="str">
        <f>INDEX(SKU_Master!$D$5:$D$34,MATCH($I1935,SKU_Master!$A$5:$A$34,0))</f>
        <v>Accessory</v>
      </c>
      <c r="S1935" s="54">
        <f t="shared" si="420"/>
        <v>1.5215686274509754E-2</v>
      </c>
      <c r="T1935" s="55">
        <f t="shared" si="421"/>
        <v>831.52173913043475</v>
      </c>
      <c r="U1935" s="55">
        <f t="shared" si="422"/>
        <v>818.86956521739125</v>
      </c>
      <c r="V1935" s="55">
        <f t="shared" si="423"/>
        <v>-12.652173913043498</v>
      </c>
      <c r="W1935" s="55">
        <f t="shared" si="424"/>
        <v>803.49829351535834</v>
      </c>
      <c r="X1935" s="55">
        <f t="shared" si="425"/>
        <v>-15.371271702032914</v>
      </c>
      <c r="Y1935" s="55">
        <f t="shared" si="426"/>
        <v>523.04999999999995</v>
      </c>
      <c r="Z1935" s="55">
        <f t="shared" si="427"/>
        <v>523.04999999999995</v>
      </c>
      <c r="AA1935" s="55">
        <f t="shared" si="428"/>
        <v>0</v>
      </c>
      <c r="AB1935" s="55">
        <f t="shared" si="429"/>
        <v>280.44829351535839</v>
      </c>
      <c r="AC1935" s="54">
        <f t="shared" si="430"/>
        <v>0.34903408728894558</v>
      </c>
      <c r="AD1935" s="56">
        <f>INDEX(Assumptions!$B$14:$B$16,MATCH($R1935,Assumptions!$A$14:$A$16,0))</f>
        <v>0.32</v>
      </c>
      <c r="AE1935" s="56">
        <f>INDEX(Assumptions!$C$14:$C$16,MATCH($R1935,Assumptions!$A$14:$A$16,0))</f>
        <v>0.22</v>
      </c>
      <c r="AF1935" s="49">
        <f t="shared" si="431"/>
        <v>0</v>
      </c>
      <c r="AG1935" s="49">
        <f t="shared" si="432"/>
        <v>0</v>
      </c>
      <c r="AH1935" s="55">
        <f t="shared" si="433"/>
        <v>0</v>
      </c>
    </row>
    <row r="1936" spans="1:34" x14ac:dyDescent="0.2">
      <c r="A1936" s="48" t="s">
        <v>1530</v>
      </c>
      <c r="B1936" s="48">
        <v>1</v>
      </c>
      <c r="C1936" s="48" t="s">
        <v>1458</v>
      </c>
      <c r="D1936" s="48" t="s">
        <v>1444</v>
      </c>
      <c r="E1936" s="48" t="s">
        <v>427</v>
      </c>
      <c r="F1936" s="48" t="s">
        <v>297</v>
      </c>
      <c r="G1936" s="48" t="s">
        <v>302</v>
      </c>
      <c r="H1936" s="48" t="s">
        <v>66</v>
      </c>
      <c r="I1936" s="48" t="s">
        <v>101</v>
      </c>
      <c r="J1936" s="49">
        <v>68</v>
      </c>
      <c r="K1936" s="50">
        <v>3250</v>
      </c>
      <c r="L1936" s="50">
        <v>2958.91</v>
      </c>
      <c r="M1936" s="48" t="s">
        <v>276</v>
      </c>
      <c r="N1936" s="51">
        <v>0.92</v>
      </c>
      <c r="O1936" s="51">
        <v>0.93759999999999999</v>
      </c>
      <c r="P1936" s="52">
        <v>2958.5</v>
      </c>
      <c r="Q1936" s="52">
        <v>2958.5</v>
      </c>
      <c r="R1936" s="53" t="str">
        <f>INDEX(SKU_Master!$D$5:$D$34,MATCH($I1936,SKU_Master!$A$5:$A$34,0))</f>
        <v>Laptop</v>
      </c>
      <c r="S1936" s="54">
        <f t="shared" si="420"/>
        <v>8.9566153846153851E-2</v>
      </c>
      <c r="T1936" s="55">
        <f t="shared" si="421"/>
        <v>240217.39130434781</v>
      </c>
      <c r="U1936" s="55">
        <f t="shared" si="422"/>
        <v>218702.04347826086</v>
      </c>
      <c r="V1936" s="55">
        <f t="shared" si="423"/>
        <v>-21515.347826086945</v>
      </c>
      <c r="W1936" s="55">
        <f t="shared" si="424"/>
        <v>214596.71501706485</v>
      </c>
      <c r="X1936" s="55">
        <f t="shared" si="425"/>
        <v>-4105.3284611960116</v>
      </c>
      <c r="Y1936" s="55">
        <f t="shared" si="426"/>
        <v>201178</v>
      </c>
      <c r="Z1936" s="55">
        <f t="shared" si="427"/>
        <v>201178</v>
      </c>
      <c r="AA1936" s="55">
        <f t="shared" si="428"/>
        <v>0</v>
      </c>
      <c r="AB1936" s="55">
        <f t="shared" si="429"/>
        <v>13418.715017064853</v>
      </c>
      <c r="AC1936" s="54">
        <f t="shared" si="430"/>
        <v>6.2529918111737123E-2</v>
      </c>
      <c r="AD1936" s="56">
        <f>INDEX(Assumptions!$B$14:$B$16,MATCH($R1936,Assumptions!$A$14:$A$16,0))</f>
        <v>0.12</v>
      </c>
      <c r="AE1936" s="56">
        <f>INDEX(Assumptions!$C$14:$C$16,MATCH($R1936,Assumptions!$A$14:$A$16,0))</f>
        <v>0.08</v>
      </c>
      <c r="AF1936" s="49">
        <f t="shared" si="431"/>
        <v>1</v>
      </c>
      <c r="AG1936" s="49">
        <f t="shared" si="432"/>
        <v>1</v>
      </c>
      <c r="AH1936" s="55">
        <f t="shared" si="433"/>
        <v>12332.89078498293</v>
      </c>
    </row>
    <row r="1937" spans="1:34" x14ac:dyDescent="0.2">
      <c r="A1937" s="48" t="s">
        <v>1530</v>
      </c>
      <c r="B1937" s="48">
        <v>2</v>
      </c>
      <c r="C1937" s="48" t="s">
        <v>1458</v>
      </c>
      <c r="D1937" s="48" t="s">
        <v>1444</v>
      </c>
      <c r="E1937" s="48" t="s">
        <v>427</v>
      </c>
      <c r="F1937" s="48" t="s">
        <v>297</v>
      </c>
      <c r="G1937" s="48" t="s">
        <v>302</v>
      </c>
      <c r="H1937" s="48" t="s">
        <v>66</v>
      </c>
      <c r="I1937" s="48" t="s">
        <v>135</v>
      </c>
      <c r="J1937" s="49">
        <v>76</v>
      </c>
      <c r="K1937" s="50">
        <v>255</v>
      </c>
      <c r="L1937" s="50">
        <v>240.89</v>
      </c>
      <c r="M1937" s="48" t="s">
        <v>276</v>
      </c>
      <c r="N1937" s="51">
        <v>0.92</v>
      </c>
      <c r="O1937" s="51">
        <v>0.93759999999999999</v>
      </c>
      <c r="P1937" s="52">
        <v>211.7</v>
      </c>
      <c r="Q1937" s="52">
        <v>211.7</v>
      </c>
      <c r="R1937" s="53" t="str">
        <f>INDEX(SKU_Master!$D$5:$D$34,MATCH($I1937,SKU_Master!$A$5:$A$34,0))</f>
        <v>Monitor</v>
      </c>
      <c r="S1937" s="54">
        <f t="shared" si="420"/>
        <v>5.5333333333333345E-2</v>
      </c>
      <c r="T1937" s="55">
        <f t="shared" si="421"/>
        <v>21065.217391304348</v>
      </c>
      <c r="U1937" s="55">
        <f t="shared" si="422"/>
        <v>19899.608695652172</v>
      </c>
      <c r="V1937" s="55">
        <f t="shared" si="423"/>
        <v>-1165.6086956521758</v>
      </c>
      <c r="W1937" s="55">
        <f t="shared" si="424"/>
        <v>19526.066552901022</v>
      </c>
      <c r="X1937" s="55">
        <f t="shared" si="425"/>
        <v>-373.5421427511501</v>
      </c>
      <c r="Y1937" s="55">
        <f t="shared" si="426"/>
        <v>16089.199999999999</v>
      </c>
      <c r="Z1937" s="55">
        <f t="shared" si="427"/>
        <v>16089.199999999999</v>
      </c>
      <c r="AA1937" s="55">
        <f t="shared" si="428"/>
        <v>0</v>
      </c>
      <c r="AB1937" s="55">
        <f t="shared" si="429"/>
        <v>3436.8665529010232</v>
      </c>
      <c r="AC1937" s="54">
        <f t="shared" si="430"/>
        <v>0.17601428037693551</v>
      </c>
      <c r="AD1937" s="56">
        <f>INDEX(Assumptions!$B$14:$B$16,MATCH($R1937,Assumptions!$A$14:$A$16,0))</f>
        <v>0.18</v>
      </c>
      <c r="AE1937" s="56">
        <f>INDEX(Assumptions!$C$14:$C$16,MATCH($R1937,Assumptions!$A$14:$A$16,0))</f>
        <v>0.12</v>
      </c>
      <c r="AF1937" s="49">
        <f t="shared" si="431"/>
        <v>0</v>
      </c>
      <c r="AG1937" s="49">
        <f t="shared" si="432"/>
        <v>0</v>
      </c>
      <c r="AH1937" s="55">
        <f t="shared" si="433"/>
        <v>77.825426621160659</v>
      </c>
    </row>
    <row r="1938" spans="1:34" x14ac:dyDescent="0.2">
      <c r="A1938" s="48" t="s">
        <v>1530</v>
      </c>
      <c r="B1938" s="48">
        <v>3</v>
      </c>
      <c r="C1938" s="48" t="s">
        <v>1458</v>
      </c>
      <c r="D1938" s="48" t="s">
        <v>1444</v>
      </c>
      <c r="E1938" s="48" t="s">
        <v>427</v>
      </c>
      <c r="F1938" s="48" t="s">
        <v>297</v>
      </c>
      <c r="G1938" s="48" t="s">
        <v>302</v>
      </c>
      <c r="H1938" s="48" t="s">
        <v>66</v>
      </c>
      <c r="I1938" s="48" t="s">
        <v>151</v>
      </c>
      <c r="J1938" s="49">
        <v>34</v>
      </c>
      <c r="K1938" s="50">
        <v>325</v>
      </c>
      <c r="L1938" s="50">
        <v>315.54000000000002</v>
      </c>
      <c r="M1938" s="48" t="s">
        <v>276</v>
      </c>
      <c r="N1938" s="51">
        <v>0.92</v>
      </c>
      <c r="O1938" s="51">
        <v>0.93759999999999999</v>
      </c>
      <c r="P1938" s="52">
        <v>221.7</v>
      </c>
      <c r="Q1938" s="52">
        <v>221.7</v>
      </c>
      <c r="R1938" s="53" t="str">
        <f>INDEX(SKU_Master!$D$5:$D$34,MATCH($I1938,SKU_Master!$A$5:$A$34,0))</f>
        <v>Accessory</v>
      </c>
      <c r="S1938" s="54">
        <f t="shared" si="420"/>
        <v>2.9107692307692279E-2</v>
      </c>
      <c r="T1938" s="55">
        <f t="shared" si="421"/>
        <v>12010.86956521739</v>
      </c>
      <c r="U1938" s="55">
        <f t="shared" si="422"/>
        <v>11661.260869565218</v>
      </c>
      <c r="V1938" s="55">
        <f t="shared" si="423"/>
        <v>-349.60869565217217</v>
      </c>
      <c r="W1938" s="55">
        <f t="shared" si="424"/>
        <v>11442.363481228669</v>
      </c>
      <c r="X1938" s="55">
        <f t="shared" si="425"/>
        <v>-218.89738833654883</v>
      </c>
      <c r="Y1938" s="55">
        <f t="shared" si="426"/>
        <v>7537.7999999999993</v>
      </c>
      <c r="Z1938" s="55">
        <f t="shared" si="427"/>
        <v>7537.7999999999993</v>
      </c>
      <c r="AA1938" s="55">
        <f t="shared" si="428"/>
        <v>0</v>
      </c>
      <c r="AB1938" s="55">
        <f t="shared" si="429"/>
        <v>3904.5634812286698</v>
      </c>
      <c r="AC1938" s="54">
        <f t="shared" si="430"/>
        <v>0.34123749762312233</v>
      </c>
      <c r="AD1938" s="56">
        <f>INDEX(Assumptions!$B$14:$B$16,MATCH($R1938,Assumptions!$A$14:$A$16,0))</f>
        <v>0.32</v>
      </c>
      <c r="AE1938" s="56">
        <f>INDEX(Assumptions!$C$14:$C$16,MATCH($R1938,Assumptions!$A$14:$A$16,0))</f>
        <v>0.22</v>
      </c>
      <c r="AF1938" s="49">
        <f t="shared" si="431"/>
        <v>0</v>
      </c>
      <c r="AG1938" s="49">
        <f t="shared" si="432"/>
        <v>0</v>
      </c>
      <c r="AH1938" s="55">
        <f t="shared" si="433"/>
        <v>0</v>
      </c>
    </row>
    <row r="1939" spans="1:34" x14ac:dyDescent="0.2">
      <c r="A1939" s="48" t="s">
        <v>1531</v>
      </c>
      <c r="B1939" s="48">
        <v>1</v>
      </c>
      <c r="C1939" s="48" t="s">
        <v>1532</v>
      </c>
      <c r="D1939" s="48" t="s">
        <v>1444</v>
      </c>
      <c r="E1939" s="48" t="s">
        <v>349</v>
      </c>
      <c r="F1939" s="48" t="s">
        <v>274</v>
      </c>
      <c r="G1939" s="48" t="s">
        <v>275</v>
      </c>
      <c r="H1939" s="48" t="s">
        <v>66</v>
      </c>
      <c r="I1939" s="48" t="s">
        <v>123</v>
      </c>
      <c r="J1939" s="49">
        <v>2</v>
      </c>
      <c r="K1939" s="50">
        <v>1395</v>
      </c>
      <c r="L1939" s="50">
        <v>1384.04</v>
      </c>
      <c r="M1939" s="48" t="s">
        <v>276</v>
      </c>
      <c r="N1939" s="51">
        <v>0.92</v>
      </c>
      <c r="O1939" s="51">
        <v>0.93759999999999999</v>
      </c>
      <c r="P1939" s="52">
        <v>1269.25</v>
      </c>
      <c r="Q1939" s="52">
        <v>1269.25</v>
      </c>
      <c r="R1939" s="53" t="str">
        <f>INDEX(SKU_Master!$D$5:$D$34,MATCH($I1939,SKU_Master!$A$5:$A$34,0))</f>
        <v>Laptop</v>
      </c>
      <c r="S1939" s="54">
        <f t="shared" si="420"/>
        <v>7.8566308243728233E-3</v>
      </c>
      <c r="T1939" s="55">
        <f t="shared" si="421"/>
        <v>3032.608695652174</v>
      </c>
      <c r="U1939" s="55">
        <f t="shared" si="422"/>
        <v>3008.782608695652</v>
      </c>
      <c r="V1939" s="55">
        <f t="shared" si="423"/>
        <v>-23.826086956521976</v>
      </c>
      <c r="W1939" s="55">
        <f t="shared" si="424"/>
        <v>2952.3037542662114</v>
      </c>
      <c r="X1939" s="55">
        <f t="shared" si="425"/>
        <v>-56.478854429440617</v>
      </c>
      <c r="Y1939" s="55">
        <f t="shared" si="426"/>
        <v>2538.5</v>
      </c>
      <c r="Z1939" s="55">
        <f t="shared" si="427"/>
        <v>2538.5</v>
      </c>
      <c r="AA1939" s="55">
        <f t="shared" si="428"/>
        <v>0</v>
      </c>
      <c r="AB1939" s="55">
        <f t="shared" si="429"/>
        <v>413.8037542662114</v>
      </c>
      <c r="AC1939" s="54">
        <f t="shared" si="430"/>
        <v>0.14016300106933319</v>
      </c>
      <c r="AD1939" s="56">
        <f>INDEX(Assumptions!$B$14:$B$16,MATCH($R1939,Assumptions!$A$14:$A$16,0))</f>
        <v>0.12</v>
      </c>
      <c r="AE1939" s="56">
        <f>INDEX(Assumptions!$C$14:$C$16,MATCH($R1939,Assumptions!$A$14:$A$16,0))</f>
        <v>0.08</v>
      </c>
      <c r="AF1939" s="49">
        <f t="shared" si="431"/>
        <v>0</v>
      </c>
      <c r="AG1939" s="49">
        <f t="shared" si="432"/>
        <v>0</v>
      </c>
      <c r="AH1939" s="55">
        <f t="shared" si="433"/>
        <v>0</v>
      </c>
    </row>
    <row r="1940" spans="1:34" x14ac:dyDescent="0.2">
      <c r="A1940" s="48" t="s">
        <v>1531</v>
      </c>
      <c r="B1940" s="48">
        <v>2</v>
      </c>
      <c r="C1940" s="48" t="s">
        <v>1532</v>
      </c>
      <c r="D1940" s="48" t="s">
        <v>1444</v>
      </c>
      <c r="E1940" s="48" t="s">
        <v>349</v>
      </c>
      <c r="F1940" s="48" t="s">
        <v>274</v>
      </c>
      <c r="G1940" s="48" t="s">
        <v>275</v>
      </c>
      <c r="H1940" s="48" t="s">
        <v>66</v>
      </c>
      <c r="I1940" s="48" t="s">
        <v>135</v>
      </c>
      <c r="J1940" s="49">
        <v>1</v>
      </c>
      <c r="K1940" s="50">
        <v>255</v>
      </c>
      <c r="L1940" s="50">
        <v>250.31</v>
      </c>
      <c r="M1940" s="48" t="s">
        <v>276</v>
      </c>
      <c r="N1940" s="51">
        <v>0.92</v>
      </c>
      <c r="O1940" s="51">
        <v>0.93759999999999999</v>
      </c>
      <c r="P1940" s="52">
        <v>211.7</v>
      </c>
      <c r="Q1940" s="52">
        <v>211.7</v>
      </c>
      <c r="R1940" s="53" t="str">
        <f>INDEX(SKU_Master!$D$5:$D$34,MATCH($I1940,SKU_Master!$A$5:$A$34,0))</f>
        <v>Monitor</v>
      </c>
      <c r="S1940" s="54">
        <f t="shared" si="420"/>
        <v>1.839215686274509E-2</v>
      </c>
      <c r="T1940" s="55">
        <f t="shared" si="421"/>
        <v>277.17391304347825</v>
      </c>
      <c r="U1940" s="55">
        <f t="shared" si="422"/>
        <v>272.07608695652175</v>
      </c>
      <c r="V1940" s="55">
        <f t="shared" si="423"/>
        <v>-5.097826086956502</v>
      </c>
      <c r="W1940" s="55">
        <f t="shared" si="424"/>
        <v>266.9688566552901</v>
      </c>
      <c r="X1940" s="55">
        <f t="shared" si="425"/>
        <v>-5.1072303012316524</v>
      </c>
      <c r="Y1940" s="55">
        <f t="shared" si="426"/>
        <v>211.7</v>
      </c>
      <c r="Z1940" s="55">
        <f t="shared" si="427"/>
        <v>211.7</v>
      </c>
      <c r="AA1940" s="55">
        <f t="shared" si="428"/>
        <v>0</v>
      </c>
      <c r="AB1940" s="55">
        <f t="shared" si="429"/>
        <v>55.268856655290108</v>
      </c>
      <c r="AC1940" s="54">
        <f t="shared" si="430"/>
        <v>0.20702361072270387</v>
      </c>
      <c r="AD1940" s="56">
        <f>INDEX(Assumptions!$B$14:$B$16,MATCH($R1940,Assumptions!$A$14:$A$16,0))</f>
        <v>0.18</v>
      </c>
      <c r="AE1940" s="56">
        <f>INDEX(Assumptions!$C$14:$C$16,MATCH($R1940,Assumptions!$A$14:$A$16,0))</f>
        <v>0.12</v>
      </c>
      <c r="AF1940" s="49">
        <f t="shared" si="431"/>
        <v>0</v>
      </c>
      <c r="AG1940" s="49">
        <f t="shared" si="432"/>
        <v>0</v>
      </c>
      <c r="AH1940" s="55">
        <f t="shared" si="433"/>
        <v>0</v>
      </c>
    </row>
    <row r="1941" spans="1:34" x14ac:dyDescent="0.2">
      <c r="A1941" s="48" t="s">
        <v>1531</v>
      </c>
      <c r="B1941" s="48">
        <v>3</v>
      </c>
      <c r="C1941" s="48" t="s">
        <v>1532</v>
      </c>
      <c r="D1941" s="48" t="s">
        <v>1444</v>
      </c>
      <c r="E1941" s="48" t="s">
        <v>349</v>
      </c>
      <c r="F1941" s="48" t="s">
        <v>274</v>
      </c>
      <c r="G1941" s="48" t="s">
        <v>275</v>
      </c>
      <c r="H1941" s="48" t="s">
        <v>66</v>
      </c>
      <c r="I1941" s="48" t="s">
        <v>166</v>
      </c>
      <c r="J1941" s="49">
        <v>2</v>
      </c>
      <c r="K1941" s="50">
        <v>255</v>
      </c>
      <c r="L1941" s="50">
        <v>250.27</v>
      </c>
      <c r="M1941" s="48" t="s">
        <v>276</v>
      </c>
      <c r="N1941" s="51">
        <v>0.92</v>
      </c>
      <c r="O1941" s="51">
        <v>0.93759999999999999</v>
      </c>
      <c r="P1941" s="52">
        <v>174.35</v>
      </c>
      <c r="Q1941" s="52">
        <v>174.35</v>
      </c>
      <c r="R1941" s="53" t="str">
        <f>INDEX(SKU_Master!$D$5:$D$34,MATCH($I1941,SKU_Master!$A$5:$A$34,0))</f>
        <v>Accessory</v>
      </c>
      <c r="S1941" s="54">
        <f t="shared" si="420"/>
        <v>1.8549019607843054E-2</v>
      </c>
      <c r="T1941" s="55">
        <f t="shared" si="421"/>
        <v>554.3478260869565</v>
      </c>
      <c r="U1941" s="55">
        <f t="shared" si="422"/>
        <v>544.06521739130437</v>
      </c>
      <c r="V1941" s="55">
        <f t="shared" si="423"/>
        <v>-10.282608695652129</v>
      </c>
      <c r="W1941" s="55">
        <f t="shared" si="424"/>
        <v>533.85238907849828</v>
      </c>
      <c r="X1941" s="55">
        <f t="shared" si="425"/>
        <v>-10.212828312806096</v>
      </c>
      <c r="Y1941" s="55">
        <f t="shared" si="426"/>
        <v>348.7</v>
      </c>
      <c r="Z1941" s="55">
        <f t="shared" si="427"/>
        <v>348.7</v>
      </c>
      <c r="AA1941" s="55">
        <f t="shared" si="428"/>
        <v>0</v>
      </c>
      <c r="AB1941" s="55">
        <f t="shared" si="429"/>
        <v>185.15238907849829</v>
      </c>
      <c r="AC1941" s="54">
        <f t="shared" si="430"/>
        <v>0.34682319095376996</v>
      </c>
      <c r="AD1941" s="56">
        <f>INDEX(Assumptions!$B$14:$B$16,MATCH($R1941,Assumptions!$A$14:$A$16,0))</f>
        <v>0.32</v>
      </c>
      <c r="AE1941" s="56">
        <f>INDEX(Assumptions!$C$14:$C$16,MATCH($R1941,Assumptions!$A$14:$A$16,0))</f>
        <v>0.22</v>
      </c>
      <c r="AF1941" s="49">
        <f t="shared" si="431"/>
        <v>0</v>
      </c>
      <c r="AG1941" s="49">
        <f t="shared" si="432"/>
        <v>0</v>
      </c>
      <c r="AH1941" s="55">
        <f t="shared" si="433"/>
        <v>0</v>
      </c>
    </row>
    <row r="1942" spans="1:34" x14ac:dyDescent="0.2">
      <c r="A1942" s="48" t="s">
        <v>1533</v>
      </c>
      <c r="B1942" s="48">
        <v>1</v>
      </c>
      <c r="C1942" s="48" t="s">
        <v>1460</v>
      </c>
      <c r="D1942" s="48" t="s">
        <v>1444</v>
      </c>
      <c r="E1942" s="48" t="s">
        <v>410</v>
      </c>
      <c r="F1942" s="48" t="s">
        <v>297</v>
      </c>
      <c r="G1942" s="48" t="s">
        <v>302</v>
      </c>
      <c r="H1942" s="48" t="s">
        <v>64</v>
      </c>
      <c r="I1942" s="48" t="s">
        <v>115</v>
      </c>
      <c r="J1942" s="49">
        <v>56</v>
      </c>
      <c r="K1942" s="50">
        <v>710</v>
      </c>
      <c r="L1942" s="50">
        <v>680.59</v>
      </c>
      <c r="M1942" s="48" t="s">
        <v>276</v>
      </c>
      <c r="N1942" s="51">
        <v>0.79</v>
      </c>
      <c r="O1942" s="51">
        <v>0.83179999999999998</v>
      </c>
      <c r="P1942" s="52">
        <v>747.6</v>
      </c>
      <c r="Q1942" s="52">
        <v>747.6</v>
      </c>
      <c r="R1942" s="53" t="str">
        <f>INDEX(SKU_Master!$D$5:$D$34,MATCH($I1942,SKU_Master!$A$5:$A$34,0))</f>
        <v>Laptop</v>
      </c>
      <c r="S1942" s="54">
        <f t="shared" si="420"/>
        <v>4.1422535211267597E-2</v>
      </c>
      <c r="T1942" s="55">
        <f t="shared" si="421"/>
        <v>50329.113924050631</v>
      </c>
      <c r="U1942" s="55">
        <f t="shared" si="422"/>
        <v>48244.354430379746</v>
      </c>
      <c r="V1942" s="55">
        <f t="shared" si="423"/>
        <v>-2084.7594936708847</v>
      </c>
      <c r="W1942" s="55">
        <f t="shared" si="424"/>
        <v>45819.956720365473</v>
      </c>
      <c r="X1942" s="55">
        <f t="shared" si="425"/>
        <v>-2424.3977100142729</v>
      </c>
      <c r="Y1942" s="55">
        <f t="shared" si="426"/>
        <v>41865.599999999999</v>
      </c>
      <c r="Z1942" s="55">
        <f t="shared" si="427"/>
        <v>41865.599999999999</v>
      </c>
      <c r="AA1942" s="55">
        <f t="shared" si="428"/>
        <v>0</v>
      </c>
      <c r="AB1942" s="55">
        <f t="shared" si="429"/>
        <v>3954.3567203654748</v>
      </c>
      <c r="AC1942" s="54">
        <f t="shared" si="430"/>
        <v>8.6302061446686007E-2</v>
      </c>
      <c r="AD1942" s="56">
        <f>INDEX(Assumptions!$B$14:$B$16,MATCH($R1942,Assumptions!$A$14:$A$16,0))</f>
        <v>0.12</v>
      </c>
      <c r="AE1942" s="56">
        <f>INDEX(Assumptions!$C$14:$C$16,MATCH($R1942,Assumptions!$A$14:$A$16,0))</f>
        <v>0.08</v>
      </c>
      <c r="AF1942" s="49">
        <f t="shared" si="431"/>
        <v>0</v>
      </c>
      <c r="AG1942" s="49">
        <f t="shared" si="432"/>
        <v>0</v>
      </c>
      <c r="AH1942" s="55">
        <f t="shared" si="433"/>
        <v>1544.0380860783816</v>
      </c>
    </row>
    <row r="1943" spans="1:34" x14ac:dyDescent="0.2">
      <c r="A1943" s="48" t="s">
        <v>1533</v>
      </c>
      <c r="B1943" s="48">
        <v>2</v>
      </c>
      <c r="C1943" s="48" t="s">
        <v>1460</v>
      </c>
      <c r="D1943" s="48" t="s">
        <v>1444</v>
      </c>
      <c r="E1943" s="48" t="s">
        <v>410</v>
      </c>
      <c r="F1943" s="48" t="s">
        <v>297</v>
      </c>
      <c r="G1943" s="48" t="s">
        <v>302</v>
      </c>
      <c r="H1943" s="48" t="s">
        <v>64</v>
      </c>
      <c r="I1943" s="48" t="s">
        <v>161</v>
      </c>
      <c r="J1943" s="49">
        <v>57</v>
      </c>
      <c r="K1943" s="50">
        <v>105</v>
      </c>
      <c r="L1943" s="50">
        <v>102.39</v>
      </c>
      <c r="M1943" s="48" t="s">
        <v>276</v>
      </c>
      <c r="N1943" s="51">
        <v>0.79</v>
      </c>
      <c r="O1943" s="51">
        <v>0.83179999999999998</v>
      </c>
      <c r="P1943" s="52">
        <v>82</v>
      </c>
      <c r="Q1943" s="52">
        <v>82</v>
      </c>
      <c r="R1943" s="53" t="str">
        <f>INDEX(SKU_Master!$D$5:$D$34,MATCH($I1943,SKU_Master!$A$5:$A$34,0))</f>
        <v>Accessory</v>
      </c>
      <c r="S1943" s="54">
        <f t="shared" si="420"/>
        <v>2.48571428571428E-2</v>
      </c>
      <c r="T1943" s="55">
        <f t="shared" si="421"/>
        <v>7575.9493670886077</v>
      </c>
      <c r="U1943" s="55">
        <f t="shared" si="422"/>
        <v>7387.6329113924057</v>
      </c>
      <c r="V1943" s="55">
        <f t="shared" si="423"/>
        <v>-188.31645569620196</v>
      </c>
      <c r="W1943" s="55">
        <f t="shared" si="424"/>
        <v>7016.3861505169516</v>
      </c>
      <c r="X1943" s="55">
        <f t="shared" si="425"/>
        <v>-371.24676087545413</v>
      </c>
      <c r="Y1943" s="55">
        <f t="shared" si="426"/>
        <v>4674</v>
      </c>
      <c r="Z1943" s="55">
        <f t="shared" si="427"/>
        <v>4674</v>
      </c>
      <c r="AA1943" s="55">
        <f t="shared" si="428"/>
        <v>0</v>
      </c>
      <c r="AB1943" s="55">
        <f t="shared" si="429"/>
        <v>2342.3861505169516</v>
      </c>
      <c r="AC1943" s="54">
        <f t="shared" si="430"/>
        <v>0.33384510206074813</v>
      </c>
      <c r="AD1943" s="56">
        <f>INDEX(Assumptions!$B$14:$B$16,MATCH($R1943,Assumptions!$A$14:$A$16,0))</f>
        <v>0.32</v>
      </c>
      <c r="AE1943" s="56">
        <f>INDEX(Assumptions!$C$14:$C$16,MATCH($R1943,Assumptions!$A$14:$A$16,0))</f>
        <v>0.22</v>
      </c>
      <c r="AF1943" s="49">
        <f t="shared" si="431"/>
        <v>0</v>
      </c>
      <c r="AG1943" s="49">
        <f t="shared" si="432"/>
        <v>0</v>
      </c>
      <c r="AH1943" s="55">
        <f t="shared" si="433"/>
        <v>0</v>
      </c>
    </row>
    <row r="1944" spans="1:34" x14ac:dyDescent="0.2">
      <c r="A1944" s="48" t="s">
        <v>1534</v>
      </c>
      <c r="B1944" s="48">
        <v>1</v>
      </c>
      <c r="C1944" s="48" t="s">
        <v>1492</v>
      </c>
      <c r="D1944" s="48" t="s">
        <v>1444</v>
      </c>
      <c r="E1944" s="48" t="s">
        <v>317</v>
      </c>
      <c r="F1944" s="48" t="s">
        <v>280</v>
      </c>
      <c r="G1944" s="48" t="s">
        <v>306</v>
      </c>
      <c r="H1944" s="48" t="s">
        <v>62</v>
      </c>
      <c r="I1944" s="48" t="s">
        <v>98</v>
      </c>
      <c r="J1944" s="49">
        <v>8</v>
      </c>
      <c r="K1944" s="50">
        <v>2085</v>
      </c>
      <c r="L1944" s="50">
        <v>2040.67</v>
      </c>
      <c r="M1944" s="48" t="s">
        <v>276</v>
      </c>
      <c r="N1944" s="51">
        <v>1</v>
      </c>
      <c r="O1944" s="51">
        <v>1</v>
      </c>
      <c r="P1944" s="52">
        <v>1780.2</v>
      </c>
      <c r="Q1944" s="52">
        <v>1780.2</v>
      </c>
      <c r="R1944" s="53" t="str">
        <f>INDEX(SKU_Master!$D$5:$D$34,MATCH($I1944,SKU_Master!$A$5:$A$34,0))</f>
        <v>Laptop</v>
      </c>
      <c r="S1944" s="54">
        <f t="shared" si="420"/>
        <v>2.1261390887290177E-2</v>
      </c>
      <c r="T1944" s="55">
        <f t="shared" si="421"/>
        <v>16680</v>
      </c>
      <c r="U1944" s="55">
        <f t="shared" si="422"/>
        <v>16325.36</v>
      </c>
      <c r="V1944" s="55">
        <f t="shared" si="423"/>
        <v>-354.63999999999942</v>
      </c>
      <c r="W1944" s="55">
        <f t="shared" si="424"/>
        <v>16325.36</v>
      </c>
      <c r="X1944" s="55">
        <f t="shared" si="425"/>
        <v>0</v>
      </c>
      <c r="Y1944" s="55">
        <f t="shared" si="426"/>
        <v>14241.6</v>
      </c>
      <c r="Z1944" s="55">
        <f t="shared" si="427"/>
        <v>14241.6</v>
      </c>
      <c r="AA1944" s="55">
        <f t="shared" si="428"/>
        <v>0</v>
      </c>
      <c r="AB1944" s="55">
        <f t="shared" si="429"/>
        <v>2083.7600000000002</v>
      </c>
      <c r="AC1944" s="54">
        <f t="shared" si="430"/>
        <v>0.1276394517486904</v>
      </c>
      <c r="AD1944" s="56">
        <f>INDEX(Assumptions!$B$14:$B$16,MATCH($R1944,Assumptions!$A$14:$A$16,0))</f>
        <v>0.12</v>
      </c>
      <c r="AE1944" s="56">
        <f>INDEX(Assumptions!$C$14:$C$16,MATCH($R1944,Assumptions!$A$14:$A$16,0))</f>
        <v>0.08</v>
      </c>
      <c r="AF1944" s="49">
        <f t="shared" si="431"/>
        <v>0</v>
      </c>
      <c r="AG1944" s="49">
        <f t="shared" si="432"/>
        <v>0</v>
      </c>
      <c r="AH1944" s="55">
        <f t="shared" si="433"/>
        <v>0</v>
      </c>
    </row>
    <row r="1945" spans="1:34" x14ac:dyDescent="0.2">
      <c r="A1945" s="48" t="s">
        <v>1534</v>
      </c>
      <c r="B1945" s="48">
        <v>2</v>
      </c>
      <c r="C1945" s="48" t="s">
        <v>1492</v>
      </c>
      <c r="D1945" s="48" t="s">
        <v>1444</v>
      </c>
      <c r="E1945" s="48" t="s">
        <v>317</v>
      </c>
      <c r="F1945" s="48" t="s">
        <v>280</v>
      </c>
      <c r="G1945" s="48" t="s">
        <v>306</v>
      </c>
      <c r="H1945" s="48" t="s">
        <v>62</v>
      </c>
      <c r="I1945" s="48" t="s">
        <v>166</v>
      </c>
      <c r="J1945" s="49">
        <v>7</v>
      </c>
      <c r="K1945" s="50">
        <v>265</v>
      </c>
      <c r="L1945" s="50">
        <v>255.47</v>
      </c>
      <c r="M1945" s="48" t="s">
        <v>276</v>
      </c>
      <c r="N1945" s="51">
        <v>1</v>
      </c>
      <c r="O1945" s="51">
        <v>1</v>
      </c>
      <c r="P1945" s="52">
        <v>169.35</v>
      </c>
      <c r="Q1945" s="52">
        <v>169.35</v>
      </c>
      <c r="R1945" s="53" t="str">
        <f>INDEX(SKU_Master!$D$5:$D$34,MATCH($I1945,SKU_Master!$A$5:$A$34,0))</f>
        <v>Accessory</v>
      </c>
      <c r="S1945" s="54">
        <f t="shared" si="420"/>
        <v>3.596226415094339E-2</v>
      </c>
      <c r="T1945" s="55">
        <f t="shared" si="421"/>
        <v>1855</v>
      </c>
      <c r="U1945" s="55">
        <f t="shared" si="422"/>
        <v>1788.29</v>
      </c>
      <c r="V1945" s="55">
        <f t="shared" si="423"/>
        <v>-66.710000000000036</v>
      </c>
      <c r="W1945" s="55">
        <f t="shared" si="424"/>
        <v>1788.29</v>
      </c>
      <c r="X1945" s="55">
        <f t="shared" si="425"/>
        <v>0</v>
      </c>
      <c r="Y1945" s="55">
        <f t="shared" si="426"/>
        <v>1185.45</v>
      </c>
      <c r="Z1945" s="55">
        <f t="shared" si="427"/>
        <v>1185.45</v>
      </c>
      <c r="AA1945" s="55">
        <f t="shared" si="428"/>
        <v>0</v>
      </c>
      <c r="AB1945" s="55">
        <f t="shared" si="429"/>
        <v>602.83999999999992</v>
      </c>
      <c r="AC1945" s="54">
        <f t="shared" si="430"/>
        <v>0.33710416095823381</v>
      </c>
      <c r="AD1945" s="56">
        <f>INDEX(Assumptions!$B$14:$B$16,MATCH($R1945,Assumptions!$A$14:$A$16,0))</f>
        <v>0.32</v>
      </c>
      <c r="AE1945" s="56">
        <f>INDEX(Assumptions!$C$14:$C$16,MATCH($R1945,Assumptions!$A$14:$A$16,0))</f>
        <v>0.22</v>
      </c>
      <c r="AF1945" s="49">
        <f t="shared" si="431"/>
        <v>0</v>
      </c>
      <c r="AG1945" s="49">
        <f t="shared" si="432"/>
        <v>0</v>
      </c>
      <c r="AH1945" s="55">
        <f t="shared" si="433"/>
        <v>0</v>
      </c>
    </row>
    <row r="1946" spans="1:34" x14ac:dyDescent="0.2">
      <c r="A1946" s="48" t="s">
        <v>1535</v>
      </c>
      <c r="B1946" s="48">
        <v>1</v>
      </c>
      <c r="C1946" s="48" t="s">
        <v>1498</v>
      </c>
      <c r="D1946" s="48" t="s">
        <v>1444</v>
      </c>
      <c r="E1946" s="48" t="s">
        <v>422</v>
      </c>
      <c r="F1946" s="48" t="s">
        <v>280</v>
      </c>
      <c r="G1946" s="48" t="s">
        <v>281</v>
      </c>
      <c r="H1946" s="48" t="s">
        <v>68</v>
      </c>
      <c r="I1946" s="48" t="s">
        <v>93</v>
      </c>
      <c r="J1946" s="49">
        <v>8</v>
      </c>
      <c r="K1946" s="50">
        <v>1960</v>
      </c>
      <c r="L1946" s="50">
        <v>1917.38</v>
      </c>
      <c r="M1946" s="48" t="s">
        <v>276</v>
      </c>
      <c r="N1946" s="51">
        <v>1.37</v>
      </c>
      <c r="O1946" s="51">
        <v>1.3702000000000001</v>
      </c>
      <c r="P1946" s="52">
        <v>1198.2</v>
      </c>
      <c r="Q1946" s="52">
        <v>1198.2</v>
      </c>
      <c r="R1946" s="53" t="str">
        <f>INDEX(SKU_Master!$D$5:$D$34,MATCH($I1946,SKU_Master!$A$5:$A$34,0))</f>
        <v>Laptop</v>
      </c>
      <c r="S1946" s="54">
        <f t="shared" si="420"/>
        <v>2.1744897959183662E-2</v>
      </c>
      <c r="T1946" s="55">
        <f t="shared" si="421"/>
        <v>11445.255474452553</v>
      </c>
      <c r="U1946" s="55">
        <f t="shared" si="422"/>
        <v>11196.379562043796</v>
      </c>
      <c r="V1946" s="55">
        <f t="shared" si="423"/>
        <v>-248.87591240875736</v>
      </c>
      <c r="W1946" s="55">
        <f t="shared" si="424"/>
        <v>11194.745292658006</v>
      </c>
      <c r="X1946" s="55">
        <f t="shared" si="425"/>
        <v>-1.6342693857895938</v>
      </c>
      <c r="Y1946" s="55">
        <f t="shared" si="426"/>
        <v>9585.6</v>
      </c>
      <c r="Z1946" s="55">
        <f t="shared" si="427"/>
        <v>9585.6</v>
      </c>
      <c r="AA1946" s="55">
        <f t="shared" si="428"/>
        <v>0</v>
      </c>
      <c r="AB1946" s="55">
        <f t="shared" si="429"/>
        <v>1609.1452926580059</v>
      </c>
      <c r="AC1946" s="54">
        <f t="shared" si="430"/>
        <v>0.1437411259113999</v>
      </c>
      <c r="AD1946" s="56">
        <f>INDEX(Assumptions!$B$14:$B$16,MATCH($R1946,Assumptions!$A$14:$A$16,0))</f>
        <v>0.12</v>
      </c>
      <c r="AE1946" s="56">
        <f>INDEX(Assumptions!$C$14:$C$16,MATCH($R1946,Assumptions!$A$14:$A$16,0))</f>
        <v>0.08</v>
      </c>
      <c r="AF1946" s="49">
        <f t="shared" si="431"/>
        <v>0</v>
      </c>
      <c r="AG1946" s="49">
        <f t="shared" si="432"/>
        <v>0</v>
      </c>
      <c r="AH1946" s="55">
        <f t="shared" si="433"/>
        <v>0</v>
      </c>
    </row>
    <row r="1947" spans="1:34" x14ac:dyDescent="0.2">
      <c r="A1947" s="48" t="s">
        <v>1535</v>
      </c>
      <c r="B1947" s="48">
        <v>2</v>
      </c>
      <c r="C1947" s="48" t="s">
        <v>1498</v>
      </c>
      <c r="D1947" s="48" t="s">
        <v>1444</v>
      </c>
      <c r="E1947" s="48" t="s">
        <v>422</v>
      </c>
      <c r="F1947" s="48" t="s">
        <v>280</v>
      </c>
      <c r="G1947" s="48" t="s">
        <v>281</v>
      </c>
      <c r="H1947" s="48" t="s">
        <v>68</v>
      </c>
      <c r="I1947" s="48" t="s">
        <v>161</v>
      </c>
      <c r="J1947" s="49">
        <v>5</v>
      </c>
      <c r="K1947" s="50">
        <v>175</v>
      </c>
      <c r="L1947" s="50">
        <v>172.53</v>
      </c>
      <c r="M1947" s="48" t="s">
        <v>276</v>
      </c>
      <c r="N1947" s="51">
        <v>1.37</v>
      </c>
      <c r="O1947" s="51">
        <v>1.3702000000000001</v>
      </c>
      <c r="P1947" s="52">
        <v>79</v>
      </c>
      <c r="Q1947" s="52">
        <v>79</v>
      </c>
      <c r="R1947" s="53" t="str">
        <f>INDEX(SKU_Master!$D$5:$D$34,MATCH($I1947,SKU_Master!$A$5:$A$34,0))</f>
        <v>Accessory</v>
      </c>
      <c r="S1947" s="54">
        <f t="shared" si="420"/>
        <v>1.4114285714285746E-2</v>
      </c>
      <c r="T1947" s="55">
        <f t="shared" si="421"/>
        <v>638.68613138686123</v>
      </c>
      <c r="U1947" s="55">
        <f t="shared" si="422"/>
        <v>629.67153284671531</v>
      </c>
      <c r="V1947" s="55">
        <f t="shared" si="423"/>
        <v>-9.0145985401459257</v>
      </c>
      <c r="W1947" s="55">
        <f t="shared" si="424"/>
        <v>629.57962341264044</v>
      </c>
      <c r="X1947" s="55">
        <f t="shared" si="425"/>
        <v>-9.1909434074864294E-2</v>
      </c>
      <c r="Y1947" s="55">
        <f t="shared" si="426"/>
        <v>395</v>
      </c>
      <c r="Z1947" s="55">
        <f t="shared" si="427"/>
        <v>395</v>
      </c>
      <c r="AA1947" s="55">
        <f t="shared" si="428"/>
        <v>0</v>
      </c>
      <c r="AB1947" s="55">
        <f t="shared" si="429"/>
        <v>234.57962341264044</v>
      </c>
      <c r="AC1947" s="54">
        <f t="shared" si="430"/>
        <v>0.37259722946733898</v>
      </c>
      <c r="AD1947" s="56">
        <f>INDEX(Assumptions!$B$14:$B$16,MATCH($R1947,Assumptions!$A$14:$A$16,0))</f>
        <v>0.32</v>
      </c>
      <c r="AE1947" s="56">
        <f>INDEX(Assumptions!$C$14:$C$16,MATCH($R1947,Assumptions!$A$14:$A$16,0))</f>
        <v>0.22</v>
      </c>
      <c r="AF1947" s="49">
        <f t="shared" si="431"/>
        <v>0</v>
      </c>
      <c r="AG1947" s="49">
        <f t="shared" si="432"/>
        <v>0</v>
      </c>
      <c r="AH1947" s="55">
        <f t="shared" si="433"/>
        <v>0</v>
      </c>
    </row>
    <row r="1948" spans="1:34" x14ac:dyDescent="0.2">
      <c r="A1948" s="48" t="s">
        <v>1536</v>
      </c>
      <c r="B1948" s="48">
        <v>1</v>
      </c>
      <c r="C1948" s="48" t="s">
        <v>1443</v>
      </c>
      <c r="D1948" s="48" t="s">
        <v>1444</v>
      </c>
      <c r="E1948" s="48" t="s">
        <v>325</v>
      </c>
      <c r="F1948" s="48" t="s">
        <v>274</v>
      </c>
      <c r="G1948" s="48" t="s">
        <v>298</v>
      </c>
      <c r="H1948" s="48" t="s">
        <v>62</v>
      </c>
      <c r="I1948" s="48" t="s">
        <v>115</v>
      </c>
      <c r="J1948" s="49">
        <v>6</v>
      </c>
      <c r="K1948" s="50">
        <v>850</v>
      </c>
      <c r="L1948" s="50">
        <v>841.05</v>
      </c>
      <c r="M1948" s="48" t="s">
        <v>276</v>
      </c>
      <c r="N1948" s="51">
        <v>1</v>
      </c>
      <c r="O1948" s="51">
        <v>1</v>
      </c>
      <c r="P1948" s="52">
        <v>723.6</v>
      </c>
      <c r="Q1948" s="52">
        <v>723.6</v>
      </c>
      <c r="R1948" s="53" t="str">
        <f>INDEX(SKU_Master!$D$5:$D$34,MATCH($I1948,SKU_Master!$A$5:$A$34,0))</f>
        <v>Laptop</v>
      </c>
      <c r="S1948" s="54">
        <f t="shared" si="420"/>
        <v>1.0529411764705898E-2</v>
      </c>
      <c r="T1948" s="55">
        <f t="shared" si="421"/>
        <v>5100</v>
      </c>
      <c r="U1948" s="55">
        <f t="shared" si="422"/>
        <v>5046.2999999999993</v>
      </c>
      <c r="V1948" s="55">
        <f t="shared" si="423"/>
        <v>-53.700000000000728</v>
      </c>
      <c r="W1948" s="55">
        <f t="shared" si="424"/>
        <v>5046.2999999999993</v>
      </c>
      <c r="X1948" s="55">
        <f t="shared" si="425"/>
        <v>0</v>
      </c>
      <c r="Y1948" s="55">
        <f t="shared" si="426"/>
        <v>4341.6000000000004</v>
      </c>
      <c r="Z1948" s="55">
        <f t="shared" si="427"/>
        <v>4341.6000000000004</v>
      </c>
      <c r="AA1948" s="55">
        <f t="shared" si="428"/>
        <v>0</v>
      </c>
      <c r="AB1948" s="55">
        <f t="shared" si="429"/>
        <v>704.69999999999891</v>
      </c>
      <c r="AC1948" s="54">
        <f t="shared" si="430"/>
        <v>0.13964686998394843</v>
      </c>
      <c r="AD1948" s="56">
        <f>INDEX(Assumptions!$B$14:$B$16,MATCH($R1948,Assumptions!$A$14:$A$16,0))</f>
        <v>0.12</v>
      </c>
      <c r="AE1948" s="56">
        <f>INDEX(Assumptions!$C$14:$C$16,MATCH($R1948,Assumptions!$A$14:$A$16,0))</f>
        <v>0.08</v>
      </c>
      <c r="AF1948" s="49">
        <f t="shared" si="431"/>
        <v>0</v>
      </c>
      <c r="AG1948" s="49">
        <f t="shared" si="432"/>
        <v>0</v>
      </c>
      <c r="AH1948" s="55">
        <f t="shared" si="433"/>
        <v>0</v>
      </c>
    </row>
    <row r="1949" spans="1:34" x14ac:dyDescent="0.2">
      <c r="A1949" s="48" t="s">
        <v>1536</v>
      </c>
      <c r="B1949" s="48">
        <v>2</v>
      </c>
      <c r="C1949" s="48" t="s">
        <v>1443</v>
      </c>
      <c r="D1949" s="48" t="s">
        <v>1444</v>
      </c>
      <c r="E1949" s="48" t="s">
        <v>325</v>
      </c>
      <c r="F1949" s="48" t="s">
        <v>274</v>
      </c>
      <c r="G1949" s="48" t="s">
        <v>298</v>
      </c>
      <c r="H1949" s="48" t="s">
        <v>62</v>
      </c>
      <c r="I1949" s="48" t="s">
        <v>138</v>
      </c>
      <c r="J1949" s="49">
        <v>5</v>
      </c>
      <c r="K1949" s="50">
        <v>455</v>
      </c>
      <c r="L1949" s="50">
        <v>450.07</v>
      </c>
      <c r="M1949" s="48" t="s">
        <v>276</v>
      </c>
      <c r="N1949" s="51">
        <v>1</v>
      </c>
      <c r="O1949" s="51">
        <v>1</v>
      </c>
      <c r="P1949" s="52">
        <v>358.2</v>
      </c>
      <c r="Q1949" s="52">
        <v>358.2</v>
      </c>
      <c r="R1949" s="53" t="str">
        <f>INDEX(SKU_Master!$D$5:$D$34,MATCH($I1949,SKU_Master!$A$5:$A$34,0))</f>
        <v>Monitor</v>
      </c>
      <c r="S1949" s="54">
        <f t="shared" si="420"/>
        <v>1.083516483516489E-2</v>
      </c>
      <c r="T1949" s="55">
        <f t="shared" si="421"/>
        <v>2275</v>
      </c>
      <c r="U1949" s="55">
        <f t="shared" si="422"/>
        <v>2250.35</v>
      </c>
      <c r="V1949" s="55">
        <f t="shared" si="423"/>
        <v>-24.650000000000091</v>
      </c>
      <c r="W1949" s="55">
        <f t="shared" si="424"/>
        <v>2250.35</v>
      </c>
      <c r="X1949" s="55">
        <f t="shared" si="425"/>
        <v>0</v>
      </c>
      <c r="Y1949" s="55">
        <f t="shared" si="426"/>
        <v>1791</v>
      </c>
      <c r="Z1949" s="55">
        <f t="shared" si="427"/>
        <v>1791</v>
      </c>
      <c r="AA1949" s="55">
        <f t="shared" si="428"/>
        <v>0</v>
      </c>
      <c r="AB1949" s="55">
        <f t="shared" si="429"/>
        <v>459.34999999999991</v>
      </c>
      <c r="AC1949" s="54">
        <f t="shared" si="430"/>
        <v>0.20412380296398336</v>
      </c>
      <c r="AD1949" s="56">
        <f>INDEX(Assumptions!$B$14:$B$16,MATCH($R1949,Assumptions!$A$14:$A$16,0))</f>
        <v>0.18</v>
      </c>
      <c r="AE1949" s="56">
        <f>INDEX(Assumptions!$C$14:$C$16,MATCH($R1949,Assumptions!$A$14:$A$16,0))</f>
        <v>0.12</v>
      </c>
      <c r="AF1949" s="49">
        <f t="shared" si="431"/>
        <v>0</v>
      </c>
      <c r="AG1949" s="49">
        <f t="shared" si="432"/>
        <v>0</v>
      </c>
      <c r="AH1949" s="55">
        <f t="shared" si="433"/>
        <v>0</v>
      </c>
    </row>
    <row r="1950" spans="1:34" x14ac:dyDescent="0.2">
      <c r="A1950" s="48" t="s">
        <v>1536</v>
      </c>
      <c r="B1950" s="48">
        <v>3</v>
      </c>
      <c r="C1950" s="48" t="s">
        <v>1443</v>
      </c>
      <c r="D1950" s="48" t="s">
        <v>1444</v>
      </c>
      <c r="E1950" s="48" t="s">
        <v>325</v>
      </c>
      <c r="F1950" s="48" t="s">
        <v>274</v>
      </c>
      <c r="G1950" s="48" t="s">
        <v>298</v>
      </c>
      <c r="H1950" s="48" t="s">
        <v>62</v>
      </c>
      <c r="I1950" s="48" t="s">
        <v>151</v>
      </c>
      <c r="J1950" s="49">
        <v>3</v>
      </c>
      <c r="K1950" s="50">
        <v>335</v>
      </c>
      <c r="L1950" s="50">
        <v>333.51</v>
      </c>
      <c r="M1950" s="48" t="s">
        <v>276</v>
      </c>
      <c r="N1950" s="51">
        <v>1</v>
      </c>
      <c r="O1950" s="51">
        <v>1</v>
      </c>
      <c r="P1950" s="52">
        <v>216.7</v>
      </c>
      <c r="Q1950" s="52">
        <v>216.7</v>
      </c>
      <c r="R1950" s="53" t="str">
        <f>INDEX(SKU_Master!$D$5:$D$34,MATCH($I1950,SKU_Master!$A$5:$A$34,0))</f>
        <v>Accessory</v>
      </c>
      <c r="S1950" s="54">
        <f t="shared" si="420"/>
        <v>4.4477611940298978E-3</v>
      </c>
      <c r="T1950" s="55">
        <f t="shared" si="421"/>
        <v>1005</v>
      </c>
      <c r="U1950" s="55">
        <f t="shared" si="422"/>
        <v>1000.53</v>
      </c>
      <c r="V1950" s="55">
        <f t="shared" si="423"/>
        <v>-4.4700000000000273</v>
      </c>
      <c r="W1950" s="55">
        <f t="shared" si="424"/>
        <v>1000.53</v>
      </c>
      <c r="X1950" s="55">
        <f t="shared" si="425"/>
        <v>0</v>
      </c>
      <c r="Y1950" s="55">
        <f t="shared" si="426"/>
        <v>650.09999999999991</v>
      </c>
      <c r="Z1950" s="55">
        <f t="shared" si="427"/>
        <v>650.09999999999991</v>
      </c>
      <c r="AA1950" s="55">
        <f t="shared" si="428"/>
        <v>0</v>
      </c>
      <c r="AB1950" s="55">
        <f t="shared" si="429"/>
        <v>350.43000000000006</v>
      </c>
      <c r="AC1950" s="54">
        <f t="shared" si="430"/>
        <v>0.35024437048364376</v>
      </c>
      <c r="AD1950" s="56">
        <f>INDEX(Assumptions!$B$14:$B$16,MATCH($R1950,Assumptions!$A$14:$A$16,0))</f>
        <v>0.32</v>
      </c>
      <c r="AE1950" s="56">
        <f>INDEX(Assumptions!$C$14:$C$16,MATCH($R1950,Assumptions!$A$14:$A$16,0))</f>
        <v>0.22</v>
      </c>
      <c r="AF1950" s="49">
        <f t="shared" si="431"/>
        <v>0</v>
      </c>
      <c r="AG1950" s="49">
        <f t="shared" si="432"/>
        <v>0</v>
      </c>
      <c r="AH1950" s="55">
        <f t="shared" si="433"/>
        <v>0</v>
      </c>
    </row>
    <row r="1951" spans="1:34" x14ac:dyDescent="0.2">
      <c r="A1951" s="48" t="s">
        <v>1537</v>
      </c>
      <c r="B1951" s="48">
        <v>1</v>
      </c>
      <c r="C1951" s="48" t="s">
        <v>1517</v>
      </c>
      <c r="D1951" s="48" t="s">
        <v>1444</v>
      </c>
      <c r="E1951" s="48" t="s">
        <v>317</v>
      </c>
      <c r="F1951" s="48" t="s">
        <v>280</v>
      </c>
      <c r="G1951" s="48" t="s">
        <v>306</v>
      </c>
      <c r="H1951" s="48" t="s">
        <v>62</v>
      </c>
      <c r="I1951" s="48" t="s">
        <v>108</v>
      </c>
      <c r="J1951" s="49">
        <v>19</v>
      </c>
      <c r="K1951" s="50">
        <v>1345</v>
      </c>
      <c r="L1951" s="50">
        <v>1285.8800000000001</v>
      </c>
      <c r="M1951" s="48" t="s">
        <v>276</v>
      </c>
      <c r="N1951" s="51">
        <v>1</v>
      </c>
      <c r="O1951" s="51">
        <v>1</v>
      </c>
      <c r="P1951" s="52">
        <v>1145</v>
      </c>
      <c r="Q1951" s="52">
        <v>1212.6199999999999</v>
      </c>
      <c r="R1951" s="53" t="str">
        <f>INDEX(SKU_Master!$D$5:$D$34,MATCH($I1951,SKU_Master!$A$5:$A$34,0))</f>
        <v>Laptop</v>
      </c>
      <c r="S1951" s="54">
        <f t="shared" si="420"/>
        <v>4.3955390334572408E-2</v>
      </c>
      <c r="T1951" s="55">
        <f t="shared" si="421"/>
        <v>25555</v>
      </c>
      <c r="U1951" s="55">
        <f t="shared" si="422"/>
        <v>24431.72</v>
      </c>
      <c r="V1951" s="55">
        <f t="shared" si="423"/>
        <v>-1123.2799999999988</v>
      </c>
      <c r="W1951" s="55">
        <f t="shared" si="424"/>
        <v>24431.72</v>
      </c>
      <c r="X1951" s="55">
        <f t="shared" si="425"/>
        <v>0</v>
      </c>
      <c r="Y1951" s="55">
        <f t="shared" si="426"/>
        <v>21755</v>
      </c>
      <c r="Z1951" s="55">
        <f t="shared" si="427"/>
        <v>23039.78</v>
      </c>
      <c r="AA1951" s="55">
        <f t="shared" si="428"/>
        <v>-1284.7799999999988</v>
      </c>
      <c r="AB1951" s="55">
        <f t="shared" si="429"/>
        <v>1391.9400000000023</v>
      </c>
      <c r="AC1951" s="54">
        <f t="shared" si="430"/>
        <v>5.6972656857560672E-2</v>
      </c>
      <c r="AD1951" s="56">
        <f>INDEX(Assumptions!$B$14:$B$16,MATCH($R1951,Assumptions!$A$14:$A$16,0))</f>
        <v>0.12</v>
      </c>
      <c r="AE1951" s="56">
        <f>INDEX(Assumptions!$C$14:$C$16,MATCH($R1951,Assumptions!$A$14:$A$16,0))</f>
        <v>0.08</v>
      </c>
      <c r="AF1951" s="49">
        <f t="shared" si="431"/>
        <v>1</v>
      </c>
      <c r="AG1951" s="49">
        <f t="shared" si="432"/>
        <v>1</v>
      </c>
      <c r="AH1951" s="55">
        <f t="shared" si="433"/>
        <v>1539.8663999999976</v>
      </c>
    </row>
    <row r="1952" spans="1:34" x14ac:dyDescent="0.2">
      <c r="A1952" s="48" t="s">
        <v>1537</v>
      </c>
      <c r="B1952" s="48">
        <v>2</v>
      </c>
      <c r="C1952" s="48" t="s">
        <v>1517</v>
      </c>
      <c r="D1952" s="48" t="s">
        <v>1444</v>
      </c>
      <c r="E1952" s="48" t="s">
        <v>317</v>
      </c>
      <c r="F1952" s="48" t="s">
        <v>280</v>
      </c>
      <c r="G1952" s="48" t="s">
        <v>306</v>
      </c>
      <c r="H1952" s="48" t="s">
        <v>62</v>
      </c>
      <c r="I1952" s="48" t="s">
        <v>138</v>
      </c>
      <c r="J1952" s="49">
        <v>15</v>
      </c>
      <c r="K1952" s="50">
        <v>455</v>
      </c>
      <c r="L1952" s="50">
        <v>442.8</v>
      </c>
      <c r="M1952" s="48" t="s">
        <v>276</v>
      </c>
      <c r="N1952" s="51">
        <v>1</v>
      </c>
      <c r="O1952" s="51">
        <v>1</v>
      </c>
      <c r="P1952" s="52">
        <v>358.2</v>
      </c>
      <c r="Q1952" s="52">
        <v>358.2</v>
      </c>
      <c r="R1952" s="53" t="str">
        <f>INDEX(SKU_Master!$D$5:$D$34,MATCH($I1952,SKU_Master!$A$5:$A$34,0))</f>
        <v>Monitor</v>
      </c>
      <c r="S1952" s="54">
        <f t="shared" si="420"/>
        <v>2.6813186813186785E-2</v>
      </c>
      <c r="T1952" s="55">
        <f t="shared" si="421"/>
        <v>6825</v>
      </c>
      <c r="U1952" s="55">
        <f t="shared" si="422"/>
        <v>6642</v>
      </c>
      <c r="V1952" s="55">
        <f t="shared" si="423"/>
        <v>-183</v>
      </c>
      <c r="W1952" s="55">
        <f t="shared" si="424"/>
        <v>6642</v>
      </c>
      <c r="X1952" s="55">
        <f t="shared" si="425"/>
        <v>0</v>
      </c>
      <c r="Y1952" s="55">
        <f t="shared" si="426"/>
        <v>5373</v>
      </c>
      <c r="Z1952" s="55">
        <f t="shared" si="427"/>
        <v>5373</v>
      </c>
      <c r="AA1952" s="55">
        <f t="shared" si="428"/>
        <v>0</v>
      </c>
      <c r="AB1952" s="55">
        <f t="shared" si="429"/>
        <v>1269</v>
      </c>
      <c r="AC1952" s="54">
        <f t="shared" si="430"/>
        <v>0.1910569105691057</v>
      </c>
      <c r="AD1952" s="56">
        <f>INDEX(Assumptions!$B$14:$B$16,MATCH($R1952,Assumptions!$A$14:$A$16,0))</f>
        <v>0.18</v>
      </c>
      <c r="AE1952" s="56">
        <f>INDEX(Assumptions!$C$14:$C$16,MATCH($R1952,Assumptions!$A$14:$A$16,0))</f>
        <v>0.12</v>
      </c>
      <c r="AF1952" s="49">
        <f t="shared" si="431"/>
        <v>0</v>
      </c>
      <c r="AG1952" s="49">
        <f t="shared" si="432"/>
        <v>0</v>
      </c>
      <c r="AH1952" s="55">
        <f t="shared" si="433"/>
        <v>0</v>
      </c>
    </row>
    <row r="1953" spans="1:34" x14ac:dyDescent="0.2">
      <c r="A1953" s="48" t="s">
        <v>1537</v>
      </c>
      <c r="B1953" s="48">
        <v>3</v>
      </c>
      <c r="C1953" s="48" t="s">
        <v>1517</v>
      </c>
      <c r="D1953" s="48" t="s">
        <v>1444</v>
      </c>
      <c r="E1953" s="48" t="s">
        <v>317</v>
      </c>
      <c r="F1953" s="48" t="s">
        <v>280</v>
      </c>
      <c r="G1953" s="48" t="s">
        <v>306</v>
      </c>
      <c r="H1953" s="48" t="s">
        <v>62</v>
      </c>
      <c r="I1953" s="48" t="s">
        <v>166</v>
      </c>
      <c r="J1953" s="49">
        <v>18</v>
      </c>
      <c r="K1953" s="50">
        <v>265</v>
      </c>
      <c r="L1953" s="50">
        <v>255.59</v>
      </c>
      <c r="M1953" s="48" t="s">
        <v>276</v>
      </c>
      <c r="N1953" s="51">
        <v>1</v>
      </c>
      <c r="O1953" s="51">
        <v>1</v>
      </c>
      <c r="P1953" s="52">
        <v>169.35</v>
      </c>
      <c r="Q1953" s="52">
        <v>169.35</v>
      </c>
      <c r="R1953" s="53" t="str">
        <f>INDEX(SKU_Master!$D$5:$D$34,MATCH($I1953,SKU_Master!$A$5:$A$34,0))</f>
        <v>Accessory</v>
      </c>
      <c r="S1953" s="54">
        <f t="shared" si="420"/>
        <v>3.5509433962264136E-2</v>
      </c>
      <c r="T1953" s="55">
        <f t="shared" si="421"/>
        <v>4770</v>
      </c>
      <c r="U1953" s="55">
        <f t="shared" si="422"/>
        <v>4600.62</v>
      </c>
      <c r="V1953" s="55">
        <f t="shared" si="423"/>
        <v>-169.38000000000011</v>
      </c>
      <c r="W1953" s="55">
        <f t="shared" si="424"/>
        <v>4600.62</v>
      </c>
      <c r="X1953" s="55">
        <f t="shared" si="425"/>
        <v>0</v>
      </c>
      <c r="Y1953" s="55">
        <f t="shared" si="426"/>
        <v>3048.2999999999997</v>
      </c>
      <c r="Z1953" s="55">
        <f t="shared" si="427"/>
        <v>3048.2999999999997</v>
      </c>
      <c r="AA1953" s="55">
        <f t="shared" si="428"/>
        <v>0</v>
      </c>
      <c r="AB1953" s="55">
        <f t="shared" si="429"/>
        <v>1552.3200000000002</v>
      </c>
      <c r="AC1953" s="54">
        <f t="shared" si="430"/>
        <v>0.3374153918384914</v>
      </c>
      <c r="AD1953" s="56">
        <f>INDEX(Assumptions!$B$14:$B$16,MATCH($R1953,Assumptions!$A$14:$A$16,0))</f>
        <v>0.32</v>
      </c>
      <c r="AE1953" s="56">
        <f>INDEX(Assumptions!$C$14:$C$16,MATCH($R1953,Assumptions!$A$14:$A$16,0))</f>
        <v>0.22</v>
      </c>
      <c r="AF1953" s="49">
        <f t="shared" si="431"/>
        <v>0</v>
      </c>
      <c r="AG1953" s="49">
        <f t="shared" si="432"/>
        <v>0</v>
      </c>
      <c r="AH1953" s="55">
        <f t="shared" si="433"/>
        <v>0</v>
      </c>
    </row>
    <row r="1954" spans="1:34" x14ac:dyDescent="0.2">
      <c r="A1954" s="48" t="s">
        <v>1538</v>
      </c>
      <c r="B1954" s="48">
        <v>1</v>
      </c>
      <c r="C1954" s="48" t="s">
        <v>1443</v>
      </c>
      <c r="D1954" s="48" t="s">
        <v>1444</v>
      </c>
      <c r="E1954" s="48" t="s">
        <v>422</v>
      </c>
      <c r="F1954" s="48" t="s">
        <v>280</v>
      </c>
      <c r="G1954" s="48" t="s">
        <v>281</v>
      </c>
      <c r="H1954" s="48" t="s">
        <v>68</v>
      </c>
      <c r="I1954" s="48" t="s">
        <v>123</v>
      </c>
      <c r="J1954" s="49">
        <v>27</v>
      </c>
      <c r="K1954" s="50">
        <v>2065</v>
      </c>
      <c r="L1954" s="50">
        <v>2017.99</v>
      </c>
      <c r="M1954" s="48" t="s">
        <v>276</v>
      </c>
      <c r="N1954" s="51">
        <v>1.37</v>
      </c>
      <c r="O1954" s="51">
        <v>1.3702000000000001</v>
      </c>
      <c r="P1954" s="52">
        <v>1261.25</v>
      </c>
      <c r="Q1954" s="52">
        <v>1261.25</v>
      </c>
      <c r="R1954" s="53" t="str">
        <f>INDEX(SKU_Master!$D$5:$D$34,MATCH($I1954,SKU_Master!$A$5:$A$34,0))</f>
        <v>Laptop</v>
      </c>
      <c r="S1954" s="54">
        <f t="shared" si="420"/>
        <v>2.2765133171912866E-2</v>
      </c>
      <c r="T1954" s="55">
        <f t="shared" si="421"/>
        <v>40697.0802919708</v>
      </c>
      <c r="U1954" s="55">
        <f t="shared" si="422"/>
        <v>39770.605839416057</v>
      </c>
      <c r="V1954" s="55">
        <f t="shared" si="423"/>
        <v>-926.47445255474304</v>
      </c>
      <c r="W1954" s="55">
        <f t="shared" si="424"/>
        <v>39764.800759013284</v>
      </c>
      <c r="X1954" s="55">
        <f t="shared" si="425"/>
        <v>-5.8050804027734557</v>
      </c>
      <c r="Y1954" s="55">
        <f t="shared" si="426"/>
        <v>34053.75</v>
      </c>
      <c r="Z1954" s="55">
        <f t="shared" si="427"/>
        <v>34053.75</v>
      </c>
      <c r="AA1954" s="55">
        <f t="shared" si="428"/>
        <v>0</v>
      </c>
      <c r="AB1954" s="55">
        <f t="shared" si="429"/>
        <v>5711.0507590132838</v>
      </c>
      <c r="AC1954" s="54">
        <f t="shared" si="430"/>
        <v>0.14362075629710755</v>
      </c>
      <c r="AD1954" s="56">
        <f>INDEX(Assumptions!$B$14:$B$16,MATCH($R1954,Assumptions!$A$14:$A$16,0))</f>
        <v>0.12</v>
      </c>
      <c r="AE1954" s="56">
        <f>INDEX(Assumptions!$C$14:$C$16,MATCH($R1954,Assumptions!$A$14:$A$16,0))</f>
        <v>0.08</v>
      </c>
      <c r="AF1954" s="49">
        <f t="shared" si="431"/>
        <v>0</v>
      </c>
      <c r="AG1954" s="49">
        <f t="shared" si="432"/>
        <v>0</v>
      </c>
      <c r="AH1954" s="55">
        <f t="shared" si="433"/>
        <v>0</v>
      </c>
    </row>
    <row r="1955" spans="1:34" x14ac:dyDescent="0.2">
      <c r="A1955" s="48" t="s">
        <v>1538</v>
      </c>
      <c r="B1955" s="48">
        <v>2</v>
      </c>
      <c r="C1955" s="48" t="s">
        <v>1443</v>
      </c>
      <c r="D1955" s="48" t="s">
        <v>1444</v>
      </c>
      <c r="E1955" s="48" t="s">
        <v>422</v>
      </c>
      <c r="F1955" s="48" t="s">
        <v>280</v>
      </c>
      <c r="G1955" s="48" t="s">
        <v>281</v>
      </c>
      <c r="H1955" s="48" t="s">
        <v>68</v>
      </c>
      <c r="I1955" s="48" t="s">
        <v>138</v>
      </c>
      <c r="J1955" s="49">
        <v>21</v>
      </c>
      <c r="K1955" s="50">
        <v>665</v>
      </c>
      <c r="L1955" s="50">
        <v>648.26</v>
      </c>
      <c r="M1955" s="48" t="s">
        <v>276</v>
      </c>
      <c r="N1955" s="51">
        <v>1.37</v>
      </c>
      <c r="O1955" s="51">
        <v>1.3702000000000001</v>
      </c>
      <c r="P1955" s="52">
        <v>373.2</v>
      </c>
      <c r="Q1955" s="52">
        <v>373.2</v>
      </c>
      <c r="R1955" s="53" t="str">
        <f>INDEX(SKU_Master!$D$5:$D$34,MATCH($I1955,SKU_Master!$A$5:$A$34,0))</f>
        <v>Monitor</v>
      </c>
      <c r="S1955" s="54">
        <f t="shared" si="420"/>
        <v>2.5172932330827069E-2</v>
      </c>
      <c r="T1955" s="55">
        <f t="shared" si="421"/>
        <v>10193.430656934306</v>
      </c>
      <c r="U1955" s="55">
        <f t="shared" si="422"/>
        <v>9936.8321167883205</v>
      </c>
      <c r="V1955" s="55">
        <f t="shared" si="423"/>
        <v>-256.59854014598568</v>
      </c>
      <c r="W1955" s="55">
        <f t="shared" si="424"/>
        <v>9935.3816961027569</v>
      </c>
      <c r="X1955" s="55">
        <f t="shared" si="425"/>
        <v>-1.4504206855635857</v>
      </c>
      <c r="Y1955" s="55">
        <f t="shared" si="426"/>
        <v>7837.2</v>
      </c>
      <c r="Z1955" s="55">
        <f t="shared" si="427"/>
        <v>7837.2</v>
      </c>
      <c r="AA1955" s="55">
        <f t="shared" si="428"/>
        <v>0</v>
      </c>
      <c r="AB1955" s="55">
        <f t="shared" si="429"/>
        <v>2098.1816961027571</v>
      </c>
      <c r="AC1955" s="54">
        <f t="shared" si="430"/>
        <v>0.21118279702588455</v>
      </c>
      <c r="AD1955" s="56">
        <f>INDEX(Assumptions!$B$14:$B$16,MATCH($R1955,Assumptions!$A$14:$A$16,0))</f>
        <v>0.18</v>
      </c>
      <c r="AE1955" s="56">
        <f>INDEX(Assumptions!$C$14:$C$16,MATCH($R1955,Assumptions!$A$14:$A$16,0))</f>
        <v>0.12</v>
      </c>
      <c r="AF1955" s="49">
        <f t="shared" si="431"/>
        <v>0</v>
      </c>
      <c r="AG1955" s="49">
        <f t="shared" si="432"/>
        <v>0</v>
      </c>
      <c r="AH1955" s="55">
        <f t="shared" si="433"/>
        <v>0</v>
      </c>
    </row>
    <row r="1956" spans="1:34" x14ac:dyDescent="0.2">
      <c r="A1956" s="48" t="s">
        <v>1539</v>
      </c>
      <c r="B1956" s="48">
        <v>1</v>
      </c>
      <c r="C1956" s="48" t="s">
        <v>1495</v>
      </c>
      <c r="D1956" s="48" t="s">
        <v>1444</v>
      </c>
      <c r="E1956" s="48" t="s">
        <v>407</v>
      </c>
      <c r="F1956" s="48" t="s">
        <v>274</v>
      </c>
      <c r="G1956" s="48" t="s">
        <v>302</v>
      </c>
      <c r="H1956" s="48" t="s">
        <v>62</v>
      </c>
      <c r="I1956" s="48" t="s">
        <v>110</v>
      </c>
      <c r="J1956" s="49">
        <v>8</v>
      </c>
      <c r="K1956" s="50">
        <v>1165</v>
      </c>
      <c r="L1956" s="50">
        <v>1145.17</v>
      </c>
      <c r="M1956" s="48" t="s">
        <v>276</v>
      </c>
      <c r="N1956" s="51">
        <v>1</v>
      </c>
      <c r="O1956" s="51">
        <v>1</v>
      </c>
      <c r="P1956" s="52">
        <v>992.65</v>
      </c>
      <c r="Q1956" s="52">
        <v>992.65</v>
      </c>
      <c r="R1956" s="53" t="str">
        <f>INDEX(SKU_Master!$D$5:$D$34,MATCH($I1956,SKU_Master!$A$5:$A$34,0))</f>
        <v>Laptop</v>
      </c>
      <c r="S1956" s="54">
        <f t="shared" si="420"/>
        <v>1.7021459227467783E-2</v>
      </c>
      <c r="T1956" s="55">
        <f t="shared" si="421"/>
        <v>9320</v>
      </c>
      <c r="U1956" s="55">
        <f t="shared" si="422"/>
        <v>9161.36</v>
      </c>
      <c r="V1956" s="55">
        <f t="shared" si="423"/>
        <v>-158.63999999999942</v>
      </c>
      <c r="W1956" s="55">
        <f t="shared" si="424"/>
        <v>9161.36</v>
      </c>
      <c r="X1956" s="55">
        <f t="shared" si="425"/>
        <v>0</v>
      </c>
      <c r="Y1956" s="55">
        <f t="shared" si="426"/>
        <v>7941.2</v>
      </c>
      <c r="Z1956" s="55">
        <f t="shared" si="427"/>
        <v>7941.2</v>
      </c>
      <c r="AA1956" s="55">
        <f t="shared" si="428"/>
        <v>0</v>
      </c>
      <c r="AB1956" s="55">
        <f t="shared" si="429"/>
        <v>1220.1600000000008</v>
      </c>
      <c r="AC1956" s="54">
        <f t="shared" si="430"/>
        <v>0.13318546591335792</v>
      </c>
      <c r="AD1956" s="56">
        <f>INDEX(Assumptions!$B$14:$B$16,MATCH($R1956,Assumptions!$A$14:$A$16,0))</f>
        <v>0.12</v>
      </c>
      <c r="AE1956" s="56">
        <f>INDEX(Assumptions!$C$14:$C$16,MATCH($R1956,Assumptions!$A$14:$A$16,0))</f>
        <v>0.08</v>
      </c>
      <c r="AF1956" s="49">
        <f t="shared" si="431"/>
        <v>0</v>
      </c>
      <c r="AG1956" s="49">
        <f t="shared" si="432"/>
        <v>0</v>
      </c>
      <c r="AH1956" s="55">
        <f t="shared" si="433"/>
        <v>0</v>
      </c>
    </row>
    <row r="1957" spans="1:34" x14ac:dyDescent="0.2">
      <c r="A1957" s="48" t="s">
        <v>1539</v>
      </c>
      <c r="B1957" s="48">
        <v>2</v>
      </c>
      <c r="C1957" s="48" t="s">
        <v>1495</v>
      </c>
      <c r="D1957" s="48" t="s">
        <v>1444</v>
      </c>
      <c r="E1957" s="48" t="s">
        <v>407</v>
      </c>
      <c r="F1957" s="48" t="s">
        <v>274</v>
      </c>
      <c r="G1957" s="48" t="s">
        <v>302</v>
      </c>
      <c r="H1957" s="48" t="s">
        <v>62</v>
      </c>
      <c r="I1957" s="48" t="s">
        <v>146</v>
      </c>
      <c r="J1957" s="49">
        <v>8</v>
      </c>
      <c r="K1957" s="50">
        <v>235</v>
      </c>
      <c r="L1957" s="50">
        <v>233.36</v>
      </c>
      <c r="M1957" s="48" t="s">
        <v>276</v>
      </c>
      <c r="N1957" s="51">
        <v>1</v>
      </c>
      <c r="O1957" s="51">
        <v>1</v>
      </c>
      <c r="P1957" s="52">
        <v>181.8</v>
      </c>
      <c r="Q1957" s="52">
        <v>181.8</v>
      </c>
      <c r="R1957" s="53" t="str">
        <f>INDEX(SKU_Master!$D$5:$D$34,MATCH($I1957,SKU_Master!$A$5:$A$34,0))</f>
        <v>Monitor</v>
      </c>
      <c r="S1957" s="54">
        <f t="shared" si="420"/>
        <v>6.9787234042553159E-3</v>
      </c>
      <c r="T1957" s="55">
        <f t="shared" si="421"/>
        <v>1880</v>
      </c>
      <c r="U1957" s="55">
        <f t="shared" si="422"/>
        <v>1866.88</v>
      </c>
      <c r="V1957" s="55">
        <f t="shared" si="423"/>
        <v>-13.119999999999891</v>
      </c>
      <c r="W1957" s="55">
        <f t="shared" si="424"/>
        <v>1866.88</v>
      </c>
      <c r="X1957" s="55">
        <f t="shared" si="425"/>
        <v>0</v>
      </c>
      <c r="Y1957" s="55">
        <f t="shared" si="426"/>
        <v>1454.4</v>
      </c>
      <c r="Z1957" s="55">
        <f t="shared" si="427"/>
        <v>1454.4</v>
      </c>
      <c r="AA1957" s="55">
        <f t="shared" si="428"/>
        <v>0</v>
      </c>
      <c r="AB1957" s="55">
        <f t="shared" si="429"/>
        <v>412.48</v>
      </c>
      <c r="AC1957" s="54">
        <f t="shared" si="430"/>
        <v>0.22094617757970517</v>
      </c>
      <c r="AD1957" s="56">
        <f>INDEX(Assumptions!$B$14:$B$16,MATCH($R1957,Assumptions!$A$14:$A$16,0))</f>
        <v>0.18</v>
      </c>
      <c r="AE1957" s="56">
        <f>INDEX(Assumptions!$C$14:$C$16,MATCH($R1957,Assumptions!$A$14:$A$16,0))</f>
        <v>0.12</v>
      </c>
      <c r="AF1957" s="49">
        <f t="shared" si="431"/>
        <v>0</v>
      </c>
      <c r="AG1957" s="49">
        <f t="shared" si="432"/>
        <v>0</v>
      </c>
      <c r="AH1957" s="55">
        <f t="shared" si="433"/>
        <v>0</v>
      </c>
    </row>
    <row r="1958" spans="1:34" x14ac:dyDescent="0.2">
      <c r="A1958" s="48" t="s">
        <v>1539</v>
      </c>
      <c r="B1958" s="48">
        <v>3</v>
      </c>
      <c r="C1958" s="48" t="s">
        <v>1495</v>
      </c>
      <c r="D1958" s="48" t="s">
        <v>1444</v>
      </c>
      <c r="E1958" s="48" t="s">
        <v>407</v>
      </c>
      <c r="F1958" s="48" t="s">
        <v>274</v>
      </c>
      <c r="G1958" s="48" t="s">
        <v>302</v>
      </c>
      <c r="H1958" s="48" t="s">
        <v>62</v>
      </c>
      <c r="I1958" s="48" t="s">
        <v>177</v>
      </c>
      <c r="J1958" s="49">
        <v>4</v>
      </c>
      <c r="K1958" s="50">
        <v>70</v>
      </c>
      <c r="L1958" s="50">
        <v>66.38</v>
      </c>
      <c r="M1958" s="48" t="s">
        <v>276</v>
      </c>
      <c r="N1958" s="51">
        <v>1</v>
      </c>
      <c r="O1958" s="51">
        <v>1</v>
      </c>
      <c r="P1958" s="52">
        <v>44</v>
      </c>
      <c r="Q1958" s="52">
        <v>44</v>
      </c>
      <c r="R1958" s="53" t="str">
        <f>INDEX(SKU_Master!$D$5:$D$34,MATCH($I1958,SKU_Master!$A$5:$A$34,0))</f>
        <v>Accessory</v>
      </c>
      <c r="S1958" s="54">
        <f t="shared" si="420"/>
        <v>5.1714285714285824E-2</v>
      </c>
      <c r="T1958" s="55">
        <f t="shared" si="421"/>
        <v>280</v>
      </c>
      <c r="U1958" s="55">
        <f t="shared" si="422"/>
        <v>265.52</v>
      </c>
      <c r="V1958" s="55">
        <f t="shared" si="423"/>
        <v>-14.480000000000018</v>
      </c>
      <c r="W1958" s="55">
        <f t="shared" si="424"/>
        <v>265.52</v>
      </c>
      <c r="X1958" s="55">
        <f t="shared" si="425"/>
        <v>0</v>
      </c>
      <c r="Y1958" s="55">
        <f t="shared" si="426"/>
        <v>176</v>
      </c>
      <c r="Z1958" s="55">
        <f t="shared" si="427"/>
        <v>176</v>
      </c>
      <c r="AA1958" s="55">
        <f t="shared" si="428"/>
        <v>0</v>
      </c>
      <c r="AB1958" s="55">
        <f t="shared" si="429"/>
        <v>89.519999999999982</v>
      </c>
      <c r="AC1958" s="54">
        <f t="shared" si="430"/>
        <v>0.33714974389876462</v>
      </c>
      <c r="AD1958" s="56">
        <f>INDEX(Assumptions!$B$14:$B$16,MATCH($R1958,Assumptions!$A$14:$A$16,0))</f>
        <v>0.32</v>
      </c>
      <c r="AE1958" s="56">
        <f>INDEX(Assumptions!$C$14:$C$16,MATCH($R1958,Assumptions!$A$14:$A$16,0))</f>
        <v>0.22</v>
      </c>
      <c r="AF1958" s="49">
        <f t="shared" si="431"/>
        <v>0</v>
      </c>
      <c r="AG1958" s="49">
        <f t="shared" si="432"/>
        <v>0</v>
      </c>
      <c r="AH1958" s="55">
        <f t="shared" si="433"/>
        <v>0</v>
      </c>
    </row>
    <row r="1959" spans="1:34" x14ac:dyDescent="0.2">
      <c r="A1959" s="48" t="s">
        <v>1540</v>
      </c>
      <c r="B1959" s="48">
        <v>1</v>
      </c>
      <c r="C1959" s="48" t="s">
        <v>1541</v>
      </c>
      <c r="D1959" s="48" t="s">
        <v>1444</v>
      </c>
      <c r="E1959" s="48" t="s">
        <v>588</v>
      </c>
      <c r="F1959" s="48" t="s">
        <v>274</v>
      </c>
      <c r="G1959" s="48" t="s">
        <v>281</v>
      </c>
      <c r="H1959" s="48" t="s">
        <v>62</v>
      </c>
      <c r="I1959" s="48" t="s">
        <v>93</v>
      </c>
      <c r="J1959" s="49">
        <v>2</v>
      </c>
      <c r="K1959" s="50">
        <v>1390</v>
      </c>
      <c r="L1959" s="50">
        <v>1370.67</v>
      </c>
      <c r="M1959" s="48" t="s">
        <v>276</v>
      </c>
      <c r="N1959" s="51">
        <v>1</v>
      </c>
      <c r="O1959" s="51">
        <v>1</v>
      </c>
      <c r="P1959" s="52">
        <v>1186.2</v>
      </c>
      <c r="Q1959" s="52">
        <v>1186.2</v>
      </c>
      <c r="R1959" s="53" t="str">
        <f>INDEX(SKU_Master!$D$5:$D$34,MATCH($I1959,SKU_Master!$A$5:$A$34,0))</f>
        <v>Laptop</v>
      </c>
      <c r="S1959" s="54">
        <f t="shared" si="420"/>
        <v>1.3906474820143844E-2</v>
      </c>
      <c r="T1959" s="55">
        <f t="shared" si="421"/>
        <v>2780</v>
      </c>
      <c r="U1959" s="55">
        <f t="shared" si="422"/>
        <v>2741.34</v>
      </c>
      <c r="V1959" s="55">
        <f t="shared" si="423"/>
        <v>-38.659999999999854</v>
      </c>
      <c r="W1959" s="55">
        <f t="shared" si="424"/>
        <v>2741.34</v>
      </c>
      <c r="X1959" s="55">
        <f t="shared" si="425"/>
        <v>0</v>
      </c>
      <c r="Y1959" s="55">
        <f t="shared" si="426"/>
        <v>2372.4</v>
      </c>
      <c r="Z1959" s="55">
        <f t="shared" si="427"/>
        <v>2372.4</v>
      </c>
      <c r="AA1959" s="55">
        <f t="shared" si="428"/>
        <v>0</v>
      </c>
      <c r="AB1959" s="55">
        <f t="shared" si="429"/>
        <v>368.94000000000005</v>
      </c>
      <c r="AC1959" s="54">
        <f t="shared" si="430"/>
        <v>0.13458381667359759</v>
      </c>
      <c r="AD1959" s="56">
        <f>INDEX(Assumptions!$B$14:$B$16,MATCH($R1959,Assumptions!$A$14:$A$16,0))</f>
        <v>0.12</v>
      </c>
      <c r="AE1959" s="56">
        <f>INDEX(Assumptions!$C$14:$C$16,MATCH($R1959,Assumptions!$A$14:$A$16,0))</f>
        <v>0.08</v>
      </c>
      <c r="AF1959" s="49">
        <f t="shared" si="431"/>
        <v>0</v>
      </c>
      <c r="AG1959" s="49">
        <f t="shared" si="432"/>
        <v>0</v>
      </c>
      <c r="AH1959" s="55">
        <f t="shared" si="433"/>
        <v>0</v>
      </c>
    </row>
    <row r="1960" spans="1:34" x14ac:dyDescent="0.2">
      <c r="A1960" s="48" t="s">
        <v>1540</v>
      </c>
      <c r="B1960" s="48">
        <v>2</v>
      </c>
      <c r="C1960" s="48" t="s">
        <v>1541</v>
      </c>
      <c r="D1960" s="48" t="s">
        <v>1444</v>
      </c>
      <c r="E1960" s="48" t="s">
        <v>588</v>
      </c>
      <c r="F1960" s="48" t="s">
        <v>274</v>
      </c>
      <c r="G1960" s="48" t="s">
        <v>281</v>
      </c>
      <c r="H1960" s="48" t="s">
        <v>62</v>
      </c>
      <c r="I1960" s="48" t="s">
        <v>161</v>
      </c>
      <c r="J1960" s="49">
        <v>1</v>
      </c>
      <c r="K1960" s="50">
        <v>120</v>
      </c>
      <c r="L1960" s="50">
        <v>119.24</v>
      </c>
      <c r="M1960" s="48" t="s">
        <v>276</v>
      </c>
      <c r="N1960" s="51">
        <v>1</v>
      </c>
      <c r="O1960" s="51">
        <v>1</v>
      </c>
      <c r="P1960" s="52">
        <v>76</v>
      </c>
      <c r="Q1960" s="52">
        <v>76</v>
      </c>
      <c r="R1960" s="53" t="str">
        <f>INDEX(SKU_Master!$D$5:$D$34,MATCH($I1960,SKU_Master!$A$5:$A$34,0))</f>
        <v>Accessory</v>
      </c>
      <c r="S1960" s="54">
        <f t="shared" si="420"/>
        <v>6.333333333333413E-3</v>
      </c>
      <c r="T1960" s="55">
        <f t="shared" si="421"/>
        <v>120</v>
      </c>
      <c r="U1960" s="55">
        <f t="shared" si="422"/>
        <v>119.24</v>
      </c>
      <c r="V1960" s="55">
        <f t="shared" si="423"/>
        <v>-0.76000000000000512</v>
      </c>
      <c r="W1960" s="55">
        <f t="shared" si="424"/>
        <v>119.24</v>
      </c>
      <c r="X1960" s="55">
        <f t="shared" si="425"/>
        <v>0</v>
      </c>
      <c r="Y1960" s="55">
        <f t="shared" si="426"/>
        <v>76</v>
      </c>
      <c r="Z1960" s="55">
        <f t="shared" si="427"/>
        <v>76</v>
      </c>
      <c r="AA1960" s="55">
        <f t="shared" si="428"/>
        <v>0</v>
      </c>
      <c r="AB1960" s="55">
        <f t="shared" si="429"/>
        <v>43.239999999999995</v>
      </c>
      <c r="AC1960" s="54">
        <f t="shared" si="430"/>
        <v>0.362629989936263</v>
      </c>
      <c r="AD1960" s="56">
        <f>INDEX(Assumptions!$B$14:$B$16,MATCH($R1960,Assumptions!$A$14:$A$16,0))</f>
        <v>0.32</v>
      </c>
      <c r="AE1960" s="56">
        <f>INDEX(Assumptions!$C$14:$C$16,MATCH($R1960,Assumptions!$A$14:$A$16,0))</f>
        <v>0.22</v>
      </c>
      <c r="AF1960" s="49">
        <f t="shared" si="431"/>
        <v>0</v>
      </c>
      <c r="AG1960" s="49">
        <f t="shared" si="432"/>
        <v>0</v>
      </c>
      <c r="AH1960" s="55">
        <f t="shared" si="433"/>
        <v>0</v>
      </c>
    </row>
    <row r="1961" spans="1:34" x14ac:dyDescent="0.2">
      <c r="A1961" s="48" t="s">
        <v>1542</v>
      </c>
      <c r="B1961" s="48">
        <v>1</v>
      </c>
      <c r="C1961" s="48" t="s">
        <v>1519</v>
      </c>
      <c r="D1961" s="48" t="s">
        <v>1444</v>
      </c>
      <c r="E1961" s="48" t="s">
        <v>314</v>
      </c>
      <c r="F1961" s="48" t="s">
        <v>274</v>
      </c>
      <c r="G1961" s="48" t="s">
        <v>298</v>
      </c>
      <c r="H1961" s="48" t="s">
        <v>68</v>
      </c>
      <c r="I1961" s="48" t="s">
        <v>98</v>
      </c>
      <c r="J1961" s="49">
        <v>3</v>
      </c>
      <c r="K1961" s="50">
        <v>2935</v>
      </c>
      <c r="L1961" s="50">
        <v>2895.33</v>
      </c>
      <c r="M1961" s="48" t="s">
        <v>276</v>
      </c>
      <c r="N1961" s="51">
        <v>1.37</v>
      </c>
      <c r="O1961" s="51">
        <v>1.3702000000000001</v>
      </c>
      <c r="P1961" s="52">
        <v>1792.2</v>
      </c>
      <c r="Q1961" s="52">
        <v>1792.2</v>
      </c>
      <c r="R1961" s="53" t="str">
        <f>INDEX(SKU_Master!$D$5:$D$34,MATCH($I1961,SKU_Master!$A$5:$A$34,0))</f>
        <v>Laptop</v>
      </c>
      <c r="S1961" s="54">
        <f t="shared" si="420"/>
        <v>1.3516183986371444E-2</v>
      </c>
      <c r="T1961" s="55">
        <f t="shared" si="421"/>
        <v>6427.0072992700725</v>
      </c>
      <c r="U1961" s="55">
        <f t="shared" si="422"/>
        <v>6340.1386861313858</v>
      </c>
      <c r="V1961" s="55">
        <f t="shared" si="423"/>
        <v>-86.868613138686669</v>
      </c>
      <c r="W1961" s="55">
        <f t="shared" si="424"/>
        <v>6339.2132535396286</v>
      </c>
      <c r="X1961" s="55">
        <f t="shared" si="425"/>
        <v>-0.92543259175727144</v>
      </c>
      <c r="Y1961" s="55">
        <f t="shared" si="426"/>
        <v>5376.6</v>
      </c>
      <c r="Z1961" s="55">
        <f t="shared" si="427"/>
        <v>5376.6</v>
      </c>
      <c r="AA1961" s="55">
        <f t="shared" si="428"/>
        <v>0</v>
      </c>
      <c r="AB1961" s="55">
        <f t="shared" si="429"/>
        <v>962.6132535396282</v>
      </c>
      <c r="AC1961" s="54">
        <f t="shared" si="430"/>
        <v>0.15185058697972237</v>
      </c>
      <c r="AD1961" s="56">
        <f>INDEX(Assumptions!$B$14:$B$16,MATCH($R1961,Assumptions!$A$14:$A$16,0))</f>
        <v>0.12</v>
      </c>
      <c r="AE1961" s="56">
        <f>INDEX(Assumptions!$C$14:$C$16,MATCH($R1961,Assumptions!$A$14:$A$16,0))</f>
        <v>0.08</v>
      </c>
      <c r="AF1961" s="49">
        <f t="shared" si="431"/>
        <v>0</v>
      </c>
      <c r="AG1961" s="49">
        <f t="shared" si="432"/>
        <v>0</v>
      </c>
      <c r="AH1961" s="55">
        <f t="shared" si="433"/>
        <v>0</v>
      </c>
    </row>
    <row r="1962" spans="1:34" x14ac:dyDescent="0.2">
      <c r="A1962" s="48" t="s">
        <v>1542</v>
      </c>
      <c r="B1962" s="48">
        <v>2</v>
      </c>
      <c r="C1962" s="48" t="s">
        <v>1519</v>
      </c>
      <c r="D1962" s="48" t="s">
        <v>1444</v>
      </c>
      <c r="E1962" s="48" t="s">
        <v>314</v>
      </c>
      <c r="F1962" s="48" t="s">
        <v>274</v>
      </c>
      <c r="G1962" s="48" t="s">
        <v>298</v>
      </c>
      <c r="H1962" s="48" t="s">
        <v>68</v>
      </c>
      <c r="I1962" s="48" t="s">
        <v>135</v>
      </c>
      <c r="J1962" s="49">
        <v>2</v>
      </c>
      <c r="K1962" s="50">
        <v>360</v>
      </c>
      <c r="L1962" s="50">
        <v>358.28</v>
      </c>
      <c r="M1962" s="48" t="s">
        <v>276</v>
      </c>
      <c r="N1962" s="51">
        <v>1.37</v>
      </c>
      <c r="O1962" s="51">
        <v>1.3702000000000001</v>
      </c>
      <c r="P1962" s="52">
        <v>201.7</v>
      </c>
      <c r="Q1962" s="52">
        <v>201.7</v>
      </c>
      <c r="R1962" s="53" t="str">
        <f>INDEX(SKU_Master!$D$5:$D$34,MATCH($I1962,SKU_Master!$A$5:$A$34,0))</f>
        <v>Monitor</v>
      </c>
      <c r="S1962" s="54">
        <f t="shared" si="420"/>
        <v>4.7777777777778807E-3</v>
      </c>
      <c r="T1962" s="55">
        <f t="shared" si="421"/>
        <v>525.54744525547437</v>
      </c>
      <c r="U1962" s="55">
        <f t="shared" si="422"/>
        <v>523.03649635036493</v>
      </c>
      <c r="V1962" s="55">
        <f t="shared" si="423"/>
        <v>-2.5109489051094442</v>
      </c>
      <c r="W1962" s="55">
        <f t="shared" si="424"/>
        <v>522.96015180265647</v>
      </c>
      <c r="X1962" s="55">
        <f t="shared" si="425"/>
        <v>-7.6344547708458776E-2</v>
      </c>
      <c r="Y1962" s="55">
        <f t="shared" si="426"/>
        <v>403.4</v>
      </c>
      <c r="Z1962" s="55">
        <f t="shared" si="427"/>
        <v>403.4</v>
      </c>
      <c r="AA1962" s="55">
        <f t="shared" si="428"/>
        <v>0</v>
      </c>
      <c r="AB1962" s="55">
        <f t="shared" si="429"/>
        <v>119.56015180265649</v>
      </c>
      <c r="AC1962" s="54">
        <f t="shared" si="430"/>
        <v>0.22862191582002897</v>
      </c>
      <c r="AD1962" s="56">
        <f>INDEX(Assumptions!$B$14:$B$16,MATCH($R1962,Assumptions!$A$14:$A$16,0))</f>
        <v>0.18</v>
      </c>
      <c r="AE1962" s="56">
        <f>INDEX(Assumptions!$C$14:$C$16,MATCH($R1962,Assumptions!$A$14:$A$16,0))</f>
        <v>0.12</v>
      </c>
      <c r="AF1962" s="49">
        <f t="shared" si="431"/>
        <v>0</v>
      </c>
      <c r="AG1962" s="49">
        <f t="shared" si="432"/>
        <v>0</v>
      </c>
      <c r="AH1962" s="55">
        <f t="shared" si="433"/>
        <v>0</v>
      </c>
    </row>
    <row r="1963" spans="1:34" x14ac:dyDescent="0.2">
      <c r="A1963" s="48" t="s">
        <v>1543</v>
      </c>
      <c r="B1963" s="48">
        <v>1</v>
      </c>
      <c r="C1963" s="48" t="s">
        <v>1486</v>
      </c>
      <c r="D1963" s="48" t="s">
        <v>1444</v>
      </c>
      <c r="E1963" s="48" t="s">
        <v>317</v>
      </c>
      <c r="F1963" s="48" t="s">
        <v>280</v>
      </c>
      <c r="G1963" s="48" t="s">
        <v>306</v>
      </c>
      <c r="H1963" s="48" t="s">
        <v>62</v>
      </c>
      <c r="I1963" s="48" t="s">
        <v>103</v>
      </c>
      <c r="J1963" s="49">
        <v>8</v>
      </c>
      <c r="K1963" s="50">
        <v>1135</v>
      </c>
      <c r="L1963" s="50">
        <v>1102.9100000000001</v>
      </c>
      <c r="M1963" s="48" t="s">
        <v>276</v>
      </c>
      <c r="N1963" s="51">
        <v>1</v>
      </c>
      <c r="O1963" s="51">
        <v>1</v>
      </c>
      <c r="P1963" s="52">
        <v>968.6</v>
      </c>
      <c r="Q1963" s="52">
        <v>968.6</v>
      </c>
      <c r="R1963" s="53" t="str">
        <f>INDEX(SKU_Master!$D$5:$D$34,MATCH($I1963,SKU_Master!$A$5:$A$34,0))</f>
        <v>Laptop</v>
      </c>
      <c r="S1963" s="54">
        <f t="shared" si="420"/>
        <v>2.8273127753303928E-2</v>
      </c>
      <c r="T1963" s="55">
        <f t="shared" si="421"/>
        <v>9080</v>
      </c>
      <c r="U1963" s="55">
        <f t="shared" si="422"/>
        <v>8823.2800000000007</v>
      </c>
      <c r="V1963" s="55">
        <f t="shared" si="423"/>
        <v>-256.71999999999935</v>
      </c>
      <c r="W1963" s="55">
        <f t="shared" si="424"/>
        <v>8823.2800000000007</v>
      </c>
      <c r="X1963" s="55">
        <f t="shared" si="425"/>
        <v>0</v>
      </c>
      <c r="Y1963" s="55">
        <f t="shared" si="426"/>
        <v>7748.8</v>
      </c>
      <c r="Z1963" s="55">
        <f t="shared" si="427"/>
        <v>7748.8</v>
      </c>
      <c r="AA1963" s="55">
        <f t="shared" si="428"/>
        <v>0</v>
      </c>
      <c r="AB1963" s="55">
        <f t="shared" si="429"/>
        <v>1074.4800000000005</v>
      </c>
      <c r="AC1963" s="54">
        <f t="shared" si="430"/>
        <v>0.12177784225367441</v>
      </c>
      <c r="AD1963" s="56">
        <f>INDEX(Assumptions!$B$14:$B$16,MATCH($R1963,Assumptions!$A$14:$A$16,0))</f>
        <v>0.12</v>
      </c>
      <c r="AE1963" s="56">
        <f>INDEX(Assumptions!$C$14:$C$16,MATCH($R1963,Assumptions!$A$14:$A$16,0))</f>
        <v>0.08</v>
      </c>
      <c r="AF1963" s="49">
        <f t="shared" si="431"/>
        <v>0</v>
      </c>
      <c r="AG1963" s="49">
        <f t="shared" si="432"/>
        <v>0</v>
      </c>
      <c r="AH1963" s="55">
        <f t="shared" si="433"/>
        <v>0</v>
      </c>
    </row>
    <row r="1964" spans="1:34" x14ac:dyDescent="0.2">
      <c r="A1964" s="48" t="s">
        <v>1543</v>
      </c>
      <c r="B1964" s="48">
        <v>2</v>
      </c>
      <c r="C1964" s="48" t="s">
        <v>1486</v>
      </c>
      <c r="D1964" s="48" t="s">
        <v>1444</v>
      </c>
      <c r="E1964" s="48" t="s">
        <v>317</v>
      </c>
      <c r="F1964" s="48" t="s">
        <v>280</v>
      </c>
      <c r="G1964" s="48" t="s">
        <v>306</v>
      </c>
      <c r="H1964" s="48" t="s">
        <v>62</v>
      </c>
      <c r="I1964" s="48" t="s">
        <v>146</v>
      </c>
      <c r="J1964" s="49">
        <v>6</v>
      </c>
      <c r="K1964" s="50">
        <v>235</v>
      </c>
      <c r="L1964" s="50">
        <v>225.13</v>
      </c>
      <c r="M1964" s="48" t="s">
        <v>276</v>
      </c>
      <c r="N1964" s="51">
        <v>1</v>
      </c>
      <c r="O1964" s="51">
        <v>1</v>
      </c>
      <c r="P1964" s="52">
        <v>181.8</v>
      </c>
      <c r="Q1964" s="52">
        <v>181.8</v>
      </c>
      <c r="R1964" s="53" t="str">
        <f>INDEX(SKU_Master!$D$5:$D$34,MATCH($I1964,SKU_Master!$A$5:$A$34,0))</f>
        <v>Monitor</v>
      </c>
      <c r="S1964" s="54">
        <f t="shared" si="420"/>
        <v>4.2000000000000037E-2</v>
      </c>
      <c r="T1964" s="55">
        <f t="shared" si="421"/>
        <v>1410</v>
      </c>
      <c r="U1964" s="55">
        <f t="shared" si="422"/>
        <v>1350.78</v>
      </c>
      <c r="V1964" s="55">
        <f t="shared" si="423"/>
        <v>-59.220000000000027</v>
      </c>
      <c r="W1964" s="55">
        <f t="shared" si="424"/>
        <v>1350.78</v>
      </c>
      <c r="X1964" s="55">
        <f t="shared" si="425"/>
        <v>0</v>
      </c>
      <c r="Y1964" s="55">
        <f t="shared" si="426"/>
        <v>1090.8000000000002</v>
      </c>
      <c r="Z1964" s="55">
        <f t="shared" si="427"/>
        <v>1090.8000000000002</v>
      </c>
      <c r="AA1964" s="55">
        <f t="shared" si="428"/>
        <v>0</v>
      </c>
      <c r="AB1964" s="55">
        <f t="shared" si="429"/>
        <v>259.97999999999979</v>
      </c>
      <c r="AC1964" s="54">
        <f t="shared" si="430"/>
        <v>0.19246657486785398</v>
      </c>
      <c r="AD1964" s="56">
        <f>INDEX(Assumptions!$B$14:$B$16,MATCH($R1964,Assumptions!$A$14:$A$16,0))</f>
        <v>0.18</v>
      </c>
      <c r="AE1964" s="56">
        <f>INDEX(Assumptions!$C$14:$C$16,MATCH($R1964,Assumptions!$A$14:$A$16,0))</f>
        <v>0.12</v>
      </c>
      <c r="AF1964" s="49">
        <f t="shared" si="431"/>
        <v>0</v>
      </c>
      <c r="AG1964" s="49">
        <f t="shared" si="432"/>
        <v>0</v>
      </c>
      <c r="AH1964" s="55">
        <f t="shared" si="433"/>
        <v>0</v>
      </c>
    </row>
    <row r="1965" spans="1:34" x14ac:dyDescent="0.2">
      <c r="A1965" s="48" t="s">
        <v>1543</v>
      </c>
      <c r="B1965" s="48">
        <v>3</v>
      </c>
      <c r="C1965" s="48" t="s">
        <v>1486</v>
      </c>
      <c r="D1965" s="48" t="s">
        <v>1444</v>
      </c>
      <c r="E1965" s="48" t="s">
        <v>317</v>
      </c>
      <c r="F1965" s="48" t="s">
        <v>280</v>
      </c>
      <c r="G1965" s="48" t="s">
        <v>306</v>
      </c>
      <c r="H1965" s="48" t="s">
        <v>62</v>
      </c>
      <c r="I1965" s="48" t="s">
        <v>161</v>
      </c>
      <c r="J1965" s="49">
        <v>3</v>
      </c>
      <c r="K1965" s="50">
        <v>120</v>
      </c>
      <c r="L1965" s="50">
        <v>117.83</v>
      </c>
      <c r="M1965" s="48" t="s">
        <v>276</v>
      </c>
      <c r="N1965" s="51">
        <v>1</v>
      </c>
      <c r="O1965" s="51">
        <v>1</v>
      </c>
      <c r="P1965" s="52">
        <v>76</v>
      </c>
      <c r="Q1965" s="52">
        <v>76</v>
      </c>
      <c r="R1965" s="53" t="str">
        <f>INDEX(SKU_Master!$D$5:$D$34,MATCH($I1965,SKU_Master!$A$5:$A$34,0))</f>
        <v>Accessory</v>
      </c>
      <c r="S1965" s="54">
        <f t="shared" si="420"/>
        <v>1.808333333333334E-2</v>
      </c>
      <c r="T1965" s="55">
        <f t="shared" si="421"/>
        <v>360</v>
      </c>
      <c r="U1965" s="55">
        <f t="shared" si="422"/>
        <v>353.49</v>
      </c>
      <c r="V1965" s="55">
        <f t="shared" si="423"/>
        <v>-6.5099999999999909</v>
      </c>
      <c r="W1965" s="55">
        <f t="shared" si="424"/>
        <v>353.49</v>
      </c>
      <c r="X1965" s="55">
        <f t="shared" si="425"/>
        <v>0</v>
      </c>
      <c r="Y1965" s="55">
        <f t="shared" si="426"/>
        <v>228</v>
      </c>
      <c r="Z1965" s="55">
        <f t="shared" si="427"/>
        <v>228</v>
      </c>
      <c r="AA1965" s="55">
        <f t="shared" si="428"/>
        <v>0</v>
      </c>
      <c r="AB1965" s="55">
        <f t="shared" si="429"/>
        <v>125.49000000000001</v>
      </c>
      <c r="AC1965" s="54">
        <f t="shared" si="430"/>
        <v>0.35500297038105749</v>
      </c>
      <c r="AD1965" s="56">
        <f>INDEX(Assumptions!$B$14:$B$16,MATCH($R1965,Assumptions!$A$14:$A$16,0))</f>
        <v>0.32</v>
      </c>
      <c r="AE1965" s="56">
        <f>INDEX(Assumptions!$C$14:$C$16,MATCH($R1965,Assumptions!$A$14:$A$16,0))</f>
        <v>0.22</v>
      </c>
      <c r="AF1965" s="49">
        <f t="shared" si="431"/>
        <v>0</v>
      </c>
      <c r="AG1965" s="49">
        <f t="shared" si="432"/>
        <v>0</v>
      </c>
      <c r="AH1965" s="55">
        <f t="shared" si="433"/>
        <v>0</v>
      </c>
    </row>
  </sheetData>
  <autoFilter ref="A4:AH196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4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4" width="14" customWidth="1"/>
    <col min="5" max="5" width="34" customWidth="1"/>
    <col min="6" max="12" width="14" customWidth="1"/>
  </cols>
  <sheetData>
    <row r="1" spans="1:12" ht="18" x14ac:dyDescent="0.2">
      <c r="A1" s="1" t="s">
        <v>1544</v>
      </c>
    </row>
    <row r="2" spans="1:12" x14ac:dyDescent="0.2">
      <c r="A2" s="2" t="s">
        <v>1545</v>
      </c>
    </row>
    <row r="4" spans="1:12" x14ac:dyDescent="0.2">
      <c r="A4" s="9" t="s">
        <v>1546</v>
      </c>
      <c r="E4" s="9" t="s">
        <v>1547</v>
      </c>
    </row>
    <row r="5" spans="1:12" ht="30" customHeight="1" x14ac:dyDescent="0.2">
      <c r="A5" s="10" t="s">
        <v>1548</v>
      </c>
      <c r="B5" s="10" t="s">
        <v>63</v>
      </c>
      <c r="C5" s="10" t="s">
        <v>1549</v>
      </c>
      <c r="E5" s="5" t="s">
        <v>44</v>
      </c>
      <c r="F5" s="57">
        <f>SUM(Orders!$W$5:$W$1965)</f>
        <v>26674169.394942872</v>
      </c>
    </row>
    <row r="6" spans="1:12" x14ac:dyDescent="0.2">
      <c r="A6" s="37" t="s">
        <v>1550</v>
      </c>
      <c r="B6" s="58">
        <f>SUM(Orders!$T$5:$T$1965)-SUM(Orders!$Y$5:$Y$1965)</f>
        <v>4911096.6978556439</v>
      </c>
      <c r="C6" s="39">
        <f>IF(SUM(Orders!$T$5:$T$1965)=0,0,B6/SUM(Orders!$T$5:$T$1965))</f>
        <v>0.17658515024636331</v>
      </c>
      <c r="E6" s="5" t="s">
        <v>1551</v>
      </c>
      <c r="F6" s="57">
        <f>SUM(Orders!$AB$5:$AB$1965)</f>
        <v>3606534.9049428902</v>
      </c>
    </row>
    <row r="7" spans="1:12" x14ac:dyDescent="0.2">
      <c r="A7" s="30" t="s">
        <v>1552</v>
      </c>
      <c r="B7" s="59">
        <f>SUM(Orders!$V$5:$V$1965)</f>
        <v>-1010095.2617823576</v>
      </c>
      <c r="C7" s="39">
        <f>IF(SUM(Orders!$T$5:$T$1965)=0,0,B7/SUM(Orders!$T$5:$T$1965))</f>
        <v>-3.6319346683370932E-2</v>
      </c>
      <c r="E7" s="5" t="s">
        <v>45</v>
      </c>
      <c r="F7" s="46">
        <f>IF(F5=0,0,F6/F5)</f>
        <v>0.13520701812843136</v>
      </c>
    </row>
    <row r="8" spans="1:12" x14ac:dyDescent="0.2">
      <c r="A8" s="30" t="s">
        <v>1553</v>
      </c>
      <c r="B8" s="59">
        <f>SUMIFS(Orders!$V$5:$V$1965,Orders!$AG$5:$AG$1965,1)</f>
        <v>-129472.3207894832</v>
      </c>
      <c r="C8" s="39">
        <f>IF(SUM(Orders!$T$5:$T$1965)=0,0,B8/SUM(Orders!$T$5:$T$1965))</f>
        <v>-4.6553530964558235E-3</v>
      </c>
      <c r="E8" s="5" t="s">
        <v>1554</v>
      </c>
      <c r="F8" s="60">
        <f>IF(F5=0,0,SUMPRODUCT(Orders!$W$5:$W$1965,Orders!$AD$5:$AD$1965)/F5)</f>
        <v>0.13783787958163396</v>
      </c>
    </row>
    <row r="9" spans="1:12" x14ac:dyDescent="0.2">
      <c r="A9" s="30" t="s">
        <v>1555</v>
      </c>
      <c r="B9" s="59">
        <f>SUM(Orders!$AA$5:$AA$1965)</f>
        <v>-167238.03</v>
      </c>
      <c r="C9" s="39">
        <f>IF(SUM(Orders!$T$5:$T$1965)=0,0,B9/SUM(Orders!$T$5:$T$1965))</f>
        <v>-6.0132704508445963E-3</v>
      </c>
      <c r="E9" s="5" t="s">
        <v>47</v>
      </c>
      <c r="F9" s="57">
        <f>SUM(Orders!$AH$5:$AH$1965)</f>
        <v>305416.92061848583</v>
      </c>
    </row>
    <row r="10" spans="1:12" x14ac:dyDescent="0.2">
      <c r="A10" s="30" t="s">
        <v>1556</v>
      </c>
      <c r="B10" s="59">
        <f>SUM(Orders!$X$5:$X$1965)</f>
        <v>-127228.50113043358</v>
      </c>
      <c r="C10" s="39">
        <f>IF(SUM(Orders!$T$5:$T$1965)=0,0,B10/SUM(Orders!$T$5:$T$1965))</f>
        <v>-4.5746735138705264E-3</v>
      </c>
      <c r="E10" s="5" t="s">
        <v>1557</v>
      </c>
      <c r="F10" s="61">
        <f>SUM(Orders!$AF$5:$AF$1965)</f>
        <v>52</v>
      </c>
    </row>
    <row r="11" spans="1:12" x14ac:dyDescent="0.2">
      <c r="A11" s="37" t="s">
        <v>1558</v>
      </c>
      <c r="B11" s="62">
        <f>B6+B7+B9+B10</f>
        <v>3606534.9049428529</v>
      </c>
      <c r="C11" s="39">
        <f>IF(SUM(Orders!$T$5:$T$1965)=0,0,B11/SUM(Orders!$T$5:$T$1965))</f>
        <v>0.12967785959827727</v>
      </c>
      <c r="E11" s="5" t="s">
        <v>1559</v>
      </c>
      <c r="F11" s="61">
        <f>SUM(Orders!$AG$5:$AG$1965)</f>
        <v>48</v>
      </c>
    </row>
    <row r="12" spans="1:12" x14ac:dyDescent="0.2">
      <c r="A12" s="63" t="s">
        <v>1560</v>
      </c>
      <c r="B12" s="64">
        <f>ROUND(B11-SUM(Orders!$AB$5:$AB$1965),2)</f>
        <v>0</v>
      </c>
      <c r="C12" s="39">
        <f>IF(SUM(Orders!$T$5:$T$1965)=0,0,B12/SUM(Orders!$T$5:$T$1965))</f>
        <v>0</v>
      </c>
      <c r="E12" s="5" t="s">
        <v>1561</v>
      </c>
      <c r="F12" s="57">
        <f>SUMIFS(Orders!$W$5:$W$1965,Orders!$AG$5:$AG$1965,1)</f>
        <v>2073328.6795765539</v>
      </c>
    </row>
    <row r="15" spans="1:12" x14ac:dyDescent="0.2">
      <c r="A15" s="9" t="s">
        <v>1562</v>
      </c>
    </row>
    <row r="16" spans="1:12" ht="30" customHeight="1" x14ac:dyDescent="0.2">
      <c r="A16" s="10"/>
      <c r="B16" s="10" t="s">
        <v>1563</v>
      </c>
      <c r="C16" s="10" t="s">
        <v>266</v>
      </c>
      <c r="D16" s="10" t="s">
        <v>240</v>
      </c>
      <c r="E16" s="10" t="s">
        <v>1564</v>
      </c>
      <c r="F16" s="10" t="s">
        <v>1565</v>
      </c>
      <c r="G16" s="10" t="s">
        <v>269</v>
      </c>
      <c r="H16" s="10" t="s">
        <v>261</v>
      </c>
      <c r="I16" s="10" t="s">
        <v>265</v>
      </c>
      <c r="J16" s="10" t="s">
        <v>262</v>
      </c>
      <c r="K16" s="10" t="s">
        <v>1566</v>
      </c>
      <c r="L16" s="10" t="s">
        <v>1567</v>
      </c>
    </row>
    <row r="17" spans="1:12" x14ac:dyDescent="0.2">
      <c r="A17" s="5" t="s">
        <v>62</v>
      </c>
      <c r="B17" s="65">
        <f>SUMIFS(Orders!$W$5:$W$1965,Orders!$H$5:$H$1965,$A17)</f>
        <v>9851879.2099999897</v>
      </c>
      <c r="C17" s="65">
        <f>SUMIFS(Orders!$AB$5:$AB$1965,Orders!$H$5:$H$1965,$A17)</f>
        <v>1311949.7999999984</v>
      </c>
      <c r="D17" s="66">
        <f>IF(B17=0,0,C17/B17)</f>
        <v>0.13316746704205681</v>
      </c>
      <c r="E17" s="19">
        <f>IF(B17=0,0,SUMPRODUCT((Orders!$H$5:$H$1965=$A17)*Orders!$W$5:$W$1965*Orders!$AD$5:$AD$1965)/B17)</f>
        <v>0.13766458224775593</v>
      </c>
      <c r="F17" s="67">
        <f>(D17-E17)*100</f>
        <v>-0.44971152056991204</v>
      </c>
      <c r="G17" s="65">
        <f>SUMIFS(Orders!$AH$5:$AH$1965,Orders!$H$5:$H$1965,$A17)</f>
        <v>112503.25279999996</v>
      </c>
      <c r="H17" s="65">
        <f>SUMIFS(Orders!$V$5:$V$1965,Orders!$H$5:$H$1965,$A17)</f>
        <v>-351380.79000000021</v>
      </c>
      <c r="I17" s="65">
        <f>SUMIFS(Orders!$AA$5:$AA$1965,Orders!$H$5:$H$1965,$A17)</f>
        <v>-34766.659999999982</v>
      </c>
      <c r="J17" s="65">
        <f>SUMIFS(Orders!$X$5:$X$1965,Orders!$H$5:$H$1965,$A17)</f>
        <v>0</v>
      </c>
      <c r="K17" s="68">
        <f>SUMIFS(Orders!$AF$5:$AF$1965,Orders!$H$5:$H$1965,$A17)</f>
        <v>25</v>
      </c>
      <c r="L17" s="68">
        <f>SUMIFS(Orders!$AG$5:$AG$1965,Orders!$H$5:$H$1965,$A17)</f>
        <v>23</v>
      </c>
    </row>
    <row r="18" spans="1:12" x14ac:dyDescent="0.2">
      <c r="A18" s="5" t="s">
        <v>64</v>
      </c>
      <c r="B18" s="65">
        <f>SUMIFS(Orders!$W$5:$W$1965,Orders!$H$5:$H$1965,$A18)</f>
        <v>2330583.7391989259</v>
      </c>
      <c r="C18" s="65">
        <f>SUMIFS(Orders!$AB$5:$AB$1965,Orders!$H$5:$H$1965,$A18)</f>
        <v>297738.4391989258</v>
      </c>
      <c r="D18" s="66">
        <f>IF(B18=0,0,C18/B18)</f>
        <v>0.12775273172602894</v>
      </c>
      <c r="E18" s="19">
        <f>IF(B18=0,0,SUMPRODUCT((Orders!$H$5:$H$1965=$A18)*Orders!$W$5:$W$1965*Orders!$AD$5:$AD$1965)/B18)</f>
        <v>0.13532315258607511</v>
      </c>
      <c r="F18" s="67">
        <f>(D18-E18)*100</f>
        <v>-0.75704208600461675</v>
      </c>
      <c r="G18" s="65">
        <f>SUMIFS(Orders!$AH$5:$AH$1965,Orders!$H$5:$H$1965,$A18)</f>
        <v>37160.127469671657</v>
      </c>
      <c r="H18" s="65">
        <f>SUMIFS(Orders!$V$5:$V$1965,Orders!$H$5:$H$1965,$A18)</f>
        <v>-104191.12658227854</v>
      </c>
      <c r="I18" s="65">
        <f>SUMIFS(Orders!$AA$5:$AA$1965,Orders!$H$5:$H$1965,$A18)</f>
        <v>-6023.6999999999971</v>
      </c>
      <c r="J18" s="65">
        <f>SUMIFS(Orders!$X$5:$X$1965,Orders!$H$5:$H$1965,$A18)</f>
        <v>-40731.463332719431</v>
      </c>
      <c r="K18" s="68">
        <f>SUMIFS(Orders!$AF$5:$AF$1965,Orders!$H$5:$H$1965,$A18)</f>
        <v>5</v>
      </c>
      <c r="L18" s="68">
        <f>SUMIFS(Orders!$AG$5:$AG$1965,Orders!$H$5:$H$1965,$A18)</f>
        <v>4</v>
      </c>
    </row>
    <row r="19" spans="1:12" x14ac:dyDescent="0.2">
      <c r="A19" s="5" t="s">
        <v>66</v>
      </c>
      <c r="B19" s="65">
        <f>SUMIFS(Orders!$W$5:$W$1965,Orders!$H$5:$H$1965,$A19)</f>
        <v>7807689.3293882646</v>
      </c>
      <c r="C19" s="65">
        <f>SUMIFS(Orders!$AB$5:$AB$1965,Orders!$H$5:$H$1965,$A19)</f>
        <v>1121149.4593882666</v>
      </c>
      <c r="D19" s="66">
        <f>IF(B19=0,0,C19/B19)</f>
        <v>0.14359555203717475</v>
      </c>
      <c r="E19" s="19">
        <f>IF(B19=0,0,SUMPRODUCT((Orders!$H$5:$H$1965=$A19)*Orders!$W$5:$W$1965*Orders!$AD$5:$AD$1965)/B19)</f>
        <v>0.13925942573551955</v>
      </c>
      <c r="F19" s="67">
        <f>(D19-E19)*100</f>
        <v>0.43361263016551965</v>
      </c>
      <c r="G19" s="65">
        <f>SUMIFS(Orders!$AH$5:$AH$1965,Orders!$H$5:$H$1965,$A19)</f>
        <v>63583.76366363265</v>
      </c>
      <c r="H19" s="65">
        <f>SUMIFS(Orders!$V$5:$V$1965,Orders!$H$5:$H$1965,$A19)</f>
        <v>-318630.61956521746</v>
      </c>
      <c r="I19" s="65">
        <f>SUMIFS(Orders!$AA$5:$AA$1965,Orders!$H$5:$H$1965,$A19)</f>
        <v>-28377.519999999968</v>
      </c>
      <c r="J19" s="65">
        <f>SUMIFS(Orders!$X$5:$X$1965,Orders!$H$5:$H$1965,$A19)</f>
        <v>-37690.920611732625</v>
      </c>
      <c r="K19" s="68">
        <f>SUMIFS(Orders!$AF$5:$AF$1965,Orders!$H$5:$H$1965,$A19)</f>
        <v>8</v>
      </c>
      <c r="L19" s="68">
        <f>SUMIFS(Orders!$AG$5:$AG$1965,Orders!$H$5:$H$1965,$A19)</f>
        <v>7</v>
      </c>
    </row>
    <row r="20" spans="1:12" x14ac:dyDescent="0.2">
      <c r="A20" s="5" t="s">
        <v>68</v>
      </c>
      <c r="B20" s="65">
        <f>SUMIFS(Orders!$W$5:$W$1965,Orders!$H$5:$H$1965,$A20)</f>
        <v>1557366.6141171292</v>
      </c>
      <c r="C20" s="65">
        <f>SUMIFS(Orders!$AB$5:$AB$1965,Orders!$H$5:$H$1965,$A20)</f>
        <v>253459.16411712964</v>
      </c>
      <c r="D20" s="66">
        <f>IF(B20=0,0,C20/B20)</f>
        <v>0.16274855375708408</v>
      </c>
      <c r="E20" s="19">
        <f>IF(B20=0,0,SUMPRODUCT((Orders!$H$5:$H$1965=$A20)*Orders!$W$5:$W$1965*Orders!$AD$5:$AD$1965)/B20)</f>
        <v>0.13752053958916044</v>
      </c>
      <c r="F20" s="67">
        <f>(D20-E20)*100</f>
        <v>2.522801416792364</v>
      </c>
      <c r="G20" s="65">
        <f>SUMIFS(Orders!$AH$5:$AH$1965,Orders!$H$5:$H$1965,$A20)</f>
        <v>1392.7131247850405</v>
      </c>
      <c r="H20" s="65">
        <f>SUMIFS(Orders!$V$5:$V$1965,Orders!$H$5:$H$1965,$A20)</f>
        <v>-33920.992700729905</v>
      </c>
      <c r="I20" s="65">
        <f>SUMIFS(Orders!$AA$5:$AA$1965,Orders!$H$5:$H$1965,$A20)</f>
        <v>-3221.5999999999985</v>
      </c>
      <c r="J20" s="65">
        <f>SUMIFS(Orders!$X$5:$X$1965,Orders!$H$5:$H$1965,$A20)</f>
        <v>1681.7674018013852</v>
      </c>
      <c r="K20" s="68">
        <f>SUMIFS(Orders!$AF$5:$AF$1965,Orders!$H$5:$H$1965,$A20)</f>
        <v>0</v>
      </c>
      <c r="L20" s="68">
        <f>SUMIFS(Orders!$AG$5:$AG$1965,Orders!$H$5:$H$1965,$A20)</f>
        <v>0</v>
      </c>
    </row>
    <row r="21" spans="1:12" x14ac:dyDescent="0.2">
      <c r="A21" s="5" t="s">
        <v>70</v>
      </c>
      <c r="B21" s="65">
        <f>SUMIFS(Orders!$W$5:$W$1965,Orders!$H$5:$H$1965,$A21)</f>
        <v>5126650.5022385679</v>
      </c>
      <c r="C21" s="65">
        <f>SUMIFS(Orders!$AB$5:$AB$1965,Orders!$H$5:$H$1965,$A21)</f>
        <v>622238.04223856411</v>
      </c>
      <c r="D21" s="66">
        <f>IF(B21=0,0,C21/B21)</f>
        <v>0.12137321277642428</v>
      </c>
      <c r="E21" s="19">
        <f>IF(B21=0,0,SUMPRODUCT((Orders!$H$5:$H$1965=$A21)*Orders!$W$5:$W$1965*Orders!$AD$5:$AD$1965)/B21)</f>
        <v>0.13724554550681339</v>
      </c>
      <c r="F21" s="67">
        <f>(D21-E21)*100</f>
        <v>-1.5872332730389114</v>
      </c>
      <c r="G21" s="65">
        <f>SUMIFS(Orders!$AH$5:$AH$1965,Orders!$H$5:$H$1965,$A21)</f>
        <v>90777.063560396404</v>
      </c>
      <c r="H21" s="65">
        <f>SUMIFS(Orders!$V$5:$V$1965,Orders!$H$5:$H$1965,$A21)</f>
        <v>-201971.73293413172</v>
      </c>
      <c r="I21" s="65">
        <f>SUMIFS(Orders!$AA$5:$AA$1965,Orders!$H$5:$H$1965,$A21)</f>
        <v>-94848.550000000017</v>
      </c>
      <c r="J21" s="65">
        <f>SUMIFS(Orders!$X$5:$X$1965,Orders!$H$5:$H$1965,$A21)</f>
        <v>-50487.884587782923</v>
      </c>
      <c r="K21" s="68">
        <f>SUMIFS(Orders!$AF$5:$AF$1965,Orders!$H$5:$H$1965,$A21)</f>
        <v>14</v>
      </c>
      <c r="L21" s="68">
        <f>SUMIFS(Orders!$AG$5:$AG$1965,Orders!$H$5:$H$1965,$A21)</f>
        <v>14</v>
      </c>
    </row>
    <row r="24" spans="1:12" x14ac:dyDescent="0.2">
      <c r="A24" s="9" t="s">
        <v>1568</v>
      </c>
    </row>
    <row r="25" spans="1:12" ht="30" customHeight="1" x14ac:dyDescent="0.2">
      <c r="A25" s="10"/>
      <c r="B25" s="10" t="s">
        <v>1563</v>
      </c>
      <c r="C25" s="10" t="s">
        <v>266</v>
      </c>
      <c r="D25" s="10" t="s">
        <v>240</v>
      </c>
      <c r="E25" s="10" t="s">
        <v>1564</v>
      </c>
      <c r="F25" s="10" t="s">
        <v>1565</v>
      </c>
      <c r="G25" s="10" t="s">
        <v>269</v>
      </c>
      <c r="H25" s="10" t="s">
        <v>261</v>
      </c>
      <c r="I25" s="10" t="s">
        <v>265</v>
      </c>
      <c r="J25" s="10" t="s">
        <v>262</v>
      </c>
      <c r="K25" s="10" t="s">
        <v>1566</v>
      </c>
      <c r="L25" s="10" t="s">
        <v>1567</v>
      </c>
    </row>
    <row r="26" spans="1:12" x14ac:dyDescent="0.2">
      <c r="A26" s="5" t="s">
        <v>59</v>
      </c>
      <c r="B26" s="65">
        <f>SUMIFS(Orders!$W$5:$W$1965,Orders!$R$5:$R$1965,$A26)</f>
        <v>22557038.209062189</v>
      </c>
      <c r="C26" s="65">
        <f>SUMIFS(Orders!$AB$5:$AB$1965,Orders!$R$5:$R$1965,$A26)</f>
        <v>2608607.9090622012</v>
      </c>
      <c r="D26" s="66">
        <f>IF(B26=0,0,C26/B26)</f>
        <v>0.1156449656592861</v>
      </c>
      <c r="E26" s="19">
        <f>IF(B26=0,0,SUMPRODUCT((Orders!$R$5:$R$1965=$A26)*Orders!$W$5:$W$1965*Orders!$AD$5:$AD$1965)/B26)</f>
        <v>0.12000000000000006</v>
      </c>
      <c r="F26" s="67">
        <f>(D26-E26)*100</f>
        <v>-0.43550343407139647</v>
      </c>
      <c r="G26" s="65">
        <f>SUMIFS(Orders!$AH$5:$AH$1965,Orders!$R$5:$R$1965,$A26)</f>
        <v>271851.04045343533</v>
      </c>
      <c r="H26" s="65">
        <f>SUMIFS(Orders!$V$5:$V$1965,Orders!$R$5:$R$1965,$A26)</f>
        <v>-845196.47089607816</v>
      </c>
      <c r="I26" s="65">
        <f>SUMIFS(Orders!$AA$5:$AA$1965,Orders!$R$5:$R$1965,$A26)</f>
        <v>-135668.02999999997</v>
      </c>
      <c r="J26" s="65">
        <f>SUMIFS(Orders!$X$5:$X$1965,Orders!$R$5:$R$1965,$A26)</f>
        <v>-106387.32652864736</v>
      </c>
      <c r="K26" s="68">
        <f>SUMIFS(Orders!$AF$5:$AF$1965,Orders!$R$5:$R$1965,$A26)</f>
        <v>47</v>
      </c>
      <c r="L26" s="68">
        <f>SUMIFS(Orders!$AG$5:$AG$1965,Orders!$R$5:$R$1965,$A26)</f>
        <v>43</v>
      </c>
    </row>
    <row r="27" spans="1:12" x14ac:dyDescent="0.2">
      <c r="A27" s="5" t="s">
        <v>60</v>
      </c>
      <c r="B27" s="65">
        <f>SUMIFS(Orders!$W$5:$W$1965,Orders!$R$5:$R$1965,$A27)</f>
        <v>2482968.6826360319</v>
      </c>
      <c r="C27" s="65">
        <f>SUMIFS(Orders!$AB$5:$AB$1965,Orders!$R$5:$R$1965,$A27)</f>
        <v>452381.17263603362</v>
      </c>
      <c r="D27" s="66">
        <f>IF(B27=0,0,C27/B27)</f>
        <v>0.18219366832922165</v>
      </c>
      <c r="E27" s="19">
        <f>IF(B27=0,0,SUMPRODUCT((Orders!$R$5:$R$1965=$A27)*Orders!$W$5:$W$1965*Orders!$AD$5:$AD$1965)/B27)</f>
        <v>0.1800000000000001</v>
      </c>
      <c r="F27" s="67">
        <f>(D27-E27)*100</f>
        <v>0.21936683292215486</v>
      </c>
      <c r="G27" s="65">
        <f>SUMIFS(Orders!$AH$5:$AH$1965,Orders!$R$5:$R$1965,$A27)</f>
        <v>25921.535990044576</v>
      </c>
      <c r="H27" s="65">
        <f>SUMIFS(Orders!$V$5:$V$1965,Orders!$R$5:$R$1965,$A27)</f>
        <v>-97342.033132774581</v>
      </c>
      <c r="I27" s="65">
        <f>SUMIFS(Orders!$AA$5:$AA$1965,Orders!$R$5:$R$1965,$A27)</f>
        <v>-24620</v>
      </c>
      <c r="J27" s="65">
        <f>SUMIFS(Orders!$X$5:$X$1965,Orders!$R$5:$R$1965,$A27)</f>
        <v>-13633.924108065345</v>
      </c>
      <c r="K27" s="68">
        <f>SUMIFS(Orders!$AF$5:$AF$1965,Orders!$R$5:$R$1965,$A27)</f>
        <v>5</v>
      </c>
      <c r="L27" s="68">
        <f>SUMIFS(Orders!$AG$5:$AG$1965,Orders!$R$5:$R$1965,$A27)</f>
        <v>5</v>
      </c>
    </row>
    <row r="28" spans="1:12" x14ac:dyDescent="0.2">
      <c r="A28" s="5" t="s">
        <v>61</v>
      </c>
      <c r="B28" s="65">
        <f>SUMIFS(Orders!$W$5:$W$1965,Orders!$R$5:$R$1965,$A28)</f>
        <v>1634162.5032446519</v>
      </c>
      <c r="C28" s="65">
        <f>SUMIFS(Orders!$AB$5:$AB$1965,Orders!$R$5:$R$1965,$A28)</f>
        <v>545545.8232446519</v>
      </c>
      <c r="D28" s="66">
        <f>IF(B28=0,0,C28/B28)</f>
        <v>0.3338381722512071</v>
      </c>
      <c r="E28" s="19">
        <f>IF(B28=0,0,SUMPRODUCT((Orders!$R$5:$R$1965=$A28)*Orders!$W$5:$W$1965*Orders!$AD$5:$AD$1965)/B28)</f>
        <v>0.31999999999999967</v>
      </c>
      <c r="F28" s="67">
        <f>(D28-E28)*100</f>
        <v>1.3838172251207426</v>
      </c>
      <c r="G28" s="65">
        <f>SUMIFS(Orders!$AH$5:$AH$1965,Orders!$R$5:$R$1965,$A28)</f>
        <v>7644.3441750059419</v>
      </c>
      <c r="H28" s="65">
        <f>SUMIFS(Orders!$V$5:$V$1965,Orders!$R$5:$R$1965,$A28)</f>
        <v>-67556.757753505139</v>
      </c>
      <c r="I28" s="65">
        <f>SUMIFS(Orders!$AA$5:$AA$1965,Orders!$R$5:$R$1965,$A28)</f>
        <v>-6950</v>
      </c>
      <c r="J28" s="65">
        <f>SUMIFS(Orders!$X$5:$X$1965,Orders!$R$5:$R$1965,$A28)</f>
        <v>-7207.250493720946</v>
      </c>
      <c r="K28" s="68">
        <f>SUMIFS(Orders!$AF$5:$AF$1965,Orders!$R$5:$R$1965,$A28)</f>
        <v>0</v>
      </c>
      <c r="L28" s="68">
        <f>SUMIFS(Orders!$AG$5:$AG$1965,Orders!$R$5:$R$1965,$A28)</f>
        <v>0</v>
      </c>
    </row>
    <row r="31" spans="1:12" x14ac:dyDescent="0.2">
      <c r="A31" s="9" t="s">
        <v>1569</v>
      </c>
    </row>
    <row r="32" spans="1:12" ht="30" customHeight="1" x14ac:dyDescent="0.2">
      <c r="A32" s="10"/>
      <c r="B32" s="10" t="s">
        <v>1563</v>
      </c>
      <c r="C32" s="10" t="s">
        <v>266</v>
      </c>
      <c r="D32" s="10" t="s">
        <v>240</v>
      </c>
      <c r="E32" s="10" t="s">
        <v>1564</v>
      </c>
      <c r="F32" s="10" t="s">
        <v>1565</v>
      </c>
      <c r="G32" s="10" t="s">
        <v>269</v>
      </c>
      <c r="H32" s="10" t="s">
        <v>261</v>
      </c>
      <c r="I32" s="10" t="s">
        <v>265</v>
      </c>
      <c r="J32" s="10" t="s">
        <v>262</v>
      </c>
      <c r="K32" s="10" t="s">
        <v>1566</v>
      </c>
      <c r="L32" s="10" t="s">
        <v>1567</v>
      </c>
    </row>
    <row r="33" spans="1:12" x14ac:dyDescent="0.2">
      <c r="A33" s="5" t="s">
        <v>275</v>
      </c>
      <c r="B33" s="65">
        <f>SUMIFS(Orders!$W$5:$W$1965,Orders!$G$5:$G$1965,$A33)</f>
        <v>2409560.9530056948</v>
      </c>
      <c r="C33" s="65">
        <f>SUMIFS(Orders!$AB$5:$AB$1965,Orders!$G$5:$G$1965,$A33)</f>
        <v>376745.10300569487</v>
      </c>
      <c r="D33" s="66">
        <f t="shared" ref="D33:D38" si="0">IF(B33=0,0,C33/B33)</f>
        <v>0.15635425305831824</v>
      </c>
      <c r="E33" s="19">
        <f>IF(B33=0,0,SUMPRODUCT((Orders!$G$5:$G$1965=$A33)*Orders!$W$5:$W$1965*Orders!$AD$5:$AD$1965)/B33)</f>
        <v>0.13509997718132169</v>
      </c>
      <c r="F33" s="67">
        <f t="shared" ref="F33:F38" si="1">(D33-E33)*100</f>
        <v>2.1254275876996549</v>
      </c>
      <c r="G33" s="65">
        <f>SUMIFS(Orders!$AH$5:$AH$1965,Orders!$G$5:$G$1965,$A33)</f>
        <v>5483.3861501557312</v>
      </c>
      <c r="H33" s="65">
        <f>SUMIFS(Orders!$V$5:$V$1965,Orders!$G$5:$G$1965,$A33)</f>
        <v>-43943.135767829386</v>
      </c>
      <c r="I33" s="65">
        <f>SUMIFS(Orders!$AA$5:$AA$1965,Orders!$G$5:$G$1965,$A33)</f>
        <v>-5643.1999999999944</v>
      </c>
      <c r="J33" s="65">
        <f>SUMIFS(Orders!$X$5:$X$1965,Orders!$G$5:$G$1965,$A33)</f>
        <v>-4827.7916020046478</v>
      </c>
      <c r="K33" s="68">
        <f>SUMIFS(Orders!$AF$5:$AF$1965,Orders!$G$5:$G$1965,$A33)</f>
        <v>1</v>
      </c>
      <c r="L33" s="68">
        <f>SUMIFS(Orders!$AG$5:$AG$1965,Orders!$G$5:$G$1965,$A33)</f>
        <v>1</v>
      </c>
    </row>
    <row r="34" spans="1:12" x14ac:dyDescent="0.2">
      <c r="A34" s="5" t="s">
        <v>281</v>
      </c>
      <c r="B34" s="65">
        <f>SUMIFS(Orders!$W$5:$W$1965,Orders!$G$5:$G$1965,$A34)</f>
        <v>4718356.715597542</v>
      </c>
      <c r="C34" s="65">
        <f>SUMIFS(Orders!$AB$5:$AB$1965,Orders!$G$5:$G$1965,$A34)</f>
        <v>657229.72559754399</v>
      </c>
      <c r="D34" s="66">
        <f t="shared" si="0"/>
        <v>0.13929208095372059</v>
      </c>
      <c r="E34" s="19">
        <f>IF(B34=0,0,SUMPRODUCT((Orders!$G$5:$G$1965=$A34)*Orders!$W$5:$W$1965*Orders!$AD$5:$AD$1965)/B34)</f>
        <v>0.13785318915285427</v>
      </c>
      <c r="F34" s="67">
        <f t="shared" si="1"/>
        <v>0.14388918008663154</v>
      </c>
      <c r="G34" s="65">
        <f>SUMIFS(Orders!$AH$5:$AH$1965,Orders!$G$5:$G$1965,$A34)</f>
        <v>35857.015503192808</v>
      </c>
      <c r="H34" s="65">
        <f>SUMIFS(Orders!$V$5:$V$1965,Orders!$G$5:$G$1965,$A34)</f>
        <v>-136570.76605510223</v>
      </c>
      <c r="I34" s="65">
        <f>SUMIFS(Orders!$AA$5:$AA$1965,Orders!$G$5:$G$1965,$A34)</f>
        <v>-49010.130000000012</v>
      </c>
      <c r="J34" s="65">
        <f>SUMIFS(Orders!$X$5:$X$1965,Orders!$G$5:$G$1965,$A34)</f>
        <v>-31678.171974317851</v>
      </c>
      <c r="K34" s="68">
        <f>SUMIFS(Orders!$AF$5:$AF$1965,Orders!$G$5:$G$1965,$A34)</f>
        <v>9</v>
      </c>
      <c r="L34" s="68">
        <f>SUMIFS(Orders!$AG$5:$AG$1965,Orders!$G$5:$G$1965,$A34)</f>
        <v>9</v>
      </c>
    </row>
    <row r="35" spans="1:12" x14ac:dyDescent="0.2">
      <c r="A35" s="5" t="s">
        <v>288</v>
      </c>
      <c r="B35" s="65">
        <f>SUMIFS(Orders!$W$5:$W$1965,Orders!$G$5:$G$1965,$A35)</f>
        <v>1762095.0476187691</v>
      </c>
      <c r="C35" s="65">
        <f>SUMIFS(Orders!$AB$5:$AB$1965,Orders!$G$5:$G$1965,$A35)</f>
        <v>261598.13761876893</v>
      </c>
      <c r="D35" s="66">
        <f t="shared" si="0"/>
        <v>0.14845858512132085</v>
      </c>
      <c r="E35" s="19">
        <f>IF(B35=0,0,SUMPRODUCT((Orders!$G$5:$G$1965=$A35)*Orders!$W$5:$W$1965*Orders!$AD$5:$AD$1965)/B35)</f>
        <v>0.13624677436863394</v>
      </c>
      <c r="F35" s="67">
        <f t="shared" si="1"/>
        <v>1.2211810752686902</v>
      </c>
      <c r="G35" s="65">
        <f>SUMIFS(Orders!$AH$5:$AH$1965,Orders!$G$5:$G$1965,$A35)</f>
        <v>5792.4221999999909</v>
      </c>
      <c r="H35" s="65">
        <f>SUMIFS(Orders!$V$5:$V$1965,Orders!$G$5:$G$1965,$A35)</f>
        <v>-31516.901313868613</v>
      </c>
      <c r="I35" s="65">
        <f>SUMIFS(Orders!$AA$5:$AA$1965,Orders!$G$5:$G$1965,$A35)</f>
        <v>-5235.3599999999988</v>
      </c>
      <c r="J35" s="65">
        <f>SUMIFS(Orders!$X$5:$X$1965,Orders!$G$5:$G$1965,$A35)</f>
        <v>212.20440709007596</v>
      </c>
      <c r="K35" s="68">
        <f>SUMIFS(Orders!$AF$5:$AF$1965,Orders!$G$5:$G$1965,$A35)</f>
        <v>2</v>
      </c>
      <c r="L35" s="68">
        <f>SUMIFS(Orders!$AG$5:$AG$1965,Orders!$G$5:$G$1965,$A35)</f>
        <v>2</v>
      </c>
    </row>
    <row r="36" spans="1:12" x14ac:dyDescent="0.2">
      <c r="A36" s="5" t="s">
        <v>302</v>
      </c>
      <c r="B36" s="65">
        <f>SUMIFS(Orders!$W$5:$W$1965,Orders!$G$5:$G$1965,$A36)</f>
        <v>12016501.218156883</v>
      </c>
      <c r="C36" s="65">
        <f>SUMIFS(Orders!$AB$5:$AB$1965,Orders!$G$5:$G$1965,$A36)</f>
        <v>1479090.9681568854</v>
      </c>
      <c r="D36" s="66">
        <f t="shared" si="0"/>
        <v>0.12308832174227095</v>
      </c>
      <c r="E36" s="19">
        <f>IF(B36=0,0,SUMPRODUCT((Orders!$G$5:$G$1965=$A36)*Orders!$W$5:$W$1965*Orders!$AD$5:$AD$1965)/B36)</f>
        <v>0.13825399518517062</v>
      </c>
      <c r="F36" s="67">
        <f t="shared" si="1"/>
        <v>-1.5165673442899665</v>
      </c>
      <c r="G36" s="65">
        <f>SUMIFS(Orders!$AH$5:$AH$1965,Orders!$G$5:$G$1965,$A36)</f>
        <v>226235.70809449544</v>
      </c>
      <c r="H36" s="65">
        <f>SUMIFS(Orders!$V$5:$V$1965,Orders!$G$5:$G$1965,$A36)</f>
        <v>-632849.18249898741</v>
      </c>
      <c r="I36" s="65">
        <f>SUMIFS(Orders!$AA$5:$AA$1965,Orders!$G$5:$G$1965,$A36)</f>
        <v>-63125.419999999969</v>
      </c>
      <c r="J36" s="65">
        <f>SUMIFS(Orders!$X$5:$X$1965,Orders!$G$5:$G$1965,$A36)</f>
        <v>-68891.35729218481</v>
      </c>
      <c r="K36" s="68">
        <f>SUMIFS(Orders!$AF$5:$AF$1965,Orders!$G$5:$G$1965,$A36)</f>
        <v>32</v>
      </c>
      <c r="L36" s="68">
        <f>SUMIFS(Orders!$AG$5:$AG$1965,Orders!$G$5:$G$1965,$A36)</f>
        <v>28</v>
      </c>
    </row>
    <row r="37" spans="1:12" x14ac:dyDescent="0.2">
      <c r="A37" s="5" t="s">
        <v>306</v>
      </c>
      <c r="B37" s="65">
        <f>SUMIFS(Orders!$W$5:$W$1965,Orders!$G$5:$G$1965,$A37)</f>
        <v>1438039.8677297505</v>
      </c>
      <c r="C37" s="65">
        <f>SUMIFS(Orders!$AB$5:$AB$1965,Orders!$G$5:$G$1965,$A37)</f>
        <v>200778.43772975015</v>
      </c>
      <c r="D37" s="66">
        <f t="shared" si="0"/>
        <v>0.13961952115188664</v>
      </c>
      <c r="E37" s="19">
        <f>IF(B37=0,0,SUMPRODUCT((Orders!$G$5:$G$1965=$A37)*Orders!$W$5:$W$1965*Orders!$AD$5:$AD$1965)/B37)</f>
        <v>0.13795592345985316</v>
      </c>
      <c r="F37" s="67">
        <f t="shared" si="1"/>
        <v>0.1663597692033475</v>
      </c>
      <c r="G37" s="65">
        <f>SUMIFS(Orders!$AH$5:$AH$1965,Orders!$G$5:$G$1965,$A37)</f>
        <v>9972.9816929109984</v>
      </c>
      <c r="H37" s="65">
        <f>SUMIFS(Orders!$V$5:$V$1965,Orders!$G$5:$G$1965,$A37)</f>
        <v>-36195.209520958109</v>
      </c>
      <c r="I37" s="65">
        <f>SUMIFS(Orders!$AA$5:$AA$1965,Orders!$G$5:$G$1965,$A37)</f>
        <v>-11935.340000000004</v>
      </c>
      <c r="J37" s="65">
        <f>SUMIFS(Orders!$X$5:$X$1965,Orders!$G$5:$G$1965,$A37)</f>
        <v>-5449.2341265372725</v>
      </c>
      <c r="K37" s="68">
        <f>SUMIFS(Orders!$AF$5:$AF$1965,Orders!$G$5:$G$1965,$A37)</f>
        <v>3</v>
      </c>
      <c r="L37" s="68">
        <f>SUMIFS(Orders!$AG$5:$AG$1965,Orders!$G$5:$G$1965,$A37)</f>
        <v>3</v>
      </c>
    </row>
    <row r="38" spans="1:12" x14ac:dyDescent="0.2">
      <c r="A38" s="5" t="s">
        <v>298</v>
      </c>
      <c r="B38" s="65">
        <f>SUMIFS(Orders!$W$5:$W$1965,Orders!$G$5:$G$1965,$A38)</f>
        <v>4329615.5928342482</v>
      </c>
      <c r="C38" s="65">
        <f>SUMIFS(Orders!$AB$5:$AB$1965,Orders!$G$5:$G$1965,$A38)</f>
        <v>631092.53283424559</v>
      </c>
      <c r="D38" s="66">
        <f t="shared" si="0"/>
        <v>0.14576179323604119</v>
      </c>
      <c r="E38" s="19">
        <f>IF(B38=0,0,SUMPRODUCT((Orders!$G$5:$G$1965=$A38)*Orders!$W$5:$W$1965*Orders!$AD$5:$AD$1965)/B38)</f>
        <v>0.13879837590419092</v>
      </c>
      <c r="F38" s="67">
        <f t="shared" si="1"/>
        <v>0.6963417331850269</v>
      </c>
      <c r="G38" s="65">
        <f>SUMIFS(Orders!$AH$5:$AH$1965,Orders!$G$5:$G$1965,$A38)</f>
        <v>22075.40697773081</v>
      </c>
      <c r="H38" s="65">
        <f>SUMIFS(Orders!$V$5:$V$1965,Orders!$G$5:$G$1965,$A38)</f>
        <v>-129020.06662561263</v>
      </c>
      <c r="I38" s="65">
        <f>SUMIFS(Orders!$AA$5:$AA$1965,Orders!$G$5:$G$1965,$A38)</f>
        <v>-32288.579999999987</v>
      </c>
      <c r="J38" s="65">
        <f>SUMIFS(Orders!$X$5:$X$1965,Orders!$G$5:$G$1965,$A38)</f>
        <v>-16594.150542479121</v>
      </c>
      <c r="K38" s="68">
        <f>SUMIFS(Orders!$AF$5:$AF$1965,Orders!$G$5:$G$1965,$A38)</f>
        <v>5</v>
      </c>
      <c r="L38" s="68">
        <f>SUMIFS(Orders!$AG$5:$AG$1965,Orders!$G$5:$G$1965,$A38)</f>
        <v>5</v>
      </c>
    </row>
    <row r="41" spans="1:12" x14ac:dyDescent="0.2">
      <c r="A41" s="9" t="s">
        <v>1570</v>
      </c>
    </row>
    <row r="42" spans="1:12" ht="30" customHeight="1" x14ac:dyDescent="0.2">
      <c r="A42" s="10"/>
      <c r="B42" s="10" t="s">
        <v>1563</v>
      </c>
      <c r="C42" s="10" t="s">
        <v>266</v>
      </c>
      <c r="D42" s="10" t="s">
        <v>240</v>
      </c>
      <c r="E42" s="10" t="s">
        <v>1564</v>
      </c>
      <c r="F42" s="10" t="s">
        <v>1565</v>
      </c>
      <c r="G42" s="10" t="s">
        <v>269</v>
      </c>
      <c r="H42" s="10" t="s">
        <v>261</v>
      </c>
      <c r="I42" s="10" t="s">
        <v>265</v>
      </c>
      <c r="J42" s="10" t="s">
        <v>262</v>
      </c>
      <c r="K42" s="10" t="s">
        <v>1566</v>
      </c>
      <c r="L42" s="10" t="s">
        <v>1567</v>
      </c>
    </row>
    <row r="43" spans="1:12" x14ac:dyDescent="0.2">
      <c r="A43" s="5" t="s">
        <v>272</v>
      </c>
      <c r="B43" s="65">
        <f>SUMIFS(Orders!$W$5:$W$1965,Orders!$D$5:$D$1965,$A43)</f>
        <v>2095330.7082222048</v>
      </c>
      <c r="C43" s="65">
        <f>SUMIFS(Orders!$AB$5:$AB$1965,Orders!$D$5:$D$1965,$A43)</f>
        <v>295921.63822220342</v>
      </c>
      <c r="D43" s="66">
        <f t="shared" ref="D43:D54" si="2">IF(B43=0,0,C43/B43)</f>
        <v>0.14122908477453652</v>
      </c>
      <c r="E43" s="19">
        <f>IF(B43=0,0,SUMPRODUCT((Orders!$D$5:$D$1965=$A43)*Orders!$W$5:$W$1965*Orders!$AD$5:$AD$1965)/B43)</f>
        <v>0.13498205997424884</v>
      </c>
      <c r="F43" s="67">
        <f t="shared" ref="F43:F54" si="3">(D43-E43)*100</f>
        <v>0.62470248002876871</v>
      </c>
      <c r="G43" s="65">
        <f>SUMIFS(Orders!$AH$5:$AH$1965,Orders!$D$5:$D$1965,$A43)</f>
        <v>13828.993440287901</v>
      </c>
      <c r="H43" s="65">
        <f>SUMIFS(Orders!$V$5:$V$1965,Orders!$D$5:$D$1965,$A43)</f>
        <v>-71535.244606592853</v>
      </c>
      <c r="I43" s="65">
        <f>SUMIFS(Orders!$AA$5:$AA$1965,Orders!$D$5:$D$1965,$A43)</f>
        <v>-7335</v>
      </c>
      <c r="J43" s="65">
        <f>SUMIFS(Orders!$X$5:$X$1965,Orders!$D$5:$D$1965,$A43)</f>
        <v>532.60238002460835</v>
      </c>
      <c r="K43" s="68">
        <f>SUMIFS(Orders!$AF$5:$AF$1965,Orders!$D$5:$D$1965,$A43)</f>
        <v>3</v>
      </c>
      <c r="L43" s="68">
        <f>SUMIFS(Orders!$AG$5:$AG$1965,Orders!$D$5:$D$1965,$A43)</f>
        <v>2</v>
      </c>
    </row>
    <row r="44" spans="1:12" x14ac:dyDescent="0.2">
      <c r="A44" s="5" t="s">
        <v>416</v>
      </c>
      <c r="B44" s="65">
        <f>SUMIFS(Orders!$W$5:$W$1965,Orders!$D$5:$D$1965,$A44)</f>
        <v>2112127.6111322641</v>
      </c>
      <c r="C44" s="65">
        <f>SUMIFS(Orders!$AB$5:$AB$1965,Orders!$D$5:$D$1965,$A44)</f>
        <v>298156.40113226383</v>
      </c>
      <c r="D44" s="66">
        <f t="shared" si="2"/>
        <v>0.14116400901195023</v>
      </c>
      <c r="E44" s="19">
        <f>IF(B44=0,0,SUMPRODUCT((Orders!$D$5:$D$1965=$A44)*Orders!$W$5:$W$1965*Orders!$AD$5:$AD$1965)/B44)</f>
        <v>0.13641527003852022</v>
      </c>
      <c r="F44" s="67">
        <f t="shared" si="3"/>
        <v>0.47487389734300056</v>
      </c>
      <c r="G44" s="65">
        <f>SUMIFS(Orders!$AH$5:$AH$1965,Orders!$D$5:$D$1965,$A44)</f>
        <v>14069.986651059722</v>
      </c>
      <c r="H44" s="65">
        <f>SUMIFS(Orders!$V$5:$V$1965,Orders!$D$5:$D$1965,$A44)</f>
        <v>-80290.724496541268</v>
      </c>
      <c r="I44" s="65">
        <f>SUMIFS(Orders!$AA$5:$AA$1965,Orders!$D$5:$D$1965,$A44)</f>
        <v>-7645</v>
      </c>
      <c r="J44" s="65">
        <f>SUMIFS(Orders!$X$5:$X$1965,Orders!$D$5:$D$1965,$A44)</f>
        <v>1994.7126576974592</v>
      </c>
      <c r="K44" s="68">
        <f>SUMIFS(Orders!$AF$5:$AF$1965,Orders!$D$5:$D$1965,$A44)</f>
        <v>1</v>
      </c>
      <c r="L44" s="68">
        <f>SUMIFS(Orders!$AG$5:$AG$1965,Orders!$D$5:$D$1965,$A44)</f>
        <v>1</v>
      </c>
    </row>
    <row r="45" spans="1:12" x14ac:dyDescent="0.2">
      <c r="A45" s="5" t="s">
        <v>527</v>
      </c>
      <c r="B45" s="65">
        <f>SUMIFS(Orders!$W$5:$W$1965,Orders!$D$5:$D$1965,$A45)</f>
        <v>2588074.0175833721</v>
      </c>
      <c r="C45" s="65">
        <f>SUMIFS(Orders!$AB$5:$AB$1965,Orders!$D$5:$D$1965,$A45)</f>
        <v>384323.36758337112</v>
      </c>
      <c r="D45" s="66">
        <f t="shared" si="2"/>
        <v>0.1484978269447777</v>
      </c>
      <c r="E45" s="19">
        <f>IF(B45=0,0,SUMPRODUCT((Orders!$D$5:$D$1965=$A45)*Orders!$W$5:$W$1965*Orders!$AD$5:$AD$1965)/B45)</f>
        <v>0.1414301743344985</v>
      </c>
      <c r="F45" s="67">
        <f t="shared" si="3"/>
        <v>0.70676526102791959</v>
      </c>
      <c r="G45" s="65">
        <f>SUMIFS(Orders!$AH$5:$AH$1965,Orders!$D$5:$D$1965,$A45)</f>
        <v>14269.69687370513</v>
      </c>
      <c r="H45" s="65">
        <f>SUMIFS(Orders!$V$5:$V$1965,Orders!$D$5:$D$1965,$A45)</f>
        <v>-98666.465657076813</v>
      </c>
      <c r="I45" s="65">
        <f>SUMIFS(Orders!$AA$5:$AA$1965,Orders!$D$5:$D$1965,$A45)</f>
        <v>-3855</v>
      </c>
      <c r="J45" s="65">
        <f>SUMIFS(Orders!$X$5:$X$1965,Orders!$D$5:$D$1965,$A45)</f>
        <v>1980.7314402630936</v>
      </c>
      <c r="K45" s="68">
        <f>SUMIFS(Orders!$AF$5:$AF$1965,Orders!$D$5:$D$1965,$A45)</f>
        <v>0</v>
      </c>
      <c r="L45" s="68">
        <f>SUMIFS(Orders!$AG$5:$AG$1965,Orders!$D$5:$D$1965,$A45)</f>
        <v>0</v>
      </c>
    </row>
    <row r="46" spans="1:12" x14ac:dyDescent="0.2">
      <c r="A46" s="5" t="s">
        <v>636</v>
      </c>
      <c r="B46" s="65">
        <f>SUMIFS(Orders!$W$5:$W$1965,Orders!$D$5:$D$1965,$A46)</f>
        <v>1689656.5015099526</v>
      </c>
      <c r="C46" s="65">
        <f>SUMIFS(Orders!$AB$5:$AB$1965,Orders!$D$5:$D$1965,$A46)</f>
        <v>243999.84150995323</v>
      </c>
      <c r="D46" s="66">
        <f t="shared" si="2"/>
        <v>0.14440795587263094</v>
      </c>
      <c r="E46" s="19">
        <f>IF(B46=0,0,SUMPRODUCT((Orders!$D$5:$D$1965=$A46)*Orders!$W$5:$W$1965*Orders!$AD$5:$AD$1965)/B46)</f>
        <v>0.13916410715694344</v>
      </c>
      <c r="F46" s="67">
        <f t="shared" si="3"/>
        <v>0.52438487156875047</v>
      </c>
      <c r="G46" s="65">
        <f>SUMIFS(Orders!$AH$5:$AH$1965,Orders!$D$5:$D$1965,$A46)</f>
        <v>11177.58947923802</v>
      </c>
      <c r="H46" s="65">
        <f>SUMIFS(Orders!$V$5:$V$1965,Orders!$D$5:$D$1965,$A46)</f>
        <v>-59202.535517652017</v>
      </c>
      <c r="I46" s="65">
        <f>SUMIFS(Orders!$AA$5:$AA$1965,Orders!$D$5:$D$1965,$A46)</f>
        <v>-5770</v>
      </c>
      <c r="J46" s="65">
        <f>SUMIFS(Orders!$X$5:$X$1965,Orders!$D$5:$D$1965,$A46)</f>
        <v>132.43989507029681</v>
      </c>
      <c r="K46" s="68">
        <f>SUMIFS(Orders!$AF$5:$AF$1965,Orders!$D$5:$D$1965,$A46)</f>
        <v>1</v>
      </c>
      <c r="L46" s="68">
        <f>SUMIFS(Orders!$AG$5:$AG$1965,Orders!$D$5:$D$1965,$A46)</f>
        <v>1</v>
      </c>
    </row>
    <row r="47" spans="1:12" x14ac:dyDescent="0.2">
      <c r="A47" s="5" t="s">
        <v>738</v>
      </c>
      <c r="B47" s="65">
        <f>SUMIFS(Orders!$W$5:$W$1965,Orders!$D$5:$D$1965,$A47)</f>
        <v>2625156.2781543313</v>
      </c>
      <c r="C47" s="65">
        <f>SUMIFS(Orders!$AB$5:$AB$1965,Orders!$D$5:$D$1965,$A47)</f>
        <v>354704.91815433168</v>
      </c>
      <c r="D47" s="66">
        <f t="shared" si="2"/>
        <v>0.13511763894060969</v>
      </c>
      <c r="E47" s="19">
        <f>IF(B47=0,0,SUMPRODUCT((Orders!$D$5:$D$1965=$A47)*Orders!$W$5:$W$1965*Orders!$AD$5:$AD$1965)/B47)</f>
        <v>0.13599396166184513</v>
      </c>
      <c r="F47" s="67">
        <f t="shared" si="3"/>
        <v>-8.7632272123544519E-2</v>
      </c>
      <c r="G47" s="65">
        <f>SUMIFS(Orders!$AH$5:$AH$1965,Orders!$D$5:$D$1965,$A47)</f>
        <v>23412.211473257379</v>
      </c>
      <c r="H47" s="65">
        <f>SUMIFS(Orders!$V$5:$V$1965,Orders!$D$5:$D$1965,$A47)</f>
        <v>-104139.30940767608</v>
      </c>
      <c r="I47" s="65">
        <f>SUMIFS(Orders!$AA$5:$AA$1965,Orders!$D$5:$D$1965,$A47)</f>
        <v>-15195</v>
      </c>
      <c r="J47" s="65">
        <f>SUMIFS(Orders!$X$5:$X$1965,Orders!$D$5:$D$1965,$A47)</f>
        <v>-8937.4992982692438</v>
      </c>
      <c r="K47" s="68">
        <f>SUMIFS(Orders!$AF$5:$AF$1965,Orders!$D$5:$D$1965,$A47)</f>
        <v>3</v>
      </c>
      <c r="L47" s="68">
        <f>SUMIFS(Orders!$AG$5:$AG$1965,Orders!$D$5:$D$1965,$A47)</f>
        <v>3</v>
      </c>
    </row>
    <row r="48" spans="1:12" x14ac:dyDescent="0.2">
      <c r="A48" s="5" t="s">
        <v>844</v>
      </c>
      <c r="B48" s="65">
        <f>SUMIFS(Orders!$W$5:$W$1965,Orders!$D$5:$D$1965,$A48)</f>
        <v>2622984.2763767331</v>
      </c>
      <c r="C48" s="65">
        <f>SUMIFS(Orders!$AB$5:$AB$1965,Orders!$D$5:$D$1965,$A48)</f>
        <v>390975.3963767339</v>
      </c>
      <c r="D48" s="66">
        <f t="shared" si="2"/>
        <v>0.14905746858567101</v>
      </c>
      <c r="E48" s="19">
        <f>IF(B48=0,0,SUMPRODUCT((Orders!$D$5:$D$1965=$A48)*Orders!$W$5:$W$1965*Orders!$AD$5:$AD$1965)/B48)</f>
        <v>0.14015785632671413</v>
      </c>
      <c r="F48" s="67">
        <f t="shared" si="3"/>
        <v>0.88996122589568849</v>
      </c>
      <c r="G48" s="65">
        <f>SUMIFS(Orders!$AH$5:$AH$1965,Orders!$D$5:$D$1965,$A48)</f>
        <v>9506.9058387795267</v>
      </c>
      <c r="H48" s="65">
        <f>SUMIFS(Orders!$V$5:$V$1965,Orders!$D$5:$D$1965,$A48)</f>
        <v>-82979.110224682867</v>
      </c>
      <c r="I48" s="65">
        <f>SUMIFS(Orders!$AA$5:$AA$1965,Orders!$D$5:$D$1965,$A48)</f>
        <v>-8850</v>
      </c>
      <c r="J48" s="65">
        <f>SUMIFS(Orders!$X$5:$X$1965,Orders!$D$5:$D$1965,$A48)</f>
        <v>-7799.6905648760921</v>
      </c>
      <c r="K48" s="68">
        <f>SUMIFS(Orders!$AF$5:$AF$1965,Orders!$D$5:$D$1965,$A48)</f>
        <v>0</v>
      </c>
      <c r="L48" s="68">
        <f>SUMIFS(Orders!$AG$5:$AG$1965,Orders!$D$5:$D$1965,$A48)</f>
        <v>0</v>
      </c>
    </row>
    <row r="49" spans="1:12" x14ac:dyDescent="0.2">
      <c r="A49" s="5" t="s">
        <v>958</v>
      </c>
      <c r="B49" s="65">
        <f>SUMIFS(Orders!$W$5:$W$1965,Orders!$D$5:$D$1965,$A49)</f>
        <v>1857941.2201470784</v>
      </c>
      <c r="C49" s="65">
        <f>SUMIFS(Orders!$AB$5:$AB$1965,Orders!$D$5:$D$1965,$A49)</f>
        <v>240352.83014707791</v>
      </c>
      <c r="D49" s="66">
        <f t="shared" si="2"/>
        <v>0.12936514220188897</v>
      </c>
      <c r="E49" s="19">
        <f>IF(B49=0,0,SUMPRODUCT((Orders!$D$5:$D$1965=$A49)*Orders!$W$5:$W$1965*Orders!$AD$5:$AD$1965)/B49)</f>
        <v>0.13678177577509107</v>
      </c>
      <c r="F49" s="67">
        <f t="shared" si="3"/>
        <v>-0.74166335732021027</v>
      </c>
      <c r="G49" s="65">
        <f>SUMIFS(Orders!$AH$5:$AH$1965,Orders!$D$5:$D$1965,$A49)</f>
        <v>25959.049697127877</v>
      </c>
      <c r="H49" s="65">
        <f>SUMIFS(Orders!$V$5:$V$1965,Orders!$D$5:$D$1965,$A49)</f>
        <v>-71533.195370619695</v>
      </c>
      <c r="I49" s="65">
        <f>SUMIFS(Orders!$AA$5:$AA$1965,Orders!$D$5:$D$1965,$A49)</f>
        <v>-16149.469999999994</v>
      </c>
      <c r="J49" s="65">
        <f>SUMIFS(Orders!$X$5:$X$1965,Orders!$D$5:$D$1965,$A49)</f>
        <v>-11660.36865734899</v>
      </c>
      <c r="K49" s="68">
        <f>SUMIFS(Orders!$AF$5:$AF$1965,Orders!$D$5:$D$1965,$A49)</f>
        <v>5</v>
      </c>
      <c r="L49" s="68">
        <f>SUMIFS(Orders!$AG$5:$AG$1965,Orders!$D$5:$D$1965,$A49)</f>
        <v>4</v>
      </c>
    </row>
    <row r="50" spans="1:12" x14ac:dyDescent="0.2">
      <c r="A50" s="5" t="s">
        <v>1051</v>
      </c>
      <c r="B50" s="65">
        <f>SUMIFS(Orders!$W$5:$W$1965,Orders!$D$5:$D$1965,$A50)</f>
        <v>2376675.5033151708</v>
      </c>
      <c r="C50" s="65">
        <f>SUMIFS(Orders!$AB$5:$AB$1965,Orders!$D$5:$D$1965,$A50)</f>
        <v>300551.81331517117</v>
      </c>
      <c r="D50" s="66">
        <f t="shared" si="2"/>
        <v>0.12645891830665915</v>
      </c>
      <c r="E50" s="19">
        <f>IF(B50=0,0,SUMPRODUCT((Orders!$D$5:$D$1965=$A50)*Orders!$W$5:$W$1965*Orders!$AD$5:$AD$1965)/B50)</f>
        <v>0.13522557339523739</v>
      </c>
      <c r="F50" s="67">
        <f t="shared" si="3"/>
        <v>-0.87666550885782402</v>
      </c>
      <c r="G50" s="65">
        <f>SUMIFS(Orders!$AH$5:$AH$1965,Orders!$D$5:$D$1965,$A50)</f>
        <v>38085.900281462418</v>
      </c>
      <c r="H50" s="65">
        <f>SUMIFS(Orders!$V$5:$V$1965,Orders!$D$5:$D$1965,$A50)</f>
        <v>-91873.910056573674</v>
      </c>
      <c r="I50" s="65">
        <f>SUMIFS(Orders!$AA$5:$AA$1965,Orders!$D$5:$D$1965,$A50)</f>
        <v>-21843.819999999985</v>
      </c>
      <c r="J50" s="65">
        <f>SUMIFS(Orders!$X$5:$X$1965,Orders!$D$5:$D$1965,$A50)</f>
        <v>-10271.380112692339</v>
      </c>
      <c r="K50" s="68">
        <f>SUMIFS(Orders!$AF$5:$AF$1965,Orders!$D$5:$D$1965,$A50)</f>
        <v>7</v>
      </c>
      <c r="L50" s="68">
        <f>SUMIFS(Orders!$AG$5:$AG$1965,Orders!$D$5:$D$1965,$A50)</f>
        <v>7</v>
      </c>
    </row>
    <row r="51" spans="1:12" x14ac:dyDescent="0.2">
      <c r="A51" s="5" t="s">
        <v>1154</v>
      </c>
      <c r="B51" s="65">
        <f>SUMIFS(Orders!$W$5:$W$1965,Orders!$D$5:$D$1965,$A51)</f>
        <v>2479756.6632701401</v>
      </c>
      <c r="C51" s="65">
        <f>SUMIFS(Orders!$AB$5:$AB$1965,Orders!$D$5:$D$1965,$A51)</f>
        <v>316822.91327013943</v>
      </c>
      <c r="D51" s="66">
        <f t="shared" si="2"/>
        <v>0.12776371083618107</v>
      </c>
      <c r="E51" s="19">
        <f>IF(B51=0,0,SUMPRODUCT((Orders!$D$5:$D$1965=$A51)*Orders!$W$5:$W$1965*Orders!$AD$5:$AD$1965)/B51)</f>
        <v>0.13723474571289249</v>
      </c>
      <c r="F51" s="67">
        <f t="shared" si="3"/>
        <v>-0.9471034876711415</v>
      </c>
      <c r="G51" s="65">
        <f>SUMIFS(Orders!$AH$5:$AH$1965,Orders!$D$5:$D$1965,$A51)</f>
        <v>36592.002160776668</v>
      </c>
      <c r="H51" s="65">
        <f>SUMIFS(Orders!$V$5:$V$1965,Orders!$D$5:$D$1965,$A51)</f>
        <v>-92341.797922638361</v>
      </c>
      <c r="I51" s="65">
        <f>SUMIFS(Orders!$AA$5:$AA$1965,Orders!$D$5:$D$1965,$A51)</f>
        <v>-25755.259999999973</v>
      </c>
      <c r="J51" s="65">
        <f>SUMIFS(Orders!$X$5:$X$1965,Orders!$D$5:$D$1965,$A51)</f>
        <v>-20133.92837442732</v>
      </c>
      <c r="K51" s="68">
        <f>SUMIFS(Orders!$AF$5:$AF$1965,Orders!$D$5:$D$1965,$A51)</f>
        <v>5</v>
      </c>
      <c r="L51" s="68">
        <f>SUMIFS(Orders!$AG$5:$AG$1965,Orders!$D$5:$D$1965,$A51)</f>
        <v>5</v>
      </c>
    </row>
    <row r="52" spans="1:12" x14ac:dyDescent="0.2">
      <c r="A52" s="5" t="s">
        <v>1258</v>
      </c>
      <c r="B52" s="65">
        <f>SUMIFS(Orders!$W$5:$W$1965,Orders!$D$5:$D$1965,$A52)</f>
        <v>2449551.1009230982</v>
      </c>
      <c r="C52" s="65">
        <f>SUMIFS(Orders!$AB$5:$AB$1965,Orders!$D$5:$D$1965,$A52)</f>
        <v>290586.7109230989</v>
      </c>
      <c r="D52" s="66">
        <f t="shared" si="2"/>
        <v>0.11862855639696314</v>
      </c>
      <c r="E52" s="19">
        <f>IF(B52=0,0,SUMPRODUCT((Orders!$D$5:$D$1965=$A52)*Orders!$W$5:$W$1965*Orders!$AD$5:$AD$1965)/B52)</f>
        <v>0.13912869895991317</v>
      </c>
      <c r="F52" s="67">
        <f t="shared" si="3"/>
        <v>-2.0500142562950034</v>
      </c>
      <c r="G52" s="65">
        <f>SUMIFS(Orders!$AH$5:$AH$1965,Orders!$D$5:$D$1965,$A52)</f>
        <v>60938.048473047245</v>
      </c>
      <c r="H52" s="65">
        <f>SUMIFS(Orders!$V$5:$V$1965,Orders!$D$5:$D$1965,$A52)</f>
        <v>-111776.10184133091</v>
      </c>
      <c r="I52" s="65">
        <f>SUMIFS(Orders!$AA$5:$AA$1965,Orders!$D$5:$D$1965,$A52)</f>
        <v>-33628.12000000001</v>
      </c>
      <c r="J52" s="65">
        <f>SUMIFS(Orders!$X$5:$X$1965,Orders!$D$5:$D$1965,$A52)</f>
        <v>-27017.260941559631</v>
      </c>
      <c r="K52" s="68">
        <f>SUMIFS(Orders!$AF$5:$AF$1965,Orders!$D$5:$D$1965,$A52)</f>
        <v>15</v>
      </c>
      <c r="L52" s="68">
        <f>SUMIFS(Orders!$AG$5:$AG$1965,Orders!$D$5:$D$1965,$A52)</f>
        <v>13</v>
      </c>
    </row>
    <row r="53" spans="1:12" x14ac:dyDescent="0.2">
      <c r="A53" s="5" t="s">
        <v>1355</v>
      </c>
      <c r="B53" s="65">
        <f>SUMIFS(Orders!$W$5:$W$1965,Orders!$D$5:$D$1965,$A53)</f>
        <v>1934733.6389681494</v>
      </c>
      <c r="C53" s="65">
        <f>SUMIFS(Orders!$AB$5:$AB$1965,Orders!$D$5:$D$1965,$A53)</f>
        <v>254123.2289681492</v>
      </c>
      <c r="D53" s="66">
        <f t="shared" si="2"/>
        <v>0.131347914694697</v>
      </c>
      <c r="E53" s="19">
        <f>IF(B53=0,0,SUMPRODUCT((Orders!$D$5:$D$1965=$A53)*Orders!$W$5:$W$1965*Orders!$AD$5:$AD$1965)/B53)</f>
        <v>0.13805129813625891</v>
      </c>
      <c r="F53" s="67">
        <f t="shared" si="3"/>
        <v>-0.67033834415619054</v>
      </c>
      <c r="G53" s="65">
        <f>SUMIFS(Orders!$AH$5:$AH$1965,Orders!$D$5:$D$1965,$A53)</f>
        <v>24716.742704478365</v>
      </c>
      <c r="H53" s="65">
        <f>SUMIFS(Orders!$V$5:$V$1965,Orders!$D$5:$D$1965,$A53)</f>
        <v>-70165.523571771657</v>
      </c>
      <c r="I53" s="65">
        <f>SUMIFS(Orders!$AA$5:$AA$1965,Orders!$D$5:$D$1965,$A53)</f>
        <v>-12218.140000000003</v>
      </c>
      <c r="J53" s="65">
        <f>SUMIFS(Orders!$X$5:$X$1965,Orders!$D$5:$D$1965,$A53)</f>
        <v>-18770.404703635573</v>
      </c>
      <c r="K53" s="68">
        <f>SUMIFS(Orders!$AF$5:$AF$1965,Orders!$D$5:$D$1965,$A53)</f>
        <v>6</v>
      </c>
      <c r="L53" s="68">
        <f>SUMIFS(Orders!$AG$5:$AG$1965,Orders!$D$5:$D$1965,$A53)</f>
        <v>6</v>
      </c>
    </row>
    <row r="54" spans="1:12" x14ac:dyDescent="0.2">
      <c r="A54" s="5" t="s">
        <v>1444</v>
      </c>
      <c r="B54" s="65">
        <f>SUMIFS(Orders!$W$5:$W$1965,Orders!$D$5:$D$1965,$A54)</f>
        <v>1842181.875340393</v>
      </c>
      <c r="C54" s="65">
        <f>SUMIFS(Orders!$AB$5:$AB$1965,Orders!$D$5:$D$1965,$A54)</f>
        <v>236015.84534039331</v>
      </c>
      <c r="D54" s="66">
        <f t="shared" si="2"/>
        <v>0.12811755912905343</v>
      </c>
      <c r="E54" s="19">
        <f>IF(B54=0,0,SUMPRODUCT((Orders!$D$5:$D$1965=$A54)*Orders!$W$5:$W$1965*Orders!$AD$5:$AD$1965)/B54)</f>
        <v>0.13908504628511631</v>
      </c>
      <c r="F54" s="67">
        <f t="shared" si="3"/>
        <v>-1.0967487156062883</v>
      </c>
      <c r="G54" s="65">
        <f>SUMIFS(Orders!$AH$5:$AH$1965,Orders!$D$5:$D$1965,$A54)</f>
        <v>32859.793545265522</v>
      </c>
      <c r="H54" s="65">
        <f>SUMIFS(Orders!$V$5:$V$1965,Orders!$D$5:$D$1965,$A54)</f>
        <v>-75591.343109201451</v>
      </c>
      <c r="I54" s="65">
        <f>SUMIFS(Orders!$AA$5:$AA$1965,Orders!$D$5:$D$1965,$A54)</f>
        <v>-8993.2199999999975</v>
      </c>
      <c r="J54" s="65">
        <f>SUMIFS(Orders!$X$5:$X$1965,Orders!$D$5:$D$1965,$A54)</f>
        <v>-27278.454850679867</v>
      </c>
      <c r="K54" s="68">
        <f>SUMIFS(Orders!$AF$5:$AF$1965,Orders!$D$5:$D$1965,$A54)</f>
        <v>6</v>
      </c>
      <c r="L54" s="68">
        <f>SUMIFS(Orders!$AG$5:$AG$1965,Orders!$D$5:$D$1965,$A54)</f>
        <v>6</v>
      </c>
    </row>
  </sheetData>
  <conditionalFormatting sqref="F17:F21">
    <cfRule type="cellIs" dxfId="7" priority="1" operator="lessThan">
      <formula>-1</formula>
    </cfRule>
  </conditionalFormatting>
  <conditionalFormatting sqref="F26:F28">
    <cfRule type="cellIs" dxfId="6" priority="2" operator="lessThan">
      <formula>-1</formula>
    </cfRule>
  </conditionalFormatting>
  <conditionalFormatting sqref="F33:F38">
    <cfRule type="cellIs" dxfId="5" priority="3" operator="lessThan">
      <formula>-1</formula>
    </cfRule>
  </conditionalFormatting>
  <conditionalFormatting sqref="F43:F54">
    <cfRule type="cellIs" dxfId="4" priority="4" operator="lessThan">
      <formula>-1</formula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36" customWidth="1"/>
    <col min="3" max="3" width="10" customWidth="1"/>
    <col min="4" max="4" width="11" customWidth="1"/>
    <col min="5" max="6" width="9" customWidth="1"/>
    <col min="7" max="8" width="13" customWidth="1"/>
    <col min="9" max="10" width="9" customWidth="1"/>
    <col min="11" max="11" width="12" customWidth="1"/>
    <col min="12" max="12" width="6" customWidth="1"/>
    <col min="13" max="13" width="11" customWidth="1"/>
    <col min="14" max="14" width="9" customWidth="1"/>
    <col min="15" max="15" width="40" customWidth="1"/>
  </cols>
  <sheetData>
    <row r="1" spans="1:15" ht="18" x14ac:dyDescent="0.2">
      <c r="A1" s="1" t="s">
        <v>1571</v>
      </c>
    </row>
    <row r="2" spans="1:15" x14ac:dyDescent="0.2">
      <c r="A2" s="2" t="s">
        <v>1572</v>
      </c>
    </row>
    <row r="4" spans="1:15" ht="30" customHeight="1" x14ac:dyDescent="0.2">
      <c r="A4" s="10" t="s">
        <v>86</v>
      </c>
      <c r="B4" s="10" t="s">
        <v>88</v>
      </c>
      <c r="C4" s="10" t="s">
        <v>74</v>
      </c>
      <c r="D4" s="10" t="s">
        <v>89</v>
      </c>
      <c r="E4" s="10" t="s">
        <v>90</v>
      </c>
      <c r="F4" s="10" t="s">
        <v>1573</v>
      </c>
      <c r="G4" s="10" t="s">
        <v>44</v>
      </c>
      <c r="H4" s="10" t="s">
        <v>1551</v>
      </c>
      <c r="I4" s="10" t="s">
        <v>240</v>
      </c>
      <c r="J4" s="10" t="s">
        <v>75</v>
      </c>
      <c r="K4" s="10" t="s">
        <v>1574</v>
      </c>
      <c r="L4" s="10" t="s">
        <v>1575</v>
      </c>
      <c r="M4" s="10" t="s">
        <v>1576</v>
      </c>
      <c r="N4" s="10" t="s">
        <v>1577</v>
      </c>
      <c r="O4" s="10" t="s">
        <v>1578</v>
      </c>
    </row>
    <row r="5" spans="1:15" x14ac:dyDescent="0.2">
      <c r="A5" s="5" t="s">
        <v>93</v>
      </c>
      <c r="B5" s="17" t="str">
        <f>INDEX(SKU_Master!$C$5:$C$34,MATCH($A5,SKU_Master!$A$5:$A$34,0))</f>
        <v>MacBook Air 13 M3 16GB/512GB</v>
      </c>
      <c r="C5" s="17" t="str">
        <f>INDEX(SKU_Master!$D$5:$D$34,MATCH($A5,SKU_Master!$A$5:$A$34,0))</f>
        <v>Laptop</v>
      </c>
      <c r="D5" s="17" t="str">
        <f>INDEX(SKU_Master!$E$5:$E$34,MATCH($A5,SKU_Master!$A$5:$A$34,0))</f>
        <v>Mainstream</v>
      </c>
      <c r="E5" s="17" t="str">
        <f>INDEX(SKU_Master!$F$5:$F$34,MATCH($A5,SKU_Master!$A$5:$A$34,0))</f>
        <v>Active</v>
      </c>
      <c r="F5" s="68">
        <f>SUMIFS(Orders!$J$5:$J$1965,Orders!$I$5:$I$1965,$A5)</f>
        <v>3131</v>
      </c>
      <c r="G5" s="65">
        <f>SUMIFS(Orders!$W$5:$W$1965,Orders!$I$5:$I$1965,$A5)</f>
        <v>4378201.9951725313</v>
      </c>
      <c r="H5" s="65">
        <f>SUMIFS(Orders!$AB$5:$AB$1965,Orders!$I$5:$I$1965,$A5)</f>
        <v>523545.79517253384</v>
      </c>
      <c r="I5" s="25">
        <f t="shared" ref="I5:I34" si="0">IF(G5=0,0,H5/G5)</f>
        <v>0.11958009149641861</v>
      </c>
      <c r="J5" s="19">
        <f>INDEX(Assumptions!$B$14:$B$16,MATCH($C5,Assumptions!$A$14:$A$16,0))</f>
        <v>0.12</v>
      </c>
      <c r="K5" s="25">
        <f>IF(SUMIFS($G$5:$G$34,$C$5:$C$34,C5)=0,0,SUMIFS($G$5:G5,$C$5:C5,C5)/SUMIFS($G$5:$G$34,$C$5:$C$34,C5))</f>
        <v>0.19409471911137724</v>
      </c>
      <c r="L5" s="69" t="str">
        <f>IF(K5-IF(SUMIFS($G$5:$G$34,$C$5:$C$34,C5)=0,0,G5/SUMIFS($G$5:$G$34,$C$5:$C$34,C5))&lt;Assumptions!$C$20,"A",IF(K5-IF(SUMIFS($G$5:$G$34,$C$5:$C$34,C5)=0,0,G5/SUMIFS($G$5:$G$34,$C$5:$C$34,C5))&lt;Assumptions!$C$21,"B","C"))</f>
        <v>A</v>
      </c>
      <c r="M5" s="25">
        <f t="shared" ref="M5:M34" si="1">IF(SUMIFS($F$5:$F$34,$C$5:$C$34,C5)=0,0,F5/SUMIFS($F$5:$F$34,$C$5:$C$34,C5))</f>
        <v>0.20497545008183307</v>
      </c>
      <c r="N5" s="70">
        <f t="shared" ref="N5:N34" si="2">COUNTIFS($C$5:$C$34,C5,$D$5:$D$34,D5)</f>
        <v>7</v>
      </c>
      <c r="O5" s="17" t="str">
        <f>IF(E5="EOL","Phase out: end of life, move demand to current gen",IF(AND(L5="C",N5&gt;1,M5&lt;Assumptions!$C$22),"Consolidate: low volume, duplicate of same tier",IF(I5&lt;J5-Assumptions!$C$23,"Below target: reprice or renegotiate cost",IF(L5="A","Preferred: negotiate volume rebate","Keep"))))</f>
        <v>Preferred: negotiate volume rebate</v>
      </c>
    </row>
    <row r="6" spans="1:15" x14ac:dyDescent="0.2">
      <c r="A6" s="5" t="s">
        <v>98</v>
      </c>
      <c r="B6" s="17" t="str">
        <f>INDEX(SKU_Master!$C$5:$C$34,MATCH($A6,SKU_Master!$A$5:$A$34,0))</f>
        <v>MacBook Pro 14 M3 Pro 18GB/512GB</v>
      </c>
      <c r="C6" s="17" t="str">
        <f>INDEX(SKU_Master!$D$5:$D$34,MATCH($A6,SKU_Master!$A$5:$A$34,0))</f>
        <v>Laptop</v>
      </c>
      <c r="D6" s="17" t="str">
        <f>INDEX(SKU_Master!$E$5:$E$34,MATCH($A6,SKU_Master!$A$5:$A$34,0))</f>
        <v>Premium</v>
      </c>
      <c r="E6" s="17" t="str">
        <f>INDEX(SKU_Master!$F$5:$F$34,MATCH($A6,SKU_Master!$A$5:$A$34,0))</f>
        <v>Active</v>
      </c>
      <c r="F6" s="68">
        <f>SUMIFS(Orders!$J$5:$J$1965,Orders!$I$5:$I$1965,$A6)</f>
        <v>1887</v>
      </c>
      <c r="G6" s="65">
        <f>SUMIFS(Orders!$W$5:$W$1965,Orders!$I$5:$I$1965,$A6)</f>
        <v>3939328.9001034251</v>
      </c>
      <c r="H6" s="65">
        <f>SUMIFS(Orders!$AB$5:$AB$1965,Orders!$I$5:$I$1965,$A6)</f>
        <v>466756.30010342435</v>
      </c>
      <c r="I6" s="25">
        <f t="shared" si="0"/>
        <v>0.11848624776955534</v>
      </c>
      <c r="J6" s="19">
        <f>INDEX(Assumptions!$B$14:$B$16,MATCH($C6,Assumptions!$A$14:$A$16,0))</f>
        <v>0.12</v>
      </c>
      <c r="K6" s="25">
        <f>IF(SUMIFS($G$5:$G$34,$C$5:$C$34,C6)=0,0,SUMIFS($G$5:G6,$C$5:C6,C6)/SUMIFS($G$5:$G$34,$C$5:$C$34,C6))</f>
        <v>0.3687332892814989</v>
      </c>
      <c r="L6" s="69" t="str">
        <f>IF(K6-IF(SUMIFS($G$5:$G$34,$C$5:$C$34,C6)=0,0,G6/SUMIFS($G$5:$G$34,$C$5:$C$34,C6))&lt;Assumptions!$C$20,"A",IF(K6-IF(SUMIFS($G$5:$G$34,$C$5:$C$34,C6)=0,0,G6/SUMIFS($G$5:$G$34,$C$5:$C$34,C6))&lt;Assumptions!$C$21,"B","C"))</f>
        <v>A</v>
      </c>
      <c r="M6" s="25">
        <f t="shared" si="1"/>
        <v>0.12353518821603927</v>
      </c>
      <c r="N6" s="70">
        <f t="shared" si="2"/>
        <v>6</v>
      </c>
      <c r="O6" s="17" t="str">
        <f>IF(E6="EOL","Phase out: end of life, move demand to current gen",IF(AND(L6="C",N6&gt;1,M6&lt;Assumptions!$C$22),"Consolidate: low volume, duplicate of same tier",IF(I6&lt;J6-Assumptions!$C$23,"Below target: reprice or renegotiate cost",IF(L6="A","Preferred: negotiate volume rebate","Keep"))))</f>
        <v>Preferred: negotiate volume rebate</v>
      </c>
    </row>
    <row r="7" spans="1:15" x14ac:dyDescent="0.2">
      <c r="A7" s="5" t="s">
        <v>113</v>
      </c>
      <c r="B7" s="17" t="str">
        <f>INDEX(SKU_Master!$C$5:$C$34,MATCH($A7,SKU_Master!$A$5:$A$34,0))</f>
        <v>ThinkPad X1 Carbon Gen 12 i7/32GB/1TB</v>
      </c>
      <c r="C7" s="17" t="str">
        <f>INDEX(SKU_Master!$D$5:$D$34,MATCH($A7,SKU_Master!$A$5:$A$34,0))</f>
        <v>Laptop</v>
      </c>
      <c r="D7" s="17" t="str">
        <f>INDEX(SKU_Master!$E$5:$E$34,MATCH($A7,SKU_Master!$A$5:$A$34,0))</f>
        <v>Premium</v>
      </c>
      <c r="E7" s="17" t="str">
        <f>INDEX(SKU_Master!$F$5:$F$34,MATCH($A7,SKU_Master!$A$5:$A$34,0))</f>
        <v>Active</v>
      </c>
      <c r="F7" s="68">
        <f>SUMIFS(Orders!$J$5:$J$1965,Orders!$I$5:$I$1965,$A7)</f>
        <v>1596</v>
      </c>
      <c r="G7" s="65">
        <f>SUMIFS(Orders!$W$5:$W$1965,Orders!$I$5:$I$1965,$A7)</f>
        <v>2733920.0159060038</v>
      </c>
      <c r="H7" s="65">
        <f>SUMIFS(Orders!$AB$5:$AB$1965,Orders!$I$5:$I$1965,$A7)</f>
        <v>324570.16590600321</v>
      </c>
      <c r="I7" s="25">
        <f t="shared" si="0"/>
        <v>0.11871970065607158</v>
      </c>
      <c r="J7" s="19">
        <f>INDEX(Assumptions!$B$14:$B$16,MATCH($C7,Assumptions!$A$14:$A$16,0))</f>
        <v>0.12</v>
      </c>
      <c r="K7" s="25">
        <f>IF(SUMIFS($G$5:$G$34,$C$5:$C$34,C7)=0,0,SUMIFS($G$5:G7,$C$5:C7,C7)/SUMIFS($G$5:$G$34,$C$5:$C$34,C7))</f>
        <v>0.48993359893951344</v>
      </c>
      <c r="L7" s="69" t="str">
        <f>IF(K7-IF(SUMIFS($G$5:$G$34,$C$5:$C$34,C7)=0,0,G7/SUMIFS($G$5:$G$34,$C$5:$C$34,C7))&lt;Assumptions!$C$20,"A",IF(K7-IF(SUMIFS($G$5:$G$34,$C$5:$C$34,C7)=0,0,G7/SUMIFS($G$5:$G$34,$C$5:$C$34,C7))&lt;Assumptions!$C$21,"B","C"))</f>
        <v>A</v>
      </c>
      <c r="M7" s="25">
        <f t="shared" si="1"/>
        <v>0.10448445171849427</v>
      </c>
      <c r="N7" s="70">
        <f t="shared" si="2"/>
        <v>6</v>
      </c>
      <c r="O7" s="17" t="str">
        <f>IF(E7="EOL","Phase out: end of life, move demand to current gen",IF(AND(L7="C",N7&gt;1,M7&lt;Assumptions!$C$22),"Consolidate: low volume, duplicate of same tier",IF(I7&lt;J7-Assumptions!$C$23,"Below target: reprice or renegotiate cost",IF(L7="A","Preferred: negotiate volume rebate","Keep"))))</f>
        <v>Preferred: negotiate volume rebate</v>
      </c>
    </row>
    <row r="8" spans="1:15" x14ac:dyDescent="0.2">
      <c r="A8" s="5" t="s">
        <v>108</v>
      </c>
      <c r="B8" s="17" t="str">
        <f>INDEX(SKU_Master!$C$5:$C$34,MATCH($A8,SKU_Master!$A$5:$A$34,0))</f>
        <v>XPS 13 9340 Ultra 7/16GB/512GB</v>
      </c>
      <c r="C8" s="17" t="str">
        <f>INDEX(SKU_Master!$D$5:$D$34,MATCH($A8,SKU_Master!$A$5:$A$34,0))</f>
        <v>Laptop</v>
      </c>
      <c r="D8" s="17" t="str">
        <f>INDEX(SKU_Master!$E$5:$E$34,MATCH($A8,SKU_Master!$A$5:$A$34,0))</f>
        <v>Premium</v>
      </c>
      <c r="E8" s="17" t="str">
        <f>INDEX(SKU_Master!$F$5:$F$34,MATCH($A8,SKU_Master!$A$5:$A$34,0))</f>
        <v>Active</v>
      </c>
      <c r="F8" s="68">
        <f>SUMIFS(Orders!$J$5:$J$1965,Orders!$I$5:$I$1965,$A8)</f>
        <v>1557</v>
      </c>
      <c r="G8" s="65">
        <f>SUMIFS(Orders!$W$5:$W$1965,Orders!$I$5:$I$1965,$A8)</f>
        <v>2076746.99325767</v>
      </c>
      <c r="H8" s="65">
        <f>SUMIFS(Orders!$AB$5:$AB$1965,Orders!$I$5:$I$1965,$A8)</f>
        <v>204325.64325767025</v>
      </c>
      <c r="I8" s="25">
        <f t="shared" si="0"/>
        <v>9.8387354801056787E-2</v>
      </c>
      <c r="J8" s="19">
        <f>INDEX(Assumptions!$B$14:$B$16,MATCH($C8,Assumptions!$A$14:$A$16,0))</f>
        <v>0.12</v>
      </c>
      <c r="K8" s="25">
        <f>IF(SUMIFS($G$5:$G$34,$C$5:$C$34,C8)=0,0,SUMIFS($G$5:G8,$C$5:C8,C8)/SUMIFS($G$5:$G$34,$C$5:$C$34,C8))</f>
        <v>0.58200007389114716</v>
      </c>
      <c r="L8" s="69" t="str">
        <f>IF(K8-IF(SUMIFS($G$5:$G$34,$C$5:$C$34,C8)=0,0,G8/SUMIFS($G$5:$G$34,$C$5:$C$34,C8))&lt;Assumptions!$C$20,"A",IF(K8-IF(SUMIFS($G$5:$G$34,$C$5:$C$34,C8)=0,0,G8/SUMIFS($G$5:$G$34,$C$5:$C$34,C8))&lt;Assumptions!$C$21,"B","C"))</f>
        <v>A</v>
      </c>
      <c r="M8" s="25">
        <f t="shared" si="1"/>
        <v>0.10193126022913257</v>
      </c>
      <c r="N8" s="70">
        <f t="shared" si="2"/>
        <v>6</v>
      </c>
      <c r="O8" s="17" t="str">
        <f>IF(E8="EOL","Phase out: end of life, move demand to current gen",IF(AND(L8="C",N8&gt;1,M8&lt;Assumptions!$C$22),"Consolidate: low volume, duplicate of same tier",IF(I8&lt;J8-Assumptions!$C$23,"Below target: reprice or renegotiate cost",IF(L8="A","Preferred: negotiate volume rebate","Keep"))))</f>
        <v>Below target: reprice or renegotiate cost</v>
      </c>
    </row>
    <row r="9" spans="1:15" x14ac:dyDescent="0.2">
      <c r="A9" s="5" t="s">
        <v>110</v>
      </c>
      <c r="B9" s="17" t="str">
        <f>INDEX(SKU_Master!$C$5:$C$34,MATCH($A9,SKU_Master!$A$5:$A$34,0))</f>
        <v>ThinkPad T14 Gen 5 i5/16GB/512GB</v>
      </c>
      <c r="C9" s="17" t="str">
        <f>INDEX(SKU_Master!$D$5:$D$34,MATCH($A9,SKU_Master!$A$5:$A$34,0))</f>
        <v>Laptop</v>
      </c>
      <c r="D9" s="17" t="str">
        <f>INDEX(SKU_Master!$E$5:$E$34,MATCH($A9,SKU_Master!$A$5:$A$34,0))</f>
        <v>Mainstream</v>
      </c>
      <c r="E9" s="17" t="str">
        <f>INDEX(SKU_Master!$F$5:$F$34,MATCH($A9,SKU_Master!$A$5:$A$34,0))</f>
        <v>Active</v>
      </c>
      <c r="F9" s="68">
        <f>SUMIFS(Orders!$J$5:$J$1965,Orders!$I$5:$I$1965,$A9)</f>
        <v>1744</v>
      </c>
      <c r="G9" s="65">
        <f>SUMIFS(Orders!$W$5:$W$1965,Orders!$I$5:$I$1965,$A9)</f>
        <v>2049079.6959035185</v>
      </c>
      <c r="H9" s="65">
        <f>SUMIFS(Orders!$AB$5:$AB$1965,Orders!$I$5:$I$1965,$A9)</f>
        <v>243725.23590351851</v>
      </c>
      <c r="I9" s="25">
        <f t="shared" si="0"/>
        <v>0.1189437562583678</v>
      </c>
      <c r="J9" s="19">
        <f>INDEX(Assumptions!$B$14:$B$16,MATCH($C9,Assumptions!$A$14:$A$16,0))</f>
        <v>0.12</v>
      </c>
      <c r="K9" s="25">
        <f>IF(SUMIFS($G$5:$G$34,$C$5:$C$34,C9)=0,0,SUMIFS($G$5:G9,$C$5:C9,C9)/SUMIFS($G$5:$G$34,$C$5:$C$34,C9))</f>
        <v>0.67284000052124482</v>
      </c>
      <c r="L9" s="69" t="str">
        <f>IF(K9-IF(SUMIFS($G$5:$G$34,$C$5:$C$34,C9)=0,0,G9/SUMIFS($G$5:$G$34,$C$5:$C$34,C9))&lt;Assumptions!$C$20,"A",IF(K9-IF(SUMIFS($G$5:$G$34,$C$5:$C$34,C9)=0,0,G9/SUMIFS($G$5:$G$34,$C$5:$C$34,C9))&lt;Assumptions!$C$21,"B","C"))</f>
        <v>A</v>
      </c>
      <c r="M9" s="25">
        <f t="shared" si="1"/>
        <v>0.11417348608837971</v>
      </c>
      <c r="N9" s="70">
        <f t="shared" si="2"/>
        <v>7</v>
      </c>
      <c r="O9" s="17" t="str">
        <f>IF(E9="EOL","Phase out: end of life, move demand to current gen",IF(AND(L9="C",N9&gt;1,M9&lt;Assumptions!$C$22),"Consolidate: low volume, duplicate of same tier",IF(I9&lt;J9-Assumptions!$C$23,"Below target: reprice or renegotiate cost",IF(L9="A","Preferred: negotiate volume rebate","Keep"))))</f>
        <v>Preferred: negotiate volume rebate</v>
      </c>
    </row>
    <row r="10" spans="1:15" x14ac:dyDescent="0.2">
      <c r="A10" s="5" t="s">
        <v>106</v>
      </c>
      <c r="B10" s="17" t="str">
        <f>INDEX(SKU_Master!$C$5:$C$34,MATCH($A10,SKU_Master!$A$5:$A$34,0))</f>
        <v>Latitude 7450 i7/16GB/512GB</v>
      </c>
      <c r="C10" s="17" t="str">
        <f>INDEX(SKU_Master!$D$5:$D$34,MATCH($A10,SKU_Master!$A$5:$A$34,0))</f>
        <v>Laptop</v>
      </c>
      <c r="D10" s="17" t="str">
        <f>INDEX(SKU_Master!$E$5:$E$34,MATCH($A10,SKU_Master!$A$5:$A$34,0))</f>
        <v>Premium</v>
      </c>
      <c r="E10" s="17" t="str">
        <f>INDEX(SKU_Master!$F$5:$F$34,MATCH($A10,SKU_Master!$A$5:$A$34,0))</f>
        <v>Active</v>
      </c>
      <c r="F10" s="68">
        <f>SUMIFS(Orders!$J$5:$J$1965,Orders!$I$5:$I$1965,$A10)</f>
        <v>1054</v>
      </c>
      <c r="G10" s="65">
        <f>SUMIFS(Orders!$W$5:$W$1965,Orders!$I$5:$I$1965,$A10)</f>
        <v>1612949.3637284182</v>
      </c>
      <c r="H10" s="65">
        <f>SUMIFS(Orders!$AB$5:$AB$1965,Orders!$I$5:$I$1965,$A10)</f>
        <v>186925.28372841835</v>
      </c>
      <c r="I10" s="25">
        <f t="shared" si="0"/>
        <v>0.11589036080855671</v>
      </c>
      <c r="J10" s="19">
        <f>INDEX(Assumptions!$B$14:$B$16,MATCH($C10,Assumptions!$A$14:$A$16,0))</f>
        <v>0.12</v>
      </c>
      <c r="K10" s="25">
        <f>IF(SUMIFS($G$5:$G$34,$C$5:$C$34,C10)=0,0,SUMIFS($G$5:G10,$C$5:C10,C10)/SUMIFS($G$5:$G$34,$C$5:$C$34,C10))</f>
        <v>0.74434537054275862</v>
      </c>
      <c r="L10" s="69" t="str">
        <f>IF(K10-IF(SUMIFS($G$5:$G$34,$C$5:$C$34,C10)=0,0,G10/SUMIFS($G$5:$G$34,$C$5:$C$34,C10))&lt;Assumptions!$C$20,"A",IF(K10-IF(SUMIFS($G$5:$G$34,$C$5:$C$34,C10)=0,0,G10/SUMIFS($G$5:$G$34,$C$5:$C$34,C10))&lt;Assumptions!$C$21,"B","C"))</f>
        <v>A</v>
      </c>
      <c r="M10" s="25">
        <f t="shared" si="1"/>
        <v>6.9001636661211133E-2</v>
      </c>
      <c r="N10" s="70">
        <f t="shared" si="2"/>
        <v>6</v>
      </c>
      <c r="O10" s="17" t="str">
        <f>IF(E10="EOL","Phase out: end of life, move demand to current gen",IF(AND(L10="C",N10&gt;1,M10&lt;Assumptions!$C$22),"Consolidate: low volume, duplicate of same tier",IF(I10&lt;J10-Assumptions!$C$23,"Below target: reprice or renegotiate cost",IF(L10="A","Preferred: negotiate volume rebate","Keep"))))</f>
        <v>Preferred: negotiate volume rebate</v>
      </c>
    </row>
    <row r="11" spans="1:15" x14ac:dyDescent="0.2">
      <c r="A11" s="5" t="s">
        <v>101</v>
      </c>
      <c r="B11" s="17" t="str">
        <f>INDEX(SKU_Master!$C$5:$C$34,MATCH($A11,SKU_Master!$A$5:$A$34,0))</f>
        <v>MacBook Pro 16 M3 Max 36GB/1TB</v>
      </c>
      <c r="C11" s="17" t="str">
        <f>INDEX(SKU_Master!$D$5:$D$34,MATCH($A11,SKU_Master!$A$5:$A$34,0))</f>
        <v>Laptop</v>
      </c>
      <c r="D11" s="17" t="str">
        <f>INDEX(SKU_Master!$E$5:$E$34,MATCH($A11,SKU_Master!$A$5:$A$34,0))</f>
        <v>Premium</v>
      </c>
      <c r="E11" s="17" t="str">
        <f>INDEX(SKU_Master!$F$5:$F$34,MATCH($A11,SKU_Master!$A$5:$A$34,0))</f>
        <v>Active</v>
      </c>
      <c r="F11" s="68">
        <f>SUMIFS(Orders!$J$5:$J$1965,Orders!$I$5:$I$1965,$A11)</f>
        <v>376</v>
      </c>
      <c r="G11" s="65">
        <f>SUMIFS(Orders!$W$5:$W$1965,Orders!$I$5:$I$1965,$A11)</f>
        <v>1286029.3166111575</v>
      </c>
      <c r="H11" s="65">
        <f>SUMIFS(Orders!$AB$5:$AB$1965,Orders!$I$5:$I$1965,$A11)</f>
        <v>149768.3366111574</v>
      </c>
      <c r="I11" s="25">
        <f t="shared" si="0"/>
        <v>0.11645794903479731</v>
      </c>
      <c r="J11" s="19">
        <f>INDEX(Assumptions!$B$14:$B$16,MATCH($C11,Assumptions!$A$14:$A$16,0))</f>
        <v>0.12</v>
      </c>
      <c r="K11" s="25">
        <f>IF(SUMIFS($G$5:$G$34,$C$5:$C$34,C11)=0,0,SUMIFS($G$5:G11,$C$5:C11,C11)/SUMIFS($G$5:$G$34,$C$5:$C$34,C11))</f>
        <v>0.80135770100441028</v>
      </c>
      <c r="L11" s="69" t="str">
        <f>IF(K11-IF(SUMIFS($G$5:$G$34,$C$5:$C$34,C11)=0,0,G11/SUMIFS($G$5:$G$34,$C$5:$C$34,C11))&lt;Assumptions!$C$20,"A",IF(K11-IF(SUMIFS($G$5:$G$34,$C$5:$C$34,C11)=0,0,G11/SUMIFS($G$5:$G$34,$C$5:$C$34,C11))&lt;Assumptions!$C$21,"B","C"))</f>
        <v>A</v>
      </c>
      <c r="M11" s="25">
        <f t="shared" si="1"/>
        <v>2.4615384615384615E-2</v>
      </c>
      <c r="N11" s="70">
        <f t="shared" si="2"/>
        <v>6</v>
      </c>
      <c r="O11" s="17" t="str">
        <f>IF(E11="EOL","Phase out: end of life, move demand to current gen",IF(AND(L11="C",N11&gt;1,M11&lt;Assumptions!$C$22),"Consolidate: low volume, duplicate of same tier",IF(I11&lt;J11-Assumptions!$C$23,"Below target: reprice or renegotiate cost",IF(L11="A","Preferred: negotiate volume rebate","Keep"))))</f>
        <v>Preferred: negotiate volume rebate</v>
      </c>
    </row>
    <row r="12" spans="1:15" x14ac:dyDescent="0.2">
      <c r="A12" s="5" t="s">
        <v>118</v>
      </c>
      <c r="B12" s="17" t="str">
        <f>INDEX(SKU_Master!$C$5:$C$34,MATCH($A12,SKU_Master!$A$5:$A$34,0))</f>
        <v>EliteBook 840 G11 Ultra 5/16GB/512GB</v>
      </c>
      <c r="C12" s="17" t="str">
        <f>INDEX(SKU_Master!$D$5:$D$34,MATCH($A12,SKU_Master!$A$5:$A$34,0))</f>
        <v>Laptop</v>
      </c>
      <c r="D12" s="17" t="str">
        <f>INDEX(SKU_Master!$E$5:$E$34,MATCH($A12,SKU_Master!$A$5:$A$34,0))</f>
        <v>Mainstream</v>
      </c>
      <c r="E12" s="17" t="str">
        <f>INDEX(SKU_Master!$F$5:$F$34,MATCH($A12,SKU_Master!$A$5:$A$34,0))</f>
        <v>Active</v>
      </c>
      <c r="F12" s="68">
        <f>SUMIFS(Orders!$J$5:$J$1965,Orders!$I$5:$I$1965,$A12)</f>
        <v>929</v>
      </c>
      <c r="G12" s="65">
        <f>SUMIFS(Orders!$W$5:$W$1965,Orders!$I$5:$I$1965,$A12)</f>
        <v>1267662.6799062323</v>
      </c>
      <c r="H12" s="65">
        <f>SUMIFS(Orders!$AB$5:$AB$1965,Orders!$I$5:$I$1965,$A12)</f>
        <v>121124.5099062325</v>
      </c>
      <c r="I12" s="25">
        <f t="shared" si="0"/>
        <v>9.5549480020341027E-2</v>
      </c>
      <c r="J12" s="19">
        <f>INDEX(Assumptions!$B$14:$B$16,MATCH($C12,Assumptions!$A$14:$A$16,0))</f>
        <v>0.12</v>
      </c>
      <c r="K12" s="25">
        <f>IF(SUMIFS($G$5:$G$34,$C$5:$C$34,C12)=0,0,SUMIFS($G$5:G12,$C$5:C12,C12)/SUMIFS($G$5:$G$34,$C$5:$C$34,C12))</f>
        <v>0.85755580060229775</v>
      </c>
      <c r="L12" s="69" t="str">
        <f>IF(K12-IF(SUMIFS($G$5:$G$34,$C$5:$C$34,C12)=0,0,G12/SUMIFS($G$5:$G$34,$C$5:$C$34,C12))&lt;Assumptions!$C$20,"A",IF(K12-IF(SUMIFS($G$5:$G$34,$C$5:$C$34,C12)=0,0,G12/SUMIFS($G$5:$G$34,$C$5:$C$34,C12))&lt;Assumptions!$C$21,"B","C"))</f>
        <v>B</v>
      </c>
      <c r="M12" s="25">
        <f t="shared" si="1"/>
        <v>6.0818330605564651E-2</v>
      </c>
      <c r="N12" s="70">
        <f t="shared" si="2"/>
        <v>7</v>
      </c>
      <c r="O12" s="17" t="str">
        <f>IF(E12="EOL","Phase out: end of life, move demand to current gen",IF(AND(L12="C",N12&gt;1,M12&lt;Assumptions!$C$22),"Consolidate: low volume, duplicate of same tier",IF(I12&lt;J12-Assumptions!$C$23,"Below target: reprice or renegotiate cost",IF(L12="A","Preferred: negotiate volume rebate","Keep"))))</f>
        <v>Below target: reprice or renegotiate cost</v>
      </c>
    </row>
    <row r="13" spans="1:15" x14ac:dyDescent="0.2">
      <c r="A13" s="5" t="s">
        <v>103</v>
      </c>
      <c r="B13" s="17" t="str">
        <f>INDEX(SKU_Master!$C$5:$C$34,MATCH($A13,SKU_Master!$A$5:$A$34,0))</f>
        <v>Latitude 5450 i5/16GB/512GB</v>
      </c>
      <c r="C13" s="17" t="str">
        <f>INDEX(SKU_Master!$D$5:$D$34,MATCH($A13,SKU_Master!$A$5:$A$34,0))</f>
        <v>Laptop</v>
      </c>
      <c r="D13" s="17" t="str">
        <f>INDEX(SKU_Master!$E$5:$E$34,MATCH($A13,SKU_Master!$A$5:$A$34,0))</f>
        <v>Mainstream</v>
      </c>
      <c r="E13" s="17" t="str">
        <f>INDEX(SKU_Master!$F$5:$F$34,MATCH($A13,SKU_Master!$A$5:$A$34,0))</f>
        <v>Active</v>
      </c>
      <c r="F13" s="68">
        <f>SUMIFS(Orders!$J$5:$J$1965,Orders!$I$5:$I$1965,$A13)</f>
        <v>1089</v>
      </c>
      <c r="G13" s="65">
        <f>SUMIFS(Orders!$W$5:$W$1965,Orders!$I$5:$I$1965,$A13)</f>
        <v>1248282.889487975</v>
      </c>
      <c r="H13" s="65">
        <f>SUMIFS(Orders!$AB$5:$AB$1965,Orders!$I$5:$I$1965,$A13)</f>
        <v>156822.88948797446</v>
      </c>
      <c r="I13" s="25">
        <f t="shared" si="0"/>
        <v>0.12563088928688321</v>
      </c>
      <c r="J13" s="19">
        <f>INDEX(Assumptions!$B$14:$B$16,MATCH($C13,Assumptions!$A$14:$A$16,0))</f>
        <v>0.12</v>
      </c>
      <c r="K13" s="25">
        <f>IF(SUMIFS($G$5:$G$34,$C$5:$C$34,C13)=0,0,SUMIFS($G$5:G13,$C$5:C13,C13)/SUMIFS($G$5:$G$34,$C$5:$C$34,C13))</f>
        <v>0.91289475414392363</v>
      </c>
      <c r="L13" s="69" t="str">
        <f>IF(K13-IF(SUMIFS($G$5:$G$34,$C$5:$C$34,C13)=0,0,G13/SUMIFS($G$5:$G$34,$C$5:$C$34,C13))&lt;Assumptions!$C$20,"A",IF(K13-IF(SUMIFS($G$5:$G$34,$C$5:$C$34,C13)=0,0,G13/SUMIFS($G$5:$G$34,$C$5:$C$34,C13))&lt;Assumptions!$C$21,"B","C"))</f>
        <v>B</v>
      </c>
      <c r="M13" s="25">
        <f t="shared" si="1"/>
        <v>7.1292962356792139E-2</v>
      </c>
      <c r="N13" s="70">
        <f t="shared" si="2"/>
        <v>7</v>
      </c>
      <c r="O13" s="17" t="str">
        <f>IF(E13="EOL","Phase out: end of life, move demand to current gen",IF(AND(L13="C",N13&gt;1,M13&lt;Assumptions!$C$22),"Consolidate: low volume, duplicate of same tier",IF(I13&lt;J13-Assumptions!$C$23,"Below target: reprice or renegotiate cost",IF(L13="A","Preferred: negotiate volume rebate","Keep"))))</f>
        <v>Keep</v>
      </c>
    </row>
    <row r="14" spans="1:15" x14ac:dyDescent="0.2">
      <c r="A14" s="5" t="s">
        <v>115</v>
      </c>
      <c r="B14" s="17" t="str">
        <f>INDEX(SKU_Master!$C$5:$C$34,MATCH($A14,SKU_Master!$A$5:$A$34,0))</f>
        <v>ThinkPad E14 Gen 6 i5/16GB/256GB</v>
      </c>
      <c r="C14" s="17" t="str">
        <f>INDEX(SKU_Master!$D$5:$D$34,MATCH($A14,SKU_Master!$A$5:$A$34,0))</f>
        <v>Laptop</v>
      </c>
      <c r="D14" s="17" t="str">
        <f>INDEX(SKU_Master!$E$5:$E$34,MATCH($A14,SKU_Master!$A$5:$A$34,0))</f>
        <v>Entry</v>
      </c>
      <c r="E14" s="17" t="str">
        <f>INDEX(SKU_Master!$F$5:$F$34,MATCH($A14,SKU_Master!$A$5:$A$34,0))</f>
        <v>Active</v>
      </c>
      <c r="F14" s="68">
        <f>SUMIFS(Orders!$J$5:$J$1965,Orders!$I$5:$I$1965,$A14)</f>
        <v>883</v>
      </c>
      <c r="G14" s="65">
        <f>SUMIFS(Orders!$W$5:$W$1965,Orders!$I$5:$I$1965,$A14)</f>
        <v>767571.39931258454</v>
      </c>
      <c r="H14" s="65">
        <f>SUMIFS(Orders!$AB$5:$AB$1965,Orders!$I$5:$I$1965,$A14)</f>
        <v>93307.219312584624</v>
      </c>
      <c r="I14" s="25">
        <f t="shared" si="0"/>
        <v>0.12156161550071819</v>
      </c>
      <c r="J14" s="19">
        <f>INDEX(Assumptions!$B$14:$B$16,MATCH($C14,Assumptions!$A$14:$A$16,0))</f>
        <v>0.12</v>
      </c>
      <c r="K14" s="25">
        <f>IF(SUMIFS($G$5:$G$34,$C$5:$C$34,C14)=0,0,SUMIFS($G$5:G14,$C$5:C14,C14)/SUMIFS($G$5:$G$34,$C$5:$C$34,C14))</f>
        <v>0.94692277644891831</v>
      </c>
      <c r="L14" s="69" t="str">
        <f>IF(K14-IF(SUMIFS($G$5:$G$34,$C$5:$C$34,C14)=0,0,G14/SUMIFS($G$5:$G$34,$C$5:$C$34,C14))&lt;Assumptions!$C$20,"A",IF(K14-IF(SUMIFS($G$5:$G$34,$C$5:$C$34,C14)=0,0,G14/SUMIFS($G$5:$G$34,$C$5:$C$34,C14))&lt;Assumptions!$C$21,"B","C"))</f>
        <v>B</v>
      </c>
      <c r="M14" s="25">
        <f t="shared" si="1"/>
        <v>5.780687397708674E-2</v>
      </c>
      <c r="N14" s="70">
        <f t="shared" si="2"/>
        <v>2</v>
      </c>
      <c r="O14" s="17" t="str">
        <f>IF(E14="EOL","Phase out: end of life, move demand to current gen",IF(AND(L14="C",N14&gt;1,M14&lt;Assumptions!$C$22),"Consolidate: low volume, duplicate of same tier",IF(I14&lt;J14-Assumptions!$C$23,"Below target: reprice or renegotiate cost",IF(L14="A","Preferred: negotiate volume rebate","Keep"))))</f>
        <v>Keep</v>
      </c>
    </row>
    <row r="15" spans="1:15" x14ac:dyDescent="0.2">
      <c r="A15" s="5" t="s">
        <v>123</v>
      </c>
      <c r="B15" s="17" t="str">
        <f>INDEX(SKU_Master!$C$5:$C$34,MATCH($A15,SKU_Master!$A$5:$A$34,0))</f>
        <v>Surface Laptop 6 Ultra 5/16GB/256GB</v>
      </c>
      <c r="C15" s="17" t="str">
        <f>INDEX(SKU_Master!$D$5:$D$34,MATCH($A15,SKU_Master!$A$5:$A$34,0))</f>
        <v>Laptop</v>
      </c>
      <c r="D15" s="17" t="str">
        <f>INDEX(SKU_Master!$E$5:$E$34,MATCH($A15,SKU_Master!$A$5:$A$34,0))</f>
        <v>Premium</v>
      </c>
      <c r="E15" s="17" t="str">
        <f>INDEX(SKU_Master!$F$5:$F$34,MATCH($A15,SKU_Master!$A$5:$A$34,0))</f>
        <v>Active</v>
      </c>
      <c r="F15" s="68">
        <f>SUMIFS(Orders!$J$5:$J$1965,Orders!$I$5:$I$1965,$A15)</f>
        <v>347</v>
      </c>
      <c r="G15" s="65">
        <f>SUMIFS(Orders!$W$5:$W$1965,Orders!$I$5:$I$1965,$A15)</f>
        <v>498494.64462703507</v>
      </c>
      <c r="H15" s="65">
        <f>SUMIFS(Orders!$AB$5:$AB$1965,Orders!$I$5:$I$1965,$A15)</f>
        <v>58509.894627035057</v>
      </c>
      <c r="I15" s="25">
        <f t="shared" si="0"/>
        <v>0.11737316590594696</v>
      </c>
      <c r="J15" s="19">
        <f>INDEX(Assumptions!$B$14:$B$16,MATCH($C15,Assumptions!$A$14:$A$16,0))</f>
        <v>0.12</v>
      </c>
      <c r="K15" s="25">
        <f>IF(SUMIFS($G$5:$G$34,$C$5:$C$34,C15)=0,0,SUMIFS($G$5:G15,$C$5:C15,C15)/SUMIFS($G$5:$G$34,$C$5:$C$34,C15))</f>
        <v>0.96902207157831022</v>
      </c>
      <c r="L15" s="69" t="str">
        <f>IF(K15-IF(SUMIFS($G$5:$G$34,$C$5:$C$34,C15)=0,0,G15/SUMIFS($G$5:$G$34,$C$5:$C$34,C15))&lt;Assumptions!$C$20,"A",IF(K15-IF(SUMIFS($G$5:$G$34,$C$5:$C$34,C15)=0,0,G15/SUMIFS($G$5:$G$34,$C$5:$C$34,C15))&lt;Assumptions!$C$21,"B","C"))</f>
        <v>B</v>
      </c>
      <c r="M15" s="25">
        <f t="shared" si="1"/>
        <v>2.2716857610474633E-2</v>
      </c>
      <c r="N15" s="70">
        <f t="shared" si="2"/>
        <v>6</v>
      </c>
      <c r="O15" s="17" t="str">
        <f>IF(E15="EOL","Phase out: end of life, move demand to current gen",IF(AND(L15="C",N15&gt;1,M15&lt;Assumptions!$C$22),"Consolidate: low volume, duplicate of same tier",IF(I15&lt;J15-Assumptions!$C$23,"Below target: reprice or renegotiate cost",IF(L15="A","Preferred: negotiate volume rebate","Keep"))))</f>
        <v>Keep</v>
      </c>
    </row>
    <row r="16" spans="1:15" x14ac:dyDescent="0.2">
      <c r="A16" s="5" t="s">
        <v>132</v>
      </c>
      <c r="B16" s="17" t="str">
        <f>INDEX(SKU_Master!$C$5:$C$34,MATCH($A16,SKU_Master!$A$5:$A$34,0))</f>
        <v>Latitude 5440 i5/16GB/512GB (prev. gen)</v>
      </c>
      <c r="C16" s="17" t="str">
        <f>INDEX(SKU_Master!$D$5:$D$34,MATCH($A16,SKU_Master!$A$5:$A$34,0))</f>
        <v>Laptop</v>
      </c>
      <c r="D16" s="17" t="str">
        <f>INDEX(SKU_Master!$E$5:$E$34,MATCH($A16,SKU_Master!$A$5:$A$34,0))</f>
        <v>Mainstream</v>
      </c>
      <c r="E16" s="17" t="str">
        <f>INDEX(SKU_Master!$F$5:$F$34,MATCH($A16,SKU_Master!$A$5:$A$34,0))</f>
        <v>EOL</v>
      </c>
      <c r="F16" s="68">
        <f>SUMIFS(Orders!$J$5:$J$1965,Orders!$I$5:$I$1965,$A16)</f>
        <v>315</v>
      </c>
      <c r="G16" s="65">
        <f>SUMIFS(Orders!$W$5:$W$1965,Orders!$I$5:$I$1965,$A16)</f>
        <v>342639.71520644781</v>
      </c>
      <c r="H16" s="65">
        <f>SUMIFS(Orders!$AB$5:$AB$1965,Orders!$I$5:$I$1965,$A16)</f>
        <v>36798.395206447844</v>
      </c>
      <c r="I16" s="25">
        <f t="shared" si="0"/>
        <v>0.10739675984226177</v>
      </c>
      <c r="J16" s="19">
        <f>INDEX(Assumptions!$B$14:$B$16,MATCH($C16,Assumptions!$A$14:$A$16,0))</f>
        <v>0.12</v>
      </c>
      <c r="K16" s="25">
        <f>IF(SUMIFS($G$5:$G$34,$C$5:$C$34,C16)=0,0,SUMIFS($G$5:G16,$C$5:C16,C16)/SUMIFS($G$5:$G$34,$C$5:$C$34,C16))</f>
        <v>0.98421199642707835</v>
      </c>
      <c r="L16" s="69" t="str">
        <f>IF(K16-IF(SUMIFS($G$5:$G$34,$C$5:$C$34,C16)=0,0,G16/SUMIFS($G$5:$G$34,$C$5:$C$34,C16))&lt;Assumptions!$C$20,"A",IF(K16-IF(SUMIFS($G$5:$G$34,$C$5:$C$34,C16)=0,0,G16/SUMIFS($G$5:$G$34,$C$5:$C$34,C16))&lt;Assumptions!$C$21,"B","C"))</f>
        <v>C</v>
      </c>
      <c r="M16" s="25">
        <f t="shared" si="1"/>
        <v>2.0621931260229133E-2</v>
      </c>
      <c r="N16" s="70">
        <f t="shared" si="2"/>
        <v>7</v>
      </c>
      <c r="O16" s="17" t="str">
        <f>IF(E16="EOL","Phase out: end of life, move demand to current gen",IF(AND(L16="C",N16&gt;1,M16&lt;Assumptions!$C$22),"Consolidate: low volume, duplicate of same tier",IF(I16&lt;J16-Assumptions!$C$23,"Below target: reprice or renegotiate cost",IF(L16="A","Preferred: negotiate volume rebate","Keep"))))</f>
        <v>Phase out: end of life, move demand to current gen</v>
      </c>
    </row>
    <row r="17" spans="1:15" x14ac:dyDescent="0.2">
      <c r="A17" s="5" t="s">
        <v>121</v>
      </c>
      <c r="B17" s="17" t="str">
        <f>INDEX(SKU_Master!$C$5:$C$34,MATCH($A17,SKU_Master!$A$5:$A$34,0))</f>
        <v>ProBook 450 G10 i5/16GB/256GB</v>
      </c>
      <c r="C17" s="17" t="str">
        <f>INDEX(SKU_Master!$D$5:$D$34,MATCH($A17,SKU_Master!$A$5:$A$34,0))</f>
        <v>Laptop</v>
      </c>
      <c r="D17" s="17" t="str">
        <f>INDEX(SKU_Master!$E$5:$E$34,MATCH($A17,SKU_Master!$A$5:$A$34,0))</f>
        <v>Entry</v>
      </c>
      <c r="E17" s="17" t="str">
        <f>INDEX(SKU_Master!$F$5:$F$34,MATCH($A17,SKU_Master!$A$5:$A$34,0))</f>
        <v>Active</v>
      </c>
      <c r="F17" s="68">
        <f>SUMIFS(Orders!$J$5:$J$1965,Orders!$I$5:$I$1965,$A17)</f>
        <v>267</v>
      </c>
      <c r="G17" s="65">
        <f>SUMIFS(Orders!$W$5:$W$1965,Orders!$I$5:$I$1965,$A17)</f>
        <v>247900.95285884495</v>
      </c>
      <c r="H17" s="65">
        <f>SUMIFS(Orders!$AB$5:$AB$1965,Orders!$I$5:$I$1965,$A17)</f>
        <v>28854.592858844971</v>
      </c>
      <c r="I17" s="25">
        <f t="shared" si="0"/>
        <v>0.11639565127155765</v>
      </c>
      <c r="J17" s="19">
        <f>INDEX(Assumptions!$B$14:$B$16,MATCH($C17,Assumptions!$A$14:$A$16,0))</f>
        <v>0.12</v>
      </c>
      <c r="K17" s="25">
        <f>IF(SUMIFS($G$5:$G$34,$C$5:$C$34,C17)=0,0,SUMIFS($G$5:G17,$C$5:C17,C17)/SUMIFS($G$5:$G$34,$C$5:$C$34,C17))</f>
        <v>0.99520195665861511</v>
      </c>
      <c r="L17" s="69" t="str">
        <f>IF(K17-IF(SUMIFS($G$5:$G$34,$C$5:$C$34,C17)=0,0,G17/SUMIFS($G$5:$G$34,$C$5:$C$34,C17))&lt;Assumptions!$C$20,"A",IF(K17-IF(SUMIFS($G$5:$G$34,$C$5:$C$34,C17)=0,0,G17/SUMIFS($G$5:$G$34,$C$5:$C$34,C17))&lt;Assumptions!$C$21,"B","C"))</f>
        <v>C</v>
      </c>
      <c r="M17" s="25">
        <f t="shared" si="1"/>
        <v>1.7479541734860885E-2</v>
      </c>
      <c r="N17" s="70">
        <f t="shared" si="2"/>
        <v>2</v>
      </c>
      <c r="O17" s="17" t="str">
        <f>IF(E17="EOL","Phase out: end of life, move demand to current gen",IF(AND(L17="C",N17&gt;1,M17&lt;Assumptions!$C$22),"Consolidate: low volume, duplicate of same tier",IF(I17&lt;J17-Assumptions!$C$23,"Below target: reprice or renegotiate cost",IF(L17="A","Preferred: negotiate volume rebate","Keep"))))</f>
        <v>Consolidate: low volume, duplicate of same tier</v>
      </c>
    </row>
    <row r="18" spans="1:15" x14ac:dyDescent="0.2">
      <c r="A18" s="5" t="s">
        <v>126</v>
      </c>
      <c r="B18" s="17" t="str">
        <f>INDEX(SKU_Master!$C$5:$C$34,MATCH($A18,SKU_Master!$A$5:$A$34,0))</f>
        <v>TravelMate P4 i5/16GB/512GB</v>
      </c>
      <c r="C18" s="17" t="str">
        <f>INDEX(SKU_Master!$D$5:$D$34,MATCH($A18,SKU_Master!$A$5:$A$34,0))</f>
        <v>Laptop</v>
      </c>
      <c r="D18" s="17" t="str">
        <f>INDEX(SKU_Master!$E$5:$E$34,MATCH($A18,SKU_Master!$A$5:$A$34,0))</f>
        <v>Mainstream</v>
      </c>
      <c r="E18" s="17" t="str">
        <f>INDEX(SKU_Master!$F$5:$F$34,MATCH($A18,SKU_Master!$A$5:$A$34,0))</f>
        <v>Active</v>
      </c>
      <c r="F18" s="68">
        <f>SUMIFS(Orders!$J$5:$J$1965,Orders!$I$5:$I$1965,$A18)</f>
        <v>68</v>
      </c>
      <c r="G18" s="65">
        <f>SUMIFS(Orders!$W$5:$W$1965,Orders!$I$5:$I$1965,$A18)</f>
        <v>72100.926893349373</v>
      </c>
      <c r="H18" s="65">
        <f>SUMIFS(Orders!$AB$5:$AB$1965,Orders!$I$5:$I$1965,$A18)</f>
        <v>8740.9268933493731</v>
      </c>
      <c r="I18" s="25">
        <f t="shared" si="0"/>
        <v>0.12123182419386679</v>
      </c>
      <c r="J18" s="19">
        <f>INDEX(Assumptions!$B$14:$B$16,MATCH($C18,Assumptions!$A$14:$A$16,0))</f>
        <v>0.12</v>
      </c>
      <c r="K18" s="25">
        <f>IF(SUMIFS($G$5:$G$34,$C$5:$C$34,C18)=0,0,SUMIFS($G$5:G18,$C$5:C18,C18)/SUMIFS($G$5:$G$34,$C$5:$C$34,C18))</f>
        <v>0.99839833936742228</v>
      </c>
      <c r="L18" s="69" t="str">
        <f>IF(K18-IF(SUMIFS($G$5:$G$34,$C$5:$C$34,C18)=0,0,G18/SUMIFS($G$5:$G$34,$C$5:$C$34,C18))&lt;Assumptions!$C$20,"A",IF(K18-IF(SUMIFS($G$5:$G$34,$C$5:$C$34,C18)=0,0,G18/SUMIFS($G$5:$G$34,$C$5:$C$34,C18))&lt;Assumptions!$C$21,"B","C"))</f>
        <v>C</v>
      </c>
      <c r="M18" s="25">
        <f t="shared" si="1"/>
        <v>4.4517184942716856E-3</v>
      </c>
      <c r="N18" s="70">
        <f t="shared" si="2"/>
        <v>7</v>
      </c>
      <c r="O18" s="17" t="str">
        <f>IF(E18="EOL","Phase out: end of life, move demand to current gen",IF(AND(L18="C",N18&gt;1,M18&lt;Assumptions!$C$22),"Consolidate: low volume, duplicate of same tier",IF(I18&lt;J18-Assumptions!$C$23,"Below target: reprice or renegotiate cost",IF(L18="A","Preferred: negotiate volume rebate","Keep"))))</f>
        <v>Consolidate: low volume, duplicate of same tier</v>
      </c>
    </row>
    <row r="19" spans="1:15" x14ac:dyDescent="0.2">
      <c r="A19" s="5" t="s">
        <v>129</v>
      </c>
      <c r="B19" s="17" t="str">
        <f>INDEX(SKU_Master!$C$5:$C$34,MATCH($A19,SKU_Master!$A$5:$A$34,0))</f>
        <v>ExpertBook B5 i5/16GB/512GB</v>
      </c>
      <c r="C19" s="17" t="str">
        <f>INDEX(SKU_Master!$D$5:$D$34,MATCH($A19,SKU_Master!$A$5:$A$34,0))</f>
        <v>Laptop</v>
      </c>
      <c r="D19" s="17" t="str">
        <f>INDEX(SKU_Master!$E$5:$E$34,MATCH($A19,SKU_Master!$A$5:$A$34,0))</f>
        <v>Mainstream</v>
      </c>
      <c r="E19" s="17" t="str">
        <f>INDEX(SKU_Master!$F$5:$F$34,MATCH($A19,SKU_Master!$A$5:$A$34,0))</f>
        <v>Active</v>
      </c>
      <c r="F19" s="68">
        <f>SUMIFS(Orders!$J$5:$J$1965,Orders!$I$5:$I$1965,$A19)</f>
        <v>32</v>
      </c>
      <c r="G19" s="65">
        <f>SUMIFS(Orders!$W$5:$W$1965,Orders!$I$5:$I$1965,$A19)</f>
        <v>36128.720087007576</v>
      </c>
      <c r="H19" s="65">
        <f>SUMIFS(Orders!$AB$5:$AB$1965,Orders!$I$5:$I$1965,$A19)</f>
        <v>4832.7200870075776</v>
      </c>
      <c r="I19" s="25">
        <f t="shared" si="0"/>
        <v>0.1337639439030528</v>
      </c>
      <c r="J19" s="19">
        <f>INDEX(Assumptions!$B$14:$B$16,MATCH($C19,Assumptions!$A$14:$A$16,0))</f>
        <v>0.12</v>
      </c>
      <c r="K19" s="25">
        <f>IF(SUMIFS($G$5:$G$34,$C$5:$C$34,C19)=0,0,SUMIFS($G$5:G19,$C$5:C19,C19)/SUMIFS($G$5:$G$34,$C$5:$C$34,C19))</f>
        <v>1</v>
      </c>
      <c r="L19" s="69" t="str">
        <f>IF(K19-IF(SUMIFS($G$5:$G$34,$C$5:$C$34,C19)=0,0,G19/SUMIFS($G$5:$G$34,$C$5:$C$34,C19))&lt;Assumptions!$C$20,"A",IF(K19-IF(SUMIFS($G$5:$G$34,$C$5:$C$34,C19)=0,0,G19/SUMIFS($G$5:$G$34,$C$5:$C$34,C19))&lt;Assumptions!$C$21,"B","C"))</f>
        <v>C</v>
      </c>
      <c r="M19" s="25">
        <f t="shared" si="1"/>
        <v>2.0949263502454993E-3</v>
      </c>
      <c r="N19" s="70">
        <f t="shared" si="2"/>
        <v>7</v>
      </c>
      <c r="O19" s="17" t="str">
        <f>IF(E19="EOL","Phase out: end of life, move demand to current gen",IF(AND(L19="C",N19&gt;1,M19&lt;Assumptions!$C$22),"Consolidate: low volume, duplicate of same tier",IF(I19&lt;J19-Assumptions!$C$23,"Below target: reprice or renegotiate cost",IF(L19="A","Preferred: negotiate volume rebate","Keep"))))</f>
        <v>Consolidate: low volume, duplicate of same tier</v>
      </c>
    </row>
    <row r="20" spans="1:15" x14ac:dyDescent="0.2">
      <c r="A20" s="5" t="s">
        <v>138</v>
      </c>
      <c r="B20" s="17" t="str">
        <f>INDEX(SKU_Master!$C$5:$C$34,MATCH($A20,SKU_Master!$A$5:$A$34,0))</f>
        <v>U2724D 27in QHD</v>
      </c>
      <c r="C20" s="17" t="str">
        <f>INDEX(SKU_Master!$D$5:$D$34,MATCH($A20,SKU_Master!$A$5:$A$34,0))</f>
        <v>Monitor</v>
      </c>
      <c r="D20" s="17" t="str">
        <f>INDEX(SKU_Master!$E$5:$E$34,MATCH($A20,SKU_Master!$A$5:$A$34,0))</f>
        <v>27in</v>
      </c>
      <c r="E20" s="17" t="str">
        <f>INDEX(SKU_Master!$F$5:$F$34,MATCH($A20,SKU_Master!$A$5:$A$34,0))</f>
        <v>Active</v>
      </c>
      <c r="F20" s="68">
        <f>SUMIFS(Orders!$J$5:$J$1965,Orders!$I$5:$I$1965,$A20)</f>
        <v>1708</v>
      </c>
      <c r="G20" s="65">
        <f>SUMIFS(Orders!$W$5:$W$1965,Orders!$I$5:$I$1965,$A20)</f>
        <v>810261.80187630956</v>
      </c>
      <c r="H20" s="65">
        <f>SUMIFS(Orders!$AB$5:$AB$1965,Orders!$I$5:$I$1965,$A20)</f>
        <v>147710.30187630956</v>
      </c>
      <c r="I20" s="25">
        <f t="shared" si="0"/>
        <v>0.18229947596475524</v>
      </c>
      <c r="J20" s="19">
        <f>INDEX(Assumptions!$B$14:$B$16,MATCH($C20,Assumptions!$A$14:$A$16,0))</f>
        <v>0.18</v>
      </c>
      <c r="K20" s="25">
        <f>IF(SUMIFS($G$5:$G$34,$C$5:$C$34,C20)=0,0,SUMIFS($G$5:G20,$C$5:C20,C20)/SUMIFS($G$5:$G$34,$C$5:$C$34,C20))</f>
        <v>0.3263278379395822</v>
      </c>
      <c r="L20" s="69" t="str">
        <f>IF(K20-IF(SUMIFS($G$5:$G$34,$C$5:$C$34,C20)=0,0,G20/SUMIFS($G$5:$G$34,$C$5:$C$34,C20))&lt;Assumptions!$C$20,"A",IF(K20-IF(SUMIFS($G$5:$G$34,$C$5:$C$34,C20)=0,0,G20/SUMIFS($G$5:$G$34,$C$5:$C$34,C20))&lt;Assumptions!$C$21,"B","C"))</f>
        <v>A</v>
      </c>
      <c r="M20" s="25">
        <f t="shared" si="1"/>
        <v>0.2501830965284898</v>
      </c>
      <c r="N20" s="70">
        <f t="shared" si="2"/>
        <v>4</v>
      </c>
      <c r="O20" s="17" t="str">
        <f>IF(E20="EOL","Phase out: end of life, move demand to current gen",IF(AND(L20="C",N20&gt;1,M20&lt;Assumptions!$C$22),"Consolidate: low volume, duplicate of same tier",IF(I20&lt;J20-Assumptions!$C$23,"Below target: reprice or renegotiate cost",IF(L20="A","Preferred: negotiate volume rebate","Keep"))))</f>
        <v>Preferred: negotiate volume rebate</v>
      </c>
    </row>
    <row r="21" spans="1:15" x14ac:dyDescent="0.2">
      <c r="A21" s="5" t="s">
        <v>135</v>
      </c>
      <c r="B21" s="17" t="str">
        <f>INDEX(SKU_Master!$C$5:$C$34,MATCH($A21,SKU_Master!$A$5:$A$34,0))</f>
        <v>P2425H 24in FHD</v>
      </c>
      <c r="C21" s="17" t="str">
        <f>INDEX(SKU_Master!$D$5:$D$34,MATCH($A21,SKU_Master!$A$5:$A$34,0))</f>
        <v>Monitor</v>
      </c>
      <c r="D21" s="17" t="str">
        <f>INDEX(SKU_Master!$E$5:$E$34,MATCH($A21,SKU_Master!$A$5:$A$34,0))</f>
        <v>24in</v>
      </c>
      <c r="E21" s="17" t="str">
        <f>INDEX(SKU_Master!$F$5:$F$34,MATCH($A21,SKU_Master!$A$5:$A$34,0))</f>
        <v>Active</v>
      </c>
      <c r="F21" s="68">
        <f>SUMIFS(Orders!$J$5:$J$1965,Orders!$I$5:$I$1965,$A21)</f>
        <v>2179</v>
      </c>
      <c r="G21" s="65">
        <f>SUMIFS(Orders!$W$5:$W$1965,Orders!$I$5:$I$1965,$A21)</f>
        <v>559514.5436238792</v>
      </c>
      <c r="H21" s="65">
        <f>SUMIFS(Orders!$AB$5:$AB$1965,Orders!$I$5:$I$1965,$A21)</f>
        <v>103294.15362387923</v>
      </c>
      <c r="I21" s="25">
        <f t="shared" si="0"/>
        <v>0.18461388502050513</v>
      </c>
      <c r="J21" s="19">
        <f>INDEX(Assumptions!$B$14:$B$16,MATCH($C21,Assumptions!$A$14:$A$16,0))</f>
        <v>0.18</v>
      </c>
      <c r="K21" s="25">
        <f>IF(SUMIFS($G$5:$G$34,$C$5:$C$34,C21)=0,0,SUMIFS($G$5:G21,$C$5:C21,C21)/SUMIFS($G$5:$G$34,$C$5:$C$34,C21))</f>
        <v>0.55166879674292602</v>
      </c>
      <c r="L21" s="69" t="str">
        <f>IF(K21-IF(SUMIFS($G$5:$G$34,$C$5:$C$34,C21)=0,0,G21/SUMIFS($G$5:$G$34,$C$5:$C$34,C21))&lt;Assumptions!$C$20,"A",IF(K21-IF(SUMIFS($G$5:$G$34,$C$5:$C$34,C21)=0,0,G21/SUMIFS($G$5:$G$34,$C$5:$C$34,C21))&lt;Assumptions!$C$21,"B","C"))</f>
        <v>A</v>
      </c>
      <c r="M21" s="25">
        <f t="shared" si="1"/>
        <v>0.31917386846345391</v>
      </c>
      <c r="N21" s="70">
        <f t="shared" si="2"/>
        <v>2</v>
      </c>
      <c r="O21" s="17" t="str">
        <f>IF(E21="EOL","Phase out: end of life, move demand to current gen",IF(AND(L21="C",N21&gt;1,M21&lt;Assumptions!$C$22),"Consolidate: low volume, duplicate of same tier",IF(I21&lt;J21-Assumptions!$C$23,"Below target: reprice or renegotiate cost",IF(L21="A","Preferred: negotiate volume rebate","Keep"))))</f>
        <v>Preferred: negotiate volume rebate</v>
      </c>
    </row>
    <row r="22" spans="1:15" x14ac:dyDescent="0.2">
      <c r="A22" s="5" t="s">
        <v>141</v>
      </c>
      <c r="B22" s="17" t="str">
        <f>INDEX(SKU_Master!$C$5:$C$34,MATCH($A22,SKU_Master!$A$5:$A$34,0))</f>
        <v>27UP850-W 27in 4K</v>
      </c>
      <c r="C22" s="17" t="str">
        <f>INDEX(SKU_Master!$D$5:$D$34,MATCH($A22,SKU_Master!$A$5:$A$34,0))</f>
        <v>Monitor</v>
      </c>
      <c r="D22" s="17" t="str">
        <f>INDEX(SKU_Master!$E$5:$E$34,MATCH($A22,SKU_Master!$A$5:$A$34,0))</f>
        <v>27in</v>
      </c>
      <c r="E22" s="17" t="str">
        <f>INDEX(SKU_Master!$F$5:$F$34,MATCH($A22,SKU_Master!$A$5:$A$34,0))</f>
        <v>Active</v>
      </c>
      <c r="F22" s="68">
        <f>SUMIFS(Orders!$J$5:$J$1965,Orders!$I$5:$I$1965,$A22)</f>
        <v>1075</v>
      </c>
      <c r="G22" s="65">
        <f>SUMIFS(Orders!$W$5:$W$1965,Orders!$I$5:$I$1965,$A22)</f>
        <v>502522.86065267044</v>
      </c>
      <c r="H22" s="65">
        <f>SUMIFS(Orders!$AB$5:$AB$1965,Orders!$I$5:$I$1965,$A22)</f>
        <v>93200.56065267048</v>
      </c>
      <c r="I22" s="25">
        <f t="shared" si="0"/>
        <v>0.1854653150139732</v>
      </c>
      <c r="J22" s="19">
        <f>INDEX(Assumptions!$B$14:$B$16,MATCH($C22,Assumptions!$A$14:$A$16,0))</f>
        <v>0.18</v>
      </c>
      <c r="K22" s="25">
        <f>IF(SUMIFS($G$5:$G$34,$C$5:$C$34,C22)=0,0,SUMIFS($G$5:G22,$C$5:C22,C22)/SUMIFS($G$5:$G$34,$C$5:$C$34,C22))</f>
        <v>0.75405671414475528</v>
      </c>
      <c r="L22" s="69" t="str">
        <f>IF(K22-IF(SUMIFS($G$5:$G$34,$C$5:$C$34,C22)=0,0,G22/SUMIFS($G$5:$G$34,$C$5:$C$34,C22))&lt;Assumptions!$C$20,"A",IF(K22-IF(SUMIFS($G$5:$G$34,$C$5:$C$34,C22)=0,0,G22/SUMIFS($G$5:$G$34,$C$5:$C$34,C22))&lt;Assumptions!$C$21,"B","C"))</f>
        <v>A</v>
      </c>
      <c r="M22" s="25">
        <f t="shared" si="1"/>
        <v>0.15746301450124506</v>
      </c>
      <c r="N22" s="70">
        <f t="shared" si="2"/>
        <v>4</v>
      </c>
      <c r="O22" s="17" t="str">
        <f>IF(E22="EOL","Phase out: end of life, move demand to current gen",IF(AND(L22="C",N22&gt;1,M22&lt;Assumptions!$C$22),"Consolidate: low volume, duplicate of same tier",IF(I22&lt;J22-Assumptions!$C$23,"Below target: reprice or renegotiate cost",IF(L22="A","Preferred: negotiate volume rebate","Keep"))))</f>
        <v>Preferred: negotiate volume rebate</v>
      </c>
    </row>
    <row r="23" spans="1:15" x14ac:dyDescent="0.2">
      <c r="A23" s="5" t="s">
        <v>144</v>
      </c>
      <c r="B23" s="17" t="str">
        <f>INDEX(SKU_Master!$C$5:$C$34,MATCH($A23,SKU_Master!$A$5:$A$34,0))</f>
        <v>ThinkVision T27h-30 27in QHD</v>
      </c>
      <c r="C23" s="17" t="str">
        <f>INDEX(SKU_Master!$D$5:$D$34,MATCH($A23,SKU_Master!$A$5:$A$34,0))</f>
        <v>Monitor</v>
      </c>
      <c r="D23" s="17" t="str">
        <f>INDEX(SKU_Master!$E$5:$E$34,MATCH($A23,SKU_Master!$A$5:$A$34,0))</f>
        <v>27in</v>
      </c>
      <c r="E23" s="17" t="str">
        <f>INDEX(SKU_Master!$F$5:$F$34,MATCH($A23,SKU_Master!$A$5:$A$34,0))</f>
        <v>Active</v>
      </c>
      <c r="F23" s="68">
        <f>SUMIFS(Orders!$J$5:$J$1965,Orders!$I$5:$I$1965,$A23)</f>
        <v>925</v>
      </c>
      <c r="G23" s="65">
        <f>SUMIFS(Orders!$W$5:$W$1965,Orders!$I$5:$I$1965,$A23)</f>
        <v>358782.5482736319</v>
      </c>
      <c r="H23" s="65">
        <f>SUMIFS(Orders!$AB$5:$AB$1965,Orders!$I$5:$I$1965,$A23)</f>
        <v>64116.728273631874</v>
      </c>
      <c r="I23" s="25">
        <f t="shared" si="0"/>
        <v>0.17870637404785952</v>
      </c>
      <c r="J23" s="19">
        <f>INDEX(Assumptions!$B$14:$B$16,MATCH($C23,Assumptions!$A$14:$A$16,0))</f>
        <v>0.18</v>
      </c>
      <c r="K23" s="25">
        <f>IF(SUMIFS($G$5:$G$34,$C$5:$C$34,C23)=0,0,SUMIFS($G$5:G23,$C$5:C23,C23)/SUMIFS($G$5:$G$34,$C$5:$C$34,C23))</f>
        <v>0.89855412596580653</v>
      </c>
      <c r="L23" s="69" t="str">
        <f>IF(K23-IF(SUMIFS($G$5:$G$34,$C$5:$C$34,C23)=0,0,G23/SUMIFS($G$5:$G$34,$C$5:$C$34,C23))&lt;Assumptions!$C$20,"A",IF(K23-IF(SUMIFS($G$5:$G$34,$C$5:$C$34,C23)=0,0,G23/SUMIFS($G$5:$G$34,$C$5:$C$34,C23))&lt;Assumptions!$C$21,"B","C"))</f>
        <v>A</v>
      </c>
      <c r="M23" s="25">
        <f t="shared" si="1"/>
        <v>0.13549143108246667</v>
      </c>
      <c r="N23" s="70">
        <f t="shared" si="2"/>
        <v>4</v>
      </c>
      <c r="O23" s="17" t="str">
        <f>IF(E23="EOL","Phase out: end of life, move demand to current gen",IF(AND(L23="C",N23&gt;1,M23&lt;Assumptions!$C$22),"Consolidate: low volume, duplicate of same tier",IF(I23&lt;J23-Assumptions!$C$23,"Below target: reprice or renegotiate cost",IF(L23="A","Preferred: negotiate volume rebate","Keep"))))</f>
        <v>Preferred: negotiate volume rebate</v>
      </c>
    </row>
    <row r="24" spans="1:15" x14ac:dyDescent="0.2">
      <c r="A24" s="5" t="s">
        <v>146</v>
      </c>
      <c r="B24" s="17" t="str">
        <f>INDEX(SKU_Master!$C$5:$C$34,MATCH($A24,SKU_Master!$A$5:$A$34,0))</f>
        <v>E24 G5 24in FHD</v>
      </c>
      <c r="C24" s="17" t="str">
        <f>INDEX(SKU_Master!$D$5:$D$34,MATCH($A24,SKU_Master!$A$5:$A$34,0))</f>
        <v>Monitor</v>
      </c>
      <c r="D24" s="17" t="str">
        <f>INDEX(SKU_Master!$E$5:$E$34,MATCH($A24,SKU_Master!$A$5:$A$34,0))</f>
        <v>24in</v>
      </c>
      <c r="E24" s="17" t="str">
        <f>INDEX(SKU_Master!$F$5:$F$34,MATCH($A24,SKU_Master!$A$5:$A$34,0))</f>
        <v>Active</v>
      </c>
      <c r="F24" s="68">
        <f>SUMIFS(Orders!$J$5:$J$1965,Orders!$I$5:$I$1965,$A24)</f>
        <v>902</v>
      </c>
      <c r="G24" s="65">
        <f>SUMIFS(Orders!$W$5:$W$1965,Orders!$I$5:$I$1965,$A24)</f>
        <v>235284.13444611739</v>
      </c>
      <c r="H24" s="65">
        <f>SUMIFS(Orders!$AB$5:$AB$1965,Orders!$I$5:$I$1965,$A24)</f>
        <v>41477.034446117388</v>
      </c>
      <c r="I24" s="25">
        <f t="shared" si="0"/>
        <v>0.17628487591719058</v>
      </c>
      <c r="J24" s="19">
        <f>INDEX(Assumptions!$B$14:$B$16,MATCH($C24,Assumptions!$A$14:$A$16,0))</f>
        <v>0.18</v>
      </c>
      <c r="K24" s="25">
        <f>IF(SUMIFS($G$5:$G$34,$C$5:$C$34,C24)=0,0,SUMIFS($G$5:G24,$C$5:C24,C24)/SUMIFS($G$5:$G$34,$C$5:$C$34,C24))</f>
        <v>0.99331332937079242</v>
      </c>
      <c r="L24" s="69" t="str">
        <f>IF(K24-IF(SUMIFS($G$5:$G$34,$C$5:$C$34,C24)=0,0,G24/SUMIFS($G$5:$G$34,$C$5:$C$34,C24))&lt;Assumptions!$C$20,"A",IF(K24-IF(SUMIFS($G$5:$G$34,$C$5:$C$34,C24)=0,0,G24/SUMIFS($G$5:$G$34,$C$5:$C$34,C24))&lt;Assumptions!$C$21,"B","C"))</f>
        <v>B</v>
      </c>
      <c r="M24" s="25">
        <f t="shared" si="1"/>
        <v>0.132122454958254</v>
      </c>
      <c r="N24" s="70">
        <f t="shared" si="2"/>
        <v>2</v>
      </c>
      <c r="O24" s="17" t="str">
        <f>IF(E24="EOL","Phase out: end of life, move demand to current gen",IF(AND(L24="C",N24&gt;1,M24&lt;Assumptions!$C$22),"Consolidate: low volume, duplicate of same tier",IF(I24&lt;J24-Assumptions!$C$23,"Below target: reprice or renegotiate cost",IF(L24="A","Preferred: negotiate volume rebate","Keep"))))</f>
        <v>Keep</v>
      </c>
    </row>
    <row r="25" spans="1:15" x14ac:dyDescent="0.2">
      <c r="A25" s="5" t="s">
        <v>148</v>
      </c>
      <c r="B25" s="17" t="str">
        <f>INDEX(SKU_Master!$C$5:$C$34,MATCH($A25,SKU_Master!$A$5:$A$34,0))</f>
        <v>ViewFinity S6 27in QHD</v>
      </c>
      <c r="C25" s="17" t="str">
        <f>INDEX(SKU_Master!$D$5:$D$34,MATCH($A25,SKU_Master!$A$5:$A$34,0))</f>
        <v>Monitor</v>
      </c>
      <c r="D25" s="17" t="str">
        <f>INDEX(SKU_Master!$E$5:$E$34,MATCH($A25,SKU_Master!$A$5:$A$34,0))</f>
        <v>27in</v>
      </c>
      <c r="E25" s="17" t="str">
        <f>INDEX(SKU_Master!$F$5:$F$34,MATCH($A25,SKU_Master!$A$5:$A$34,0))</f>
        <v>Active</v>
      </c>
      <c r="F25" s="68">
        <f>SUMIFS(Orders!$J$5:$J$1965,Orders!$I$5:$I$1965,$A25)</f>
        <v>38</v>
      </c>
      <c r="G25" s="65">
        <f>SUMIFS(Orders!$W$5:$W$1965,Orders!$I$5:$I$1965,$A25)</f>
        <v>16602.793763424808</v>
      </c>
      <c r="H25" s="65">
        <f>SUMIFS(Orders!$AB$5:$AB$1965,Orders!$I$5:$I$1965,$A25)</f>
        <v>2582.3937634248077</v>
      </c>
      <c r="I25" s="25">
        <f t="shared" si="0"/>
        <v>0.15553971218468679</v>
      </c>
      <c r="J25" s="19">
        <f>INDEX(Assumptions!$B$14:$B$16,MATCH($C25,Assumptions!$A$14:$A$16,0))</f>
        <v>0.18</v>
      </c>
      <c r="K25" s="25">
        <f>IF(SUMIFS($G$5:$G$34,$C$5:$C$34,C25)=0,0,SUMIFS($G$5:G25,$C$5:C25,C25)/SUMIFS($G$5:$G$34,$C$5:$C$34,C25))</f>
        <v>1</v>
      </c>
      <c r="L25" s="69" t="str">
        <f>IF(K25-IF(SUMIFS($G$5:$G$34,$C$5:$C$34,C25)=0,0,G25/SUMIFS($G$5:$G$34,$C$5:$C$34,C25))&lt;Assumptions!$C$20,"A",IF(K25-IF(SUMIFS($G$5:$G$34,$C$5:$C$34,C25)=0,0,G25/SUMIFS($G$5:$G$34,$C$5:$C$34,C25))&lt;Assumptions!$C$21,"B","C"))</f>
        <v>C</v>
      </c>
      <c r="M25" s="25">
        <f t="shared" si="1"/>
        <v>5.5661344660905233E-3</v>
      </c>
      <c r="N25" s="70">
        <f t="shared" si="2"/>
        <v>4</v>
      </c>
      <c r="O25" s="17" t="str">
        <f>IF(E25="EOL","Phase out: end of life, move demand to current gen",IF(AND(L25="C",N25&gt;1,M25&lt;Assumptions!$C$22),"Consolidate: low volume, duplicate of same tier",IF(I25&lt;J25-Assumptions!$C$23,"Below target: reprice or renegotiate cost",IF(L25="A","Preferred: negotiate volume rebate","Keep"))))</f>
        <v>Consolidate: low volume, duplicate of same tier</v>
      </c>
    </row>
    <row r="26" spans="1:15" x14ac:dyDescent="0.2">
      <c r="A26" s="5" t="s">
        <v>151</v>
      </c>
      <c r="B26" s="17" t="str">
        <f>INDEX(SKU_Master!$C$5:$C$34,MATCH($A26,SKU_Master!$A$5:$A$34,0))</f>
        <v>WD22TB4 Thunderbolt Dock</v>
      </c>
      <c r="C26" s="17" t="str">
        <f>INDEX(SKU_Master!$D$5:$D$34,MATCH($A26,SKU_Master!$A$5:$A$34,0))</f>
        <v>Accessory</v>
      </c>
      <c r="D26" s="17" t="str">
        <f>INDEX(SKU_Master!$E$5:$E$34,MATCH($A26,SKU_Master!$A$5:$A$34,0))</f>
        <v>Dock</v>
      </c>
      <c r="E26" s="17" t="str">
        <f>INDEX(SKU_Master!$F$5:$F$34,MATCH($A26,SKU_Master!$A$5:$A$34,0))</f>
        <v>Active</v>
      </c>
      <c r="F26" s="68">
        <f>SUMIFS(Orders!$J$5:$J$1965,Orders!$I$5:$I$1965,$A26)</f>
        <v>1919</v>
      </c>
      <c r="G26" s="65">
        <f>SUMIFS(Orders!$W$5:$W$1965,Orders!$I$5:$I$1965,$A26)</f>
        <v>637394.68603562389</v>
      </c>
      <c r="H26" s="65">
        <f>SUMIFS(Orders!$AB$5:$AB$1965,Orders!$I$5:$I$1965,$A26)</f>
        <v>212337.40603562383</v>
      </c>
      <c r="I26" s="25">
        <f t="shared" si="0"/>
        <v>0.33313331706024973</v>
      </c>
      <c r="J26" s="19">
        <f>INDEX(Assumptions!$B$14:$B$16,MATCH($C26,Assumptions!$A$14:$A$16,0))</f>
        <v>0.32</v>
      </c>
      <c r="K26" s="25">
        <f>IF(SUMIFS($G$5:$G$34,$C$5:$C$34,C26)=0,0,SUMIFS($G$5:G26,$C$5:C26,C26)/SUMIFS($G$5:$G$34,$C$5:$C$34,C26))</f>
        <v>0.39004363689049781</v>
      </c>
      <c r="L26" s="69" t="str">
        <f>IF(K26-IF(SUMIFS($G$5:$G$34,$C$5:$C$34,C26)=0,0,G26/SUMIFS($G$5:$G$34,$C$5:$C$34,C26))&lt;Assumptions!$C$20,"A",IF(K26-IF(SUMIFS($G$5:$G$34,$C$5:$C$34,C26)=0,0,G26/SUMIFS($G$5:$G$34,$C$5:$C$34,C26))&lt;Assumptions!$C$21,"B","C"))</f>
        <v>A</v>
      </c>
      <c r="M26" s="25">
        <f t="shared" si="1"/>
        <v>0.23167934323312808</v>
      </c>
      <c r="N26" s="70">
        <f t="shared" si="2"/>
        <v>2</v>
      </c>
      <c r="O26" s="17" t="str">
        <f>IF(E26="EOL","Phase out: end of life, move demand to current gen",IF(AND(L26="C",N26&gt;1,M26&lt;Assumptions!$C$22),"Consolidate: low volume, duplicate of same tier",IF(I26&lt;J26-Assumptions!$C$23,"Below target: reprice or renegotiate cost",IF(L26="A","Preferred: negotiate volume rebate","Keep"))))</f>
        <v>Preferred: negotiate volume rebate</v>
      </c>
    </row>
    <row r="27" spans="1:15" x14ac:dyDescent="0.2">
      <c r="A27" s="5" t="s">
        <v>166</v>
      </c>
      <c r="B27" s="17" t="str">
        <f>INDEX(SKU_Master!$C$5:$C$34,MATCH($A27,SKU_Master!$A$5:$A$34,0))</f>
        <v>Evolve2 65 Headset</v>
      </c>
      <c r="C27" s="17" t="str">
        <f>INDEX(SKU_Master!$D$5:$D$34,MATCH($A27,SKU_Master!$A$5:$A$34,0))</f>
        <v>Accessory</v>
      </c>
      <c r="D27" s="17" t="str">
        <f>INDEX(SKU_Master!$E$5:$E$34,MATCH($A27,SKU_Master!$A$5:$A$34,0))</f>
        <v>Headset</v>
      </c>
      <c r="E27" s="17" t="str">
        <f>INDEX(SKU_Master!$F$5:$F$34,MATCH($A27,SKU_Master!$A$5:$A$34,0))</f>
        <v>Active</v>
      </c>
      <c r="F27" s="68">
        <f>SUMIFS(Orders!$J$5:$J$1965,Orders!$I$5:$I$1965,$A27)</f>
        <v>1077</v>
      </c>
      <c r="G27" s="65">
        <f>SUMIFS(Orders!$W$5:$W$1965,Orders!$I$5:$I$1965,$A27)</f>
        <v>288631.84968693851</v>
      </c>
      <c r="H27" s="65">
        <f>SUMIFS(Orders!$AB$5:$AB$1965,Orders!$I$5:$I$1965,$A27)</f>
        <v>96747.739686938454</v>
      </c>
      <c r="I27" s="25">
        <f t="shared" si="0"/>
        <v>0.33519426145061559</v>
      </c>
      <c r="J27" s="19">
        <f>INDEX(Assumptions!$B$14:$B$16,MATCH($C27,Assumptions!$A$14:$A$16,0))</f>
        <v>0.32</v>
      </c>
      <c r="K27" s="25">
        <f>IF(SUMIFS($G$5:$G$34,$C$5:$C$34,C27)=0,0,SUMIFS($G$5:G27,$C$5:C27,C27)/SUMIFS($G$5:$G$34,$C$5:$C$34,C27))</f>
        <v>0.56666735033016857</v>
      </c>
      <c r="L27" s="69" t="str">
        <f>IF(K27-IF(SUMIFS($G$5:$G$34,$C$5:$C$34,C27)=0,0,G27/SUMIFS($G$5:$G$34,$C$5:$C$34,C27))&lt;Assumptions!$C$20,"A",IF(K27-IF(SUMIFS($G$5:$G$34,$C$5:$C$34,C27)=0,0,G27/SUMIFS($G$5:$G$34,$C$5:$C$34,C27))&lt;Assumptions!$C$21,"B","C"))</f>
        <v>A</v>
      </c>
      <c r="M27" s="25">
        <f t="shared" si="1"/>
        <v>0.13002535313292285</v>
      </c>
      <c r="N27" s="70">
        <f t="shared" si="2"/>
        <v>2</v>
      </c>
      <c r="O27" s="17" t="str">
        <f>IF(E27="EOL","Phase out: end of life, move demand to current gen",IF(AND(L27="C",N27&gt;1,M27&lt;Assumptions!$C$22),"Consolidate: low volume, duplicate of same tier",IF(I27&lt;J27-Assumptions!$C$23,"Below target: reprice or renegotiate cost",IF(L27="A","Preferred: negotiate volume rebate","Keep"))))</f>
        <v>Preferred: negotiate volume rebate</v>
      </c>
    </row>
    <row r="28" spans="1:15" x14ac:dyDescent="0.2">
      <c r="A28" s="5" t="s">
        <v>161</v>
      </c>
      <c r="B28" s="17" t="str">
        <f>INDEX(SKU_Master!$C$5:$C$34,MATCH($A28,SKU_Master!$A$5:$A$34,0))</f>
        <v>MX Master 3S Mouse</v>
      </c>
      <c r="C28" s="17" t="str">
        <f>INDEX(SKU_Master!$D$5:$D$34,MATCH($A28,SKU_Master!$A$5:$A$34,0))</f>
        <v>Accessory</v>
      </c>
      <c r="D28" s="17" t="str">
        <f>INDEX(SKU_Master!$E$5:$E$34,MATCH($A28,SKU_Master!$A$5:$A$34,0))</f>
        <v>Mouse</v>
      </c>
      <c r="E28" s="17" t="str">
        <f>INDEX(SKU_Master!$F$5:$F$34,MATCH($A28,SKU_Master!$A$5:$A$34,0))</f>
        <v>Active</v>
      </c>
      <c r="F28" s="68">
        <f>SUMIFS(Orders!$J$5:$J$1965,Orders!$I$5:$I$1965,$A28)</f>
        <v>1459</v>
      </c>
      <c r="G28" s="65">
        <f>SUMIFS(Orders!$W$5:$W$1965,Orders!$I$5:$I$1965,$A28)</f>
        <v>182454.56887626488</v>
      </c>
      <c r="H28" s="65">
        <f>SUMIFS(Orders!$AB$5:$AB$1965,Orders!$I$5:$I$1965,$A28)</f>
        <v>60432.068876264799</v>
      </c>
      <c r="I28" s="25">
        <f t="shared" si="0"/>
        <v>0.33121707638490533</v>
      </c>
      <c r="J28" s="19">
        <f>INDEX(Assumptions!$B$14:$B$16,MATCH($C28,Assumptions!$A$14:$A$16,0))</f>
        <v>0.32</v>
      </c>
      <c r="K28" s="25">
        <f>IF(SUMIFS($G$5:$G$34,$C$5:$C$34,C28)=0,0,SUMIFS($G$5:G28,$C$5:C28,C28)/SUMIFS($G$5:$G$34,$C$5:$C$34,C28))</f>
        <v>0.67831754944684086</v>
      </c>
      <c r="L28" s="69" t="str">
        <f>IF(K28-IF(SUMIFS($G$5:$G$34,$C$5:$C$34,C28)=0,0,G28/SUMIFS($G$5:$G$34,$C$5:$C$34,C28))&lt;Assumptions!$C$20,"A",IF(K28-IF(SUMIFS($G$5:$G$34,$C$5:$C$34,C28)=0,0,G28/SUMIFS($G$5:$G$34,$C$5:$C$34,C28))&lt;Assumptions!$C$21,"B","C"))</f>
        <v>A</v>
      </c>
      <c r="M28" s="25">
        <f t="shared" si="1"/>
        <v>0.17614390921163831</v>
      </c>
      <c r="N28" s="70">
        <f t="shared" si="2"/>
        <v>1</v>
      </c>
      <c r="O28" s="17" t="str">
        <f>IF(E28="EOL","Phase out: end of life, move demand to current gen",IF(AND(L28="C",N28&gt;1,M28&lt;Assumptions!$C$22),"Consolidate: low volume, duplicate of same tier",IF(I28&lt;J28-Assumptions!$C$23,"Below target: reprice or renegotiate cost",IF(L28="A","Preferred: negotiate volume rebate","Keep"))))</f>
        <v>Preferred: negotiate volume rebate</v>
      </c>
    </row>
    <row r="29" spans="1:15" x14ac:dyDescent="0.2">
      <c r="A29" s="5" t="s">
        <v>157</v>
      </c>
      <c r="B29" s="17" t="str">
        <f>INDEX(SKU_Master!$C$5:$C$34,MATCH($A29,SKU_Master!$A$5:$A$34,0))</f>
        <v>MX Keys S Keyboard</v>
      </c>
      <c r="C29" s="17" t="str">
        <f>INDEX(SKU_Master!$D$5:$D$34,MATCH($A29,SKU_Master!$A$5:$A$34,0))</f>
        <v>Accessory</v>
      </c>
      <c r="D29" s="17" t="str">
        <f>INDEX(SKU_Master!$E$5:$E$34,MATCH($A29,SKU_Master!$A$5:$A$34,0))</f>
        <v>Keyboard</v>
      </c>
      <c r="E29" s="17" t="str">
        <f>INDEX(SKU_Master!$F$5:$F$34,MATCH($A29,SKU_Master!$A$5:$A$34,0))</f>
        <v>Active</v>
      </c>
      <c r="F29" s="68">
        <f>SUMIFS(Orders!$J$5:$J$1965,Orders!$I$5:$I$1965,$A29)</f>
        <v>1189</v>
      </c>
      <c r="G29" s="65">
        <f>SUMIFS(Orders!$W$5:$W$1965,Orders!$I$5:$I$1965,$A29)</f>
        <v>161228.23279720009</v>
      </c>
      <c r="H29" s="65">
        <f>SUMIFS(Orders!$AB$5:$AB$1965,Orders!$I$5:$I$1965,$A29)</f>
        <v>53654.032797200038</v>
      </c>
      <c r="I29" s="25">
        <f t="shared" si="0"/>
        <v>0.33278311041645181</v>
      </c>
      <c r="J29" s="19">
        <f>INDEX(Assumptions!$B$14:$B$16,MATCH($C29,Assumptions!$A$14:$A$16,0))</f>
        <v>0.32</v>
      </c>
      <c r="K29" s="25">
        <f>IF(SUMIFS($G$5:$G$34,$C$5:$C$34,C29)=0,0,SUMIFS($G$5:G29,$C$5:C29,C29)/SUMIFS($G$5:$G$34,$C$5:$C$34,C29))</f>
        <v>0.77697862659007433</v>
      </c>
      <c r="L29" s="69" t="str">
        <f>IF(K29-IF(SUMIFS($G$5:$G$34,$C$5:$C$34,C29)=0,0,G29/SUMIFS($G$5:$G$34,$C$5:$C$34,C29))&lt;Assumptions!$C$20,"A",IF(K29-IF(SUMIFS($G$5:$G$34,$C$5:$C$34,C29)=0,0,G29/SUMIFS($G$5:$G$34,$C$5:$C$34,C29))&lt;Assumptions!$C$21,"B","C"))</f>
        <v>A</v>
      </c>
      <c r="M29" s="25">
        <f t="shared" si="1"/>
        <v>0.14354702402511169</v>
      </c>
      <c r="N29" s="70">
        <f t="shared" si="2"/>
        <v>2</v>
      </c>
      <c r="O29" s="17" t="str">
        <f>IF(E29="EOL","Phase out: end of life, move demand to current gen",IF(AND(L29="C",N29&gt;1,M29&lt;Assumptions!$C$22),"Consolidate: low volume, duplicate of same tier",IF(I29&lt;J29-Assumptions!$C$23,"Below target: reprice or renegotiate cost",IF(L29="A","Preferred: negotiate volume rebate","Keep"))))</f>
        <v>Preferred: negotiate volume rebate</v>
      </c>
    </row>
    <row r="30" spans="1:15" x14ac:dyDescent="0.2">
      <c r="A30" s="5" t="s">
        <v>154</v>
      </c>
      <c r="B30" s="17" t="str">
        <f>INDEX(SKU_Master!$C$5:$C$34,MATCH($A30,SKU_Master!$A$5:$A$34,0))</f>
        <v>TS4 Thunderbolt Dock</v>
      </c>
      <c r="C30" s="17" t="str">
        <f>INDEX(SKU_Master!$D$5:$D$34,MATCH($A30,SKU_Master!$A$5:$A$34,0))</f>
        <v>Accessory</v>
      </c>
      <c r="D30" s="17" t="str">
        <f>INDEX(SKU_Master!$E$5:$E$34,MATCH($A30,SKU_Master!$A$5:$A$34,0))</f>
        <v>Dock</v>
      </c>
      <c r="E30" s="17" t="str">
        <f>INDEX(SKU_Master!$F$5:$F$34,MATCH($A30,SKU_Master!$A$5:$A$34,0))</f>
        <v>Active</v>
      </c>
      <c r="F30" s="68">
        <f>SUMIFS(Orders!$J$5:$J$1965,Orders!$I$5:$I$1965,$A30)</f>
        <v>237</v>
      </c>
      <c r="G30" s="65">
        <f>SUMIFS(Orders!$W$5:$W$1965,Orders!$I$5:$I$1965,$A30)</f>
        <v>116820.25855280698</v>
      </c>
      <c r="H30" s="65">
        <f>SUMIFS(Orders!$AB$5:$AB$1965,Orders!$I$5:$I$1965,$A30)</f>
        <v>39092.258552806976</v>
      </c>
      <c r="I30" s="25">
        <f t="shared" si="0"/>
        <v>0.33463595301953442</v>
      </c>
      <c r="J30" s="19">
        <f>INDEX(Assumptions!$B$14:$B$16,MATCH($C30,Assumptions!$A$14:$A$16,0))</f>
        <v>0.32</v>
      </c>
      <c r="K30" s="25">
        <f>IF(SUMIFS($G$5:$G$34,$C$5:$C$34,C30)=0,0,SUMIFS($G$5:G30,$C$5:C30,C30)/SUMIFS($G$5:$G$34,$C$5:$C$34,C30))</f>
        <v>0.84846494347769019</v>
      </c>
      <c r="L30" s="69" t="str">
        <f>IF(K30-IF(SUMIFS($G$5:$G$34,$C$5:$C$34,C30)=0,0,G30/SUMIFS($G$5:$G$34,$C$5:$C$34,C30))&lt;Assumptions!$C$20,"A",IF(K30-IF(SUMIFS($G$5:$G$34,$C$5:$C$34,C30)=0,0,G30/SUMIFS($G$5:$G$34,$C$5:$C$34,C30))&lt;Assumptions!$C$21,"B","C"))</f>
        <v>A</v>
      </c>
      <c r="M30" s="25">
        <f t="shared" si="1"/>
        <v>2.8612821441506699E-2</v>
      </c>
      <c r="N30" s="70">
        <f t="shared" si="2"/>
        <v>2</v>
      </c>
      <c r="O30" s="17" t="str">
        <f>IF(E30="EOL","Phase out: end of life, move demand to current gen",IF(AND(L30="C",N30&gt;1,M30&lt;Assumptions!$C$22),"Consolidate: low volume, duplicate of same tier",IF(I30&lt;J30-Assumptions!$C$23,"Below target: reprice or renegotiate cost",IF(L30="A","Preferred: negotiate volume rebate","Keep"))))</f>
        <v>Preferred: negotiate volume rebate</v>
      </c>
    </row>
    <row r="31" spans="1:15" x14ac:dyDescent="0.2">
      <c r="A31" s="5" t="s">
        <v>164</v>
      </c>
      <c r="B31" s="17" t="str">
        <f>INDEX(SKU_Master!$C$5:$C$34,MATCH($A31,SKU_Master!$A$5:$A$34,0))</f>
        <v>Magic Keyboard with Touch ID</v>
      </c>
      <c r="C31" s="17" t="str">
        <f>INDEX(SKU_Master!$D$5:$D$34,MATCH($A31,SKU_Master!$A$5:$A$34,0))</f>
        <v>Accessory</v>
      </c>
      <c r="D31" s="17" t="str">
        <f>INDEX(SKU_Master!$E$5:$E$34,MATCH($A31,SKU_Master!$A$5:$A$34,0))</f>
        <v>Keyboard</v>
      </c>
      <c r="E31" s="17" t="str">
        <f>INDEX(SKU_Master!$F$5:$F$34,MATCH($A31,SKU_Master!$A$5:$A$34,0))</f>
        <v>Active</v>
      </c>
      <c r="F31" s="68">
        <f>SUMIFS(Orders!$J$5:$J$1965,Orders!$I$5:$I$1965,$A31)</f>
        <v>599</v>
      </c>
      <c r="G31" s="65">
        <f>SUMIFS(Orders!$W$5:$W$1965,Orders!$I$5:$I$1965,$A31)</f>
        <v>114343.0930998347</v>
      </c>
      <c r="H31" s="65">
        <f>SUMIFS(Orders!$AB$5:$AB$1965,Orders!$I$5:$I$1965,$A31)</f>
        <v>38540.843099834667</v>
      </c>
      <c r="I31" s="25">
        <f t="shared" si="0"/>
        <v>0.33706314964021539</v>
      </c>
      <c r="J31" s="19">
        <f>INDEX(Assumptions!$B$14:$B$16,MATCH($C31,Assumptions!$A$14:$A$16,0))</f>
        <v>0.32</v>
      </c>
      <c r="K31" s="25">
        <f>IF(SUMIFS($G$5:$G$34,$C$5:$C$34,C31)=0,0,SUMIFS($G$5:G31,$C$5:C31,C31)/SUMIFS($G$5:$G$34,$C$5:$C$34,C31))</f>
        <v>0.91843539799050944</v>
      </c>
      <c r="L31" s="69" t="str">
        <f>IF(K31-IF(SUMIFS($G$5:$G$34,$C$5:$C$34,C31)=0,0,G31/SUMIFS($G$5:$G$34,$C$5:$C$34,C31))&lt;Assumptions!$C$20,"A",IF(K31-IF(SUMIFS($G$5:$G$34,$C$5:$C$34,C31)=0,0,G31/SUMIFS($G$5:$G$34,$C$5:$C$34,C31))&lt;Assumptions!$C$21,"B","C"))</f>
        <v>B</v>
      </c>
      <c r="M31" s="25">
        <f t="shared" si="1"/>
        <v>7.2316793432331286E-2</v>
      </c>
      <c r="N31" s="70">
        <f t="shared" si="2"/>
        <v>2</v>
      </c>
      <c r="O31" s="17" t="str">
        <f>IF(E31="EOL","Phase out: end of life, move demand to current gen",IF(AND(L31="C",N31&gt;1,M31&lt;Assumptions!$C$22),"Consolidate: low volume, duplicate of same tier",IF(I31&lt;J31-Assumptions!$C$23,"Below target: reprice or renegotiate cost",IF(L31="A","Preferred: negotiate volume rebate","Keep"))))</f>
        <v>Keep</v>
      </c>
    </row>
    <row r="32" spans="1:15" x14ac:dyDescent="0.2">
      <c r="A32" s="5" t="s">
        <v>177</v>
      </c>
      <c r="B32" s="17" t="str">
        <f>INDEX(SKU_Master!$C$5:$C$34,MATCH($A32,SKU_Master!$A$5:$A$34,0))</f>
        <v>100W USB-C Charger</v>
      </c>
      <c r="C32" s="17" t="str">
        <f>INDEX(SKU_Master!$D$5:$D$34,MATCH($A32,SKU_Master!$A$5:$A$34,0))</f>
        <v>Accessory</v>
      </c>
      <c r="D32" s="17" t="str">
        <f>INDEX(SKU_Master!$E$5:$E$34,MATCH($A32,SKU_Master!$A$5:$A$34,0))</f>
        <v>Power</v>
      </c>
      <c r="E32" s="17" t="str">
        <f>INDEX(SKU_Master!$F$5:$F$34,MATCH($A32,SKU_Master!$A$5:$A$34,0))</f>
        <v>Active</v>
      </c>
      <c r="F32" s="68">
        <f>SUMIFS(Orders!$J$5:$J$1965,Orders!$I$5:$I$1965,$A32)</f>
        <v>857</v>
      </c>
      <c r="G32" s="65">
        <f>SUMIFS(Orders!$W$5:$W$1965,Orders!$I$5:$I$1965,$A32)</f>
        <v>64880.946540329191</v>
      </c>
      <c r="H32" s="65">
        <f>SUMIFS(Orders!$AB$5:$AB$1965,Orders!$I$5:$I$1965,$A32)</f>
        <v>21262.806540329202</v>
      </c>
      <c r="I32" s="25">
        <f t="shared" si="0"/>
        <v>0.32772035049014747</v>
      </c>
      <c r="J32" s="19">
        <f>INDEX(Assumptions!$B$14:$B$16,MATCH($C32,Assumptions!$A$14:$A$16,0))</f>
        <v>0.32</v>
      </c>
      <c r="K32" s="25">
        <f>IF(SUMIFS($G$5:$G$34,$C$5:$C$34,C32)=0,0,SUMIFS($G$5:G32,$C$5:C32,C32)/SUMIFS($G$5:$G$34,$C$5:$C$34,C32))</f>
        <v>0.95813827112063399</v>
      </c>
      <c r="L32" s="69" t="str">
        <f>IF(K32-IF(SUMIFS($G$5:$G$34,$C$5:$C$34,C32)=0,0,G32/SUMIFS($G$5:$G$34,$C$5:$C$34,C32))&lt;Assumptions!$C$20,"A",IF(K32-IF(SUMIFS($G$5:$G$34,$C$5:$C$34,C32)=0,0,G32/SUMIFS($G$5:$G$34,$C$5:$C$34,C32))&lt;Assumptions!$C$21,"B","C"))</f>
        <v>B</v>
      </c>
      <c r="M32" s="25">
        <f t="shared" si="1"/>
        <v>0.10346492816612339</v>
      </c>
      <c r="N32" s="70">
        <f t="shared" si="2"/>
        <v>1</v>
      </c>
      <c r="O32" s="17" t="str">
        <f>IF(E32="EOL","Phase out: end of life, move demand to current gen",IF(AND(L32="C",N32&gt;1,M32&lt;Assumptions!$C$22),"Consolidate: low volume, duplicate of same tier",IF(I32&lt;J32-Assumptions!$C$23,"Below target: reprice or renegotiate cost",IF(L32="A","Preferred: negotiate volume rebate","Keep"))))</f>
        <v>Keep</v>
      </c>
    </row>
    <row r="33" spans="1:15" x14ac:dyDescent="0.2">
      <c r="A33" s="5" t="s">
        <v>173</v>
      </c>
      <c r="B33" s="17" t="str">
        <f>INDEX(SKU_Master!$C$5:$C$34,MATCH($A33,SKU_Master!$A$5:$A$34,0))</f>
        <v>15in Laptop Backpack</v>
      </c>
      <c r="C33" s="17" t="str">
        <f>INDEX(SKU_Master!$D$5:$D$34,MATCH($A33,SKU_Master!$A$5:$A$34,0))</f>
        <v>Accessory</v>
      </c>
      <c r="D33" s="17" t="str">
        <f>INDEX(SKU_Master!$E$5:$E$34,MATCH($A33,SKU_Master!$A$5:$A$34,0))</f>
        <v>Bag</v>
      </c>
      <c r="E33" s="17" t="str">
        <f>INDEX(SKU_Master!$F$5:$F$34,MATCH($A33,SKU_Master!$A$5:$A$34,0))</f>
        <v>Active</v>
      </c>
      <c r="F33" s="68">
        <f>SUMIFS(Orders!$J$5:$J$1965,Orders!$I$5:$I$1965,$A33)</f>
        <v>855</v>
      </c>
      <c r="G33" s="65">
        <f>SUMIFS(Orders!$W$5:$W$1965,Orders!$I$5:$I$1965,$A33)</f>
        <v>50222.144241551454</v>
      </c>
      <c r="H33" s="65">
        <f>SUMIFS(Orders!$AB$5:$AB$1965,Orders!$I$5:$I$1965,$A33)</f>
        <v>17235.144241551483</v>
      </c>
      <c r="I33" s="25">
        <f t="shared" si="0"/>
        <v>0.34317818368439812</v>
      </c>
      <c r="J33" s="19">
        <f>INDEX(Assumptions!$B$14:$B$16,MATCH($C33,Assumptions!$A$14:$A$16,0))</f>
        <v>0.32</v>
      </c>
      <c r="K33" s="25">
        <f>IF(SUMIFS($G$5:$G$34,$C$5:$C$34,C33)=0,0,SUMIFS($G$5:G33,$C$5:C33,C33)/SUMIFS($G$5:$G$34,$C$5:$C$34,C33))</f>
        <v>0.98887092111219521</v>
      </c>
      <c r="L33" s="69" t="str">
        <f>IF(K33-IF(SUMIFS($G$5:$G$34,$C$5:$C$34,C33)=0,0,G33/SUMIFS($G$5:$G$34,$C$5:$C$34,C33))&lt;Assumptions!$C$20,"A",IF(K33-IF(SUMIFS($G$5:$G$34,$C$5:$C$34,C33)=0,0,G33/SUMIFS($G$5:$G$34,$C$5:$C$34,C33))&lt;Assumptions!$C$21,"B","C"))</f>
        <v>C</v>
      </c>
      <c r="M33" s="25">
        <f t="shared" si="1"/>
        <v>0.1032234697573343</v>
      </c>
      <c r="N33" s="70">
        <f t="shared" si="2"/>
        <v>1</v>
      </c>
      <c r="O33" s="17" t="str">
        <f>IF(E33="EOL","Phase out: end of life, move demand to current gen",IF(AND(L33="C",N33&gt;1,M33&lt;Assumptions!$C$22),"Consolidate: low volume, duplicate of same tier",IF(I33&lt;J33-Assumptions!$C$23,"Below target: reprice or renegotiate cost",IF(L33="A","Preferred: negotiate volume rebate","Keep"))))</f>
        <v>Keep</v>
      </c>
    </row>
    <row r="34" spans="1:15" x14ac:dyDescent="0.2">
      <c r="A34" s="5" t="s">
        <v>170</v>
      </c>
      <c r="B34" s="17" t="str">
        <f>INDEX(SKU_Master!$C$5:$C$34,MATCH($A34,SKU_Master!$A$5:$A$34,0))</f>
        <v>Voyager 4320 Headset</v>
      </c>
      <c r="C34" s="17" t="str">
        <f>INDEX(SKU_Master!$D$5:$D$34,MATCH($A34,SKU_Master!$A$5:$A$34,0))</f>
        <v>Accessory</v>
      </c>
      <c r="D34" s="17" t="str">
        <f>INDEX(SKU_Master!$E$5:$E$34,MATCH($A34,SKU_Master!$A$5:$A$34,0))</f>
        <v>Headset</v>
      </c>
      <c r="E34" s="17" t="str">
        <f>INDEX(SKU_Master!$F$5:$F$34,MATCH($A34,SKU_Master!$A$5:$A$34,0))</f>
        <v>Active</v>
      </c>
      <c r="F34" s="68">
        <f>SUMIFS(Orders!$J$5:$J$1965,Orders!$I$5:$I$1965,$A34)</f>
        <v>91</v>
      </c>
      <c r="G34" s="65">
        <f>SUMIFS(Orders!$W$5:$W$1965,Orders!$I$5:$I$1965,$A34)</f>
        <v>18186.723414102336</v>
      </c>
      <c r="H34" s="65">
        <f>SUMIFS(Orders!$AB$5:$AB$1965,Orders!$I$5:$I$1965,$A34)</f>
        <v>6243.5234141023384</v>
      </c>
      <c r="I34" s="25">
        <f t="shared" si="0"/>
        <v>0.34330116931678795</v>
      </c>
      <c r="J34" s="19">
        <f>INDEX(Assumptions!$B$14:$B$16,MATCH($C34,Assumptions!$A$14:$A$16,0))</f>
        <v>0.32</v>
      </c>
      <c r="K34" s="25">
        <f>IF(SUMIFS($G$5:$G$34,$C$5:$C$34,C34)=0,0,SUMIFS($G$5:G34,$C$5:C34,C34)/SUMIFS($G$5:$G$34,$C$5:$C$34,C34))</f>
        <v>1</v>
      </c>
      <c r="L34" s="69" t="str">
        <f>IF(K34-IF(SUMIFS($G$5:$G$34,$C$5:$C$34,C34)=0,0,G34/SUMIFS($G$5:$G$34,$C$5:$C$34,C34))&lt;Assumptions!$C$20,"A",IF(K34-IF(SUMIFS($G$5:$G$34,$C$5:$C$34,C34)=0,0,G34/SUMIFS($G$5:$G$34,$C$5:$C$34,C34))&lt;Assumptions!$C$21,"B","C"))</f>
        <v>C</v>
      </c>
      <c r="M34" s="25">
        <f t="shared" si="1"/>
        <v>1.0986357599903417E-2</v>
      </c>
      <c r="N34" s="70">
        <f t="shared" si="2"/>
        <v>2</v>
      </c>
      <c r="O34" s="17" t="str">
        <f>IF(E34="EOL","Phase out: end of life, move demand to current gen",IF(AND(L34="C",N34&gt;1,M34&lt;Assumptions!$C$22),"Consolidate: low volume, duplicate of same tier",IF(I34&lt;J34-Assumptions!$C$23,"Below target: reprice or renegotiate cost",IF(L34="A","Preferred: negotiate volume rebate","Keep"))))</f>
        <v>Consolidate: low volume, duplicate of same tier</v>
      </c>
    </row>
    <row r="36" spans="1:15" x14ac:dyDescent="0.2">
      <c r="A36" s="2" t="s">
        <v>1579</v>
      </c>
    </row>
  </sheetData>
  <conditionalFormatting sqref="O5:O34">
    <cfRule type="expression" dxfId="2" priority="1">
      <formula>OR(LEFT(O5,5)="Phase",LEFT(O5,5)="Below")</formula>
    </cfRule>
    <cfRule type="expression" dxfId="1" priority="2">
      <formula>LEFT(O5,5)="Conso"</formula>
    </cfRule>
    <cfRule type="expression" dxfId="0" priority="3">
      <formula>LEFT(O5,5)="Prefe"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800-000004000000}">
            <xm:f>I5&lt;J5-Assumptions!$C$23</xm:f>
            <x14:dxf>
              <font>
                <b/>
                <color rgb="FFC00000"/>
                <name val="Arial"/>
              </font>
            </x14:dxf>
          </x14:cfRule>
          <xm:sqref>I5:I34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Assumptions</vt:lpstr>
      <vt:lpstr>SKU_Master</vt:lpstr>
      <vt:lpstr>Price_Book</vt:lpstr>
      <vt:lpstr>Deal_Desk</vt:lpstr>
      <vt:lpstr>FX_Scenario</vt:lpstr>
      <vt:lpstr>Orders</vt:lpstr>
      <vt:lpstr>Margin_Leakage</vt:lpstr>
      <vt:lpstr>Assortment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CHAEWON SHIN</cp:lastModifiedBy>
  <dcterms:created xsi:type="dcterms:W3CDTF">2026-10-23T16:53:57Z</dcterms:created>
  <dcterms:modified xsi:type="dcterms:W3CDTF">2026-10-23T16:54:05Z</dcterms:modified>
</cp:coreProperties>
</file>